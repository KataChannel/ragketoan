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5.xml" ContentType="application/vnd.openxmlformats-officedocument.spreadsheetml.worksheet+xml"/>
  <Override PartName="/xl/worksheets/sheet14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18.xml" ContentType="application/vnd.openxmlformats-officedocument.spreadsheetml.worksheet+xml"/>
  <Override PartName="/xl/worksheets/sheet9.xml" ContentType="application/vnd.openxmlformats-officedocument.spreadsheetml.worksheet+xml"/>
  <Override PartName="/xl/worksheets/sheet17.xml" ContentType="application/vnd.openxmlformats-officedocument.spreadsheetml.worksheet+xml"/>
  <Override PartName="/xl/worksheets/sheet10.xml" ContentType="application/vnd.openxmlformats-officedocument.spreadsheetml.worksheet+xml"/>
  <Override PartName="/xl/worksheets/sheet16.xml" ContentType="application/vnd.openxmlformats-officedocument.spreadsheetml.worksheet+xml"/>
  <Override PartName="/xl/worksheets/sheet1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15.xml" ContentType="application/vnd.openxmlformats-officedocument.spreadsheetml.worksheet+xml"/>
  <Override PartName="/xl/worksheets/sheet8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háng 1" sheetId="1" state="visible" r:id="rId3"/>
    <sheet name="Tháng 2" sheetId="2" state="visible" r:id="rId4"/>
    <sheet name="Tháng 3" sheetId="3" state="visible" r:id="rId5"/>
    <sheet name="Tháng 4" sheetId="4" state="visible" r:id="rId6"/>
    <sheet name="Tháng 5" sheetId="5" state="visible" r:id="rId7"/>
    <sheet name="Tháng 6" sheetId="6" state="visible" r:id="rId8"/>
    <sheet name="Tháng 7" sheetId="7" state="visible" r:id="rId9"/>
    <sheet name="Tháng 8" sheetId="8" state="visible" r:id="rId10"/>
    <sheet name="Tháng 9" sheetId="9" state="visible" r:id="rId11"/>
    <sheet name="Tháng 10" sheetId="10" state="visible" r:id="rId12"/>
    <sheet name="Tháng 11" sheetId="11" state="visible" r:id="rId13"/>
    <sheet name="GV CTY" sheetId="12" state="visible" r:id="rId14"/>
    <sheet name="ĐC TH" sheetId="13" state="visible" r:id="rId15"/>
    <sheet name="CHỈN LẦN 3" sheetId="14" state="visible" r:id="rId16"/>
    <sheet name="ĐC theo Lý" sheetId="15" state="visible" r:id="rId17"/>
    <sheet name="ĐC Chính" sheetId="16" state="visible" r:id="rId18"/>
    <sheet name="T 12 ĐC lan 2" sheetId="17" state="visible" r:id="rId19"/>
    <sheet name="T12 đc" sheetId="18" state="visible" r:id="rId20"/>
    <sheet name="Tháng 12" sheetId="19" state="visible" r:id="rId21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<sst xmlns="http://schemas.openxmlformats.org/spreadsheetml/2006/main" count="10194" uniqueCount="960">
  <si>
    <t xml:space="preserve">Tồn Đầu Kỳ</t>
  </si>
  <si>
    <t xml:space="preserve">Nhập</t>
  </si>
  <si>
    <t xml:space="preserve">Xuất</t>
  </si>
  <si>
    <t xml:space="preserve">Tồn cuối kỳ</t>
  </si>
  <si>
    <t xml:space="preserve">Tên Hàng</t>
  </si>
  <si>
    <t xml:space="preserve">Tháng</t>
  </si>
  <si>
    <t xml:space="preserve">Số Lượng </t>
  </si>
  <si>
    <t xml:space="preserve">T,Tiền</t>
  </si>
  <si>
    <t xml:space="preserve">Số Lượng</t>
  </si>
  <si>
    <t xml:space="preserve">T.Tiền</t>
  </si>
  <si>
    <t xml:space="preserve">T. Tiền</t>
  </si>
  <si>
    <t xml:space="preserve"> Cá viên Funny 500g</t>
  </si>
  <si>
    <t xml:space="preserve">AL Anlene Concentrate Choco 4x125ml</t>
  </si>
  <si>
    <t xml:space="preserve">AL Anlene Concentrate Vanilla 4x125ml</t>
  </si>
  <si>
    <t xml:space="preserve">AL Anlene Gold Vanilla Movepro 1Kg</t>
  </si>
  <si>
    <t xml:space="preserve">AL Anlene Gold Vanilla Movepro 400g</t>
  </si>
  <si>
    <t xml:space="preserve">AL Anlene Gold Vanilla Movepro 440g</t>
  </si>
  <si>
    <t xml:space="preserve">AL Anlene Gold Vanilla Movepro 800g</t>
  </si>
  <si>
    <t xml:space="preserve">AL Anlene Movepro UHT 180ml - Có đường</t>
  </si>
  <si>
    <t xml:space="preserve">AL Anlene Movepro UHT 180ml - Không béo</t>
  </si>
  <si>
    <t xml:space="preserve">AL Anlene Vanilla Movepro 440g</t>
  </si>
  <si>
    <t xml:space="preserve">AL Anlene Vanilla Movepro 800g</t>
  </si>
  <si>
    <t xml:space="preserve">AL Anlene Vanilla Movepro Sachet 20gx3</t>
  </si>
  <si>
    <t xml:space="preserve">AL Anmum Concentrate Choco 4x125ml</t>
  </si>
  <si>
    <t xml:space="preserve">AL Anmum Concentrate Vanilla 4x125ml</t>
  </si>
  <si>
    <t xml:space="preserve">Bánh bao chay 300gr</t>
  </si>
  <si>
    <t xml:space="preserve">Bánh bao nhân thịt 400gr</t>
  </si>
  <si>
    <t xml:space="preserve">Bánh bao nhân xá xíu 280g</t>
  </si>
  <si>
    <t xml:space="preserve">Bánh kem xốp phô mai – Richeese Nabati Cheese Cream Wafer 6g</t>
  </si>
  <si>
    <t xml:space="preserve">Bánh Kem Xốp Phủ Sô Cô La - Nabati Richoco Time Break 48g</t>
  </si>
  <si>
    <t xml:space="preserve">Bánh kem xốp sữa chua hương phúc bồn tử- Nabati Richberry 110g</t>
  </si>
  <si>
    <t xml:space="preserve">Bánh ống lớn nhân phô mai - Nabati Cheese Wafer Stick- Big rolls cheese 14g</t>
  </si>
  <si>
    <t xml:space="preserve">Bánh Quy Nhân Kem Hương Vani - Nabati Cookies &amp; Cream - Sandwich Cookies with Vanilla Flavour Cream 16g</t>
  </si>
  <si>
    <t xml:space="preserve">Bánh quy nhân kem hương Vani - Nabati Cookies &amp; Cream 112g</t>
  </si>
  <si>
    <t xml:space="preserve">Bánh Quy Nhân Phô Mai - Nabati Richeese Cookies 112g</t>
  </si>
  <si>
    <t xml:space="preserve">Bánh sôcôla (dạng xốp) – Richoco Nabati Chocolate Cream Wafer 6g</t>
  </si>
  <si>
    <t xml:space="preserve">Bánh xếp kiểu nhật mini 360g</t>
  </si>
  <si>
    <t xml:space="preserve">BEL Phô mai CBC 16M</t>
  </si>
  <si>
    <t xml:space="preserve">BEL Phô mai CBC 8M</t>
  </si>
  <si>
    <t xml:space="preserve">BEL Pho mai Cube vị sữa 78g</t>
  </si>
  <si>
    <t xml:space="preserve">BEL Phô mai vuông LeCube Tổ yến 78g</t>
  </si>
  <si>
    <t xml:space="preserve">BEL Phomai Cube Country (truyền thống ) 78g</t>
  </si>
  <si>
    <t xml:space="preserve">BEL PM Lát CBC Burger 200gx32</t>
  </si>
  <si>
    <t xml:space="preserve">BEL PM Vuông  LeCube 9C/ 47G (12/LỐ )</t>
  </si>
  <si>
    <t xml:space="preserve">BEL PM vuông Belcube vị ngọt Dâu 78g</t>
  </si>
  <si>
    <t xml:space="preserve">BEL PM vuông Belcube vị ngọt Socola 78g</t>
  </si>
  <si>
    <t xml:space="preserve">BEL PM vuông Belcube vị ngọt Vani 78g</t>
  </si>
  <si>
    <t xml:space="preserve">Bột canh nấm bào ngư 180g</t>
  </si>
  <si>
    <t xml:space="preserve">Cá Saba xốt Siracha 185g</t>
  </si>
  <si>
    <t xml:space="preserve">CLM  Gia vị kho cá 50g</t>
  </si>
  <si>
    <t xml:space="preserve">CLM Bột canh 180g</t>
  </si>
  <si>
    <t xml:space="preserve">CLM Bột canh nấm hương 180g</t>
  </si>
  <si>
    <t xml:space="preserve">CLM Cá Ngừ ngâm dầu 185g</t>
  </si>
  <si>
    <t xml:space="preserve">CLM cá xốt cà KOS 155g</t>
  </si>
  <si>
    <t xml:space="preserve">CLM Dầu dấm trộn salad pet 270g</t>
  </si>
  <si>
    <t xml:space="preserve">CLM Dầu hào 2,25kg</t>
  </si>
  <si>
    <t xml:space="preserve">CLM Dầu hào chay pet 170g</t>
  </si>
  <si>
    <t xml:space="preserve">CLM Dầu hào chay pet 350g</t>
  </si>
  <si>
    <t xml:space="preserve">CLM Dầu hào pet 170g</t>
  </si>
  <si>
    <t xml:space="preserve">CLM Dầu hào pet 350gr</t>
  </si>
  <si>
    <t xml:space="preserve">CLM Dầu hào pet 820g</t>
  </si>
  <si>
    <t xml:space="preserve">CLM Gia vị kho cá gói 50g</t>
  </si>
  <si>
    <t xml:space="preserve">CLM Gia vị kho thịt 50g</t>
  </si>
  <si>
    <t xml:space="preserve">CLM Gia vị kho thịt gói 50g</t>
  </si>
  <si>
    <t xml:space="preserve">CLM Hộp quà Gia vị Tết 2024</t>
  </si>
  <si>
    <t xml:space="preserve">CLM Hộp quà Như Ý</t>
  </si>
  <si>
    <t xml:space="preserve">CLM Lẩu chua hải sản TT200g</t>
  </si>
  <si>
    <t xml:space="preserve">CLM Nước mắm cao đạm 150ml</t>
  </si>
  <si>
    <t xml:space="preserve">CLM Nước mắm cao đạm 500ml</t>
  </si>
  <si>
    <t xml:space="preserve">CLM Nước mắm cao đạm 500ml (Xuân)</t>
  </si>
  <si>
    <t xml:space="preserve">CLM Nước mắm cao đạm 750ml (Xuân)</t>
  </si>
  <si>
    <t xml:space="preserve">CLM Nước mắm chay tt 245ml</t>
  </si>
  <si>
    <t xml:space="preserve">CLM Nước Mắm Hương Việt 500ml hàng onpack chén</t>
  </si>
  <si>
    <t xml:space="preserve">CLM Nước Mắm Hương Việt pet 750ml Hàng onpack chén</t>
  </si>
  <si>
    <t xml:space="preserve">CLM Nước tương Hảo Vị 500ml</t>
  </si>
  <si>
    <t xml:space="preserve">CLM Nước tương Hảo Vị gói 7ml</t>
  </si>
  <si>
    <t xml:space="preserve">CLM Nước tương Hương Việt 4.9 lít(3 bình/T)</t>
  </si>
  <si>
    <t xml:space="preserve">CLM Nước tương đậu nành pet 150ml</t>
  </si>
  <si>
    <t xml:space="preserve">CLM Nước tương đậu nành pet 300ml</t>
  </si>
  <si>
    <t xml:space="preserve">CLM Nước tương đậu nành pet 700ml</t>
  </si>
  <si>
    <t xml:space="preserve">CLM Ớt khô sa tế hũ TT 100g</t>
  </si>
  <si>
    <t xml:space="preserve">CLM Ớt Sate hũ TT 150g</t>
  </si>
  <si>
    <t xml:space="preserve">CLM Sa tế chay pet 90gr</t>
  </si>
  <si>
    <t xml:space="preserve">CLM Sa tế nướng ngũ vị pet 100g</t>
  </si>
  <si>
    <t xml:space="preserve">CLM Sa tế tôm 450g</t>
  </si>
  <si>
    <t xml:space="preserve">CLM Sa tế tôm hũ nhựa 100g</t>
  </si>
  <si>
    <t xml:space="preserve">CLM Sa tế tôm pet 90g</t>
  </si>
  <si>
    <t xml:space="preserve">CLM Sauce ướp thịt nướng 200g</t>
  </si>
  <si>
    <t xml:space="preserve">CLM Thịt heo bằm 150g</t>
  </si>
  <si>
    <t xml:space="preserve">CLM Tương cà 830g</t>
  </si>
  <si>
    <t xml:space="preserve">CLM Tương cà chai pet 2.1Kg</t>
  </si>
  <si>
    <t xml:space="preserve">CLM Tương cà chai pet 270g</t>
  </si>
  <si>
    <t xml:space="preserve">CLM Tương cà gói 10g</t>
  </si>
  <si>
    <t xml:space="preserve">CLM Tương chua ngọt pet 2.1 kg</t>
  </si>
  <si>
    <t xml:space="preserve">CLM Tương chua ngọt pet 270g</t>
  </si>
  <si>
    <t xml:space="preserve">CLM Tương hột 250g</t>
  </si>
  <si>
    <t xml:space="preserve">CLM Tương ớt 5kg (3b/T)</t>
  </si>
  <si>
    <t xml:space="preserve">CLM Tương ớt gói 10g</t>
  </si>
  <si>
    <t xml:space="preserve">CLM Tương ớt nắp xuôi 250g</t>
  </si>
  <si>
    <t xml:space="preserve">CLM Tương ớt pet 130g</t>
  </si>
  <si>
    <t xml:space="preserve">CLM Tương ớt pet 2.1Kg</t>
  </si>
  <si>
    <t xml:space="preserve">CLM Tương ớt pet 270g</t>
  </si>
  <si>
    <t xml:space="preserve">CLM Tương ớt pet 830g</t>
  </si>
  <si>
    <t xml:space="preserve">CLM Tương ớt siêu cay 330g</t>
  </si>
  <si>
    <t xml:space="preserve">CLM Tương ớt tự nhiên 330g</t>
  </si>
  <si>
    <t xml:space="preserve">CLM Tương xí muội pet 2.1Kg</t>
  </si>
  <si>
    <t xml:space="preserve">CLM Tương xí muội pet 270g</t>
  </si>
  <si>
    <t xml:space="preserve">CLM Tương đen 230g</t>
  </si>
  <si>
    <t xml:space="preserve">CLM Tương đen phở 230g</t>
  </si>
  <si>
    <t xml:space="preserve">CLM Tương đen phở 520g</t>
  </si>
  <si>
    <t xml:space="preserve">CLM Xốt  ướp xá xíu TT 200G</t>
  </si>
  <si>
    <t xml:space="preserve">CLM Xốt bò kho gói 90g</t>
  </si>
  <si>
    <t xml:space="preserve">CLM Xốt bún bò gói 90g</t>
  </si>
  <si>
    <t xml:space="preserve">CLM Xốt cá chiên PET 280g</t>
  </si>
  <si>
    <t xml:space="preserve">CLM Xốt cà chua KetChup TT 330g</t>
  </si>
  <si>
    <t xml:space="preserve">CLM Xốt gà chiên nước mắm 90g</t>
  </si>
  <si>
    <t xml:space="preserve">CLM Xốt lẩu kim chi pet 280g</t>
  </si>
  <si>
    <t xml:space="preserve">CLM Xốt lẩu nấm pet 270g</t>
  </si>
  <si>
    <t xml:space="preserve">CLM Xốt Lẩu Thái pet 890g</t>
  </si>
  <si>
    <t xml:space="preserve">CLM Xốt mì Ý bò bằm 140g</t>
  </si>
  <si>
    <t xml:space="preserve">CLM Xốt mì Ý cà chua 140g</t>
  </si>
  <si>
    <t xml:space="preserve">CLM Xốt rang me pet 280g</t>
  </si>
  <si>
    <t xml:space="preserve">CLM Xốt sườn xào chua ngọt 90g</t>
  </si>
  <si>
    <t xml:space="preserve">CLM Xốt ướp thịt HQ 190g vị truyền thống</t>
  </si>
  <si>
    <t xml:space="preserve">CLM Xốt ướp thịt HQ vị cay 190g</t>
  </si>
  <si>
    <t xml:space="preserve">CLM Xốt ướp thịt nướng 600g</t>
  </si>
  <si>
    <t xml:space="preserve">CLM Xốt ướp thịt nướng gói 70g</t>
  </si>
  <si>
    <t xml:space="preserve">CLM Xốt ướp xá xíu 70g</t>
  </si>
  <si>
    <t xml:space="preserve">CLM Xúc xích heo Tini 35g (5 cây/gói)</t>
  </si>
  <si>
    <t xml:space="preserve">CLM ĐL Bánh xếp tôm thịt 300gr</t>
  </si>
  <si>
    <t xml:space="preserve">CLM ĐL Chả giò rế thập cẩm 500gr</t>
  </si>
  <si>
    <t xml:space="preserve">CLM ĐL Chả giò rế tôm cua 500gr</t>
  </si>
  <si>
    <t xml:space="preserve">CLM ĐL Chả giò tôm thịt 500gr/gói</t>
  </si>
  <si>
    <t xml:space="preserve">CLM ĐL Chả giò xốp chay 500gr</t>
  </si>
  <si>
    <t xml:space="preserve">CLM ĐL Há cảo 300gr/gói</t>
  </si>
  <si>
    <t xml:space="preserve">Lạp xưởng MQL</t>
  </si>
  <si>
    <t xml:space="preserve">Lẩu Thái 280g</t>
  </si>
  <si>
    <t xml:space="preserve">Mì Súp Phô Mai Cay Cấp Độ 1 - Nabati Spicy Cheese Ramen Noodles Level 1 67g</t>
  </si>
  <si>
    <t xml:space="preserve">Mì Trộn Phô Mai Cay Cấp Độ 0 - Nabati Cheese Fried Noodles Level 0 74g</t>
  </si>
  <si>
    <t xml:space="preserve">NBT Bánh kem xốp sữa chua hương phúc bồn tử 130g</t>
  </si>
  <si>
    <t xml:space="preserve">NBT Bánh KX Richoco Nabati Chocolate Cream Wafer 110g</t>
  </si>
  <si>
    <t xml:space="preserve">NBT Bánh KXPM Richeese Nabati Cheese Cream Wafer 110g</t>
  </si>
  <si>
    <t xml:space="preserve">NBT Bánh KXPM Richeese Nabati Cheese Cream Wafer 110g Tết</t>
  </si>
  <si>
    <t xml:space="preserve">NBT Bánh KXPM Richeese Nabati Cheese Wafer 120g</t>
  </si>
  <si>
    <t xml:space="preserve">NBT Bánh KXPM Richeese Nabati Cheese Wafer 15g</t>
  </si>
  <si>
    <t xml:space="preserve">NBT Bánh KXPM Richeese Nabati Cheese Wafer 16g</t>
  </si>
  <si>
    <t xml:space="preserve">NBT Bánh KXPM Richeese Nabati Cheese Wafer 17g</t>
  </si>
  <si>
    <t xml:space="preserve">NBT Bánh KXPM Richeese Nabati Cheese Wafer 50g</t>
  </si>
  <si>
    <t xml:space="preserve">NBT Bánh KXPM Richeese Nabati Cheese Wafer 7.5g</t>
  </si>
  <si>
    <t xml:space="preserve">NBT Bánh KXPM Richoco Nabati Chocolate Wafer 17g</t>
  </si>
  <si>
    <t xml:space="preserve">NBT Bánh Nabati Gaito Cheese Sandwich 32g</t>
  </si>
  <si>
    <t xml:space="preserve">NBT Bánh Nabati Kem xốp sữa chua hương phúc bồn tử 20g</t>
  </si>
  <si>
    <t xml:space="preserve">NBT Bánh Nabati Sandwich Green Tea Gream Wafer 40g</t>
  </si>
  <si>
    <t xml:space="preserve">NBT Bánh NBT Gaito Cat Tongue Sandwich Richoco 260g</t>
  </si>
  <si>
    <t xml:space="preserve">NBT Bánh Quế Nhân Kem - Nabati Cookies and Cream Long Stick 105</t>
  </si>
  <si>
    <t xml:space="preserve">NBT Bánh Quế nhân kem- Cookies &amp; Cream Long Stik 130g</t>
  </si>
  <si>
    <t xml:space="preserve">NBT Bánh Quế Nhân Phô Mai - Nabati Richeese Long Stick 105g</t>
  </si>
  <si>
    <t xml:space="preserve">NBT Bánh Quế Nhân Sô Cô La - Nabati Richoco Long Stick 105g</t>
  </si>
  <si>
    <t xml:space="preserve">NBT Bánh quế sô co la- Nabati Richoco bánh quế 130g</t>
  </si>
  <si>
    <t xml:space="preserve">NBT Bánh quy giòn PM- Cheese Crackers 10g(24PCSX10g)</t>
  </si>
  <si>
    <t xml:space="preserve">NBT Bánh quy giòn SCL- Chocolate Crackers 10g(24PCSX10g)</t>
  </si>
  <si>
    <t xml:space="preserve">NBT Bánh quy nhân kem sô co la- Nabati Richoco Cookies 112g.</t>
  </si>
  <si>
    <t xml:space="preserve">NBT Bánh Richeese Ahh Triple Cheese 15g</t>
  </si>
  <si>
    <t xml:space="preserve">NBT Bánh snack phủ phô mai - Nabati Richeese Ahh Cheese cream coated snack 9g</t>
  </si>
  <si>
    <t xml:space="preserve">NBT Bánh snack vị bắp rang- Nabati SiiP Bite- Roasted Corn Flavour Snack 40g</t>
  </si>
  <si>
    <t xml:space="preserve">NBT Bánh Snack vị phô mai-Nabati Richeese SiiP Bite- Cheese Flavour Snack 40g</t>
  </si>
  <si>
    <t xml:space="preserve">NBT Bánh Snack vị sô cô la -Nabati Richoco SiiP Bite- Chocolate Flavour Snack 40g</t>
  </si>
  <si>
    <t xml:space="preserve">NBT Bánh Socola Richoco Nabati Chocolate Wafer 120g</t>
  </si>
  <si>
    <t xml:space="preserve">NBT Bánh Socola Richoco Nabati Chocolate Wafer 15g</t>
  </si>
  <si>
    <t xml:space="preserve">NBT Bánh Socola Richoco Nabati Chocolate Wafer 16g</t>
  </si>
  <si>
    <t xml:space="preserve">NBT Bánh Socola Richoco Nabati Chocolate Wafer 50g</t>
  </si>
  <si>
    <t xml:space="preserve">NBT Bánh xốp nhân kem- nabati Cookies &amp; Cream Wafer 50g.</t>
  </si>
  <si>
    <t xml:space="preserve">NBT Bánh xốp phủ Sô Cô La - Nabati Richoco Coated Wafer - Chocolate Coated Wafer 14g</t>
  </si>
  <si>
    <t xml:space="preserve">NBT Bánh xốp phủ Socola Dừa - Nabati Coconut Chocolate Wafer 14g</t>
  </si>
  <si>
    <t xml:space="preserve">NBT PM Richeese Nabati Cheese Black Wafer 50g</t>
  </si>
  <si>
    <t xml:space="preserve">Ngũ cốc 2 trong 1 - Simba Sereal 2 in 1 24gr</t>
  </si>
  <si>
    <t xml:space="preserve">Ngũ cốc sô cô la - Simba Cereal with Chocolate Flavor (Choco Chips) 30gr</t>
  </si>
  <si>
    <t xml:space="preserve">Nồi Chưng Điện Cách Thủy</t>
  </si>
  <si>
    <t xml:space="preserve">Nước mắm Cholimex 30 độ đạm 500ml</t>
  </si>
  <si>
    <t xml:space="preserve">Nước tương thanh vị 500ml</t>
  </si>
  <si>
    <t xml:space="preserve">PM CON BÒ CƯỜI 24M 336GX24 HRC6 VN</t>
  </si>
  <si>
    <t xml:space="preserve">PM vuông Belcube vị sữa 24C 125Gx15</t>
  </si>
  <si>
    <t xml:space="preserve">SN Nước Sanna 1500ml</t>
  </si>
  <si>
    <t xml:space="preserve">SN Nước Sanna 330ml</t>
  </si>
  <si>
    <t xml:space="preserve">SN Nước Sanna 500ml</t>
  </si>
  <si>
    <t xml:space="preserve">SN Nước Yến Sannest  Hộp 6 Lọ K</t>
  </si>
  <si>
    <t xml:space="preserve">SN Nước Yến Sannest  Hộp 6 Lon T</t>
  </si>
  <si>
    <t xml:space="preserve">SN Nước Yến Sannest  Lọ Nhân Sâm</t>
  </si>
  <si>
    <t xml:space="preserve">SN Nước Yến Sannest Hộp 6 Lọ T</t>
  </si>
  <si>
    <t xml:space="preserve">SN Nước Yến Sannest Hộp 6 Lon K</t>
  </si>
  <si>
    <t xml:space="preserve">SN Nước Yến Sannest Lọ K</t>
  </si>
  <si>
    <t xml:space="preserve">SN Nước Yến Sannest Lọ T</t>
  </si>
  <si>
    <t xml:space="preserve">SN Nước Yến Sannest Lon K</t>
  </si>
  <si>
    <t xml:space="preserve">SN Nước Yến Sannest Lon K thùng 30 lon</t>
  </si>
  <si>
    <t xml:space="preserve">SN Nước Yến Sannest Lon T</t>
  </si>
  <si>
    <t xml:space="preserve">SN Nước yến Sannest Lon T (30lon/Thùng)</t>
  </si>
  <si>
    <t xml:space="preserve">SN Nước Yến Sào Sanest Trẻ Em hộp 6 lọ</t>
  </si>
  <si>
    <t xml:space="preserve">SN Nước Yến Sào Sanest Trẻ Em lon x190ml </t>
  </si>
  <si>
    <t xml:space="preserve">SN Yến Sanest không đường người cao tuổi hộp 1 lọ</t>
  </si>
  <si>
    <t xml:space="preserve">Tương chua ngọt pet 830 g</t>
  </si>
  <si>
    <t xml:space="preserve">Tương ớt Phở 230gr</t>
  </si>
  <si>
    <t xml:space="preserve">Tương đen phở 520g</t>
  </si>
  <si>
    <t xml:space="preserve">VS Bò 2  lát hộp 170g</t>
  </si>
  <si>
    <t xml:space="preserve">VS Bò 2 lát 3B.Mai 150g</t>
  </si>
  <si>
    <t xml:space="preserve">VS Bò Hầm 150g</t>
  </si>
  <si>
    <t xml:space="preserve">VS Bò Hầm 397g</t>
  </si>
  <si>
    <t xml:space="preserve">VS Cá Ngừ xốt dầu hộp 170g</t>
  </si>
  <si>
    <t xml:space="preserve">VS Cá xốt cà hộp 170g</t>
  </si>
  <si>
    <t xml:space="preserve">VS Cá xốt cà mai vàng hộp 150g</t>
  </si>
  <si>
    <t xml:space="preserve">VS Chả Giò ALN Hũ 250g</t>
  </si>
  <si>
    <t xml:space="preserve">VS Hạt Nêm Chuẩn Vị Thịt gói 200g 1/24g</t>
  </si>
  <si>
    <t xml:space="preserve">VS Heo 2 lát (Lon in) hộp 150g</t>
  </si>
  <si>
    <t xml:space="preserve">VS Heo 2 Lát 3 B.Mai 150g</t>
  </si>
  <si>
    <t xml:space="preserve">VS Heo 2 lát hộp 150g</t>
  </si>
  <si>
    <t xml:space="preserve">VS Heo hầm (Lon in ) hộp 150g</t>
  </si>
  <si>
    <t xml:space="preserve">VS Heo hầm 397g</t>
  </si>
  <si>
    <t xml:space="preserve">VS Heo hầm 3BM 150g</t>
  </si>
  <si>
    <t xml:space="preserve">VS Lạp Xưởng MQL Hộp 500gr</t>
  </si>
  <si>
    <t xml:space="preserve">VS Lạp Xưởng Tôm Gói 200g</t>
  </si>
  <si>
    <t xml:space="preserve">VS Lạp Xưởng Tôm Hộp 500g</t>
  </si>
  <si>
    <t xml:space="preserve">VS Mắm chưng trứng vịt muối 200g</t>
  </si>
  <si>
    <t xml:space="preserve">VS Patê Gan Heo 170g</t>
  </si>
  <si>
    <t xml:space="preserve">VS Patê Thịt Heo 170g</t>
  </si>
  <si>
    <t xml:space="preserve">VS Patê Thịt Heo 397g</t>
  </si>
  <si>
    <t xml:space="preserve">VS Sườn heo nấu  đậu 200g</t>
  </si>
  <si>
    <t xml:space="preserve">VS Sườn nấu đậu hộp 170g</t>
  </si>
  <si>
    <t xml:space="preserve">VS Sườn nấu đậu hộp 170g (Lon in)</t>
  </si>
  <si>
    <t xml:space="preserve">VS XX Tokbokki xốt chua ngọt_69g</t>
  </si>
  <si>
    <t xml:space="preserve">VS XXTT Bò 40g- cây 40gd</t>
  </si>
  <si>
    <t xml:space="preserve">VS XXTT Bò 70 - cây 70g</t>
  </si>
  <si>
    <t xml:space="preserve">VS XXTT Boom Boom 18g-Ca nhựa 900g</t>
  </si>
  <si>
    <t xml:space="preserve">VS XXTT Boom Boom 20g( Hũ 0.5 Kg)</t>
  </si>
  <si>
    <t xml:space="preserve">VS XXTT Boom Boom 20g( Hũ 1 Kg)</t>
  </si>
  <si>
    <t xml:space="preserve">VS XXTT Boom Boom 20g-gói 100g</t>
  </si>
  <si>
    <t xml:space="preserve">VS XXTT Boom Boom 23g</t>
  </si>
  <si>
    <t xml:space="preserve">VS XXTT Boom Boom 23g( Hũ 1,15 Kg)</t>
  </si>
  <si>
    <t xml:space="preserve">VS XXTT Boom Boom 35g (5+1)-gói 210g</t>
  </si>
  <si>
    <t xml:space="preserve">VS XXTT Boom Boom 38g</t>
  </si>
  <si>
    <t xml:space="preserve">VS XXTT Boom Boom 38g (5+1)-gói 228gr</t>
  </si>
  <si>
    <t xml:space="preserve">VS XXTT Boom Boom 38g-hũ 1.9kg</t>
  </si>
  <si>
    <t xml:space="preserve">VS XXTT Dinh dưỡng Bò 175g (DHA Bò 35g)</t>
  </si>
  <si>
    <t xml:space="preserve">VS XXTT Dinh dưỡng Golden 3</t>
  </si>
  <si>
    <t xml:space="preserve">VS XXTT Dzui Dzui Thùng 2.1Kg</t>
  </si>
  <si>
    <t xml:space="preserve">VS XXTT Heo 70 - cây 70g</t>
  </si>
  <si>
    <t xml:space="preserve">VS XXTT Heo cây 40g</t>
  </si>
  <si>
    <t xml:space="preserve">VS XXTT Heo- Bò hộp nhựa 1kg</t>
  </si>
  <si>
    <t xml:space="preserve">VS XXTT Lắc Kêu Vị Bơ Tái 56g</t>
  </si>
  <si>
    <t xml:space="preserve">VS XXTT Lắc Kêu Vị Phômai 56g</t>
  </si>
  <si>
    <t xml:space="preserve">VS XXTT trộn đều xốt BBQ_62g</t>
  </si>
  <si>
    <t xml:space="preserve">VS XXTT Trộn Đều Xốt Chanh Dây 62g</t>
  </si>
  <si>
    <t xml:space="preserve">VS XXTT Trộn Đều Xốt Tamarind 62g</t>
  </si>
  <si>
    <t xml:space="preserve">VS ĐL Ba rọi sốt tiêu đen gói 500g</t>
  </si>
  <si>
    <t xml:space="preserve">VS ĐL Ba rọi ướp gia vị gói 500g</t>
  </si>
  <si>
    <t xml:space="preserve">VS ĐL Ba Rọi Xốt Mật Ong gói 500g</t>
  </si>
  <si>
    <t xml:space="preserve">VS ĐL Bò viên 3 ngon gói 500g</t>
  </si>
  <si>
    <t xml:space="preserve">VS ĐL Bò viên gói 200g</t>
  </si>
  <si>
    <t xml:space="preserve">VS ĐL Cá viên 3 ngon gói 500g</t>
  </si>
  <si>
    <t xml:space="preserve">VS ĐL Cá Viên Funny gói 250g (1T=30G)</t>
  </si>
  <si>
    <t xml:space="preserve">VS ĐL Cá viên gói 200g</t>
  </si>
  <si>
    <t xml:space="preserve">VS ĐL Cá Viên ớt xiêm xanh gói 500g</t>
  </si>
  <si>
    <t xml:space="preserve">VS ĐL Chả giò chay gói 500g</t>
  </si>
  <si>
    <t xml:space="preserve">VS ĐL Chả Giò con tôm gói 250g</t>
  </si>
  <si>
    <t xml:space="preserve">VS ĐL Chả giò da xốp gói 400g</t>
  </si>
  <si>
    <t xml:space="preserve">VS ĐL Chả giò hải sản gói 500g</t>
  </si>
  <si>
    <t xml:space="preserve">VS ĐL Chả giò rế con tôm gói 300g</t>
  </si>
  <si>
    <t xml:space="preserve">VS ĐL Chả giò rế thịt gói 500g</t>
  </si>
  <si>
    <t xml:space="preserve">VS ĐL Chả Giò rế tôm cua gói 500g</t>
  </si>
  <si>
    <t xml:space="preserve">VS ĐL Chả giò tôm cua gói 500g</t>
  </si>
  <si>
    <t xml:space="preserve">VS ĐL Cốt lết ướp gia vị gói 500g</t>
  </si>
  <si>
    <t xml:space="preserve">VS ĐL Cốt lết xốt mật ong gói 500g</t>
  </si>
  <si>
    <t xml:space="preserve">VS ĐL Cốt lết xốt tiêu đen gói 500g</t>
  </si>
  <si>
    <t xml:space="preserve">VS ĐL Dồi sụn giòn gói 250g</t>
  </si>
  <si>
    <t xml:space="preserve">VS ĐL Dồi sụn giòn gói 500g</t>
  </si>
  <si>
    <t xml:space="preserve">VS ĐL Há Cảo gói 250g</t>
  </si>
  <si>
    <t xml:space="preserve">VS ĐL Há Cảo Thanh Long gói 300g</t>
  </si>
  <si>
    <t xml:space="preserve">VS ĐL Há Cảo Thịt gói 300g</t>
  </si>
  <si>
    <t xml:space="preserve">VS ĐL Há Cảo Tôm gói 300g</t>
  </si>
  <si>
    <t xml:space="preserve">VS ĐL Hoành thánh đặc biệt gói 200g</t>
  </si>
  <si>
    <t xml:space="preserve">VS ĐL Nem lụi- hộp 300g</t>
  </si>
  <si>
    <t xml:space="preserve">VS ĐL Sườn non ướp gia vị gói 500g</t>
  </si>
  <si>
    <t xml:space="preserve">VS ĐL Sườn Non Xốt Mật Ong gói 500g</t>
  </si>
  <si>
    <t xml:space="preserve">VS ĐL Tôm viên Funny gói 250g ( ĐL) </t>
  </si>
  <si>
    <t xml:space="preserve">VS ĐL Tôm viên Funny gói 500g ( ĐL)</t>
  </si>
  <si>
    <t xml:space="preserve">VS ĐL Xúc Xích Funny gói 500g</t>
  </si>
  <si>
    <t xml:space="preserve">VS ĐL Xúc Xích Happy gói 500g</t>
  </si>
  <si>
    <t xml:space="preserve">VS ĐL Xúc Xích Lucky gói 500g</t>
  </si>
  <si>
    <t xml:space="preserve">VS ĐL Xúc xích sụn giòn 500g</t>
  </si>
  <si>
    <t xml:space="preserve">VS ĐL Xúc xích sụn giòn- gói 250g ĐL</t>
  </si>
  <si>
    <t xml:space="preserve">Xốt tiêu đen TT 190g</t>
  </si>
  <si>
    <t xml:space="preserve">Xốt ướp thịt HQ vị cay 90g</t>
  </si>
  <si>
    <t xml:space="preserve">XXTT Bò 18g gói (T-3.6kg)</t>
  </si>
  <si>
    <t xml:space="preserve">XXTT Dinh dưỡng heo gói 175g</t>
  </si>
  <si>
    <t xml:space="preserve">XXTT Heo 18g gói (T-3.6KG)</t>
  </si>
  <si>
    <t xml:space="preserve">Tổng Cộng</t>
  </si>
  <si>
    <t xml:space="preserve">DANH SÁCH HÀNG HÓA </t>
  </si>
  <si>
    <t xml:space="preserve">masp</t>
  </si>
  <si>
    <t xml:space="preserve">tensp</t>
  </si>
  <si>
    <t xml:space="preserve">dvt</t>
  </si>
  <si>
    <t xml:space="preserve">SỐ LƯỢNG</t>
  </si>
  <si>
    <t xml:space="preserve">Gía vốn </t>
  </si>
  <si>
    <t xml:space="preserve">Trị giá kho</t>
  </si>
  <si>
    <t xml:space="preserve"> VB2L(IH1</t>
  </si>
  <si>
    <t xml:space="preserve">VS Bò 2 lát (Lon in) hộp 170g</t>
  </si>
  <si>
    <t xml:space="preserve">Hộp</t>
  </si>
  <si>
    <t xml:space="preserve">AACC4</t>
  </si>
  <si>
    <t xml:space="preserve">Lốc</t>
  </si>
  <si>
    <t xml:space="preserve">AACCC4</t>
  </si>
  <si>
    <t xml:space="preserve">AACV4</t>
  </si>
  <si>
    <t xml:space="preserve">AACV4S</t>
  </si>
  <si>
    <t xml:space="preserve">AAGVM1</t>
  </si>
  <si>
    <t xml:space="preserve">AAGVM4</t>
  </si>
  <si>
    <t xml:space="preserve">Lon</t>
  </si>
  <si>
    <t xml:space="preserve">AAGVM4G</t>
  </si>
  <si>
    <t xml:space="preserve">AAGVM8</t>
  </si>
  <si>
    <t xml:space="preserve">AAMC4</t>
  </si>
  <si>
    <t xml:space="preserve">AL Anmum Materna Choco 400g</t>
  </si>
  <si>
    <t xml:space="preserve">AAMC8</t>
  </si>
  <si>
    <t xml:space="preserve">AL Anmum Materna Choco 800g</t>
  </si>
  <si>
    <t xml:space="preserve">AAMU1-CĐ</t>
  </si>
  <si>
    <t xml:space="preserve">AAMU1-KB</t>
  </si>
  <si>
    <t xml:space="preserve">AAMV4</t>
  </si>
  <si>
    <t xml:space="preserve">AL Anmum Materna Vanilla 400g</t>
  </si>
  <si>
    <t xml:space="preserve">AAVM4</t>
  </si>
  <si>
    <t xml:space="preserve">AAVM8</t>
  </si>
  <si>
    <t xml:space="preserve">AAVMS2</t>
  </si>
  <si>
    <t xml:space="preserve">BBQNPC3</t>
  </si>
  <si>
    <t xml:space="preserve">BEL Bánh que nhúng PM C.DIPPERS 30gx48</t>
  </si>
  <si>
    <t xml:space="preserve">Gói</t>
  </si>
  <si>
    <t xml:space="preserve">BPBCC13</t>
  </si>
  <si>
    <t xml:space="preserve">BEL Phomai Bánh Chấm C.Dippers1D 35g</t>
  </si>
  <si>
    <t xml:space="preserve">BPKSK1X6</t>
  </si>
  <si>
    <t xml:space="preserve">BEL PM kem sữa Kiri 108G x 60</t>
  </si>
  <si>
    <t xml:space="preserve">BPMBC1M</t>
  </si>
  <si>
    <t xml:space="preserve">BEL Phô mai CBC 16M </t>
  </si>
  <si>
    <t xml:space="preserve">BPMBC4M</t>
  </si>
  <si>
    <t xml:space="preserve">BEL Phô mai CBC 4M </t>
  </si>
  <si>
    <t xml:space="preserve">BPMBC8M</t>
  </si>
  <si>
    <t xml:space="preserve">BPMC12T</t>
  </si>
  <si>
    <t xml:space="preserve">BEL Phô mai CBC 16M 240g Tết</t>
  </si>
  <si>
    <t xml:space="preserve">BPMC2</t>
  </si>
  <si>
    <t xml:space="preserve">BEL Phô mai CBC 24M </t>
  </si>
  <si>
    <t xml:space="preserve">BPMC2H</t>
  </si>
  <si>
    <t xml:space="preserve">BEL pho mai CBC 24m HRC6</t>
  </si>
  <si>
    <t xml:space="preserve">BPMC81T</t>
  </si>
  <si>
    <t xml:space="preserve">BEL Phô mai CBC 8M 120g Tết</t>
  </si>
  <si>
    <t xml:space="preserve">BPMCVS1</t>
  </si>
  <si>
    <t xml:space="preserve">BEL PM vuông Belcube vị sữa 125g</t>
  </si>
  <si>
    <t xml:space="preserve">BPMCVS7</t>
  </si>
  <si>
    <t xml:space="preserve">BEL PM vuông Belcube vị sữa 78g</t>
  </si>
  <si>
    <t xml:space="preserve">BPMLB2</t>
  </si>
  <si>
    <t xml:space="preserve">BPMLSC2</t>
  </si>
  <si>
    <t xml:space="preserve">BEL PM Lát Sandwich cheddar 200g</t>
  </si>
  <si>
    <t xml:space="preserve">BPTTVH7</t>
  </si>
  <si>
    <t xml:space="preserve">BXPMC1</t>
  </si>
  <si>
    <t xml:space="preserve">BEL Xốt PM CBC 15Gx10x12</t>
  </si>
  <si>
    <t xml:space="preserve">Dây</t>
  </si>
  <si>
    <t xml:space="preserve">CBBNXX2</t>
  </si>
  <si>
    <t xml:space="preserve">CLM ĐL Bánh bao nhân xá xíu 280g</t>
  </si>
  <si>
    <t xml:space="preserve">CBC1</t>
  </si>
  <si>
    <t xml:space="preserve">CBCNBN1</t>
  </si>
  <si>
    <t xml:space="preserve">CLM Bột canh nấm bào ngư 180g</t>
  </si>
  <si>
    <t xml:space="preserve">CBCNH1</t>
  </si>
  <si>
    <t xml:space="preserve">CCNND1</t>
  </si>
  <si>
    <t xml:space="preserve">CCNXC1</t>
  </si>
  <si>
    <t xml:space="preserve">CLM Cá ngừ xốt cay 185g</t>
  </si>
  <si>
    <t xml:space="preserve">CCPGNHHT</t>
  </si>
  <si>
    <t xml:space="preserve">CS Chí Phí Giao Nhận Hàng Hóa T11/2023</t>
  </si>
  <si>
    <t xml:space="preserve">Tiền</t>
  </si>
  <si>
    <t xml:space="preserve">CCPGNHHT1.24</t>
  </si>
  <si>
    <t xml:space="preserve">CS Chí Phí Giao Nhận Hàng Hóa T1/2024</t>
  </si>
  <si>
    <t xml:space="preserve">CCPGNHHT12</t>
  </si>
  <si>
    <t xml:space="preserve">CS Chí Phí Giao Nhận Hàng Hóa T12/2023</t>
  </si>
  <si>
    <t xml:space="preserve">CCSKT1</t>
  </si>
  <si>
    <t xml:space="preserve">CLM Cá Saba kho tiêu 185gr</t>
  </si>
  <si>
    <t xml:space="preserve">CCSXC1</t>
  </si>
  <si>
    <t xml:space="preserve">CLM Cá Saba xốt cà 185gr</t>
  </si>
  <si>
    <t xml:space="preserve">CCSXS1</t>
  </si>
  <si>
    <t xml:space="preserve">CLM cá Saba xốt Siracha 185g</t>
  </si>
  <si>
    <t xml:space="preserve">CCXCK1</t>
  </si>
  <si>
    <t xml:space="preserve">CĐBBC3</t>
  </si>
  <si>
    <t xml:space="preserve">CLM ĐL Bánh bao chay 300gr</t>
  </si>
  <si>
    <t xml:space="preserve">CĐBBNT4</t>
  </si>
  <si>
    <t xml:space="preserve">CLM ĐL Bánh bao nhân thịt 400gr</t>
  </si>
  <si>
    <t xml:space="preserve">CĐBXKNM3</t>
  </si>
  <si>
    <t xml:space="preserve">CLM ĐL Bánh xếp kiểu nhật mini 360g</t>
  </si>
  <si>
    <t xml:space="preserve">CĐBXTT3</t>
  </si>
  <si>
    <t xml:space="preserve">CĐCGRTC5</t>
  </si>
  <si>
    <t xml:space="preserve">CĐCGRTCUA5</t>
  </si>
  <si>
    <t xml:space="preserve">CĐCGTT5</t>
  </si>
  <si>
    <t xml:space="preserve">CĐCGX5</t>
  </si>
  <si>
    <t xml:space="preserve">CLM ĐL Chả giò xốp 500gr/gói</t>
  </si>
  <si>
    <t xml:space="preserve">CĐCGXC5</t>
  </si>
  <si>
    <t xml:space="preserve">CDDTSP2D</t>
  </si>
  <si>
    <t xml:space="preserve">Chai</t>
  </si>
  <si>
    <t xml:space="preserve">CDH2</t>
  </si>
  <si>
    <t xml:space="preserve">Bình</t>
  </si>
  <si>
    <t xml:space="preserve">CĐHC3</t>
  </si>
  <si>
    <t xml:space="preserve">CĐHCHM3</t>
  </si>
  <si>
    <t xml:space="preserve">CLM ĐL Há cảo hai mùa 300gr/gói</t>
  </si>
  <si>
    <t xml:space="preserve">CDHCP1</t>
  </si>
  <si>
    <t xml:space="preserve">CDHCP3</t>
  </si>
  <si>
    <t xml:space="preserve">CDHCP8</t>
  </si>
  <si>
    <t xml:space="preserve">CLM Dầu hào chay pet 820g</t>
  </si>
  <si>
    <t xml:space="preserve">CDHP1</t>
  </si>
  <si>
    <t xml:space="preserve">CDHP3</t>
  </si>
  <si>
    <t xml:space="preserve">CDHP8</t>
  </si>
  <si>
    <t xml:space="preserve">CĐHT3</t>
  </si>
  <si>
    <t xml:space="preserve">CLM ĐL Hoành thánh 300gr/gói</t>
  </si>
  <si>
    <t xml:space="preserve">CGVKC5</t>
  </si>
  <si>
    <t xml:space="preserve">CGVKCG5C</t>
  </si>
  <si>
    <t xml:space="preserve">CLM  (ko làm toa) Gia vị kho cá gói 50g</t>
  </si>
  <si>
    <t xml:space="preserve">CGVKT5</t>
  </si>
  <si>
    <t xml:space="preserve">CH2L1</t>
  </si>
  <si>
    <t xml:space="preserve">CLM Heo 2 lát 160g</t>
  </si>
  <si>
    <t xml:space="preserve">CHQGVT2</t>
  </si>
  <si>
    <t xml:space="preserve">CHQNÝ</t>
  </si>
  <si>
    <t xml:space="preserve">CLCHST</t>
  </si>
  <si>
    <t xml:space="preserve">CLT2</t>
  </si>
  <si>
    <t xml:space="preserve">CLM Lẩu thái 280g</t>
  </si>
  <si>
    <t xml:space="preserve">CN3ĐĐ7(1</t>
  </si>
  <si>
    <t xml:space="preserve">CLM nmắm 30 độ đạm 750ml (12c/th)</t>
  </si>
  <si>
    <t xml:space="preserve">CN4ĐĐ7(1</t>
  </si>
  <si>
    <t xml:space="preserve">CLM nmắm 40 độ đạm 750ml (12c/th)</t>
  </si>
  <si>
    <t xml:space="preserve">CN4ĐĐ7(1KM</t>
  </si>
  <si>
    <t xml:space="preserve">CLM (KM) nmắm 40 độ đạm 750ml (12c/th)</t>
  </si>
  <si>
    <t xml:space="preserve">CNM3ĐĐ5(</t>
  </si>
  <si>
    <t xml:space="preserve">CLM nmắm 30 độ đạm 500ml (12c/th)</t>
  </si>
  <si>
    <t xml:space="preserve">CNM4ĐĐ5(</t>
  </si>
  <si>
    <t xml:space="preserve">CLM nmắm 40 độ đạm 500ml (12c/th)</t>
  </si>
  <si>
    <t xml:space="preserve">CNMCĐ1</t>
  </si>
  <si>
    <t xml:space="preserve">CNMCĐ5</t>
  </si>
  <si>
    <t xml:space="preserve">CNMCĐ5(</t>
  </si>
  <si>
    <t xml:space="preserve">CNMCĐ7(</t>
  </si>
  <si>
    <t xml:space="preserve">CNMCT2</t>
  </si>
  <si>
    <t xml:space="preserve">CNMHV4L</t>
  </si>
  <si>
    <t xml:space="preserve">CLM Nước mắm Hương Việt 4.9 Lít</t>
  </si>
  <si>
    <t xml:space="preserve">CNMHV5</t>
  </si>
  <si>
    <t xml:space="preserve">CNMHV50</t>
  </si>
  <si>
    <t xml:space="preserve">CLM Nước Mắm Hương Việt 500ml</t>
  </si>
  <si>
    <t xml:space="preserve">CNMHVP7</t>
  </si>
  <si>
    <t xml:space="preserve">CNTĐNP1</t>
  </si>
  <si>
    <t xml:space="preserve">CNTĐNP3</t>
  </si>
  <si>
    <t xml:space="preserve">CNTĐNP7</t>
  </si>
  <si>
    <t xml:space="preserve">CNTHV4LB</t>
  </si>
  <si>
    <t xml:space="preserve">CNTHV5</t>
  </si>
  <si>
    <t xml:space="preserve">CLM Nước tương Hảo Vị 500ml hàng onpack chén</t>
  </si>
  <si>
    <t xml:space="preserve">CNTHVG7</t>
  </si>
  <si>
    <t xml:space="preserve">CNTTV5TV</t>
  </si>
  <si>
    <t xml:space="preserve">CLM Nước tương thanh vị 500ml</t>
  </si>
  <si>
    <t xml:space="preserve">CỚKSTHT1</t>
  </si>
  <si>
    <t xml:space="preserve">CỚSHT15</t>
  </si>
  <si>
    <t xml:space="preserve">Hũ</t>
  </si>
  <si>
    <t xml:space="preserve">CPGNHHT1.24</t>
  </si>
  <si>
    <t xml:space="preserve">Chí Phí Giao Nhận Hàng Hóa T1/2024</t>
  </si>
  <si>
    <t xml:space="preserve">CPGNHHT12</t>
  </si>
  <si>
    <t xml:space="preserve">Chí Phí Giao Nhận Hàng Hóa T12/2023</t>
  </si>
  <si>
    <t xml:space="preserve">CPHTTB</t>
  </si>
  <si>
    <t xml:space="preserve">Chi phí hỗ trợ trưng bày </t>
  </si>
  <si>
    <t xml:space="preserve">CT</t>
  </si>
  <si>
    <t xml:space="preserve">CSTCP9</t>
  </si>
  <si>
    <t xml:space="preserve">CSTNNVP1</t>
  </si>
  <si>
    <t xml:space="preserve">CSTT4</t>
  </si>
  <si>
    <t xml:space="preserve">CSTTHN1</t>
  </si>
  <si>
    <t xml:space="preserve">CSTTP9</t>
  </si>
  <si>
    <t xml:space="preserve">CSƯTN2</t>
  </si>
  <si>
    <t xml:space="preserve">CLM Xốt ướp thịt nướng 200g</t>
  </si>
  <si>
    <t xml:space="preserve">CSƯTN6</t>
  </si>
  <si>
    <t xml:space="preserve">CSƯXXTT</t>
  </si>
  <si>
    <t xml:space="preserve">CTC8</t>
  </si>
  <si>
    <t xml:space="preserve">CTCCP2</t>
  </si>
  <si>
    <t xml:space="preserve">CTCCP270</t>
  </si>
  <si>
    <t xml:space="preserve">CTCG1</t>
  </si>
  <si>
    <t xml:space="preserve">CTCNP2</t>
  </si>
  <si>
    <t xml:space="preserve">CTCNP2K</t>
  </si>
  <si>
    <t xml:space="preserve">CTCNP8</t>
  </si>
  <si>
    <t xml:space="preserve">CLM Tương chua ngọt pet 830g</t>
  </si>
  <si>
    <t xml:space="preserve">CTĐ2</t>
  </si>
  <si>
    <t xml:space="preserve">CTĐ2K(6</t>
  </si>
  <si>
    <t xml:space="preserve">CLM Tương đen 2.1 kg ( 6c/T)</t>
  </si>
  <si>
    <t xml:space="preserve">CTĐP2</t>
  </si>
  <si>
    <t xml:space="preserve">CTĐP2K</t>
  </si>
  <si>
    <t xml:space="preserve">CLM Tương đen phở 2.1 kg</t>
  </si>
  <si>
    <t xml:space="preserve">CTĐP5</t>
  </si>
  <si>
    <t xml:space="preserve">CLM Tương đen phở 520gr</t>
  </si>
  <si>
    <t xml:space="preserve">CTH2</t>
  </si>
  <si>
    <t xml:space="preserve">CTHB1</t>
  </si>
  <si>
    <t xml:space="preserve">CTHBXC1</t>
  </si>
  <si>
    <t xml:space="preserve">CLM Thịt heo bằm xốt cà 150g</t>
  </si>
  <si>
    <t xml:space="preserve">CTỚ5(</t>
  </si>
  <si>
    <t xml:space="preserve">CTỚCNP2</t>
  </si>
  <si>
    <t xml:space="preserve">CLM Tương ớt cay nồng pet 270g</t>
  </si>
  <si>
    <t xml:space="preserve">CTỚG10G</t>
  </si>
  <si>
    <t xml:space="preserve">CTỚNX2</t>
  </si>
  <si>
    <t xml:space="preserve">CTỚP1</t>
  </si>
  <si>
    <t xml:space="preserve">CTỚP2</t>
  </si>
  <si>
    <t xml:space="preserve">CTỚP23</t>
  </si>
  <si>
    <t xml:space="preserve">CLM Tương ớt Phở 230gr</t>
  </si>
  <si>
    <t xml:space="preserve">CTỚP270</t>
  </si>
  <si>
    <t xml:space="preserve">CTỚP8</t>
  </si>
  <si>
    <t xml:space="preserve">CTỚSC3</t>
  </si>
  <si>
    <t xml:space="preserve">CTỚTN3</t>
  </si>
  <si>
    <t xml:space="preserve">CTXMP2</t>
  </si>
  <si>
    <t xml:space="preserve">CTXMP270</t>
  </si>
  <si>
    <t xml:space="preserve">CXBBG9</t>
  </si>
  <si>
    <t xml:space="preserve">CXBKG9</t>
  </si>
  <si>
    <t xml:space="preserve">CXCCKT3</t>
  </si>
  <si>
    <t xml:space="preserve">CXCCP2</t>
  </si>
  <si>
    <t xml:space="preserve">CXGCNM9</t>
  </si>
  <si>
    <t xml:space="preserve">CXLKCP2</t>
  </si>
  <si>
    <t xml:space="preserve">CXLNP2</t>
  </si>
  <si>
    <t xml:space="preserve">CXLTP8</t>
  </si>
  <si>
    <t xml:space="preserve">CXMÝBB1</t>
  </si>
  <si>
    <t xml:space="preserve">CXMÝCC1</t>
  </si>
  <si>
    <t xml:space="preserve">CXRMP2ME</t>
  </si>
  <si>
    <t xml:space="preserve">CXSXCN9</t>
  </si>
  <si>
    <t xml:space="preserve">CXTĐT1</t>
  </si>
  <si>
    <t xml:space="preserve">CLM Xốt tiêu đen TT 190g</t>
  </si>
  <si>
    <t xml:space="preserve">CXƯTH1VTT</t>
  </si>
  <si>
    <t xml:space="preserve">CXƯTH9VTT</t>
  </si>
  <si>
    <t xml:space="preserve">CLM Xốt ướp thịt HQ 90g vị truyền thống</t>
  </si>
  <si>
    <t xml:space="preserve">CXƯTHVC1</t>
  </si>
  <si>
    <t xml:space="preserve">CXƯTHVC9</t>
  </si>
  <si>
    <t xml:space="preserve">CLM Xốt ướp thịt HQ vị cay 90g</t>
  </si>
  <si>
    <t xml:space="preserve">CXƯTNG7</t>
  </si>
  <si>
    <t xml:space="preserve">CXƯXX7</t>
  </si>
  <si>
    <t xml:space="preserve">CXXHT3(C</t>
  </si>
  <si>
    <t xml:space="preserve">HQN</t>
  </si>
  <si>
    <t xml:space="preserve">NBT Hộp quà Nabati</t>
  </si>
  <si>
    <t xml:space="preserve">Thùng</t>
  </si>
  <si>
    <t xml:space="preserve">NA15GSCLH</t>
  </si>
  <si>
    <t xml:space="preserve">NA50GGOI</t>
  </si>
  <si>
    <t xml:space="preserve">NBKRNBCCW3</t>
  </si>
  <si>
    <t xml:space="preserve">NBT Bánh KXPM Richeese Nabati Bites Cheese Cream Wafer 300gr</t>
  </si>
  <si>
    <t xml:space="preserve">NBKRNCCW110</t>
  </si>
  <si>
    <t xml:space="preserve">NBKRNCCW1T</t>
  </si>
  <si>
    <t xml:space="preserve">NBKRNCCW1V</t>
  </si>
  <si>
    <t xml:space="preserve">NBKRNCW1</t>
  </si>
  <si>
    <t xml:space="preserve">NBKRNCW11</t>
  </si>
  <si>
    <t xml:space="preserve">NBKRNCW15</t>
  </si>
  <si>
    <t xml:space="preserve">NBKRNCW17G</t>
  </si>
  <si>
    <t xml:space="preserve">NBKRNCW1NBT</t>
  </si>
  <si>
    <t xml:space="preserve">NBKRNCW1TET</t>
  </si>
  <si>
    <t xml:space="preserve">NBT Bánh KXPM Richeese Nabati Cheese Wafer 15g Tết</t>
  </si>
  <si>
    <t xml:space="preserve">NBKRNCW7H</t>
  </si>
  <si>
    <t xml:space="preserve">NBKRNCWNBT</t>
  </si>
  <si>
    <t xml:space="preserve">NBKXPM-RNCCW3</t>
  </si>
  <si>
    <t xml:space="preserve">NBT Bánh kem xốp phô mai - Richeese Nabati Cheese Cream Wafer 330g</t>
  </si>
  <si>
    <t xml:space="preserve">NBKXPM-RNCCW6</t>
  </si>
  <si>
    <t xml:space="preserve">NBT Bánh kem xốp phô mai - Richeese Nabati Cheese Cream Wafer 6g</t>
  </si>
  <si>
    <t xml:space="preserve">NBKXPSRTB4</t>
  </si>
  <si>
    <t xml:space="preserve">NBT Bánh kem xốp phủ SCL-Nabati Richoco Time Break 48g</t>
  </si>
  <si>
    <t xml:space="preserve">NBKXSCHPBT</t>
  </si>
  <si>
    <t xml:space="preserve">NBKXSCHPBT1</t>
  </si>
  <si>
    <t xml:space="preserve">NBT Bánh kem xốp sữa chua hương phúc bồn tử 16g</t>
  </si>
  <si>
    <t xml:space="preserve">NBKXSCHPBT1H</t>
  </si>
  <si>
    <t xml:space="preserve">NBKXSCHPBT-NR1</t>
  </si>
  <si>
    <t xml:space="preserve">NBT Bánh kem xốp sữa chua hương phúc bồn tử - Nabati Richberry 110g</t>
  </si>
  <si>
    <t xml:space="preserve">NBNR2</t>
  </si>
  <si>
    <t xml:space="preserve">NBỐLNP-NCWSBRC1</t>
  </si>
  <si>
    <t xml:space="preserve">NBT Bánh ống lớn nhân phomai - Nabati cheese Wafer Stick- Big rolls cheese 14g</t>
  </si>
  <si>
    <t xml:space="preserve">NBỐSR-NCCWS6</t>
  </si>
  <si>
    <t xml:space="preserve">NBT b ống SCL roll,s - NBT chocolate Cream Wafer Stick 6g</t>
  </si>
  <si>
    <t xml:space="preserve">NBPLCT2</t>
  </si>
  <si>
    <t xml:space="preserve">BEL PM Lát CBC Toast 200gx32</t>
  </si>
  <si>
    <t xml:space="preserve">NBPMVLTY7</t>
  </si>
  <si>
    <t xml:space="preserve">NBPV L94()</t>
  </si>
  <si>
    <t xml:space="preserve">NBPVBVND7</t>
  </si>
  <si>
    <t xml:space="preserve">NBPVBVNS7</t>
  </si>
  <si>
    <t xml:space="preserve">NBPVBVNV7</t>
  </si>
  <si>
    <t xml:space="preserve">NBPVBVNVQ</t>
  </si>
  <si>
    <t xml:space="preserve">BEL PM vuông Belcube vị Việt Quất 78g</t>
  </si>
  <si>
    <t xml:space="preserve">NBQNKHVCC1</t>
  </si>
  <si>
    <t xml:space="preserve">NBT Bánh quy nhân kem hương vani-Nabati Cookies Cream 112g.</t>
  </si>
  <si>
    <t xml:space="preserve">NBQNKHV-NC&amp;C-SC1</t>
  </si>
  <si>
    <t xml:space="preserve">NBT Bánh Quy Nhân Kem Hương Vani - Nabati Cookies &amp; Cream - Sandwich Cookies 16g</t>
  </si>
  <si>
    <t xml:space="preserve">NBQNKNCACLS1</t>
  </si>
  <si>
    <t xml:space="preserve">NBQNK-NCACLS1</t>
  </si>
  <si>
    <t xml:space="preserve">NBT Bánh Quế Nhân Kem - Nabati Cookies and Cream Long Stick 105g</t>
  </si>
  <si>
    <t xml:space="preserve">NBQNKSCLNRC1</t>
  </si>
  <si>
    <t xml:space="preserve">NBQNKSCL-NRC-CSC1</t>
  </si>
  <si>
    <t xml:space="preserve">NBT Bánh Quy Nhân Kem Sô Cô La - Nabati Richoco Cookies - Chocolate Sandwich Cookies 16g</t>
  </si>
  <si>
    <t xml:space="preserve">NBQNPM-NRC1</t>
  </si>
  <si>
    <t xml:space="preserve">NBT Bánh quy nhân Phô Mai - Nabati Richeese Cookies 112g</t>
  </si>
  <si>
    <t xml:space="preserve">NBQNPM-NRLS1</t>
  </si>
  <si>
    <t xml:space="preserve">NBQNSCL-NRLS1</t>
  </si>
  <si>
    <t xml:space="preserve">NBS(X-RNCCW6</t>
  </si>
  <si>
    <t xml:space="preserve">NBT Bánh sôcôla (dạng xốp) - Richoco Nabati Chocolate Cream Wafer 6g</t>
  </si>
  <si>
    <t xml:space="preserve">NBSPPM-NRACCCS9</t>
  </si>
  <si>
    <t xml:space="preserve">NBSRNCW11</t>
  </si>
  <si>
    <t xml:space="preserve">NBSRNCW15G</t>
  </si>
  <si>
    <t xml:space="preserve">NBSVBRNSB4</t>
  </si>
  <si>
    <t xml:space="preserve">NBSVPMRSBCFS4</t>
  </si>
  <si>
    <t xml:space="preserve">NBSVSCL-RSBCFS4</t>
  </si>
  <si>
    <t xml:space="preserve">NBXNKNCACW5</t>
  </si>
  <si>
    <t xml:space="preserve">NBXPSCL-NRCW-CCW1</t>
  </si>
  <si>
    <t xml:space="preserve">NBXPSD-NCCW1</t>
  </si>
  <si>
    <t xml:space="preserve">NKRNW14</t>
  </si>
  <si>
    <t xml:space="preserve">NMSPMCCĐ0-NCRNL06</t>
  </si>
  <si>
    <t xml:space="preserve">NBT Mì Súp Phô Mai Cay Cấp Độ 0 - Nabati Cheese Ramen Noodles Level 0 65g</t>
  </si>
  <si>
    <t xml:space="preserve">NMSPMCCĐ1-NSCRNL16</t>
  </si>
  <si>
    <t xml:space="preserve">NBT Mì Súp Phô Mai Cay Cấp Độ 1 - Nabati Spicy Cheese Ramen Noodles Level 1 67g</t>
  </si>
  <si>
    <t xml:space="preserve">NMTPMCCĐ0-NCFNL07</t>
  </si>
  <si>
    <t xml:space="preserve">NBT Mì Trộn Phô Mai Cay Cấp Độ 0 - Nabati Cheese Fried Noodles Level 0 74g</t>
  </si>
  <si>
    <t xml:space="preserve">NMTPMCCĐ1-NSCFNL17</t>
  </si>
  <si>
    <t xml:space="preserve">NBT Mì Trộn Phô Mai Cay Cấp Độ 1 - Nabati Spicy Cheese Fried Noodles Level 1 75g</t>
  </si>
  <si>
    <t xml:space="preserve">NNBKR1T</t>
  </si>
  <si>
    <t xml:space="preserve">NBT Bánh KXPM Richeese 130g Tết</t>
  </si>
  <si>
    <t xml:space="preserve">NNBKRNCW1</t>
  </si>
  <si>
    <t xml:space="preserve">NBT Bánh KXPM Richeese Nabati Cheese Wafer 130g</t>
  </si>
  <si>
    <t xml:space="preserve">NNBKRNCW2</t>
  </si>
  <si>
    <t xml:space="preserve">NBT Bánh KXPM Richeese Nabati Cheese Wafer 20g</t>
  </si>
  <si>
    <t xml:space="preserve">NNBKRNCW5</t>
  </si>
  <si>
    <t xml:space="preserve">NNBKRNCW5(</t>
  </si>
  <si>
    <t xml:space="preserve">NBT(KM) Bánh KXPM Richeese Nabati Cheese Wafer 50g</t>
  </si>
  <si>
    <t xml:space="preserve">NNBKRNCW7</t>
  </si>
  <si>
    <t xml:space="preserve">NNBKSRPC8</t>
  </si>
  <si>
    <t xml:space="preserve">NBT Bánh Kem Socola Richoco Pasta Chocolate 8g</t>
  </si>
  <si>
    <t xml:space="preserve">NNBKXPBTW5</t>
  </si>
  <si>
    <t xml:space="preserve">NBT Bánh kem xốp sữa chua hương phúc bồn tử Wafer 50g</t>
  </si>
  <si>
    <t xml:space="preserve">NNBNGCS3</t>
  </si>
  <si>
    <t xml:space="preserve">NNBNGCTSR2</t>
  </si>
  <si>
    <t xml:space="preserve">NNBQGPCC1</t>
  </si>
  <si>
    <t xml:space="preserve">NNBQGSCC1</t>
  </si>
  <si>
    <t xml:space="preserve">NNBSNRBQ1</t>
  </si>
  <si>
    <t xml:space="preserve">NNBSRNCW1</t>
  </si>
  <si>
    <t xml:space="preserve">NBT Bánh Socola Richoco Nabati Chocolate Wafer 130g</t>
  </si>
  <si>
    <t xml:space="preserve">NNBSRNCW2</t>
  </si>
  <si>
    <t xml:space="preserve">NBT Bánh Socola Richoco Nabati Chocolate Wafer 20g</t>
  </si>
  <si>
    <t xml:space="preserve">NNBSRNCW5</t>
  </si>
  <si>
    <t xml:space="preserve">NBT Bánh Socola Richoco Nabati Chocolate Wafer 50g </t>
  </si>
  <si>
    <t xml:space="preserve">NNNC2T1S2I12</t>
  </si>
  <si>
    <t xml:space="preserve">NBT Ngũ cốc 2 trong 1-Simba Seral 2 in 1 24g</t>
  </si>
  <si>
    <t xml:space="preserve">NNNCS-SCWCF3</t>
  </si>
  <si>
    <t xml:space="preserve">NBT Ngũ cốc SCL - Simba Cereal with Chocolate Flavor 30g</t>
  </si>
  <si>
    <t xml:space="preserve">NNPRNCBW5</t>
  </si>
  <si>
    <t xml:space="preserve">NRATC15</t>
  </si>
  <si>
    <t xml:space="preserve">NRNW1-T</t>
  </si>
  <si>
    <t xml:space="preserve">NBT Bánh KXPM Richeese Nabati Cheese Wafer 16g-tết</t>
  </si>
  <si>
    <t xml:space="preserve">NRWC16</t>
  </si>
  <si>
    <t xml:space="preserve">NSGTGW4</t>
  </si>
  <si>
    <t xml:space="preserve">NSL1ST</t>
  </si>
  <si>
    <t xml:space="preserve">SN Lon 190ml Sanvinest thường</t>
  </si>
  <si>
    <t xml:space="preserve">NSNYSH1</t>
  </si>
  <si>
    <t xml:space="preserve">SN Nước Yến Sanvinest hộp 100g</t>
  </si>
  <si>
    <t xml:space="preserve">NSNYSH5</t>
  </si>
  <si>
    <t xml:space="preserve">SN Nước Yến Sanvinest hộp 50g</t>
  </si>
  <si>
    <t xml:space="preserve">NSNYSLKT3L</t>
  </si>
  <si>
    <t xml:space="preserve">NSNYSLT(</t>
  </si>
  <si>
    <t xml:space="preserve">NSYSSKCHTCH5</t>
  </si>
  <si>
    <t xml:space="preserve">SN Yến sào Sanvinest KH chính hiệu tinh chế hộp 50g</t>
  </si>
  <si>
    <t xml:space="preserve">NVBH(LI)H1</t>
  </si>
  <si>
    <t xml:space="preserve">VS Bò Hầm ( Lon in ) hộp 150g</t>
  </si>
  <si>
    <t xml:space="preserve">NVBRHN(</t>
  </si>
  <si>
    <t xml:space="preserve">VS ĐL Ba rọi heo NKĐL (Wrap)</t>
  </si>
  <si>
    <t xml:space="preserve">Kg</t>
  </si>
  <si>
    <t xml:space="preserve">NVBRSTĐG5</t>
  </si>
  <si>
    <t xml:space="preserve">NVBRƯGVG5</t>
  </si>
  <si>
    <t xml:space="preserve">NVBRXMOG5</t>
  </si>
  <si>
    <t xml:space="preserve">NVBRXSTG5</t>
  </si>
  <si>
    <t xml:space="preserve">VS ĐL Ba rọi xốt sa tế gói 500g</t>
  </si>
  <si>
    <t xml:space="preserve">NVBV3NG5</t>
  </si>
  <si>
    <t xml:space="preserve">NVBXCH1</t>
  </si>
  <si>
    <t xml:space="preserve">VS Bò xốt cà hộp 170g</t>
  </si>
  <si>
    <t xml:space="preserve">NVCGCG5</t>
  </si>
  <si>
    <t xml:space="preserve">NVCGCTG2</t>
  </si>
  <si>
    <t xml:space="preserve">NVCGDXG4</t>
  </si>
  <si>
    <t xml:space="preserve">NVCGHSG5</t>
  </si>
  <si>
    <t xml:space="preserve">NVCGNNVVG4</t>
  </si>
  <si>
    <t xml:space="preserve">VS ĐL Chả giò nấm ngũ vị Vissan gói 400g</t>
  </si>
  <si>
    <t xml:space="preserve">NVCGPG1</t>
  </si>
  <si>
    <t xml:space="preserve">VS ĐL Chả giò Party gói 1.4kg</t>
  </si>
  <si>
    <t xml:space="preserve">NVCGRCG5</t>
  </si>
  <si>
    <t xml:space="preserve">VS ĐL Chả giò rế chay gói 500g</t>
  </si>
  <si>
    <t xml:space="preserve">NVCGRCTG3</t>
  </si>
  <si>
    <t xml:space="preserve">NVCGRTCG2</t>
  </si>
  <si>
    <t xml:space="preserve">VS ĐL Chả giò rế tôm cua gói 250g</t>
  </si>
  <si>
    <t xml:space="preserve">NVCGRTCG5</t>
  </si>
  <si>
    <t xml:space="preserve">NVCGRTG5</t>
  </si>
  <si>
    <t xml:space="preserve">NVCGTCG5</t>
  </si>
  <si>
    <t xml:space="preserve">NVCGTĐG4</t>
  </si>
  <si>
    <t xml:space="preserve">VS ĐL Chả giò thịt ĐB gói 400g</t>
  </si>
  <si>
    <t xml:space="preserve">NVCGTG5</t>
  </si>
  <si>
    <t xml:space="preserve">VS ĐL Chả giò thịt gói 500g</t>
  </si>
  <si>
    <t xml:space="preserve">NVCGTHSG3</t>
  </si>
  <si>
    <t xml:space="preserve">VS ĐL Chả giò tôm- hạt sen gói 320g</t>
  </si>
  <si>
    <t xml:space="preserve">NVCLHCLN(W</t>
  </si>
  <si>
    <t xml:space="preserve">VS ĐL Cốt lết heo cắt lát NKĐL ( Wrap)</t>
  </si>
  <si>
    <t xml:space="preserve">NVCLƯGVG2</t>
  </si>
  <si>
    <t xml:space="preserve">VS ĐL Cốt lết ướp gia vị gói 200g</t>
  </si>
  <si>
    <t xml:space="preserve">NVCLƯGVG5</t>
  </si>
  <si>
    <t xml:space="preserve">NVCLXMOG5</t>
  </si>
  <si>
    <t xml:space="preserve">NVCLXSTG5</t>
  </si>
  <si>
    <t xml:space="preserve">VS ĐL Cốt lết xốt sa tế gói 500g</t>
  </si>
  <si>
    <t xml:space="preserve">NVCLXTĐG5</t>
  </si>
  <si>
    <t xml:space="preserve">NVCVFG2(</t>
  </si>
  <si>
    <t xml:space="preserve">NVCVFG5(</t>
  </si>
  <si>
    <t xml:space="preserve">VS ĐL Cá Viên Funny gói 500g (1T=30G)</t>
  </si>
  <si>
    <t xml:space="preserve">NVGLĐBC5</t>
  </si>
  <si>
    <t xml:space="preserve">VS ĐL Giò lụa đặc biệt cây 500g</t>
  </si>
  <si>
    <t xml:space="preserve">Cây</t>
  </si>
  <si>
    <t xml:space="preserve">NVH2L(IH1</t>
  </si>
  <si>
    <t xml:space="preserve">NVHCG2</t>
  </si>
  <si>
    <t xml:space="preserve">NVHCTG3</t>
  </si>
  <si>
    <t xml:space="preserve">NVHCTG3(</t>
  </si>
  <si>
    <t xml:space="preserve">NVHCTLG3</t>
  </si>
  <si>
    <t xml:space="preserve">NVHH(I)H1</t>
  </si>
  <si>
    <t xml:space="preserve">NVHTĐBG2</t>
  </si>
  <si>
    <t xml:space="preserve">NVHTG2</t>
  </si>
  <si>
    <t xml:space="preserve">VS ĐL Hoành thánh gói 200g</t>
  </si>
  <si>
    <t xml:space="preserve">NVNLH3</t>
  </si>
  <si>
    <t xml:space="preserve">NVNNĐLG4</t>
  </si>
  <si>
    <t xml:space="preserve">VS ĐL Nem nướng đông lạnh gói 400g</t>
  </si>
  <si>
    <t xml:space="preserve">NVPGHLI)</t>
  </si>
  <si>
    <t xml:space="preserve">VS Patê gan heo( Lon in )170g</t>
  </si>
  <si>
    <t xml:space="preserve">NVPTH(LI1</t>
  </si>
  <si>
    <t xml:space="preserve">VS Patê thịt heo ( Lon in) 170g</t>
  </si>
  <si>
    <t xml:space="preserve">NVSNƯGVG5</t>
  </si>
  <si>
    <t xml:space="preserve">NVSNXMOG5</t>
  </si>
  <si>
    <t xml:space="preserve">NVTVFG2(Đ</t>
  </si>
  <si>
    <t xml:space="preserve">VS ĐL Tôm viên Funny gói 250g ( ĐL)</t>
  </si>
  <si>
    <t xml:space="preserve">NVTVFG5(Đ</t>
  </si>
  <si>
    <t xml:space="preserve">NVXBB21</t>
  </si>
  <si>
    <t xml:space="preserve">NVXHBHN1</t>
  </si>
  <si>
    <t xml:space="preserve">NVXPM31</t>
  </si>
  <si>
    <t xml:space="preserve">VS ĐL XXTT Phô mai 35-gói 175</t>
  </si>
  <si>
    <t xml:space="preserve">NVXTĐXMVCC5</t>
  </si>
  <si>
    <t xml:space="preserve">VS XXTT Trộn đều Xốt Mayonnaise Vị Cà Chua 55g</t>
  </si>
  <si>
    <t xml:space="preserve">NVXXHLG2</t>
  </si>
  <si>
    <t xml:space="preserve">VS ĐL Xúc xích hồ lô gói 200g</t>
  </si>
  <si>
    <t xml:space="preserve">NVXXLPM1CG5</t>
  </si>
  <si>
    <t xml:space="preserve">VS ĐL Xúc Xích Lucky Phô mai 10 cây- gói 500g</t>
  </si>
  <si>
    <t xml:space="preserve">NVXXSGG2Đ</t>
  </si>
  <si>
    <t xml:space="preserve">PBT50GHOP</t>
  </si>
  <si>
    <t xml:space="preserve">SHNCVTG21G</t>
  </si>
  <si>
    <t xml:space="preserve">SNCĐCT</t>
  </si>
  <si>
    <t xml:space="preserve">SN Nồi Chưng Điện Cách Thủy</t>
  </si>
  <si>
    <t xml:space="preserve">Cái</t>
  </si>
  <si>
    <t xml:space="preserve">SNS1</t>
  </si>
  <si>
    <t xml:space="preserve">SNS3</t>
  </si>
  <si>
    <t xml:space="preserve">SNS5</t>
  </si>
  <si>
    <t xml:space="preserve">SNYS H6LK</t>
  </si>
  <si>
    <t xml:space="preserve">SNYS H6LNS</t>
  </si>
  <si>
    <t xml:space="preserve">SN Nước Yến Sannest  Hộp 6 Lọ Nhân Sâm</t>
  </si>
  <si>
    <t xml:space="preserve">SNYS H6LT</t>
  </si>
  <si>
    <t xml:space="preserve">SNYS H6LTH</t>
  </si>
  <si>
    <t xml:space="preserve">SN Nước Yến Sannest  Hộp 6 Lon T (HQ)</t>
  </si>
  <si>
    <t xml:space="preserve">SNYSH6LK</t>
  </si>
  <si>
    <t xml:space="preserve">SNYSH6LT</t>
  </si>
  <si>
    <t xml:space="preserve">SN Nước Yến Sannest  Hộp 6 Lọ T</t>
  </si>
  <si>
    <t xml:space="preserve">SNYSH6LTX1(QT</t>
  </si>
  <si>
    <t xml:space="preserve">SN Nước Yến Sannest Hộp 6 Lon T x 190ml (QT)</t>
  </si>
  <si>
    <t xml:space="preserve">SNYSLK</t>
  </si>
  <si>
    <t xml:space="preserve">SNYSLKL</t>
  </si>
  <si>
    <t xml:space="preserve">Lọ</t>
  </si>
  <si>
    <t xml:space="preserve">SNYSLNS</t>
  </si>
  <si>
    <t xml:space="preserve">SN Nước Yến Sannest Lọ Nhân Sâm</t>
  </si>
  <si>
    <t xml:space="preserve">SNYSLT</t>
  </si>
  <si>
    <t xml:space="preserve">SNYSLT1</t>
  </si>
  <si>
    <t xml:space="preserve">SNYSSDNCTL</t>
  </si>
  <si>
    <t xml:space="preserve">SN Yến Sanest dành người cao tuổi hộp 1 lọ</t>
  </si>
  <si>
    <t xml:space="preserve">SNYSSKĐNCTL</t>
  </si>
  <si>
    <t xml:space="preserve">SNYSSTE</t>
  </si>
  <si>
    <t xml:space="preserve">SN Nước Yến Sào Sannest Trẻ Em </t>
  </si>
  <si>
    <t xml:space="preserve">SNYSSTEH6L</t>
  </si>
  <si>
    <t xml:space="preserve">SNYSSTELX</t>
  </si>
  <si>
    <t xml:space="preserve">SN Nước Yến Sào Sanest Trẻ Em lon x190ml</t>
  </si>
  <si>
    <t xml:space="preserve">SSLĐTHTX7</t>
  </si>
  <si>
    <t xml:space="preserve">SN Yến Sanest lọ Đông Trùng Hạ Thảo x 70ml</t>
  </si>
  <si>
    <t xml:space="preserve">SYH1</t>
  </si>
  <si>
    <t xml:space="preserve">SN yến hộp 100g</t>
  </si>
  <si>
    <t xml:space="preserve">SYHNC10</t>
  </si>
  <si>
    <t xml:space="preserve">SN Yến Nguyên Chất 100g( 014)</t>
  </si>
  <si>
    <t xml:space="preserve">SYHNC30</t>
  </si>
  <si>
    <t xml:space="preserve">SN Yến Nguyên Chất 3g( 011)</t>
  </si>
  <si>
    <t xml:space="preserve">SYHNC50</t>
  </si>
  <si>
    <t xml:space="preserve">SN Yến Nguyên Chất 5g( 012)</t>
  </si>
  <si>
    <t xml:space="preserve">SYHNC50H</t>
  </si>
  <si>
    <t xml:space="preserve">SN Yến Nguyên Chất 50g( 015)</t>
  </si>
  <si>
    <t xml:space="preserve">SYSSNTSC5(</t>
  </si>
  <si>
    <t xml:space="preserve">SN Yến sào Sanvinest nguyên tổ sơ chế 50g (S250)</t>
  </si>
  <si>
    <t xml:space="preserve">SYSSTCDT1(</t>
  </si>
  <si>
    <t xml:space="preserve">SN Yến sào Sanvinest tinh chế dạng tổ 100g (V610)</t>
  </si>
  <si>
    <t xml:space="preserve">VB 2L3BM1</t>
  </si>
  <si>
    <t xml:space="preserve">VB2L1</t>
  </si>
  <si>
    <t xml:space="preserve">VBH1</t>
  </si>
  <si>
    <t xml:space="preserve">VBH3</t>
  </si>
  <si>
    <t xml:space="preserve">VBTLLG2</t>
  </si>
  <si>
    <t xml:space="preserve">VS ĐL Bò trộn lá lốt gói 200g</t>
  </si>
  <si>
    <t xml:space="preserve">VBVG2</t>
  </si>
  <si>
    <t xml:space="preserve">VCGAH2</t>
  </si>
  <si>
    <t xml:space="preserve">VCGĂLR1K</t>
  </si>
  <si>
    <t xml:space="preserve">VS chả giò ăn liền rời 1 kg</t>
  </si>
  <si>
    <t xml:space="preserve">VCNXD1</t>
  </si>
  <si>
    <t xml:space="preserve">VCSC1</t>
  </si>
  <si>
    <t xml:space="preserve">VCVG2</t>
  </si>
  <si>
    <t xml:space="preserve">VCXCMV1(</t>
  </si>
  <si>
    <t xml:space="preserve">VĐCVỚXXG5</t>
  </si>
  <si>
    <t xml:space="preserve">VS ĐL Cá Viên ớt xiêm xanh gói 500g </t>
  </si>
  <si>
    <t xml:space="preserve">VĐCVPMG2PM</t>
  </si>
  <si>
    <t xml:space="preserve">VS ĐL Cá viên phô mai gói 200g</t>
  </si>
  <si>
    <t xml:space="preserve">VĐDSGG2SUN</t>
  </si>
  <si>
    <t xml:space="preserve">VS ĐL Dồi sụn giòn gói 250g </t>
  </si>
  <si>
    <t xml:space="preserve">VĐDSGG5</t>
  </si>
  <si>
    <t xml:space="preserve">VS ĐL Dồi sụn giòn gói 500g </t>
  </si>
  <si>
    <t xml:space="preserve">VĐGSỚXX5</t>
  </si>
  <si>
    <t xml:space="preserve">VS ĐL Giò sụn ớt xiêm xanh_cây 500g</t>
  </si>
  <si>
    <t xml:space="preserve">VĐNCV3NG5</t>
  </si>
  <si>
    <t xml:space="preserve">VĐXXSG5</t>
  </si>
  <si>
    <t xml:space="preserve">VH2L1</t>
  </si>
  <si>
    <t xml:space="preserve">VH2L3BM1</t>
  </si>
  <si>
    <t xml:space="preserve">VHH1</t>
  </si>
  <si>
    <t xml:space="preserve">VS Heo hầm 150g</t>
  </si>
  <si>
    <t xml:space="preserve">VHH3</t>
  </si>
  <si>
    <t xml:space="preserve">VHH3BM1</t>
  </si>
  <si>
    <t xml:space="preserve">VHNCVTG11GG</t>
  </si>
  <si>
    <t xml:space="preserve">VS Hạt Nêm Chuẩn Vị Thịt gói 1kg 1/10g</t>
  </si>
  <si>
    <t xml:space="preserve">VHNCVTG11K</t>
  </si>
  <si>
    <t xml:space="preserve">VHNCVTG41</t>
  </si>
  <si>
    <t xml:space="preserve">VS Hạt Nêm Chuẩn Vị Thịt gói 400g 1/24g</t>
  </si>
  <si>
    <t xml:space="preserve">VHXBB3</t>
  </si>
  <si>
    <t xml:space="preserve">VLXMG2</t>
  </si>
  <si>
    <t xml:space="preserve">VS Lạp Xưởng MQL Gói 200g</t>
  </si>
  <si>
    <t xml:space="preserve">VLXMH5</t>
  </si>
  <si>
    <t xml:space="preserve">VLXTG2</t>
  </si>
  <si>
    <t xml:space="preserve">VLXTH5</t>
  </si>
  <si>
    <t xml:space="preserve">VMCTVM2</t>
  </si>
  <si>
    <t xml:space="preserve">VMCVMH1</t>
  </si>
  <si>
    <t xml:space="preserve">VS Mắm chưng vịt muối hộp 150g</t>
  </si>
  <si>
    <t xml:space="preserve">VNNH1</t>
  </si>
  <si>
    <t xml:space="preserve">VS ĐL Nem lụi nướng hộp 1KG</t>
  </si>
  <si>
    <t xml:space="preserve">VPGH1</t>
  </si>
  <si>
    <t xml:space="preserve">VPTH1</t>
  </si>
  <si>
    <t xml:space="preserve">VPTH3</t>
  </si>
  <si>
    <t xml:space="preserve">VSNĐ2</t>
  </si>
  <si>
    <t xml:space="preserve">VSNĐH1</t>
  </si>
  <si>
    <t xml:space="preserve">VSNĐH1(I</t>
  </si>
  <si>
    <t xml:space="preserve">VXB1</t>
  </si>
  <si>
    <t xml:space="preserve">VS XXTT Bò 18g T-3.6Kg</t>
  </si>
  <si>
    <t xml:space="preserve">VXB4</t>
  </si>
  <si>
    <t xml:space="preserve">VS XXTT Bò 40g- cây 40g</t>
  </si>
  <si>
    <t xml:space="preserve">VXBB 2</t>
  </si>
  <si>
    <t xml:space="preserve">VXBB 2H1K</t>
  </si>
  <si>
    <t xml:space="preserve">VXBB1N9</t>
  </si>
  <si>
    <t xml:space="preserve">VS XXTT Boom Boom 18g-Ca nhựa 900g </t>
  </si>
  <si>
    <t xml:space="preserve">Ca</t>
  </si>
  <si>
    <t xml:space="preserve">VXBB2H0K</t>
  </si>
  <si>
    <t xml:space="preserve">VXBB2H1K</t>
  </si>
  <si>
    <t xml:space="preserve">VXBB3</t>
  </si>
  <si>
    <t xml:space="preserve">VXBB3(2</t>
  </si>
  <si>
    <t xml:space="preserve">VXBB3(25</t>
  </si>
  <si>
    <t xml:space="preserve">VXBB31(KM</t>
  </si>
  <si>
    <t xml:space="preserve">VS XXTT Boom Boom 38g-hũ 1.9kg (km)</t>
  </si>
  <si>
    <t xml:space="preserve">VXBC7</t>
  </si>
  <si>
    <t xml:space="preserve">VXDB3</t>
  </si>
  <si>
    <t xml:space="preserve">VXDDG3</t>
  </si>
  <si>
    <t xml:space="preserve">VXDDT2</t>
  </si>
  <si>
    <t xml:space="preserve">VXDH3</t>
  </si>
  <si>
    <t xml:space="preserve">VS XXTT Dinh dưỡng Heo 175g( DHA Heo 35g)</t>
  </si>
  <si>
    <t xml:space="preserve">VXH1</t>
  </si>
  <si>
    <t xml:space="preserve">VS XXTT Heo 18g T-3.6Kg</t>
  </si>
  <si>
    <t xml:space="preserve">VXH4</t>
  </si>
  <si>
    <t xml:space="preserve">VXH7</t>
  </si>
  <si>
    <t xml:space="preserve">VXLKVBT4</t>
  </si>
  <si>
    <t xml:space="preserve">VS XXTT Lắc Kêu Vị Bơ Tỏi 49g</t>
  </si>
  <si>
    <t xml:space="preserve">Ly</t>
  </si>
  <si>
    <t xml:space="preserve">VXLKVBT56</t>
  </si>
  <si>
    <t xml:space="preserve">VS XXTT Lắc Kêu Vị Bơ Tỏi 56g</t>
  </si>
  <si>
    <t xml:space="preserve">VXLKVBT56LY</t>
  </si>
  <si>
    <t xml:space="preserve">VXLKVP4</t>
  </si>
  <si>
    <t xml:space="preserve">VS XXTT Lắc Kêu Vị Phômai 49g</t>
  </si>
  <si>
    <t xml:space="preserve">VXLKVP5</t>
  </si>
  <si>
    <t xml:space="preserve">VXLKVP5LY</t>
  </si>
  <si>
    <t xml:space="preserve">VXTĐXB</t>
  </si>
  <si>
    <t xml:space="preserve">VXTĐXCD5</t>
  </si>
  <si>
    <t xml:space="preserve">VS XXTT Trộn Đều Xốt Chanh Dây 55g</t>
  </si>
  <si>
    <t xml:space="preserve">VXTĐXBly</t>
  </si>
  <si>
    <t xml:space="preserve">VXTĐXCD62</t>
  </si>
  <si>
    <t xml:space="preserve">VXTĐXT5</t>
  </si>
  <si>
    <t xml:space="preserve">VS XXTT Lắc Kêu Trộn Đều Xốt Tamarind 55g</t>
  </si>
  <si>
    <t xml:space="preserve">VXTĐXCD62ly</t>
  </si>
  <si>
    <t xml:space="preserve">VXTĐXT6</t>
  </si>
  <si>
    <t xml:space="preserve">VS XXTT Lắc Kêu Trộn Đều Xốt Tamarind 62g</t>
  </si>
  <si>
    <t xml:space="preserve">VXTĐXT6LY</t>
  </si>
  <si>
    <t xml:space="preserve">VXTXCN</t>
  </si>
  <si>
    <t xml:space="preserve">VXXFG5</t>
  </si>
  <si>
    <t xml:space="preserve">VXXHG5</t>
  </si>
  <si>
    <t xml:space="preserve">VXXLG5</t>
  </si>
  <si>
    <t xml:space="preserve">HÀNG TỒN KHO 31/12/2023 ĐÃ ĐIỀU CHỈNH GIÁ</t>
  </si>
  <si>
    <t xml:space="preserve">Số ĐV</t>
  </si>
  <si>
    <t xml:space="preserve">Đơn Giá</t>
  </si>
  <si>
    <t xml:space="preserve">CLM cá xốt cà KOS 155g ( cá saba sốt cải)</t>
  </si>
  <si>
    <t xml:space="preserve">SN Nước Yến Sào Sannest Trẻ Em</t>
  </si>
  <si>
    <t xml:space="preserve">BEL (KM) Pho mai Cube vị sữa 78g ( km)</t>
  </si>
  <si>
    <t xml:space="preserve">BEL (KM) PM vuông Belcube vị Dâu 26g (km)</t>
  </si>
  <si>
    <t xml:space="preserve">BEL (KM) PM vuông Belcube vị ngọt Dâu 78g</t>
  </si>
  <si>
    <t xml:space="preserve">CLM (KM) Dầu hào pet 820g (km)</t>
  </si>
  <si>
    <t xml:space="preserve">km</t>
  </si>
  <si>
    <t xml:space="preserve">CLM (KM) Lẩu thái 280g (km)</t>
  </si>
  <si>
    <t xml:space="preserve">CLM (KM) Nước Mắm Hương Việt 500ml (km)</t>
  </si>
  <si>
    <t xml:space="preserve">CLM (KM) Nước Mắm Hương Việt 500ml hàng onpack chén (km)</t>
  </si>
  <si>
    <t xml:space="preserve">CLM (KM) Sa tế tôm hũ nhựa 100g (km)</t>
  </si>
  <si>
    <t xml:space="preserve">CLM (KM) Sa tế tôm pet 90g (km)</t>
  </si>
  <si>
    <t xml:space="preserve">CLM (KM) Tương cà chai pet 270g (km)</t>
  </si>
  <si>
    <t xml:space="preserve">CLM (KM) Tương đen 230g (km)</t>
  </si>
  <si>
    <t xml:space="preserve">CLM (KM) Tương ớt pet 2.1Kg (km)</t>
  </si>
  <si>
    <t xml:space="preserve">CLM (KM) Tương ớt pet 270g (km)</t>
  </si>
  <si>
    <t xml:space="preserve">CLM (KM) Tương ớt siêu cay 330g (km)</t>
  </si>
  <si>
    <t xml:space="preserve">CLM (KM) Xốt gà chiên nước mắm 90g (km)</t>
  </si>
  <si>
    <t xml:space="preserve">CLM (KM) Xốt rang me pet 280g (km)</t>
  </si>
  <si>
    <t xml:space="preserve">CLM (KM) Xốt ướp thịt HQ 90g vị truyền thống (km)</t>
  </si>
  <si>
    <t xml:space="preserve">CLM (KM) Xốt ướp thịt nướng 200g (km)</t>
  </si>
  <si>
    <t xml:space="preserve">HT (KM) Bánh OHO Butter Cookies 681g (km)</t>
  </si>
  <si>
    <t xml:space="preserve">HT(KM) Kem xua muỗi hương cam Soffell 30ml chai xịt (km)</t>
  </si>
  <si>
    <t xml:space="preserve">NBT (KM) B. quy nhân Phô Mai - Nabati Richeese Cookies 112g</t>
  </si>
  <si>
    <t xml:space="preserve">NBT (KM) Bánh kem xốp phô mai - Richeese Nabati Cheese Cream Wafer 6g</t>
  </si>
  <si>
    <t xml:space="preserve">NBT (KM) Bánh KXPM Richeese Nabati Cheese Wafer 17g (km)</t>
  </si>
  <si>
    <t xml:space="preserve">NBT (KM) Bánh Quế Nhân Phô Mai - Nabati Richeese Long Stick 105g (km)</t>
  </si>
  <si>
    <t xml:space="preserve">NBT (KM) Bánh xốp phủ Socola Dừa - Nabati Coconut Chocolate Wafer 14g (km)</t>
  </si>
  <si>
    <t xml:space="preserve">NBT (KM) Mì Trộn Phô Mai Cay Cấp Độ 0 - Nabati Cheese Fried Noodles Level 0 74g</t>
  </si>
  <si>
    <t xml:space="preserve">SN (KM) Nước Sanna 330ml (km)</t>
  </si>
  <si>
    <t xml:space="preserve">SN (KM) Nước Sanna 500ml (km)</t>
  </si>
  <si>
    <t xml:space="preserve">SN (KM) Nước Yến Sanest  Hộp 6 Lon T (km)</t>
  </si>
  <si>
    <t xml:space="preserve">SN (KM) Nước Yến Sannest Lọ T (km)</t>
  </si>
  <si>
    <t xml:space="preserve">SN (KM) Nước Yến Sannest Lon T (km)</t>
  </si>
  <si>
    <t xml:space="preserve">SN (KM) Tinh chất Yến sào thiên nhiên Khánh Hòa gói 5g (km)</t>
  </si>
  <si>
    <t xml:space="preserve">VS (KM) Bò Hầm 150g (km)</t>
  </si>
  <si>
    <t xml:space="preserve">VS (KM) XXTT Boom Boom 18g-Ca nhựa 900g (km)</t>
  </si>
  <si>
    <t xml:space="preserve">VS (KM) XXTT Boom Boom 20g( Hũ 1 Kg) (km)</t>
  </si>
  <si>
    <t xml:space="preserve">VS (KM) XXTT Boom Boom 20g-gói 100g</t>
  </si>
  <si>
    <t xml:space="preserve">VS (KM) XXTT Boom Boom 23g gói</t>
  </si>
  <si>
    <t xml:space="preserve">VS (KM) XXTT Boom Boom 35g (5+1)-gói 210g</t>
  </si>
  <si>
    <t xml:space="preserve">VS (KM) XXTT Heo 18g T-3.6Kg (km)</t>
  </si>
  <si>
    <t xml:space="preserve">VS KM Cá xốt cà 170g</t>
  </si>
  <si>
    <t xml:space="preserve">VS KM ĐL Chả lụa bì ớt xiêm 80g</t>
  </si>
  <si>
    <t xml:space="preserve">VS KM ĐL Chả lụa que 80g</t>
  </si>
  <si>
    <t xml:space="preserve">VS KM ĐL Xúc Xích Funny gói 500g</t>
  </si>
  <si>
    <t xml:space="preserve">VS KM Heo 2 Lát 3 B.Mai 150g</t>
  </si>
  <si>
    <t xml:space="preserve">VS KM XXTT Bò 40g (gói) (km)</t>
  </si>
  <si>
    <t xml:space="preserve">VS KM XXTT Bò 70g (gói)</t>
  </si>
  <si>
    <t xml:space="preserve">VS KM XXTT Dinh dưỡng Golden 3 (km)</t>
  </si>
  <si>
    <t xml:space="preserve">VS KM XXTT Dinh dưỡng Heo 175g( DHA Heo 35g) KM</t>
  </si>
  <si>
    <t xml:space="preserve">VS KM XXTT Heo 70g (gói)</t>
  </si>
  <si>
    <t xml:space="preserve">VS KM XXTT Lắc Kêu Vị Phômai 56g</t>
  </si>
  <si>
    <t xml:space="preserve">XUẤT NHẬP TỒN THÁNG 12 NĂM 2023</t>
  </si>
  <si>
    <t xml:space="preserve">TỒN ĐẦU KỲ</t>
  </si>
  <si>
    <t xml:space="preserve">NHẬP TRONG KỲ</t>
  </si>
  <si>
    <t xml:space="preserve">XUẤT TRONG KỲ</t>
  </si>
  <si>
    <t xml:space="preserve">TỒN CUỐI KỲ</t>
  </si>
  <si>
    <t xml:space="preserve">MHH</t>
  </si>
  <si>
    <t xml:space="preserve">TÊN HÀNG HOÁ</t>
  </si>
  <si>
    <t xml:space="preserve">SL</t>
  </si>
  <si>
    <t xml:space="preserve">T.TIỀN</t>
  </si>
  <si>
    <t xml:space="preserve">K đc </t>
  </si>
  <si>
    <t xml:space="preserve">kk đc</t>
  </si>
  <si>
    <t xml:space="preserve">timg k ra</t>
  </si>
  <si>
    <t xml:space="preserve">NBT Bánh quy giòn PM - Cheese Crackers 10g(24PCSX10g)</t>
  </si>
  <si>
    <t xml:space="preserve">VS ĐL Chả lụa bì ớt xiêm 80g</t>
  </si>
  <si>
    <t xml:space="preserve">VS ĐL Chả lụa que 80g</t>
  </si>
  <si>
    <t xml:space="preserve">K tìm thấy</t>
  </si>
  <si>
    <t xml:space="preserve">ĐVT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</si>
</sst>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"/>
    <numFmt numFmtId="166" formatCode="_(* #,##0.00_);_(* \(#,##0.00\);_(* \-??_);_(@_)"/>
    <numFmt numFmtId="167" formatCode="_(* #,##0_);_(* \(#,##0\);_(* \-??_);_(@_)"/>
    <numFmt numFmtId="168" formatCode="_-* #,##0_-;\-* #,##0_-;_-* \-??_-;_-@_-"/>
    <numFmt numFmtId="169" formatCode="_(* #,##0.0_);_(* \(#,##0.0\);_(* \-??_);_(@_)"/>
  </numFmts>
  <fonts count="43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000000"/>
      <name val="Arial"/>
      <family val="2"/>
      <charset val="1"/>
    </font>
    <font>
      <b val="true"/>
      <sz val="10"/>
      <color theme="1"/>
      <name val="Arial"/>
      <family val="2"/>
      <charset val="1"/>
    </font>
    <font>
      <sz val="10"/>
      <color theme="1"/>
      <name val="Arial"/>
      <family val="2"/>
      <charset val="1"/>
    </font>
    <font>
      <sz val="11"/>
      <color theme="1"/>
      <name val="Times New Roman"/>
      <family val="1"/>
      <charset val="1"/>
    </font>
    <font>
      <b val="true"/>
      <sz val="11"/>
      <color rgb="FFC00000"/>
      <name val="Times New Roman"/>
      <family val="1"/>
      <charset val="1"/>
    </font>
    <font>
      <sz val="11"/>
      <color rgb="FF000000"/>
      <name val="Times New Roman"/>
      <family val="1"/>
      <charset val="1"/>
    </font>
    <font>
      <sz val="11"/>
      <color rgb="FFFF0000"/>
      <name val="Times New Roman"/>
      <family val="1"/>
      <charset val="1"/>
    </font>
    <font>
      <sz val="11"/>
      <color rgb="FFFF0000"/>
      <name val="Arial"/>
      <family val="2"/>
      <charset val="1"/>
    </font>
    <font>
      <sz val="11"/>
      <color rgb="FF00B0F0"/>
      <name val="Arial"/>
      <family val="2"/>
      <charset val="1"/>
    </font>
    <font>
      <sz val="11"/>
      <color rgb="FF00B0F0"/>
      <name val="Times New Roman"/>
      <family val="1"/>
      <charset val="1"/>
    </font>
    <font>
      <sz val="11"/>
      <color rgb="FF7030A0"/>
      <name val="Arial"/>
      <family val="2"/>
      <charset val="1"/>
    </font>
    <font>
      <sz val="11"/>
      <color rgb="FF7030A0"/>
      <name val="Times New Roman"/>
      <family val="1"/>
      <charset val="1"/>
    </font>
    <font>
      <sz val="11"/>
      <color theme="1"/>
      <name val="Arial"/>
      <family val="2"/>
      <charset val="1"/>
    </font>
    <font>
      <sz val="11"/>
      <color rgb="FF000080"/>
      <name val="Arial"/>
      <family val="2"/>
      <charset val="1"/>
    </font>
    <font>
      <sz val="11"/>
      <name val="Times New Roman"/>
      <family val="1"/>
      <charset val="1"/>
    </font>
    <font>
      <sz val="10"/>
      <color rgb="FFFF0000"/>
      <name val="Arial"/>
      <family val="2"/>
      <charset val="1"/>
    </font>
    <font>
      <sz val="11"/>
      <color theme="0"/>
      <name val="Times New Roman"/>
      <family val="1"/>
      <charset val="1"/>
    </font>
    <font>
      <sz val="11"/>
      <color theme="0"/>
      <name val="Arial"/>
      <family val="2"/>
      <charset val="1"/>
    </font>
    <font>
      <sz val="10"/>
      <color rgb="FF000080"/>
      <name val="Arial"/>
      <family val="2"/>
      <charset val="1"/>
    </font>
    <font>
      <sz val="10"/>
      <color rgb="FF000000"/>
      <name val="Times New Roman"/>
      <family val="1"/>
      <charset val="1"/>
    </font>
    <font>
      <sz val="10"/>
      <color rgb="FFFF0000"/>
      <name val="Times New Roman"/>
      <family val="1"/>
      <charset val="1"/>
    </font>
    <font>
      <sz val="14"/>
      <color rgb="FF000000"/>
      <name val="Times New Roman"/>
      <family val="1"/>
      <charset val="1"/>
    </font>
    <font>
      <b val="true"/>
      <sz val="11"/>
      <color rgb="FF000000"/>
      <name val="Times New Roman"/>
      <family val="1"/>
      <charset val="1"/>
    </font>
    <font>
      <b val="true"/>
      <sz val="11"/>
      <color rgb="FFFF0000"/>
      <name val="Times New Roman"/>
      <family val="1"/>
      <charset val="1"/>
    </font>
    <font>
      <b val="true"/>
      <sz val="10"/>
      <color rgb="FF000000"/>
      <name val="Times New Roman"/>
      <family val="1"/>
      <charset val="1"/>
    </font>
    <font>
      <sz val="10"/>
      <color rgb="FF000080"/>
      <name val="Tahoma"/>
      <family val="2"/>
      <charset val="1"/>
    </font>
    <font>
      <sz val="10"/>
      <color rgb="FFFF0000"/>
      <name val="Tahoma"/>
      <family val="2"/>
      <charset val="1"/>
    </font>
    <font>
      <b val="true"/>
      <sz val="10"/>
      <color rgb="FF000000"/>
      <name val="Arial"/>
      <family val="2"/>
      <charset val="1"/>
    </font>
    <font>
      <sz val="11"/>
      <color rgb="FF0070C0"/>
      <name val="Arial"/>
      <family val="2"/>
      <charset val="1"/>
    </font>
    <font>
      <sz val="11"/>
      <color rgb="FF0070C0"/>
      <name val="Times New Roman"/>
      <family val="1"/>
      <charset val="1"/>
    </font>
    <font>
      <sz val="11"/>
      <name val="Arial"/>
      <family val="2"/>
      <charset val="1"/>
    </font>
    <font>
      <sz val="9"/>
      <color rgb="FF000080"/>
      <name val="Arial"/>
      <family val="2"/>
      <charset val="1"/>
    </font>
    <font>
      <sz val="9"/>
      <color rgb="FFFF0000"/>
      <name val="Arial"/>
      <family val="2"/>
      <charset val="1"/>
    </font>
    <font>
      <sz val="10"/>
      <color rgb="FF0070C0"/>
      <name val="Times New Roman"/>
      <family val="1"/>
      <charset val="1"/>
    </font>
    <font>
      <sz val="11"/>
      <color rgb="FF000000"/>
      <name val="Arial"/>
      <family val="2"/>
      <charset val="1"/>
    </font>
    <font>
      <b val="true"/>
      <sz val="11"/>
      <color theme="1"/>
      <name val="Arial"/>
      <family val="2"/>
      <charset val="1"/>
    </font>
    <font>
      <sz val="11"/>
      <color theme="4"/>
      <name val="Arial"/>
      <family val="2"/>
      <charset val="1"/>
    </font>
    <font>
      <sz val="11"/>
      <color theme="4"/>
      <name val="Times New Roman"/>
      <family val="1"/>
      <charset val="1"/>
    </font>
    <font>
      <sz val="10"/>
      <name val="Arial"/>
      <family val="2"/>
      <charset val="1"/>
    </font>
  </fonts>
  <fills count="10">
    <fill>
      <patternFill patternType="none"/>
    </fill>
    <fill>
      <patternFill patternType="gray125"/>
    </fill>
    <fill>
      <patternFill patternType="solid">
        <fgColor theme="0"/>
        <bgColor rgb="FFFFFFCC"/>
      </patternFill>
    </fill>
    <fill>
      <patternFill patternType="solid">
        <fgColor rgb="FFC0C0C0"/>
        <bgColor rgb="FFB3CEFB"/>
      </patternFill>
    </fill>
    <fill>
      <patternFill patternType="solid">
        <fgColor theme="4" tint="0.5999"/>
        <bgColor rgb="FFC0C0C0"/>
      </patternFill>
    </fill>
    <fill>
      <patternFill patternType="solid">
        <fgColor rgb="FFFFC000"/>
        <bgColor rgb="FFFF9900"/>
      </patternFill>
    </fill>
    <fill>
      <patternFill patternType="solid">
        <fgColor theme="4" tint="0.3999"/>
        <bgColor rgb="FF9999FF"/>
      </patternFill>
    </fill>
    <fill>
      <patternFill patternType="solid">
        <fgColor theme="1"/>
        <bgColor rgb="FF003300"/>
      </patternFill>
    </fill>
    <fill>
      <patternFill patternType="solid">
        <fgColor theme="4" tint="0.7999"/>
        <bgColor rgb="FFCCFFFF"/>
      </patternFill>
    </fill>
    <fill>
      <patternFill patternType="solid">
        <fgColor rgb="FFFFFF00"/>
        <bgColor rgb="FFFFFF00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/>
      <right style="thin"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166" fontId="0" fillId="0" borderId="0" applyFont="true" applyBorder="false" applyAlignment="true" applyProtection="false">
      <alignment horizontal="general" vertical="bottom" textRotation="0" wrapText="false" indent="0" shrinkToFit="false"/>
    </xf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2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5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0" borderId="0" xfId="15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2" borderId="1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3" borderId="1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9" fillId="3" borderId="1" xfId="15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1" xfId="2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7" fontId="9" fillId="0" borderId="1" xfId="15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0" fillId="0" borderId="1" xfId="2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7" fontId="10" fillId="0" borderId="1" xfId="15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9" fillId="4" borderId="1" xfId="2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0" fillId="4" borderId="1" xfId="2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8" fontId="10" fillId="4" borderId="1" xfId="2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5" borderId="1" xfId="2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11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6" borderId="1" xfId="2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11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1" xfId="2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9" fillId="6" borderId="1" xfId="2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12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13" fillId="0" borderId="1" xfId="15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5" fontId="14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4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15" fillId="0" borderId="1" xfId="15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9" fillId="4" borderId="1" xfId="2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11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5" fontId="1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6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5" borderId="1" xfId="2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8" fillId="4" borderId="1" xfId="2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1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20" fillId="7" borderId="1" xfId="2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21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8" borderId="1" xfId="2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22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7" fontId="7" fillId="9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3" fillId="0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28" fillId="0" borderId="1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1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0" fillId="0" borderId="1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23" fillId="0" borderId="1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9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9" fillId="2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7" fontId="29" fillId="2" borderId="1" xfId="15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30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30" fillId="2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7" fontId="30" fillId="2" borderId="1" xfId="15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7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6" fillId="0" borderId="1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27" fillId="0" borderId="1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8" fillId="0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1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1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1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2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26" fillId="0" borderId="1" xfId="15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26" fillId="0" borderId="1" xfId="15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2" xfId="2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8" fontId="9" fillId="0" borderId="1" xfId="15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8" fillId="0" borderId="1" xfId="2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8" fillId="0" borderId="2" xfId="2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8" fontId="18" fillId="0" borderId="1" xfId="15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7" fontId="18" fillId="0" borderId="1" xfId="15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5" fontId="1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6" fillId="0" borderId="1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2" xfId="2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8" fontId="10" fillId="0" borderId="1" xfId="15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5" fontId="11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1" fillId="0" borderId="1" xfId="15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5" fontId="32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32" fillId="0" borderId="1" xfId="15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7" fontId="33" fillId="0" borderId="1" xfId="15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8" fontId="17" fillId="0" borderId="1" xfId="15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7" fillId="0" borderId="1" xfId="2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7" fillId="0" borderId="2" xfId="2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8" fontId="7" fillId="0" borderId="1" xfId="15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7" fontId="7" fillId="0" borderId="1" xfId="15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8" fontId="16" fillId="0" borderId="1" xfId="15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5" fontId="34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35" fillId="0" borderId="0" xfId="15" applyFont="true" applyBorder="true" applyAlignment="true" applyProtection="true">
      <alignment horizontal="right" vertical="top" textRotation="0" wrapText="true" indent="0" shrinkToFit="false"/>
      <protection locked="true" hidden="false"/>
    </xf>
    <xf numFmtId="164" fontId="9" fillId="0" borderId="1" xfId="2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16" fillId="0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36" fillId="0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8" fontId="22" fillId="0" borderId="0" xfId="15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20" fillId="0" borderId="1" xfId="2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21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21" fillId="0" borderId="1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34" fillId="0" borderId="1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11" fillId="0" borderId="1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7" fillId="0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23" fillId="0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28" fillId="0" borderId="3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23" fillId="0" borderId="1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24" fillId="0" borderId="1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24" fillId="0" borderId="1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24" fillId="0" borderId="3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33" fillId="0" borderId="1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37" fillId="0" borderId="3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23" fillId="0" borderId="3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37" fillId="0" borderId="1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37" fillId="0" borderId="1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9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28" fillId="0" borderId="1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8" fillId="0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39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39" fillId="0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3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3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1" fillId="0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0" fillId="0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1" fillId="0" borderId="1" xfId="2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7" fontId="41" fillId="0" borderId="1" xfId="15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5" fontId="40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2" fillId="0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1" xfId="2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4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0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14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13" fillId="4" borderId="1" xfId="2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4" fillId="0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12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32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32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11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7" fontId="3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9" fillId="0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9" fillId="0" borderId="1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9" fillId="4" borderId="1" xfId="2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4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2" fillId="0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4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_Sheet2" xfId="20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7030A0"/>
      <rgbColor rgb="FFFFFFCC"/>
      <rgbColor rgb="FFD9E7FD"/>
      <rgbColor rgb="FF660066"/>
      <rgbColor rgb="FFFF8080"/>
      <rgbColor rgb="FF0070C0"/>
      <rgbColor rgb="FFB3CEF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CCFFCC"/>
      <rgbColor rgb="FFFFFF99"/>
      <rgbColor rgb="FF8EB6F8"/>
      <rgbColor rgb="FFFF99CC"/>
      <rgbColor rgb="FFCC99FF"/>
      <rgbColor rgb="FFFFCC99"/>
      <rgbColor rgb="FF4285F4"/>
      <rgbColor rgb="FF33CCCC"/>
      <rgbColor rgb="FF99CC00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W1001"/>
  <sheetViews>
    <sheetView showFormulas="false" showGridLines="true" showRowColHeaders="true" showZeros="true" rightToLeft="false" tabSelected="true" showOutlineSymbols="true" defaultGridColor="true" view="normal" topLeftCell="A267" colorId="64" zoomScale="100" zoomScaleNormal="100" zoomScalePageLayoutView="100" workbookViewId="0">
      <selection pane="topLeft" activeCell="C286" activeCellId="0" sqref="C286"/>
    </sheetView>
  </sheetViews>
  <sheetFormatPr defaultColWidth="12.5703125" defaultRowHeight="15.75" customHeight="true" zeroHeight="false" outlineLevelRow="0" outlineLevelCol="0"/>
  <cols>
    <col collapsed="false" customWidth="true" hidden="false" outlineLevel="0" max="1" min="1" style="0" width="56.42"/>
    <col collapsed="false" customWidth="true" hidden="false" outlineLevel="0" max="2" min="2" style="0" width="6"/>
    <col collapsed="false" customWidth="true" hidden="false" outlineLevel="0" max="3" min="3" style="0" width="11.57"/>
    <col collapsed="false" customWidth="true" hidden="false" outlineLevel="0" max="4" min="4" style="0" width="13.86"/>
    <col collapsed="false" customWidth="true" hidden="false" outlineLevel="0" max="5" min="5" style="0" width="13.57"/>
    <col collapsed="false" customWidth="true" hidden="false" outlineLevel="0" max="6" min="6" style="0" width="13.86"/>
    <col collapsed="false" customWidth="true" hidden="false" outlineLevel="0" max="7" min="7" style="0" width="13.15"/>
    <col collapsed="false" customWidth="true" hidden="false" outlineLevel="0" max="8" min="8" style="0" width="14.86"/>
    <col collapsed="false" customWidth="true" hidden="false" outlineLevel="0" max="9" min="9" style="0" width="12.42"/>
    <col collapsed="false" customWidth="true" hidden="false" outlineLevel="0" max="10" min="10" style="0" width="13.86"/>
  </cols>
  <sheetData>
    <row r="1" customFormat="false" ht="15.75" hidden="false" customHeight="false" outlineLevel="0" collapsed="false">
      <c r="A1" s="1"/>
      <c r="B1" s="2"/>
      <c r="C1" s="3" t="s">
        <v>0</v>
      </c>
      <c r="D1" s="3"/>
      <c r="E1" s="3" t="s">
        <v>1</v>
      </c>
      <c r="F1" s="3"/>
      <c r="G1" s="3" t="s">
        <v>2</v>
      </c>
      <c r="H1" s="3"/>
      <c r="I1" s="3" t="s">
        <v>3</v>
      </c>
      <c r="J1" s="3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</row>
    <row r="2" customFormat="false" ht="15.75" hidden="false" customHeight="false" outlineLevel="0" collapsed="false">
      <c r="A2" s="4" t="s">
        <v>4</v>
      </c>
      <c r="B2" s="5" t="s">
        <v>5</v>
      </c>
      <c r="C2" s="6" t="s">
        <v>6</v>
      </c>
      <c r="D2" s="6" t="s">
        <v>7</v>
      </c>
      <c r="E2" s="6" t="s">
        <v>8</v>
      </c>
      <c r="F2" s="6" t="s">
        <v>9</v>
      </c>
      <c r="G2" s="6" t="s">
        <v>6</v>
      </c>
      <c r="H2" s="6" t="s">
        <v>10</v>
      </c>
      <c r="I2" s="6" t="s">
        <v>6</v>
      </c>
      <c r="J2" s="6" t="s">
        <v>9</v>
      </c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</row>
    <row r="3" customFormat="false" ht="15.75" hidden="false" customHeight="false" outlineLevel="0" collapsed="false">
      <c r="A3" s="7" t="s">
        <v>11</v>
      </c>
      <c r="B3" s="8" t="n">
        <v>1</v>
      </c>
      <c r="C3" s="9" t="n">
        <v>250</v>
      </c>
      <c r="D3" s="9" t="n">
        <v>6861365</v>
      </c>
      <c r="E3" s="9" t="n">
        <v>100</v>
      </c>
      <c r="F3" s="9" t="n">
        <v>2716600</v>
      </c>
      <c r="G3" s="9" t="n">
        <v>135</v>
      </c>
      <c r="H3" s="9" t="n">
        <v>3694358</v>
      </c>
      <c r="I3" s="9" t="n">
        <v>215</v>
      </c>
      <c r="J3" s="9" t="n">
        <v>5883607</v>
      </c>
    </row>
    <row r="4" customFormat="false" ht="15.75" hidden="false" customHeight="false" outlineLevel="0" collapsed="false">
      <c r="A4" s="7" t="s">
        <v>12</v>
      </c>
      <c r="B4" s="8" t="n">
        <v>1</v>
      </c>
      <c r="C4" s="9" t="n">
        <v>0</v>
      </c>
      <c r="D4" s="9" t="n">
        <v>0</v>
      </c>
      <c r="E4" s="9" t="n">
        <v>0</v>
      </c>
      <c r="F4" s="9" t="n">
        <v>0</v>
      </c>
      <c r="G4" s="9" t="n">
        <v>0</v>
      </c>
      <c r="H4" s="9" t="n">
        <v>0</v>
      </c>
      <c r="I4" s="9" t="n">
        <v>0</v>
      </c>
      <c r="J4" s="9" t="n">
        <v>0</v>
      </c>
    </row>
    <row r="5" customFormat="false" ht="15.75" hidden="false" customHeight="false" outlineLevel="0" collapsed="false">
      <c r="A5" s="7" t="s">
        <v>13</v>
      </c>
      <c r="B5" s="8" t="n">
        <v>1</v>
      </c>
      <c r="C5" s="9" t="n">
        <v>1221</v>
      </c>
      <c r="D5" s="9" t="n">
        <v>40068502</v>
      </c>
      <c r="E5" s="9" t="n">
        <v>0</v>
      </c>
      <c r="F5" s="9" t="n">
        <v>0</v>
      </c>
      <c r="G5" s="9" t="n">
        <v>94</v>
      </c>
      <c r="H5" s="9" t="n">
        <v>3084717</v>
      </c>
      <c r="I5" s="9" t="n">
        <v>1127</v>
      </c>
      <c r="J5" s="9" t="n">
        <v>36983785</v>
      </c>
    </row>
    <row r="6" customFormat="false" ht="15.75" hidden="false" customHeight="false" outlineLevel="0" collapsed="false">
      <c r="A6" s="7" t="s">
        <v>14</v>
      </c>
      <c r="B6" s="8" t="n">
        <v>1</v>
      </c>
      <c r="C6" s="9" t="n">
        <v>125</v>
      </c>
      <c r="D6" s="9" t="n">
        <v>37241817</v>
      </c>
      <c r="E6" s="9" t="n">
        <v>0</v>
      </c>
      <c r="F6" s="9" t="n">
        <v>0</v>
      </c>
      <c r="G6" s="9" t="n">
        <v>0</v>
      </c>
      <c r="H6" s="9" t="n">
        <v>0</v>
      </c>
      <c r="I6" s="9" t="n">
        <v>125</v>
      </c>
      <c r="J6" s="9" t="n">
        <v>37241817</v>
      </c>
    </row>
    <row r="7" customFormat="false" ht="15.75" hidden="false" customHeight="false" outlineLevel="0" collapsed="false">
      <c r="A7" s="7" t="s">
        <v>15</v>
      </c>
      <c r="B7" s="8" t="n">
        <v>1</v>
      </c>
      <c r="C7" s="9" t="n">
        <v>510</v>
      </c>
      <c r="D7" s="9" t="n">
        <v>69373706</v>
      </c>
      <c r="E7" s="9" t="n">
        <v>0</v>
      </c>
      <c r="F7" s="9" t="n">
        <v>0</v>
      </c>
      <c r="G7" s="9" t="n">
        <v>0</v>
      </c>
      <c r="H7" s="9" t="n">
        <v>0</v>
      </c>
      <c r="I7" s="9" t="n">
        <v>510</v>
      </c>
      <c r="J7" s="9" t="n">
        <v>69373706</v>
      </c>
    </row>
    <row r="8" customFormat="false" ht="15.75" hidden="false" customHeight="false" outlineLevel="0" collapsed="false">
      <c r="A8" s="7" t="s">
        <v>16</v>
      </c>
      <c r="B8" s="8" t="n">
        <v>1</v>
      </c>
      <c r="C8" s="9" t="n">
        <v>354</v>
      </c>
      <c r="D8" s="9" t="n">
        <v>55405030</v>
      </c>
      <c r="E8" s="9" t="n">
        <v>0</v>
      </c>
      <c r="F8" s="9" t="n">
        <v>0</v>
      </c>
      <c r="G8" s="9" t="n">
        <v>0</v>
      </c>
      <c r="H8" s="9" t="n">
        <v>0</v>
      </c>
      <c r="I8" s="9" t="n">
        <v>354</v>
      </c>
      <c r="J8" s="9" t="n">
        <v>55405030</v>
      </c>
    </row>
    <row r="9" customFormat="false" ht="15.75" hidden="false" customHeight="false" outlineLevel="0" collapsed="false">
      <c r="A9" s="7" t="s">
        <v>17</v>
      </c>
      <c r="B9" s="8" t="n">
        <v>1</v>
      </c>
      <c r="C9" s="9" t="n">
        <v>169</v>
      </c>
      <c r="D9" s="9" t="n">
        <v>40442640</v>
      </c>
      <c r="E9" s="9" t="n">
        <v>0</v>
      </c>
      <c r="F9" s="9" t="n">
        <v>0</v>
      </c>
      <c r="G9" s="9" t="n">
        <v>0</v>
      </c>
      <c r="H9" s="9" t="n">
        <v>0</v>
      </c>
      <c r="I9" s="9" t="n">
        <v>169</v>
      </c>
      <c r="J9" s="9" t="n">
        <v>40442640</v>
      </c>
    </row>
    <row r="10" customFormat="false" ht="15.75" hidden="false" customHeight="false" outlineLevel="0" collapsed="false">
      <c r="A10" s="7" t="s">
        <v>18</v>
      </c>
      <c r="B10" s="8" t="n">
        <v>1</v>
      </c>
      <c r="C10" s="9" t="n">
        <v>894</v>
      </c>
      <c r="D10" s="9" t="n">
        <v>19467870</v>
      </c>
      <c r="E10" s="9" t="n">
        <v>0</v>
      </c>
      <c r="F10" s="9" t="n">
        <v>0</v>
      </c>
      <c r="G10" s="9" t="n">
        <v>0</v>
      </c>
      <c r="H10" s="9" t="n">
        <v>0</v>
      </c>
      <c r="I10" s="9" t="n">
        <v>894</v>
      </c>
      <c r="J10" s="9" t="n">
        <v>19467870</v>
      </c>
    </row>
    <row r="11" customFormat="false" ht="15.75" hidden="false" customHeight="false" outlineLevel="0" collapsed="false">
      <c r="A11" s="7" t="s">
        <v>19</v>
      </c>
      <c r="B11" s="8" t="n">
        <v>1</v>
      </c>
      <c r="C11" s="9" t="n">
        <v>180</v>
      </c>
      <c r="D11" s="9" t="n">
        <v>3904035</v>
      </c>
      <c r="E11" s="9" t="n">
        <v>0</v>
      </c>
      <c r="F11" s="9" t="n">
        <v>0</v>
      </c>
      <c r="G11" s="9" t="n">
        <v>0</v>
      </c>
      <c r="H11" s="9" t="n">
        <v>0</v>
      </c>
      <c r="I11" s="9" t="n">
        <v>180</v>
      </c>
      <c r="J11" s="9" t="n">
        <v>3904035</v>
      </c>
    </row>
    <row r="12" customFormat="false" ht="15.75" hidden="false" customHeight="false" outlineLevel="0" collapsed="false">
      <c r="A12" s="7" t="s">
        <v>20</v>
      </c>
      <c r="B12" s="8" t="n">
        <v>1</v>
      </c>
      <c r="C12" s="9" t="n">
        <v>307</v>
      </c>
      <c r="D12" s="9" t="n">
        <v>32682234</v>
      </c>
      <c r="E12" s="9" t="n">
        <v>0</v>
      </c>
      <c r="F12" s="9" t="n">
        <v>0</v>
      </c>
      <c r="G12" s="9" t="n">
        <v>0</v>
      </c>
      <c r="H12" s="9" t="n">
        <v>0</v>
      </c>
      <c r="I12" s="9" t="n">
        <v>307</v>
      </c>
      <c r="J12" s="9" t="n">
        <v>32682234</v>
      </c>
    </row>
    <row r="13" customFormat="false" ht="15.75" hidden="false" customHeight="false" outlineLevel="0" collapsed="false">
      <c r="A13" s="7" t="s">
        <v>21</v>
      </c>
      <c r="B13" s="8" t="n">
        <v>1</v>
      </c>
      <c r="C13" s="9" t="n">
        <v>192</v>
      </c>
      <c r="D13" s="9" t="n">
        <v>45946668</v>
      </c>
      <c r="E13" s="9" t="n">
        <v>0</v>
      </c>
      <c r="F13" s="9" t="n">
        <v>0</v>
      </c>
      <c r="G13" s="9" t="n">
        <v>0</v>
      </c>
      <c r="H13" s="9" t="n">
        <v>0</v>
      </c>
      <c r="I13" s="9" t="n">
        <v>192</v>
      </c>
      <c r="J13" s="9" t="n">
        <v>45946668</v>
      </c>
    </row>
    <row r="14" customFormat="false" ht="15.75" hidden="false" customHeight="false" outlineLevel="0" collapsed="false">
      <c r="A14" s="7" t="s">
        <v>22</v>
      </c>
      <c r="B14" s="8" t="n">
        <v>1</v>
      </c>
      <c r="C14" s="9" t="n">
        <v>18</v>
      </c>
      <c r="D14" s="9" t="n">
        <v>407934</v>
      </c>
      <c r="E14" s="9" t="n">
        <v>0</v>
      </c>
      <c r="F14" s="9" t="n">
        <v>0</v>
      </c>
      <c r="G14" s="9" t="n">
        <v>0</v>
      </c>
      <c r="H14" s="9" t="n">
        <v>0</v>
      </c>
      <c r="I14" s="9" t="n">
        <v>18</v>
      </c>
      <c r="J14" s="9" t="n">
        <v>407934</v>
      </c>
    </row>
    <row r="15" customFormat="false" ht="15.75" hidden="false" customHeight="false" outlineLevel="0" collapsed="false">
      <c r="A15" s="7" t="s">
        <v>23</v>
      </c>
      <c r="B15" s="8" t="n">
        <v>1</v>
      </c>
      <c r="C15" s="9" t="n">
        <v>0</v>
      </c>
      <c r="D15" s="9" t="n">
        <v>0</v>
      </c>
      <c r="E15" s="9" t="n">
        <v>0</v>
      </c>
      <c r="F15" s="9" t="n">
        <v>0</v>
      </c>
      <c r="G15" s="9" t="n">
        <v>0</v>
      </c>
      <c r="H15" s="9" t="n">
        <v>0</v>
      </c>
      <c r="I15" s="9" t="n">
        <v>0</v>
      </c>
      <c r="J15" s="9" t="n">
        <v>0</v>
      </c>
    </row>
    <row r="16" customFormat="false" ht="15.75" hidden="false" customHeight="false" outlineLevel="0" collapsed="false">
      <c r="A16" s="7" t="s">
        <v>24</v>
      </c>
      <c r="B16" s="8" t="n">
        <v>1</v>
      </c>
      <c r="C16" s="9" t="n">
        <v>0</v>
      </c>
      <c r="D16" s="9" t="n">
        <v>0</v>
      </c>
      <c r="E16" s="9" t="n">
        <v>0</v>
      </c>
      <c r="F16" s="9" t="n">
        <v>0</v>
      </c>
      <c r="G16" s="9" t="n">
        <v>0</v>
      </c>
      <c r="H16" s="9" t="n">
        <v>0</v>
      </c>
      <c r="I16" s="9" t="n">
        <v>0</v>
      </c>
      <c r="J16" s="9" t="n">
        <v>0</v>
      </c>
    </row>
    <row r="17" customFormat="false" ht="15.75" hidden="false" customHeight="false" outlineLevel="0" collapsed="false">
      <c r="A17" s="7" t="s">
        <v>25</v>
      </c>
      <c r="B17" s="8" t="n">
        <v>1</v>
      </c>
      <c r="C17" s="9" t="n">
        <v>0</v>
      </c>
      <c r="D17" s="9" t="n">
        <v>0</v>
      </c>
      <c r="E17" s="9" t="n">
        <v>35</v>
      </c>
      <c r="F17" s="9" t="n">
        <v>731815</v>
      </c>
      <c r="G17" s="9" t="n">
        <v>0</v>
      </c>
      <c r="H17" s="9" t="n">
        <v>0</v>
      </c>
      <c r="I17" s="9" t="n">
        <v>35</v>
      </c>
      <c r="J17" s="9" t="n">
        <v>731815</v>
      </c>
    </row>
    <row r="18" customFormat="false" ht="15.75" hidden="false" customHeight="false" outlineLevel="0" collapsed="false">
      <c r="A18" s="7" t="s">
        <v>26</v>
      </c>
      <c r="B18" s="8" t="n">
        <v>1</v>
      </c>
      <c r="C18" s="9" t="n">
        <v>0</v>
      </c>
      <c r="D18" s="9" t="n">
        <v>0</v>
      </c>
      <c r="E18" s="9" t="n">
        <v>48</v>
      </c>
      <c r="F18" s="9" t="n">
        <v>1221840</v>
      </c>
      <c r="G18" s="9" t="n">
        <v>0</v>
      </c>
      <c r="H18" s="9" t="n">
        <v>0</v>
      </c>
      <c r="I18" s="9" t="n">
        <v>48</v>
      </c>
      <c r="J18" s="9" t="n">
        <v>1221840</v>
      </c>
    </row>
    <row r="19" customFormat="false" ht="15.75" hidden="false" customHeight="false" outlineLevel="0" collapsed="false">
      <c r="A19" s="7" t="s">
        <v>27</v>
      </c>
      <c r="B19" s="8" t="n">
        <v>1</v>
      </c>
      <c r="C19" s="9" t="n">
        <v>0</v>
      </c>
      <c r="D19" s="9" t="n">
        <v>0</v>
      </c>
      <c r="E19" s="9" t="n">
        <v>0</v>
      </c>
      <c r="F19" s="9" t="n">
        <v>0</v>
      </c>
      <c r="G19" s="9" t="n">
        <v>0</v>
      </c>
      <c r="H19" s="9" t="n">
        <v>0</v>
      </c>
      <c r="I19" s="9" t="n">
        <v>0</v>
      </c>
      <c r="J19" s="9" t="n">
        <v>0</v>
      </c>
    </row>
    <row r="20" customFormat="false" ht="15.75" hidden="false" customHeight="false" outlineLevel="0" collapsed="false">
      <c r="A20" s="7" t="s">
        <v>28</v>
      </c>
      <c r="B20" s="8" t="n">
        <v>1</v>
      </c>
      <c r="C20" s="9" t="n">
        <v>0</v>
      </c>
      <c r="D20" s="9" t="n">
        <v>0</v>
      </c>
      <c r="E20" s="9" t="n">
        <v>0</v>
      </c>
      <c r="F20" s="9" t="n">
        <v>0</v>
      </c>
      <c r="G20" s="9" t="n">
        <v>0</v>
      </c>
      <c r="H20" s="9" t="n">
        <v>0</v>
      </c>
      <c r="I20" s="9" t="n">
        <v>0</v>
      </c>
      <c r="J20" s="9" t="n">
        <v>0</v>
      </c>
    </row>
    <row r="21" customFormat="false" ht="15.75" hidden="false" customHeight="false" outlineLevel="0" collapsed="false">
      <c r="A21" s="7" t="s">
        <v>29</v>
      </c>
      <c r="B21" s="8" t="n">
        <v>1</v>
      </c>
      <c r="C21" s="9" t="n">
        <v>0</v>
      </c>
      <c r="D21" s="9" t="n">
        <v>0</v>
      </c>
      <c r="E21" s="9" t="n">
        <v>150</v>
      </c>
      <c r="F21" s="9" t="n">
        <v>39640950</v>
      </c>
      <c r="G21" s="9" t="n">
        <v>0</v>
      </c>
      <c r="H21" s="9" t="n">
        <v>0</v>
      </c>
      <c r="I21" s="9" t="n">
        <v>150</v>
      </c>
      <c r="J21" s="9" t="n">
        <v>39640950</v>
      </c>
    </row>
    <row r="22" customFormat="false" ht="15.75" hidden="false" customHeight="false" outlineLevel="0" collapsed="false">
      <c r="A22" s="7" t="s">
        <v>30</v>
      </c>
      <c r="B22" s="8" t="n">
        <v>1</v>
      </c>
      <c r="C22" s="9" t="n">
        <v>0</v>
      </c>
      <c r="D22" s="9" t="n">
        <v>0</v>
      </c>
      <c r="E22" s="9" t="n">
        <v>0</v>
      </c>
      <c r="F22" s="9" t="n">
        <v>0</v>
      </c>
      <c r="G22" s="9" t="n">
        <v>0</v>
      </c>
      <c r="H22" s="9" t="n">
        <v>0</v>
      </c>
      <c r="I22" s="9" t="n">
        <v>0</v>
      </c>
      <c r="J22" s="9" t="n">
        <v>0</v>
      </c>
    </row>
    <row r="23" customFormat="false" ht="15.75" hidden="false" customHeight="false" outlineLevel="0" collapsed="false">
      <c r="A23" s="7" t="s">
        <v>31</v>
      </c>
      <c r="B23" s="8" t="n">
        <v>1</v>
      </c>
      <c r="C23" s="9" t="n">
        <v>0</v>
      </c>
      <c r="D23" s="9" t="n">
        <v>0</v>
      </c>
      <c r="E23" s="9" t="n">
        <v>0</v>
      </c>
      <c r="F23" s="9" t="n">
        <v>0</v>
      </c>
      <c r="G23" s="9" t="n">
        <v>0</v>
      </c>
      <c r="H23" s="9" t="n">
        <v>0</v>
      </c>
      <c r="I23" s="9" t="n">
        <v>0</v>
      </c>
      <c r="J23" s="9" t="n">
        <v>0</v>
      </c>
    </row>
    <row r="24" customFormat="false" ht="15.75" hidden="false" customHeight="false" outlineLevel="0" collapsed="false">
      <c r="A24" s="7" t="s">
        <v>32</v>
      </c>
      <c r="B24" s="8" t="n">
        <v>1</v>
      </c>
      <c r="C24" s="9" t="n">
        <v>0</v>
      </c>
      <c r="D24" s="9" t="n">
        <v>0</v>
      </c>
      <c r="E24" s="9" t="n">
        <v>0</v>
      </c>
      <c r="F24" s="9" t="n">
        <v>0</v>
      </c>
      <c r="G24" s="9" t="n">
        <v>0</v>
      </c>
      <c r="H24" s="9" t="n">
        <v>0</v>
      </c>
      <c r="I24" s="9" t="n">
        <v>0</v>
      </c>
      <c r="J24" s="9" t="n">
        <v>0</v>
      </c>
    </row>
    <row r="25" customFormat="false" ht="15.75" hidden="false" customHeight="false" outlineLevel="0" collapsed="false">
      <c r="A25" s="7" t="s">
        <v>33</v>
      </c>
      <c r="B25" s="8" t="n">
        <v>1</v>
      </c>
      <c r="C25" s="9" t="n">
        <v>0</v>
      </c>
      <c r="D25" s="9" t="n">
        <v>0</v>
      </c>
      <c r="E25" s="9" t="n">
        <v>0</v>
      </c>
      <c r="F25" s="9" t="n">
        <v>0</v>
      </c>
      <c r="G25" s="9" t="n">
        <v>0</v>
      </c>
      <c r="H25" s="9" t="n">
        <v>0</v>
      </c>
      <c r="I25" s="9" t="n">
        <v>0</v>
      </c>
      <c r="J25" s="9" t="n">
        <v>0</v>
      </c>
    </row>
    <row r="26" customFormat="false" ht="15.75" hidden="false" customHeight="false" outlineLevel="0" collapsed="false">
      <c r="A26" s="7" t="s">
        <v>34</v>
      </c>
      <c r="B26" s="8" t="n">
        <v>1</v>
      </c>
      <c r="C26" s="9" t="n">
        <v>0</v>
      </c>
      <c r="D26" s="9" t="n">
        <v>0</v>
      </c>
      <c r="E26" s="9" t="n">
        <v>0</v>
      </c>
      <c r="F26" s="9" t="n">
        <v>0</v>
      </c>
      <c r="G26" s="9" t="n">
        <v>0</v>
      </c>
      <c r="H26" s="9" t="n">
        <v>0</v>
      </c>
      <c r="I26" s="9" t="n">
        <v>0</v>
      </c>
      <c r="J26" s="9" t="n">
        <v>0</v>
      </c>
    </row>
    <row r="27" customFormat="false" ht="15.75" hidden="false" customHeight="false" outlineLevel="0" collapsed="false">
      <c r="A27" s="7" t="s">
        <v>35</v>
      </c>
      <c r="B27" s="8" t="n">
        <v>1</v>
      </c>
      <c r="C27" s="9" t="n">
        <v>0</v>
      </c>
      <c r="D27" s="9" t="n">
        <v>0</v>
      </c>
      <c r="E27" s="9" t="n">
        <v>0</v>
      </c>
      <c r="F27" s="9" t="n">
        <v>0</v>
      </c>
      <c r="G27" s="9" t="n">
        <v>0</v>
      </c>
      <c r="H27" s="9" t="n">
        <v>0</v>
      </c>
      <c r="I27" s="9" t="n">
        <v>0</v>
      </c>
      <c r="J27" s="9" t="n">
        <v>0</v>
      </c>
    </row>
    <row r="28" customFormat="false" ht="15.75" hidden="false" customHeight="false" outlineLevel="0" collapsed="false">
      <c r="A28" s="7" t="s">
        <v>36</v>
      </c>
      <c r="B28" s="8" t="n">
        <v>1</v>
      </c>
      <c r="C28" s="9" t="n">
        <v>0</v>
      </c>
      <c r="D28" s="9" t="n">
        <v>0</v>
      </c>
      <c r="E28" s="9" t="n">
        <v>0</v>
      </c>
      <c r="F28" s="9" t="n">
        <v>0</v>
      </c>
      <c r="G28" s="9" t="n">
        <v>0</v>
      </c>
      <c r="H28" s="9" t="n">
        <v>0</v>
      </c>
      <c r="I28" s="9" t="n">
        <v>0</v>
      </c>
      <c r="J28" s="9" t="n">
        <v>0</v>
      </c>
    </row>
    <row r="29" customFormat="false" ht="15.75" hidden="false" customHeight="false" outlineLevel="0" collapsed="false">
      <c r="A29" s="7" t="s">
        <v>37</v>
      </c>
      <c r="B29" s="8" t="n">
        <v>1</v>
      </c>
      <c r="C29" s="9" t="n">
        <v>7735</v>
      </c>
      <c r="D29" s="9" t="n">
        <v>419285251</v>
      </c>
      <c r="E29" s="9" t="n">
        <v>3520</v>
      </c>
      <c r="F29" s="9" t="n">
        <v>186528320</v>
      </c>
      <c r="G29" s="9" t="n">
        <v>2784</v>
      </c>
      <c r="H29" s="9" t="n">
        <v>149852064</v>
      </c>
      <c r="I29" s="9" t="n">
        <v>8471</v>
      </c>
      <c r="J29" s="9" t="n">
        <v>455961507</v>
      </c>
    </row>
    <row r="30" customFormat="false" ht="15.75" hidden="false" customHeight="false" outlineLevel="0" collapsed="false">
      <c r="A30" s="7" t="s">
        <v>38</v>
      </c>
      <c r="B30" s="8" t="n">
        <v>1</v>
      </c>
      <c r="C30" s="9" t="n">
        <v>7629</v>
      </c>
      <c r="D30" s="9" t="n">
        <v>238731747</v>
      </c>
      <c r="E30" s="9" t="n">
        <v>7920</v>
      </c>
      <c r="F30" s="9" t="n">
        <v>234653760</v>
      </c>
      <c r="G30" s="9" t="n">
        <v>7164</v>
      </c>
      <c r="H30" s="9" t="n">
        <v>218106230</v>
      </c>
      <c r="I30" s="9" t="n">
        <v>8385</v>
      </c>
      <c r="J30" s="9" t="n">
        <v>255279277</v>
      </c>
    </row>
    <row r="31" customFormat="false" ht="15.75" hidden="false" customHeight="false" outlineLevel="0" collapsed="false">
      <c r="A31" s="7" t="s">
        <v>39</v>
      </c>
      <c r="B31" s="8" t="n">
        <v>1</v>
      </c>
      <c r="C31" s="9" t="n">
        <v>2385</v>
      </c>
      <c r="D31" s="9" t="n">
        <v>81090000</v>
      </c>
      <c r="E31" s="9" t="n">
        <v>2640</v>
      </c>
      <c r="F31" s="9" t="n">
        <v>88912560</v>
      </c>
      <c r="G31" s="9" t="n">
        <v>2415</v>
      </c>
      <c r="H31" s="9" t="n">
        <v>81702723</v>
      </c>
      <c r="I31" s="9" t="n">
        <v>2610</v>
      </c>
      <c r="J31" s="9" t="n">
        <v>88299837</v>
      </c>
    </row>
    <row r="32" customFormat="false" ht="15.75" hidden="false" customHeight="false" outlineLevel="0" collapsed="false">
      <c r="A32" s="7" t="s">
        <v>40</v>
      </c>
      <c r="B32" s="8" t="n">
        <v>1</v>
      </c>
      <c r="C32" s="9" t="n">
        <v>0</v>
      </c>
      <c r="D32" s="9" t="n">
        <v>0</v>
      </c>
      <c r="E32" s="9" t="n">
        <v>0</v>
      </c>
      <c r="F32" s="9" t="n">
        <v>0</v>
      </c>
      <c r="G32" s="9" t="n">
        <v>0</v>
      </c>
      <c r="H32" s="9" t="n">
        <v>0</v>
      </c>
      <c r="I32" s="9" t="n">
        <v>0</v>
      </c>
      <c r="J32" s="9" t="n">
        <v>0</v>
      </c>
    </row>
    <row r="33" customFormat="false" ht="15.75" hidden="false" customHeight="false" outlineLevel="0" collapsed="false">
      <c r="A33" s="7" t="s">
        <v>41</v>
      </c>
      <c r="B33" s="8" t="n">
        <v>1</v>
      </c>
      <c r="C33" s="9" t="n">
        <v>0</v>
      </c>
      <c r="D33" s="9" t="n">
        <v>0</v>
      </c>
      <c r="E33" s="9" t="n">
        <v>0</v>
      </c>
      <c r="F33" s="9" t="n">
        <v>0</v>
      </c>
      <c r="G33" s="9" t="n">
        <v>0</v>
      </c>
      <c r="H33" s="9" t="n">
        <v>0</v>
      </c>
      <c r="I33" s="9" t="n">
        <v>0</v>
      </c>
      <c r="J33" s="9" t="n">
        <v>0</v>
      </c>
    </row>
    <row r="34" customFormat="false" ht="15.75" hidden="false" customHeight="false" outlineLevel="0" collapsed="false">
      <c r="A34" s="7" t="s">
        <v>42</v>
      </c>
      <c r="B34" s="8" t="n">
        <v>1</v>
      </c>
      <c r="C34" s="9" t="n">
        <v>0</v>
      </c>
      <c r="D34" s="9" t="n">
        <v>0</v>
      </c>
      <c r="E34" s="9" t="n">
        <v>0</v>
      </c>
      <c r="F34" s="9" t="n">
        <v>0</v>
      </c>
      <c r="G34" s="9" t="n">
        <v>0</v>
      </c>
      <c r="H34" s="9" t="n">
        <v>0</v>
      </c>
      <c r="I34" s="9" t="n">
        <v>0</v>
      </c>
      <c r="J34" s="9" t="n">
        <v>0</v>
      </c>
    </row>
    <row r="35" customFormat="false" ht="15.75" hidden="false" customHeight="false" outlineLevel="0" collapsed="false">
      <c r="A35" s="7" t="s">
        <v>43</v>
      </c>
      <c r="B35" s="8" t="n">
        <v>1</v>
      </c>
      <c r="C35" s="9" t="n">
        <v>0</v>
      </c>
      <c r="D35" s="9" t="n">
        <v>0</v>
      </c>
      <c r="E35" s="9" t="n">
        <v>0</v>
      </c>
      <c r="F35" s="9" t="n">
        <v>0</v>
      </c>
      <c r="G35" s="9" t="n">
        <v>0</v>
      </c>
      <c r="H35" s="9" t="n">
        <v>0</v>
      </c>
      <c r="I35" s="9" t="n">
        <v>0</v>
      </c>
      <c r="J35" s="9" t="n">
        <v>0</v>
      </c>
    </row>
    <row r="36" customFormat="false" ht="15.75" hidden="false" customHeight="false" outlineLevel="0" collapsed="false">
      <c r="A36" s="7" t="s">
        <v>44</v>
      </c>
      <c r="B36" s="8" t="n">
        <v>1</v>
      </c>
      <c r="C36" s="9" t="n">
        <v>1145</v>
      </c>
      <c r="D36" s="9" t="n">
        <v>38562218</v>
      </c>
      <c r="E36" s="9" t="n">
        <v>225</v>
      </c>
      <c r="F36" s="9" t="n">
        <v>7577775</v>
      </c>
      <c r="G36" s="9" t="n">
        <v>435</v>
      </c>
      <c r="H36" s="9" t="n">
        <v>14650290</v>
      </c>
      <c r="I36" s="9" t="n">
        <v>935</v>
      </c>
      <c r="J36" s="9" t="n">
        <v>31489703</v>
      </c>
    </row>
    <row r="37" customFormat="false" ht="15.75" hidden="false" customHeight="false" outlineLevel="0" collapsed="false">
      <c r="A37" s="7" t="s">
        <v>45</v>
      </c>
      <c r="B37" s="8" t="n">
        <v>1</v>
      </c>
      <c r="C37" s="9" t="n">
        <v>1092</v>
      </c>
      <c r="D37" s="9" t="n">
        <v>36775281</v>
      </c>
      <c r="E37" s="9" t="n">
        <v>0</v>
      </c>
      <c r="F37" s="9" t="n">
        <v>0</v>
      </c>
      <c r="G37" s="9" t="n">
        <v>30</v>
      </c>
      <c r="H37" s="9" t="n">
        <v>1010310</v>
      </c>
      <c r="I37" s="9" t="n">
        <v>1062</v>
      </c>
      <c r="J37" s="9" t="n">
        <v>35764971</v>
      </c>
    </row>
    <row r="38" customFormat="false" ht="15.75" hidden="false" customHeight="false" outlineLevel="0" collapsed="false">
      <c r="A38" s="7" t="s">
        <v>46</v>
      </c>
      <c r="B38" s="8" t="n">
        <v>1</v>
      </c>
      <c r="C38" s="9" t="n">
        <v>0</v>
      </c>
      <c r="D38" s="9" t="n">
        <v>0</v>
      </c>
      <c r="E38" s="9" t="n">
        <v>0</v>
      </c>
      <c r="F38" s="9" t="n">
        <v>0</v>
      </c>
      <c r="G38" s="9" t="n">
        <v>0</v>
      </c>
      <c r="H38" s="9" t="n">
        <v>0</v>
      </c>
      <c r="I38" s="9" t="n">
        <v>0</v>
      </c>
      <c r="J38" s="9" t="n">
        <v>0</v>
      </c>
    </row>
    <row r="39" customFormat="false" ht="15.75" hidden="false" customHeight="false" outlineLevel="0" collapsed="false">
      <c r="A39" s="7" t="s">
        <v>47</v>
      </c>
      <c r="B39" s="8" t="n">
        <v>1</v>
      </c>
      <c r="C39" s="9" t="n">
        <v>0</v>
      </c>
      <c r="D39" s="9" t="n">
        <v>0</v>
      </c>
      <c r="E39" s="9" t="n">
        <v>1250</v>
      </c>
      <c r="F39" s="9" t="n">
        <v>5681250</v>
      </c>
      <c r="G39" s="9" t="n">
        <v>0</v>
      </c>
      <c r="H39" s="9" t="n">
        <v>0</v>
      </c>
      <c r="I39" s="9" t="n">
        <v>1250</v>
      </c>
      <c r="J39" s="9" t="n">
        <v>5681250</v>
      </c>
    </row>
    <row r="40" customFormat="false" ht="15.75" hidden="false" customHeight="false" outlineLevel="0" collapsed="false">
      <c r="A40" s="7" t="s">
        <v>48</v>
      </c>
      <c r="B40" s="8" t="n">
        <v>1</v>
      </c>
      <c r="C40" s="9" t="n">
        <v>0</v>
      </c>
      <c r="D40" s="9" t="n">
        <v>0</v>
      </c>
      <c r="E40" s="9" t="n">
        <v>0</v>
      </c>
      <c r="F40" s="9" t="n">
        <v>0</v>
      </c>
      <c r="G40" s="9" t="n">
        <v>0</v>
      </c>
      <c r="H40" s="9" t="n">
        <v>0</v>
      </c>
      <c r="I40" s="9" t="n">
        <v>0</v>
      </c>
      <c r="J40" s="9" t="n">
        <v>0</v>
      </c>
    </row>
    <row r="41" customFormat="false" ht="15.75" hidden="false" customHeight="false" outlineLevel="0" collapsed="false">
      <c r="A41" s="7" t="s">
        <v>49</v>
      </c>
      <c r="B41" s="8" t="n">
        <v>1</v>
      </c>
      <c r="C41" s="9" t="n">
        <v>0</v>
      </c>
      <c r="D41" s="9" t="n">
        <v>0</v>
      </c>
      <c r="E41" s="9" t="n">
        <v>1200</v>
      </c>
      <c r="F41" s="9" t="n">
        <v>5672400</v>
      </c>
      <c r="G41" s="9" t="n">
        <v>0</v>
      </c>
      <c r="H41" s="9" t="n">
        <v>0</v>
      </c>
      <c r="I41" s="9" t="n">
        <v>1200</v>
      </c>
      <c r="J41" s="9" t="n">
        <v>5672400</v>
      </c>
    </row>
    <row r="42" customFormat="false" ht="15.75" hidden="false" customHeight="false" outlineLevel="0" collapsed="false">
      <c r="A42" s="7" t="s">
        <v>50</v>
      </c>
      <c r="B42" s="8" t="n">
        <v>1</v>
      </c>
      <c r="C42" s="9" t="n">
        <v>0</v>
      </c>
      <c r="D42" s="9" t="n">
        <v>0</v>
      </c>
      <c r="E42" s="9" t="n">
        <v>0</v>
      </c>
      <c r="F42" s="9" t="n">
        <v>0</v>
      </c>
      <c r="G42" s="9" t="n">
        <v>0</v>
      </c>
      <c r="H42" s="9" t="n">
        <v>0</v>
      </c>
      <c r="I42" s="9" t="n">
        <v>0</v>
      </c>
      <c r="J42" s="9" t="n">
        <v>0</v>
      </c>
    </row>
    <row r="43" customFormat="false" ht="15.75" hidden="false" customHeight="false" outlineLevel="0" collapsed="false">
      <c r="A43" s="7" t="s">
        <v>51</v>
      </c>
      <c r="B43" s="8" t="n">
        <v>1</v>
      </c>
      <c r="C43" s="9" t="n">
        <v>0</v>
      </c>
      <c r="D43" s="9" t="n">
        <v>0</v>
      </c>
      <c r="E43" s="9" t="n">
        <v>500</v>
      </c>
      <c r="F43" s="9" t="n">
        <v>1818000</v>
      </c>
      <c r="G43" s="9" t="n">
        <v>0</v>
      </c>
      <c r="H43" s="9" t="n">
        <v>0</v>
      </c>
      <c r="I43" s="9" t="n">
        <v>500</v>
      </c>
      <c r="J43" s="9" t="n">
        <v>1818000</v>
      </c>
    </row>
    <row r="44" customFormat="false" ht="15.75" hidden="false" customHeight="false" outlineLevel="0" collapsed="false">
      <c r="A44" s="7" t="s">
        <v>52</v>
      </c>
      <c r="B44" s="8" t="n">
        <v>1</v>
      </c>
      <c r="C44" s="9" t="n">
        <v>0</v>
      </c>
      <c r="D44" s="9" t="n">
        <v>0</v>
      </c>
      <c r="E44" s="9" t="n">
        <v>0</v>
      </c>
      <c r="F44" s="9" t="n">
        <v>0</v>
      </c>
      <c r="G44" s="9" t="n">
        <v>0</v>
      </c>
      <c r="H44" s="9" t="n">
        <v>0</v>
      </c>
      <c r="I44" s="9" t="n">
        <v>0</v>
      </c>
      <c r="J44" s="9" t="n">
        <v>0</v>
      </c>
    </row>
    <row r="45" customFormat="false" ht="15.75" hidden="false" customHeight="false" outlineLevel="0" collapsed="false">
      <c r="A45" s="7" t="s">
        <v>53</v>
      </c>
      <c r="B45" s="8" t="n">
        <v>1</v>
      </c>
      <c r="C45" s="9" t="n">
        <v>0</v>
      </c>
      <c r="D45" s="9" t="n">
        <v>0</v>
      </c>
      <c r="E45" s="9" t="n">
        <v>0</v>
      </c>
      <c r="F45" s="9" t="n">
        <v>0</v>
      </c>
      <c r="G45" s="9" t="n">
        <v>0</v>
      </c>
      <c r="H45" s="9" t="n">
        <v>0</v>
      </c>
      <c r="I45" s="9" t="n">
        <v>0</v>
      </c>
      <c r="J45" s="9" t="n">
        <v>0</v>
      </c>
    </row>
    <row r="46" customFormat="false" ht="15.75" hidden="false" customHeight="false" outlineLevel="0" collapsed="false">
      <c r="A46" s="7" t="s">
        <v>54</v>
      </c>
      <c r="B46" s="8" t="n">
        <v>1</v>
      </c>
      <c r="C46" s="9" t="n">
        <v>1680</v>
      </c>
      <c r="D46" s="9" t="n">
        <v>23136000</v>
      </c>
      <c r="E46" s="9" t="n">
        <v>7920</v>
      </c>
      <c r="F46" s="9" t="n">
        <v>107997120</v>
      </c>
      <c r="G46" s="9" t="n">
        <v>1680</v>
      </c>
      <c r="H46" s="9" t="n">
        <v>22948296</v>
      </c>
      <c r="I46" s="9" t="n">
        <v>7920</v>
      </c>
      <c r="J46" s="9" t="n">
        <v>108184824</v>
      </c>
    </row>
    <row r="47" customFormat="false" ht="15.75" hidden="false" customHeight="false" outlineLevel="0" collapsed="false">
      <c r="A47" s="7" t="s">
        <v>55</v>
      </c>
      <c r="B47" s="8" t="n">
        <v>1</v>
      </c>
      <c r="C47" s="9" t="n">
        <v>0</v>
      </c>
      <c r="D47" s="9" t="n">
        <v>0</v>
      </c>
      <c r="E47" s="9" t="n">
        <v>0</v>
      </c>
      <c r="F47" s="9" t="n">
        <v>0</v>
      </c>
      <c r="G47" s="9" t="n">
        <v>0</v>
      </c>
      <c r="H47" s="9" t="n">
        <v>0</v>
      </c>
      <c r="I47" s="9" t="n">
        <v>0</v>
      </c>
      <c r="J47" s="9" t="n">
        <v>0</v>
      </c>
    </row>
    <row r="48" customFormat="false" ht="15.75" hidden="false" customHeight="false" outlineLevel="0" collapsed="false">
      <c r="A48" s="7" t="s">
        <v>56</v>
      </c>
      <c r="B48" s="8" t="n">
        <v>1</v>
      </c>
      <c r="C48" s="9" t="n">
        <v>0</v>
      </c>
      <c r="D48" s="9" t="n">
        <v>0</v>
      </c>
      <c r="E48" s="9" t="n">
        <v>0</v>
      </c>
      <c r="F48" s="9" t="n">
        <v>0</v>
      </c>
      <c r="G48" s="9" t="n">
        <v>0</v>
      </c>
      <c r="H48" s="9" t="n">
        <v>0</v>
      </c>
      <c r="I48" s="9" t="n">
        <v>0</v>
      </c>
      <c r="J48" s="9" t="n">
        <v>0</v>
      </c>
    </row>
    <row r="49" customFormat="false" ht="15.75" hidden="false" customHeight="false" outlineLevel="0" collapsed="false">
      <c r="A49" s="7" t="s">
        <v>57</v>
      </c>
      <c r="B49" s="8" t="n">
        <v>1</v>
      </c>
      <c r="C49" s="9" t="n">
        <v>0</v>
      </c>
      <c r="D49" s="9" t="n">
        <v>0</v>
      </c>
      <c r="E49" s="9" t="n">
        <v>240</v>
      </c>
      <c r="F49" s="9" t="n">
        <v>3818160</v>
      </c>
      <c r="G49" s="9" t="n">
        <v>0</v>
      </c>
      <c r="H49" s="9" t="n">
        <v>0</v>
      </c>
      <c r="I49" s="9" t="n">
        <v>240</v>
      </c>
      <c r="J49" s="9" t="n">
        <v>3818160</v>
      </c>
    </row>
    <row r="50" customFormat="false" ht="15.75" hidden="false" customHeight="false" outlineLevel="0" collapsed="false">
      <c r="A50" s="7" t="s">
        <v>58</v>
      </c>
      <c r="B50" s="8" t="n">
        <v>1</v>
      </c>
      <c r="C50" s="9" t="n">
        <v>0</v>
      </c>
      <c r="D50" s="9" t="n">
        <v>0</v>
      </c>
      <c r="E50" s="9" t="n">
        <v>0</v>
      </c>
      <c r="F50" s="9" t="n">
        <v>0</v>
      </c>
      <c r="G50" s="9" t="n">
        <v>0</v>
      </c>
      <c r="H50" s="9" t="n">
        <v>0</v>
      </c>
      <c r="I50" s="9" t="n">
        <v>0</v>
      </c>
      <c r="J50" s="9" t="n">
        <v>0</v>
      </c>
    </row>
    <row r="51" customFormat="false" ht="15.75" hidden="false" customHeight="false" outlineLevel="0" collapsed="false">
      <c r="A51" s="7" t="s">
        <v>59</v>
      </c>
      <c r="B51" s="8" t="n">
        <v>1</v>
      </c>
      <c r="C51" s="9" t="n">
        <v>120</v>
      </c>
      <c r="D51" s="9" t="n">
        <v>1683000</v>
      </c>
      <c r="E51" s="9" t="n">
        <v>960</v>
      </c>
      <c r="F51" s="9" t="n">
        <v>13963200</v>
      </c>
      <c r="G51" s="9" t="n">
        <v>120</v>
      </c>
      <c r="H51" s="9" t="n">
        <v>1738467</v>
      </c>
      <c r="I51" s="9" t="n">
        <v>960</v>
      </c>
      <c r="J51" s="9" t="n">
        <v>13907733</v>
      </c>
    </row>
    <row r="52" customFormat="false" ht="15.75" hidden="false" customHeight="false" outlineLevel="0" collapsed="false">
      <c r="A52" s="7" t="s">
        <v>60</v>
      </c>
      <c r="B52" s="8" t="n">
        <v>1</v>
      </c>
      <c r="C52" s="9" t="n">
        <v>0</v>
      </c>
      <c r="D52" s="9" t="n">
        <v>0</v>
      </c>
      <c r="E52" s="9" t="n">
        <v>180</v>
      </c>
      <c r="F52" s="9" t="n">
        <v>5727240</v>
      </c>
      <c r="G52" s="9" t="n">
        <v>0</v>
      </c>
      <c r="H52" s="9" t="n">
        <v>0</v>
      </c>
      <c r="I52" s="9" t="n">
        <v>180</v>
      </c>
      <c r="J52" s="9" t="n">
        <v>5727240</v>
      </c>
    </row>
    <row r="53" customFormat="false" ht="15.75" hidden="false" customHeight="false" outlineLevel="0" collapsed="false">
      <c r="A53" s="7" t="s">
        <v>61</v>
      </c>
      <c r="B53" s="8" t="n">
        <v>1</v>
      </c>
      <c r="C53" s="9" t="n">
        <v>36</v>
      </c>
      <c r="D53" s="9" t="n">
        <v>1635876</v>
      </c>
      <c r="E53" s="9" t="n">
        <v>0</v>
      </c>
      <c r="F53" s="9" t="n">
        <v>0</v>
      </c>
      <c r="G53" s="9" t="n">
        <v>36</v>
      </c>
      <c r="H53" s="9" t="n">
        <v>1635876</v>
      </c>
      <c r="I53" s="9" t="n">
        <v>0</v>
      </c>
      <c r="J53" s="9" t="n">
        <v>0</v>
      </c>
    </row>
    <row r="54" customFormat="false" ht="15.75" hidden="false" customHeight="false" outlineLevel="0" collapsed="false">
      <c r="A54" s="7" t="s">
        <v>62</v>
      </c>
      <c r="B54" s="8" t="n">
        <v>1</v>
      </c>
      <c r="C54" s="9" t="n">
        <v>0</v>
      </c>
      <c r="D54" s="9" t="n">
        <v>0</v>
      </c>
      <c r="E54" s="9" t="n">
        <v>1800</v>
      </c>
      <c r="F54" s="9" t="n">
        <v>8508600</v>
      </c>
      <c r="G54" s="9" t="n">
        <v>0</v>
      </c>
      <c r="H54" s="9" t="n">
        <v>0</v>
      </c>
      <c r="I54" s="9" t="n">
        <v>1800</v>
      </c>
      <c r="J54" s="9" t="n">
        <v>8508600</v>
      </c>
    </row>
    <row r="55" customFormat="false" ht="15.75" hidden="false" customHeight="false" outlineLevel="0" collapsed="false">
      <c r="A55" s="7" t="s">
        <v>63</v>
      </c>
      <c r="B55" s="8" t="n">
        <v>1</v>
      </c>
      <c r="C55" s="9" t="n">
        <v>36</v>
      </c>
      <c r="D55" s="9" t="n">
        <v>1635876</v>
      </c>
      <c r="E55" s="9" t="n">
        <v>0</v>
      </c>
      <c r="F55" s="9" t="n">
        <v>0</v>
      </c>
      <c r="G55" s="9" t="n">
        <v>36</v>
      </c>
      <c r="H55" s="9" t="n">
        <v>1635876</v>
      </c>
      <c r="I55" s="9" t="n">
        <v>0</v>
      </c>
      <c r="J55" s="9" t="n">
        <v>0</v>
      </c>
    </row>
    <row r="56" customFormat="false" ht="15.75" hidden="false" customHeight="false" outlineLevel="0" collapsed="false">
      <c r="A56" s="7" t="s">
        <v>64</v>
      </c>
      <c r="B56" s="8" t="n">
        <v>1</v>
      </c>
      <c r="C56" s="9" t="n">
        <v>0</v>
      </c>
      <c r="D56" s="9" t="n">
        <v>0</v>
      </c>
      <c r="E56" s="9" t="n">
        <v>0</v>
      </c>
      <c r="F56" s="9" t="n">
        <v>0</v>
      </c>
      <c r="G56" s="9" t="n">
        <v>0</v>
      </c>
      <c r="H56" s="9" t="n">
        <v>0</v>
      </c>
      <c r="I56" s="9" t="n">
        <v>0</v>
      </c>
      <c r="J56" s="9" t="n">
        <v>0</v>
      </c>
    </row>
    <row r="57" customFormat="false" ht="15.75" hidden="false" customHeight="false" outlineLevel="0" collapsed="false">
      <c r="A57" s="7" t="s">
        <v>65</v>
      </c>
      <c r="B57" s="8" t="n">
        <v>1</v>
      </c>
      <c r="C57" s="9" t="n">
        <v>0</v>
      </c>
      <c r="D57" s="9" t="n">
        <v>0</v>
      </c>
      <c r="E57" s="9" t="n">
        <v>0</v>
      </c>
      <c r="F57" s="9" t="n">
        <v>0</v>
      </c>
      <c r="G57" s="9" t="n">
        <v>0</v>
      </c>
      <c r="H57" s="9" t="n">
        <v>0</v>
      </c>
      <c r="I57" s="9" t="n">
        <v>0</v>
      </c>
      <c r="J57" s="9" t="n">
        <v>0</v>
      </c>
    </row>
    <row r="58" customFormat="false" ht="15.75" hidden="false" customHeight="false" outlineLevel="0" collapsed="false">
      <c r="A58" s="7" t="s">
        <v>66</v>
      </c>
      <c r="B58" s="8" t="n">
        <v>1</v>
      </c>
      <c r="C58" s="9" t="n">
        <v>216</v>
      </c>
      <c r="D58" s="9" t="n">
        <v>3029220</v>
      </c>
      <c r="E58" s="9" t="n">
        <v>3240</v>
      </c>
      <c r="F58" s="9" t="n">
        <v>47125800</v>
      </c>
      <c r="G58" s="9" t="n">
        <v>216</v>
      </c>
      <c r="H58" s="9" t="n">
        <v>3134689</v>
      </c>
      <c r="I58" s="9" t="n">
        <v>3240</v>
      </c>
      <c r="J58" s="9" t="n">
        <v>47020331</v>
      </c>
    </row>
    <row r="59" customFormat="false" ht="15.75" hidden="false" customHeight="false" outlineLevel="0" collapsed="false">
      <c r="A59" s="7" t="s">
        <v>67</v>
      </c>
      <c r="B59" s="8" t="n">
        <v>1</v>
      </c>
      <c r="C59" s="9" t="n">
        <v>0</v>
      </c>
      <c r="D59" s="9" t="n">
        <v>0</v>
      </c>
      <c r="E59" s="9" t="n">
        <v>120</v>
      </c>
      <c r="F59" s="9" t="n">
        <v>1854600</v>
      </c>
      <c r="G59" s="9" t="n">
        <v>0</v>
      </c>
      <c r="H59" s="9" t="n">
        <v>0</v>
      </c>
      <c r="I59" s="9" t="n">
        <v>120</v>
      </c>
      <c r="J59" s="9" t="n">
        <v>1854600</v>
      </c>
    </row>
    <row r="60" customFormat="false" ht="15.75" hidden="false" customHeight="false" outlineLevel="0" collapsed="false">
      <c r="A60" s="7" t="s">
        <v>68</v>
      </c>
      <c r="B60" s="8" t="n">
        <v>1</v>
      </c>
      <c r="C60" s="9" t="n">
        <v>0</v>
      </c>
      <c r="D60" s="9" t="n">
        <v>0</v>
      </c>
      <c r="E60" s="9" t="n">
        <v>0</v>
      </c>
      <c r="F60" s="9" t="n">
        <v>0</v>
      </c>
      <c r="G60" s="9" t="n">
        <v>0</v>
      </c>
      <c r="H60" s="9" t="n">
        <v>0</v>
      </c>
      <c r="I60" s="9" t="n">
        <v>0</v>
      </c>
      <c r="J60" s="9" t="n">
        <v>0</v>
      </c>
    </row>
    <row r="61" customFormat="false" ht="15.75" hidden="false" customHeight="false" outlineLevel="0" collapsed="false">
      <c r="A61" s="7" t="s">
        <v>69</v>
      </c>
      <c r="B61" s="8" t="n">
        <v>1</v>
      </c>
      <c r="C61" s="9" t="n">
        <v>0</v>
      </c>
      <c r="D61" s="9" t="n">
        <v>0</v>
      </c>
      <c r="E61" s="9" t="n">
        <v>0</v>
      </c>
      <c r="F61" s="9" t="n">
        <v>0</v>
      </c>
      <c r="G61" s="9" t="n">
        <v>0</v>
      </c>
      <c r="H61" s="9" t="n">
        <v>0</v>
      </c>
      <c r="I61" s="9" t="n">
        <v>0</v>
      </c>
      <c r="J61" s="9" t="n">
        <v>0</v>
      </c>
    </row>
    <row r="62" customFormat="false" ht="15.75" hidden="false" customHeight="false" outlineLevel="0" collapsed="false">
      <c r="A62" s="7" t="s">
        <v>70</v>
      </c>
      <c r="B62" s="8" t="n">
        <v>1</v>
      </c>
      <c r="C62" s="9" t="n">
        <v>0</v>
      </c>
      <c r="D62" s="9" t="n">
        <v>0</v>
      </c>
      <c r="E62" s="9" t="n">
        <v>0</v>
      </c>
      <c r="F62" s="9" t="n">
        <v>0</v>
      </c>
      <c r="G62" s="9" t="n">
        <v>0</v>
      </c>
      <c r="H62" s="9" t="n">
        <v>0</v>
      </c>
      <c r="I62" s="9" t="n">
        <v>0</v>
      </c>
      <c r="J62" s="9" t="n">
        <v>0</v>
      </c>
    </row>
    <row r="63" customFormat="false" ht="15.75" hidden="false" customHeight="false" outlineLevel="0" collapsed="false">
      <c r="A63" s="7" t="s">
        <v>71</v>
      </c>
      <c r="B63" s="8" t="n">
        <v>1</v>
      </c>
      <c r="C63" s="9" t="n">
        <v>0</v>
      </c>
      <c r="D63" s="9" t="n">
        <v>0</v>
      </c>
      <c r="E63" s="9" t="n">
        <v>0</v>
      </c>
      <c r="F63" s="9" t="n">
        <v>0</v>
      </c>
      <c r="G63" s="9" t="n">
        <v>0</v>
      </c>
      <c r="H63" s="9" t="n">
        <v>0</v>
      </c>
      <c r="I63" s="9" t="n">
        <v>0</v>
      </c>
      <c r="J63" s="9" t="n">
        <v>0</v>
      </c>
    </row>
    <row r="64" customFormat="false" ht="15.75" hidden="false" customHeight="false" outlineLevel="0" collapsed="false">
      <c r="A64" s="7" t="s">
        <v>72</v>
      </c>
      <c r="B64" s="8" t="n">
        <v>1</v>
      </c>
      <c r="C64" s="9" t="n">
        <v>588</v>
      </c>
      <c r="D64" s="9" t="n">
        <v>9702000</v>
      </c>
      <c r="E64" s="9" t="n">
        <v>240</v>
      </c>
      <c r="F64" s="9" t="n">
        <v>5018160</v>
      </c>
      <c r="G64" s="9" t="n">
        <v>588</v>
      </c>
      <c r="H64" s="9" t="n">
        <v>10453447</v>
      </c>
      <c r="I64" s="9" t="n">
        <v>240</v>
      </c>
      <c r="J64" s="9" t="n">
        <v>4266713</v>
      </c>
    </row>
    <row r="65" customFormat="false" ht="15.75" hidden="false" customHeight="false" outlineLevel="0" collapsed="false">
      <c r="A65" s="7" t="s">
        <v>73</v>
      </c>
      <c r="B65" s="8" t="n">
        <v>1</v>
      </c>
      <c r="C65" s="9" t="n">
        <v>0</v>
      </c>
      <c r="D65" s="9" t="n">
        <v>0</v>
      </c>
      <c r="E65" s="9" t="n">
        <v>360</v>
      </c>
      <c r="F65" s="9" t="n">
        <v>11127240</v>
      </c>
      <c r="G65" s="9" t="n">
        <v>0</v>
      </c>
      <c r="H65" s="9" t="n">
        <v>0</v>
      </c>
      <c r="I65" s="9" t="n">
        <v>360</v>
      </c>
      <c r="J65" s="9" t="n">
        <v>11127240</v>
      </c>
    </row>
    <row r="66" customFormat="false" ht="15.75" hidden="false" customHeight="false" outlineLevel="0" collapsed="false">
      <c r="A66" s="7" t="s">
        <v>74</v>
      </c>
      <c r="B66" s="8" t="n">
        <v>1</v>
      </c>
      <c r="C66" s="9" t="n">
        <v>1320</v>
      </c>
      <c r="D66" s="9" t="n">
        <v>14520000</v>
      </c>
      <c r="E66" s="9" t="n">
        <v>1080</v>
      </c>
      <c r="F66" s="9" t="n">
        <v>14726880</v>
      </c>
      <c r="G66" s="9" t="n">
        <v>1320</v>
      </c>
      <c r="H66" s="9" t="n">
        <v>16085784</v>
      </c>
      <c r="I66" s="9" t="n">
        <v>1080</v>
      </c>
      <c r="J66" s="9" t="n">
        <v>13161096</v>
      </c>
    </row>
    <row r="67" customFormat="false" ht="15.75" hidden="false" customHeight="false" outlineLevel="0" collapsed="false">
      <c r="A67" s="7" t="s">
        <v>75</v>
      </c>
      <c r="B67" s="8" t="n">
        <v>1</v>
      </c>
      <c r="C67" s="9" t="n">
        <v>0</v>
      </c>
      <c r="D67" s="9" t="n">
        <v>0</v>
      </c>
      <c r="E67" s="9" t="n">
        <v>0</v>
      </c>
      <c r="F67" s="9" t="n">
        <v>0</v>
      </c>
      <c r="G67" s="9" t="n">
        <v>0</v>
      </c>
      <c r="H67" s="9" t="n">
        <v>0</v>
      </c>
      <c r="I67" s="9" t="n">
        <v>0</v>
      </c>
      <c r="J67" s="9" t="n">
        <v>0</v>
      </c>
    </row>
    <row r="68" customFormat="false" ht="15.75" hidden="false" customHeight="false" outlineLevel="0" collapsed="false">
      <c r="A68" s="7" t="s">
        <v>76</v>
      </c>
      <c r="B68" s="8" t="n">
        <v>1</v>
      </c>
      <c r="C68" s="9" t="n">
        <v>0</v>
      </c>
      <c r="D68" s="9" t="n">
        <v>0</v>
      </c>
      <c r="E68" s="9" t="n">
        <v>0</v>
      </c>
      <c r="F68" s="9" t="n">
        <v>0</v>
      </c>
      <c r="G68" s="9" t="n">
        <v>0</v>
      </c>
      <c r="H68" s="9" t="n">
        <v>0</v>
      </c>
      <c r="I68" s="9" t="n">
        <v>0</v>
      </c>
      <c r="J68" s="9" t="n">
        <v>0</v>
      </c>
    </row>
    <row r="69" customFormat="false" ht="15.75" hidden="false" customHeight="false" outlineLevel="0" collapsed="false">
      <c r="A69" s="7" t="s">
        <v>77</v>
      </c>
      <c r="B69" s="8" t="n">
        <v>1</v>
      </c>
      <c r="C69" s="9" t="n">
        <v>0</v>
      </c>
      <c r="D69" s="9" t="n">
        <v>0</v>
      </c>
      <c r="E69" s="9" t="n">
        <v>0</v>
      </c>
      <c r="F69" s="9" t="n">
        <v>0</v>
      </c>
      <c r="G69" s="9" t="n">
        <v>0</v>
      </c>
      <c r="H69" s="9" t="n">
        <v>0</v>
      </c>
      <c r="I69" s="9" t="n">
        <v>0</v>
      </c>
      <c r="J69" s="9" t="n">
        <v>0</v>
      </c>
    </row>
    <row r="70" customFormat="false" ht="15.75" hidden="false" customHeight="false" outlineLevel="0" collapsed="false">
      <c r="A70" s="7" t="s">
        <v>78</v>
      </c>
      <c r="B70" s="8" t="n">
        <v>1</v>
      </c>
      <c r="C70" s="9" t="n">
        <v>240</v>
      </c>
      <c r="D70" s="9" t="n">
        <v>2311320</v>
      </c>
      <c r="E70" s="9" t="n">
        <v>1200</v>
      </c>
      <c r="F70" s="9" t="n">
        <v>12000000</v>
      </c>
      <c r="G70" s="9" t="n">
        <v>240</v>
      </c>
      <c r="H70" s="9" t="n">
        <v>2385220</v>
      </c>
      <c r="I70" s="9" t="n">
        <v>1200</v>
      </c>
      <c r="J70" s="9" t="n">
        <v>11926100</v>
      </c>
    </row>
    <row r="71" customFormat="false" ht="15.75" hidden="false" customHeight="false" outlineLevel="0" collapsed="false">
      <c r="A71" s="7" t="s">
        <v>79</v>
      </c>
      <c r="B71" s="8" t="n">
        <v>1</v>
      </c>
      <c r="C71" s="9" t="n">
        <v>0</v>
      </c>
      <c r="D71" s="9" t="n">
        <v>0</v>
      </c>
      <c r="E71" s="9" t="n">
        <v>0</v>
      </c>
      <c r="F71" s="9" t="n">
        <v>0</v>
      </c>
      <c r="G71" s="9" t="n">
        <v>0</v>
      </c>
      <c r="H71" s="9" t="n">
        <v>0</v>
      </c>
      <c r="I71" s="9" t="n">
        <v>0</v>
      </c>
      <c r="J71" s="9" t="n">
        <v>0</v>
      </c>
    </row>
    <row r="72" customFormat="false" ht="15.75" hidden="false" customHeight="false" outlineLevel="0" collapsed="false">
      <c r="A72" s="7" t="s">
        <v>80</v>
      </c>
      <c r="B72" s="8" t="n">
        <v>1</v>
      </c>
      <c r="C72" s="9" t="n">
        <v>432</v>
      </c>
      <c r="D72" s="9" t="n">
        <v>4968000</v>
      </c>
      <c r="E72" s="9" t="n">
        <v>108</v>
      </c>
      <c r="F72" s="9" t="n">
        <v>1472688</v>
      </c>
      <c r="G72" s="9" t="n">
        <v>432</v>
      </c>
      <c r="H72" s="9" t="n">
        <v>5152550</v>
      </c>
      <c r="I72" s="9" t="n">
        <v>108</v>
      </c>
      <c r="J72" s="9" t="n">
        <v>1288138</v>
      </c>
    </row>
    <row r="73" customFormat="false" ht="15.75" hidden="false" customHeight="false" outlineLevel="0" collapsed="false">
      <c r="A73" s="7" t="s">
        <v>81</v>
      </c>
      <c r="B73" s="8" t="n">
        <v>1</v>
      </c>
      <c r="C73" s="9" t="n">
        <v>0</v>
      </c>
      <c r="D73" s="9" t="n">
        <v>0</v>
      </c>
      <c r="E73" s="9" t="n">
        <v>540</v>
      </c>
      <c r="F73" s="9" t="n">
        <v>7854300</v>
      </c>
      <c r="G73" s="9" t="n">
        <v>0</v>
      </c>
      <c r="H73" s="9" t="n">
        <v>0</v>
      </c>
      <c r="I73" s="9" t="n">
        <v>540</v>
      </c>
      <c r="J73" s="9" t="n">
        <v>7854300</v>
      </c>
    </row>
    <row r="74" customFormat="false" ht="15.75" hidden="false" customHeight="false" outlineLevel="0" collapsed="false">
      <c r="A74" s="7" t="s">
        <v>82</v>
      </c>
      <c r="B74" s="8" t="n">
        <v>1</v>
      </c>
      <c r="C74" s="9" t="n">
        <v>0</v>
      </c>
      <c r="D74" s="9" t="n">
        <v>0</v>
      </c>
      <c r="E74" s="9" t="n">
        <v>720</v>
      </c>
      <c r="F74" s="9" t="n">
        <v>5105520</v>
      </c>
      <c r="G74" s="9" t="n">
        <v>0</v>
      </c>
      <c r="H74" s="9" t="n">
        <v>0</v>
      </c>
      <c r="I74" s="9" t="n">
        <v>720</v>
      </c>
      <c r="J74" s="9" t="n">
        <v>5105520</v>
      </c>
    </row>
    <row r="75" customFormat="false" ht="15.75" hidden="false" customHeight="false" outlineLevel="0" collapsed="false">
      <c r="A75" s="7" t="s">
        <v>83</v>
      </c>
      <c r="B75" s="8" t="n">
        <v>1</v>
      </c>
      <c r="C75" s="9" t="n">
        <v>0</v>
      </c>
      <c r="D75" s="9" t="n">
        <v>0</v>
      </c>
      <c r="E75" s="9" t="n">
        <v>0</v>
      </c>
      <c r="F75" s="9" t="n">
        <v>0</v>
      </c>
      <c r="G75" s="9" t="n">
        <v>0</v>
      </c>
      <c r="H75" s="9" t="n">
        <v>0</v>
      </c>
      <c r="I75" s="9" t="n">
        <v>0</v>
      </c>
      <c r="J75" s="9" t="n">
        <v>0</v>
      </c>
    </row>
    <row r="76" customFormat="false" ht="15.75" hidden="false" customHeight="false" outlineLevel="0" collapsed="false">
      <c r="A76" s="7" t="s">
        <v>84</v>
      </c>
      <c r="B76" s="8" t="n">
        <v>1</v>
      </c>
      <c r="C76" s="9" t="n">
        <v>4680</v>
      </c>
      <c r="D76" s="9" t="n">
        <v>134580000</v>
      </c>
      <c r="E76" s="9" t="n">
        <v>11520</v>
      </c>
      <c r="F76" s="9" t="n">
        <v>329886720</v>
      </c>
      <c r="G76" s="9" t="n">
        <v>4680</v>
      </c>
      <c r="H76" s="9" t="n">
        <v>134179275</v>
      </c>
      <c r="I76" s="9" t="n">
        <v>11520</v>
      </c>
      <c r="J76" s="9" t="n">
        <v>330287445</v>
      </c>
    </row>
    <row r="77" customFormat="false" ht="15.75" hidden="false" customHeight="false" outlineLevel="0" collapsed="false">
      <c r="A77" s="7" t="s">
        <v>85</v>
      </c>
      <c r="B77" s="8" t="n">
        <v>1</v>
      </c>
      <c r="C77" s="9" t="n">
        <v>0</v>
      </c>
      <c r="D77" s="9" t="n">
        <v>0</v>
      </c>
      <c r="E77" s="9" t="n">
        <v>7200</v>
      </c>
      <c r="F77" s="9" t="n">
        <v>63489600</v>
      </c>
      <c r="G77" s="9" t="n">
        <v>0</v>
      </c>
      <c r="H77" s="9" t="n">
        <v>0</v>
      </c>
      <c r="I77" s="9" t="n">
        <v>7200</v>
      </c>
      <c r="J77" s="9" t="n">
        <v>63489600</v>
      </c>
    </row>
    <row r="78" customFormat="false" ht="15.75" hidden="false" customHeight="false" outlineLevel="0" collapsed="false">
      <c r="A78" s="7" t="s">
        <v>86</v>
      </c>
      <c r="B78" s="8" t="n">
        <v>1</v>
      </c>
      <c r="C78" s="9" t="n">
        <v>22140</v>
      </c>
      <c r="D78" s="9" t="n">
        <v>158553000</v>
      </c>
      <c r="E78" s="9" t="n">
        <v>28080</v>
      </c>
      <c r="F78" s="9" t="n">
        <v>199115280</v>
      </c>
      <c r="G78" s="9" t="n">
        <v>22140</v>
      </c>
      <c r="H78" s="9" t="n">
        <v>157681715</v>
      </c>
      <c r="I78" s="9" t="n">
        <v>28080</v>
      </c>
      <c r="J78" s="9" t="n">
        <v>199986565</v>
      </c>
    </row>
    <row r="79" customFormat="false" ht="15.75" hidden="false" customHeight="false" outlineLevel="0" collapsed="false">
      <c r="A79" s="7" t="s">
        <v>87</v>
      </c>
      <c r="B79" s="8" t="n">
        <v>1</v>
      </c>
      <c r="C79" s="9" t="n">
        <v>28</v>
      </c>
      <c r="D79" s="9" t="n">
        <v>453257</v>
      </c>
      <c r="E79" s="9" t="n">
        <v>8280</v>
      </c>
      <c r="F79" s="9" t="n">
        <v>139253040</v>
      </c>
      <c r="G79" s="9" t="n">
        <v>1288</v>
      </c>
      <c r="H79" s="9" t="n">
        <v>21658848</v>
      </c>
      <c r="I79" s="9" t="n">
        <v>7020</v>
      </c>
      <c r="J79" s="9" t="n">
        <v>118047449</v>
      </c>
    </row>
    <row r="80" customFormat="false" ht="15.75" hidden="false" customHeight="false" outlineLevel="0" collapsed="false">
      <c r="A80" s="7" t="s">
        <v>88</v>
      </c>
      <c r="B80" s="8" t="n">
        <v>1</v>
      </c>
      <c r="C80" s="9" t="n">
        <v>0</v>
      </c>
      <c r="D80" s="9" t="n">
        <v>0</v>
      </c>
      <c r="E80" s="9" t="n">
        <v>0</v>
      </c>
      <c r="F80" s="9" t="n">
        <v>0</v>
      </c>
      <c r="G80" s="9" t="n">
        <v>0</v>
      </c>
      <c r="H80" s="9" t="n">
        <v>0</v>
      </c>
      <c r="I80" s="9" t="n">
        <v>0</v>
      </c>
      <c r="J80" s="9" t="n">
        <v>0</v>
      </c>
    </row>
    <row r="81" customFormat="false" ht="15.75" hidden="false" customHeight="false" outlineLevel="0" collapsed="false">
      <c r="A81" s="7" t="s">
        <v>89</v>
      </c>
      <c r="B81" s="8" t="n">
        <v>1</v>
      </c>
      <c r="C81" s="9" t="n">
        <v>0</v>
      </c>
      <c r="D81" s="9" t="n">
        <v>0</v>
      </c>
      <c r="E81" s="9" t="n">
        <v>0</v>
      </c>
      <c r="F81" s="9" t="n">
        <v>0</v>
      </c>
      <c r="G81" s="9" t="n">
        <v>0</v>
      </c>
      <c r="H81" s="9" t="n">
        <v>0</v>
      </c>
      <c r="I81" s="9" t="n">
        <v>0</v>
      </c>
      <c r="J81" s="9" t="n">
        <v>0</v>
      </c>
    </row>
    <row r="82" customFormat="false" ht="15.75" hidden="false" customHeight="false" outlineLevel="0" collapsed="false">
      <c r="A82" s="7" t="s">
        <v>90</v>
      </c>
      <c r="B82" s="8" t="n">
        <v>1</v>
      </c>
      <c r="C82" s="9" t="n">
        <v>246</v>
      </c>
      <c r="D82" s="9" t="n">
        <v>11830200</v>
      </c>
      <c r="E82" s="9" t="n">
        <v>2280</v>
      </c>
      <c r="F82" s="9" t="n">
        <v>114000000</v>
      </c>
      <c r="G82" s="9" t="n">
        <v>246</v>
      </c>
      <c r="H82" s="9" t="n">
        <v>12254248</v>
      </c>
      <c r="I82" s="9" t="n">
        <v>2280</v>
      </c>
      <c r="J82" s="9" t="n">
        <v>113575952</v>
      </c>
    </row>
    <row r="83" customFormat="false" ht="15.75" hidden="false" customHeight="false" outlineLevel="0" collapsed="false">
      <c r="A83" s="7" t="s">
        <v>91</v>
      </c>
      <c r="B83" s="8" t="n">
        <v>1</v>
      </c>
      <c r="C83" s="9" t="n">
        <v>528</v>
      </c>
      <c r="D83" s="9" t="n">
        <v>4771200</v>
      </c>
      <c r="E83" s="9" t="n">
        <v>7200</v>
      </c>
      <c r="F83" s="9" t="n">
        <v>63489600</v>
      </c>
      <c r="G83" s="9" t="n">
        <v>528</v>
      </c>
      <c r="H83" s="9" t="n">
        <v>4663781</v>
      </c>
      <c r="I83" s="9" t="n">
        <v>7200</v>
      </c>
      <c r="J83" s="9" t="n">
        <v>63597019</v>
      </c>
    </row>
    <row r="84" customFormat="false" ht="15.75" hidden="false" customHeight="false" outlineLevel="0" collapsed="false">
      <c r="A84" s="7" t="s">
        <v>92</v>
      </c>
      <c r="B84" s="8" t="n">
        <v>1</v>
      </c>
      <c r="C84" s="9" t="n">
        <v>0</v>
      </c>
      <c r="D84" s="9" t="n">
        <v>0</v>
      </c>
      <c r="E84" s="9" t="n">
        <v>8000</v>
      </c>
      <c r="F84" s="9" t="n">
        <v>3856000</v>
      </c>
      <c r="G84" s="9" t="n">
        <v>0</v>
      </c>
      <c r="H84" s="9" t="n">
        <v>0</v>
      </c>
      <c r="I84" s="9" t="n">
        <v>8000</v>
      </c>
      <c r="J84" s="9" t="n">
        <v>3856000</v>
      </c>
    </row>
    <row r="85" customFormat="false" ht="15.75" hidden="false" customHeight="false" outlineLevel="0" collapsed="false">
      <c r="A85" s="7" t="s">
        <v>93</v>
      </c>
      <c r="B85" s="8" t="n">
        <v>1</v>
      </c>
      <c r="C85" s="9" t="n">
        <v>0</v>
      </c>
      <c r="D85" s="9" t="n">
        <v>0</v>
      </c>
      <c r="E85" s="9" t="n">
        <v>90</v>
      </c>
      <c r="F85" s="9" t="n">
        <v>4500000</v>
      </c>
      <c r="G85" s="9" t="n">
        <v>0</v>
      </c>
      <c r="H85" s="9" t="n">
        <v>0</v>
      </c>
      <c r="I85" s="9" t="n">
        <v>90</v>
      </c>
      <c r="J85" s="9" t="n">
        <v>4500000</v>
      </c>
    </row>
    <row r="86" customFormat="false" ht="15.75" hidden="false" customHeight="false" outlineLevel="0" collapsed="false">
      <c r="A86" s="7" t="s">
        <v>94</v>
      </c>
      <c r="B86" s="8" t="n">
        <v>1</v>
      </c>
      <c r="C86" s="9" t="n">
        <v>0</v>
      </c>
      <c r="D86" s="9" t="n">
        <v>0</v>
      </c>
      <c r="E86" s="9" t="n">
        <v>0</v>
      </c>
      <c r="F86" s="9" t="n">
        <v>0</v>
      </c>
      <c r="G86" s="9" t="n">
        <v>0</v>
      </c>
      <c r="H86" s="9" t="n">
        <v>0</v>
      </c>
      <c r="I86" s="9" t="n">
        <v>0</v>
      </c>
      <c r="J86" s="9" t="n">
        <v>0</v>
      </c>
    </row>
    <row r="87" customFormat="false" ht="15.75" hidden="false" customHeight="false" outlineLevel="0" collapsed="false">
      <c r="A87" s="7" t="s">
        <v>95</v>
      </c>
      <c r="B87" s="8" t="n">
        <v>1</v>
      </c>
      <c r="C87" s="9" t="n">
        <v>0</v>
      </c>
      <c r="D87" s="9" t="n">
        <v>0</v>
      </c>
      <c r="E87" s="9" t="n">
        <v>180</v>
      </c>
      <c r="F87" s="9" t="n">
        <v>1440000</v>
      </c>
      <c r="G87" s="9" t="n">
        <v>0</v>
      </c>
      <c r="H87" s="9" t="n">
        <v>0</v>
      </c>
      <c r="I87" s="9" t="n">
        <v>180</v>
      </c>
      <c r="J87" s="9" t="n">
        <v>1440000</v>
      </c>
    </row>
    <row r="88" customFormat="false" ht="15.75" hidden="false" customHeight="false" outlineLevel="0" collapsed="false">
      <c r="A88" s="7" t="s">
        <v>96</v>
      </c>
      <c r="B88" s="8" t="n">
        <v>1</v>
      </c>
      <c r="C88" s="9" t="n">
        <v>36</v>
      </c>
      <c r="D88" s="9" t="n">
        <v>3716064</v>
      </c>
      <c r="E88" s="9" t="n">
        <v>30</v>
      </c>
      <c r="F88" s="9" t="n">
        <v>3218190</v>
      </c>
      <c r="G88" s="9" t="n">
        <v>36</v>
      </c>
      <c r="H88" s="9" t="n">
        <v>3782320</v>
      </c>
      <c r="I88" s="9" t="n">
        <v>30</v>
      </c>
      <c r="J88" s="9" t="n">
        <v>3151934</v>
      </c>
    </row>
    <row r="89" customFormat="false" ht="15.75" hidden="false" customHeight="false" outlineLevel="0" collapsed="false">
      <c r="A89" s="7" t="s">
        <v>97</v>
      </c>
      <c r="B89" s="8" t="n">
        <v>1</v>
      </c>
      <c r="C89" s="9" t="n">
        <v>0</v>
      </c>
      <c r="D89" s="9" t="n">
        <v>0</v>
      </c>
      <c r="E89" s="9" t="n">
        <v>20000</v>
      </c>
      <c r="F89" s="9" t="n">
        <v>9640000</v>
      </c>
      <c r="G89" s="9" t="n">
        <v>0</v>
      </c>
      <c r="H89" s="9" t="n">
        <v>0</v>
      </c>
      <c r="I89" s="9" t="n">
        <v>20000</v>
      </c>
      <c r="J89" s="9" t="n">
        <v>9640000</v>
      </c>
    </row>
    <row r="90" customFormat="false" ht="15.75" hidden="false" customHeight="false" outlineLevel="0" collapsed="false">
      <c r="A90" s="7" t="s">
        <v>98</v>
      </c>
      <c r="B90" s="8" t="n">
        <v>1</v>
      </c>
      <c r="C90" s="9" t="n">
        <v>0</v>
      </c>
      <c r="D90" s="9" t="n">
        <v>0</v>
      </c>
      <c r="E90" s="9" t="n">
        <v>240</v>
      </c>
      <c r="F90" s="9" t="n">
        <v>2334480</v>
      </c>
      <c r="G90" s="9" t="n">
        <v>0</v>
      </c>
      <c r="H90" s="9" t="n">
        <v>0</v>
      </c>
      <c r="I90" s="9" t="n">
        <v>240</v>
      </c>
      <c r="J90" s="9" t="n">
        <v>2334480</v>
      </c>
    </row>
    <row r="91" customFormat="false" ht="15.75" hidden="false" customHeight="false" outlineLevel="0" collapsed="false">
      <c r="A91" s="7" t="s">
        <v>99</v>
      </c>
      <c r="B91" s="8" t="n">
        <v>1</v>
      </c>
      <c r="C91" s="9" t="n">
        <v>0</v>
      </c>
      <c r="D91" s="9" t="n">
        <v>0</v>
      </c>
      <c r="E91" s="9" t="n">
        <v>0</v>
      </c>
      <c r="F91" s="9" t="n">
        <v>0</v>
      </c>
      <c r="G91" s="9" t="n">
        <v>0</v>
      </c>
      <c r="H91" s="9" t="n">
        <v>0</v>
      </c>
      <c r="I91" s="9" t="n">
        <v>0</v>
      </c>
      <c r="J91" s="9" t="n">
        <v>0</v>
      </c>
    </row>
    <row r="92" customFormat="false" ht="15.75" hidden="false" customHeight="false" outlineLevel="0" collapsed="false">
      <c r="A92" s="7" t="s">
        <v>100</v>
      </c>
      <c r="B92" s="8" t="n">
        <v>1</v>
      </c>
      <c r="C92" s="9" t="n">
        <v>48</v>
      </c>
      <c r="D92" s="9" t="n">
        <v>2456400</v>
      </c>
      <c r="E92" s="9" t="n">
        <v>2220</v>
      </c>
      <c r="F92" s="9" t="n">
        <v>109989900</v>
      </c>
      <c r="G92" s="9" t="n">
        <v>48</v>
      </c>
      <c r="H92" s="9" t="n">
        <v>2379816</v>
      </c>
      <c r="I92" s="9" t="n">
        <v>2220</v>
      </c>
      <c r="J92" s="9" t="n">
        <v>110066484</v>
      </c>
    </row>
    <row r="93" customFormat="false" ht="15.75" hidden="false" customHeight="false" outlineLevel="0" collapsed="false">
      <c r="A93" s="7" t="s">
        <v>101</v>
      </c>
      <c r="B93" s="8" t="n">
        <v>1</v>
      </c>
      <c r="C93" s="9" t="n">
        <v>528</v>
      </c>
      <c r="D93" s="9" t="n">
        <v>4785600</v>
      </c>
      <c r="E93" s="9" t="n">
        <v>7200</v>
      </c>
      <c r="F93" s="9" t="n">
        <v>63489600</v>
      </c>
      <c r="G93" s="9" t="n">
        <v>528</v>
      </c>
      <c r="H93" s="9" t="n">
        <v>4664765</v>
      </c>
      <c r="I93" s="9" t="n">
        <v>7200</v>
      </c>
      <c r="J93" s="9" t="n">
        <v>63610435</v>
      </c>
    </row>
    <row r="94" customFormat="false" ht="15.75" hidden="false" customHeight="false" outlineLevel="0" collapsed="false">
      <c r="A94" s="7" t="s">
        <v>102</v>
      </c>
      <c r="B94" s="8" t="n">
        <v>1</v>
      </c>
      <c r="C94" s="9" t="n">
        <v>24</v>
      </c>
      <c r="D94" s="9" t="n">
        <v>547200</v>
      </c>
      <c r="E94" s="9" t="n">
        <v>360</v>
      </c>
      <c r="F94" s="9" t="n">
        <v>8181720</v>
      </c>
      <c r="G94" s="9" t="n">
        <v>24</v>
      </c>
      <c r="H94" s="9" t="n">
        <v>545558</v>
      </c>
      <c r="I94" s="9" t="n">
        <v>360</v>
      </c>
      <c r="J94" s="9" t="n">
        <v>8183362</v>
      </c>
    </row>
    <row r="95" customFormat="false" ht="15.75" hidden="false" customHeight="false" outlineLevel="0" collapsed="false">
      <c r="A95" s="7" t="s">
        <v>103</v>
      </c>
      <c r="B95" s="8" t="n">
        <v>1</v>
      </c>
      <c r="C95" s="9" t="n">
        <v>0</v>
      </c>
      <c r="D95" s="9" t="n">
        <v>0</v>
      </c>
      <c r="E95" s="9" t="n">
        <v>0</v>
      </c>
      <c r="F95" s="9" t="n">
        <v>0</v>
      </c>
      <c r="G95" s="9" t="n">
        <v>0</v>
      </c>
      <c r="H95" s="9" t="n">
        <v>0</v>
      </c>
      <c r="I95" s="9" t="n">
        <v>0</v>
      </c>
      <c r="J95" s="9" t="n">
        <v>0</v>
      </c>
    </row>
    <row r="96" customFormat="false" ht="15.75" hidden="false" customHeight="false" outlineLevel="0" collapsed="false">
      <c r="A96" s="7" t="s">
        <v>104</v>
      </c>
      <c r="B96" s="8" t="n">
        <v>1</v>
      </c>
      <c r="C96" s="9" t="n">
        <v>0</v>
      </c>
      <c r="D96" s="9" t="n">
        <v>0</v>
      </c>
      <c r="E96" s="9" t="n">
        <v>72</v>
      </c>
      <c r="F96" s="9" t="n">
        <v>1309104</v>
      </c>
      <c r="G96" s="9" t="n">
        <v>0</v>
      </c>
      <c r="H96" s="9" t="n">
        <v>0</v>
      </c>
      <c r="I96" s="9" t="n">
        <v>72</v>
      </c>
      <c r="J96" s="9" t="n">
        <v>1309104</v>
      </c>
    </row>
    <row r="97" customFormat="false" ht="15.75" hidden="false" customHeight="false" outlineLevel="0" collapsed="false">
      <c r="A97" s="7" t="s">
        <v>105</v>
      </c>
      <c r="B97" s="8" t="n">
        <v>1</v>
      </c>
      <c r="C97" s="9" t="n">
        <v>30</v>
      </c>
      <c r="D97" s="9" t="n">
        <v>1441770</v>
      </c>
      <c r="E97" s="9" t="n">
        <v>60</v>
      </c>
      <c r="F97" s="9" t="n">
        <v>3000000</v>
      </c>
      <c r="G97" s="9" t="n">
        <v>30</v>
      </c>
      <c r="H97" s="9" t="n">
        <v>1480590</v>
      </c>
      <c r="I97" s="9" t="n">
        <v>60</v>
      </c>
      <c r="J97" s="9" t="n">
        <v>2961180</v>
      </c>
    </row>
    <row r="98" customFormat="false" ht="15.75" hidden="false" customHeight="false" outlineLevel="0" collapsed="false">
      <c r="A98" s="7" t="s">
        <v>106</v>
      </c>
      <c r="B98" s="8" t="n">
        <v>1</v>
      </c>
      <c r="C98" s="9" t="n">
        <v>0</v>
      </c>
      <c r="D98" s="9" t="n">
        <v>0</v>
      </c>
      <c r="E98" s="9" t="n">
        <v>120</v>
      </c>
      <c r="F98" s="9" t="n">
        <v>1058160</v>
      </c>
      <c r="G98" s="9" t="n">
        <v>0</v>
      </c>
      <c r="H98" s="9" t="n">
        <v>0</v>
      </c>
      <c r="I98" s="9" t="n">
        <v>120</v>
      </c>
      <c r="J98" s="9" t="n">
        <v>1058160</v>
      </c>
    </row>
    <row r="99" customFormat="false" ht="15.75" hidden="false" customHeight="false" outlineLevel="0" collapsed="false">
      <c r="A99" s="7" t="s">
        <v>107</v>
      </c>
      <c r="B99" s="8" t="n">
        <v>1</v>
      </c>
      <c r="C99" s="9" t="n">
        <v>0</v>
      </c>
      <c r="D99" s="9" t="n">
        <v>0</v>
      </c>
      <c r="E99" s="9" t="n">
        <v>0</v>
      </c>
      <c r="F99" s="9" t="n">
        <v>0</v>
      </c>
      <c r="G99" s="9" t="n">
        <v>0</v>
      </c>
      <c r="H99" s="9" t="n">
        <v>0</v>
      </c>
      <c r="I99" s="9" t="n">
        <v>0</v>
      </c>
      <c r="J99" s="9" t="n">
        <v>0</v>
      </c>
    </row>
    <row r="100" customFormat="false" ht="15.75" hidden="false" customHeight="false" outlineLevel="0" collapsed="false">
      <c r="A100" s="7" t="s">
        <v>108</v>
      </c>
      <c r="B100" s="8" t="n">
        <v>1</v>
      </c>
      <c r="C100" s="9" t="n">
        <v>7380</v>
      </c>
      <c r="D100" s="9" t="n">
        <v>48708000</v>
      </c>
      <c r="E100" s="9" t="n">
        <v>14400</v>
      </c>
      <c r="F100" s="9" t="n">
        <v>94248000</v>
      </c>
      <c r="G100" s="9" t="n">
        <v>7380</v>
      </c>
      <c r="H100" s="9" t="n">
        <v>48439636</v>
      </c>
      <c r="I100" s="9" t="n">
        <v>14400</v>
      </c>
      <c r="J100" s="9" t="n">
        <v>94516364</v>
      </c>
    </row>
    <row r="101" customFormat="false" ht="15.75" hidden="false" customHeight="false" outlineLevel="0" collapsed="false">
      <c r="A101" s="7" t="s">
        <v>109</v>
      </c>
      <c r="B101" s="8" t="n">
        <v>1</v>
      </c>
      <c r="C101" s="9" t="n">
        <v>0</v>
      </c>
      <c r="D101" s="9" t="n">
        <v>0</v>
      </c>
      <c r="E101" s="9" t="n">
        <v>0</v>
      </c>
      <c r="F101" s="9" t="n">
        <v>0</v>
      </c>
      <c r="G101" s="9" t="n">
        <v>0</v>
      </c>
      <c r="H101" s="9" t="n">
        <v>0</v>
      </c>
      <c r="I101" s="9" t="n">
        <v>0</v>
      </c>
      <c r="J101" s="9" t="n">
        <v>0</v>
      </c>
    </row>
    <row r="102" customFormat="false" ht="15.75" hidden="false" customHeight="false" outlineLevel="0" collapsed="false">
      <c r="A102" s="7" t="s">
        <v>110</v>
      </c>
      <c r="B102" s="8" t="n">
        <v>1</v>
      </c>
      <c r="C102" s="9" t="n">
        <v>360</v>
      </c>
      <c r="D102" s="9" t="n">
        <v>5823180</v>
      </c>
      <c r="E102" s="9" t="n">
        <v>720</v>
      </c>
      <c r="F102" s="9" t="n">
        <v>12108960</v>
      </c>
      <c r="G102" s="9" t="n">
        <v>360</v>
      </c>
      <c r="H102" s="9" t="n">
        <v>5977380</v>
      </c>
      <c r="I102" s="9" t="n">
        <v>720</v>
      </c>
      <c r="J102" s="9" t="n">
        <v>11954760</v>
      </c>
    </row>
    <row r="103" customFormat="false" ht="15.75" hidden="false" customHeight="false" outlineLevel="0" collapsed="false">
      <c r="A103" s="7" t="s">
        <v>111</v>
      </c>
      <c r="B103" s="8" t="n">
        <v>1</v>
      </c>
      <c r="C103" s="9" t="n">
        <v>0</v>
      </c>
      <c r="D103" s="9" t="n">
        <v>0</v>
      </c>
      <c r="E103" s="9" t="n">
        <v>4800</v>
      </c>
      <c r="F103" s="9" t="n">
        <v>37526400</v>
      </c>
      <c r="G103" s="9" t="n">
        <v>0</v>
      </c>
      <c r="H103" s="9" t="n">
        <v>0</v>
      </c>
      <c r="I103" s="9" t="n">
        <v>4800</v>
      </c>
      <c r="J103" s="9" t="n">
        <v>37526400</v>
      </c>
    </row>
    <row r="104" customFormat="false" ht="15.75" hidden="false" customHeight="false" outlineLevel="0" collapsed="false">
      <c r="A104" s="7" t="s">
        <v>112</v>
      </c>
      <c r="B104" s="8" t="n">
        <v>1</v>
      </c>
      <c r="C104" s="9" t="n">
        <v>0</v>
      </c>
      <c r="D104" s="9" t="n">
        <v>0</v>
      </c>
      <c r="E104" s="9" t="n">
        <v>1200</v>
      </c>
      <c r="F104" s="9" t="n">
        <v>9381600</v>
      </c>
      <c r="G104" s="9" t="n">
        <v>0</v>
      </c>
      <c r="H104" s="9" t="n">
        <v>0</v>
      </c>
      <c r="I104" s="9" t="n">
        <v>1200</v>
      </c>
      <c r="J104" s="9" t="n">
        <v>9381600</v>
      </c>
    </row>
    <row r="105" customFormat="false" ht="15.75" hidden="false" customHeight="false" outlineLevel="0" collapsed="false">
      <c r="A105" s="7" t="s">
        <v>113</v>
      </c>
      <c r="B105" s="8" t="n">
        <v>1</v>
      </c>
      <c r="C105" s="9" t="n">
        <v>0</v>
      </c>
      <c r="D105" s="9" t="n">
        <v>0</v>
      </c>
      <c r="E105" s="9" t="n">
        <v>0</v>
      </c>
      <c r="F105" s="9" t="n">
        <v>0</v>
      </c>
      <c r="G105" s="9" t="n">
        <v>0</v>
      </c>
      <c r="H105" s="9" t="n">
        <v>0</v>
      </c>
      <c r="I105" s="9" t="n">
        <v>0</v>
      </c>
      <c r="J105" s="9" t="n">
        <v>0</v>
      </c>
    </row>
    <row r="106" customFormat="false" ht="15.75" hidden="false" customHeight="false" outlineLevel="0" collapsed="false">
      <c r="A106" s="7" t="s">
        <v>114</v>
      </c>
      <c r="B106" s="8" t="n">
        <v>1</v>
      </c>
      <c r="C106" s="9" t="n">
        <v>0</v>
      </c>
      <c r="D106" s="9" t="n">
        <v>0</v>
      </c>
      <c r="E106" s="9" t="n">
        <v>72</v>
      </c>
      <c r="F106" s="9" t="n">
        <v>1309104</v>
      </c>
      <c r="G106" s="9" t="n">
        <v>0</v>
      </c>
      <c r="H106" s="9" t="n">
        <v>0</v>
      </c>
      <c r="I106" s="9" t="n">
        <v>72</v>
      </c>
      <c r="J106" s="9" t="n">
        <v>1309104</v>
      </c>
    </row>
    <row r="107" customFormat="false" ht="15.75" hidden="false" customHeight="false" outlineLevel="0" collapsed="false">
      <c r="A107" s="7" t="s">
        <v>115</v>
      </c>
      <c r="B107" s="8" t="n">
        <v>1</v>
      </c>
      <c r="C107" s="9" t="n">
        <v>0</v>
      </c>
      <c r="D107" s="9" t="n">
        <v>0</v>
      </c>
      <c r="E107" s="9" t="n">
        <v>0</v>
      </c>
      <c r="F107" s="9" t="n">
        <v>0</v>
      </c>
      <c r="G107" s="9" t="n">
        <v>0</v>
      </c>
      <c r="H107" s="9" t="n">
        <v>0</v>
      </c>
      <c r="I107" s="9" t="n">
        <v>0</v>
      </c>
      <c r="J107" s="9" t="n">
        <v>0</v>
      </c>
    </row>
    <row r="108" customFormat="false" ht="15.75" hidden="false" customHeight="false" outlineLevel="0" collapsed="false">
      <c r="A108" s="7" t="s">
        <v>116</v>
      </c>
      <c r="B108" s="8" t="n">
        <v>1</v>
      </c>
      <c r="C108" s="9" t="n">
        <v>0</v>
      </c>
      <c r="D108" s="9" t="n">
        <v>0</v>
      </c>
      <c r="E108" s="9" t="n">
        <v>0</v>
      </c>
      <c r="F108" s="9" t="n">
        <v>0</v>
      </c>
      <c r="G108" s="9" t="n">
        <v>0</v>
      </c>
      <c r="H108" s="9" t="n">
        <v>0</v>
      </c>
      <c r="I108" s="9" t="n">
        <v>0</v>
      </c>
      <c r="J108" s="9" t="n">
        <v>0</v>
      </c>
    </row>
    <row r="109" customFormat="false" ht="15.75" hidden="false" customHeight="false" outlineLevel="0" collapsed="false">
      <c r="A109" s="7" t="s">
        <v>117</v>
      </c>
      <c r="B109" s="8" t="n">
        <v>1</v>
      </c>
      <c r="C109" s="9" t="n">
        <v>0</v>
      </c>
      <c r="D109" s="9" t="n">
        <v>0</v>
      </c>
      <c r="E109" s="9" t="n">
        <v>0</v>
      </c>
      <c r="F109" s="9" t="n">
        <v>0</v>
      </c>
      <c r="G109" s="9" t="n">
        <v>0</v>
      </c>
      <c r="H109" s="9" t="n">
        <v>0</v>
      </c>
      <c r="I109" s="9" t="n">
        <v>0</v>
      </c>
      <c r="J109" s="9" t="n">
        <v>0</v>
      </c>
    </row>
    <row r="110" customFormat="false" ht="15.75" hidden="false" customHeight="false" outlineLevel="0" collapsed="false">
      <c r="A110" s="7" t="s">
        <v>118</v>
      </c>
      <c r="B110" s="8" t="n">
        <v>1</v>
      </c>
      <c r="C110" s="9" t="n">
        <v>0</v>
      </c>
      <c r="D110" s="9" t="n">
        <v>0</v>
      </c>
      <c r="E110" s="9" t="n">
        <v>0</v>
      </c>
      <c r="F110" s="9" t="n">
        <v>0</v>
      </c>
      <c r="G110" s="9" t="n">
        <v>0</v>
      </c>
      <c r="H110" s="9" t="n">
        <v>0</v>
      </c>
      <c r="I110" s="9" t="n">
        <v>0</v>
      </c>
      <c r="J110" s="9" t="n">
        <v>0</v>
      </c>
    </row>
    <row r="111" customFormat="false" ht="15.75" hidden="false" customHeight="false" outlineLevel="0" collapsed="false">
      <c r="A111" s="7" t="s">
        <v>119</v>
      </c>
      <c r="B111" s="8" t="n">
        <v>1</v>
      </c>
      <c r="C111" s="9" t="n">
        <v>0</v>
      </c>
      <c r="D111" s="9" t="n">
        <v>0</v>
      </c>
      <c r="E111" s="9" t="n">
        <v>0</v>
      </c>
      <c r="F111" s="9" t="n">
        <v>0</v>
      </c>
      <c r="G111" s="9" t="n">
        <v>0</v>
      </c>
      <c r="H111" s="9" t="n">
        <v>0</v>
      </c>
      <c r="I111" s="9" t="n">
        <v>0</v>
      </c>
      <c r="J111" s="9" t="n">
        <v>0</v>
      </c>
    </row>
    <row r="112" customFormat="false" ht="15.75" hidden="false" customHeight="false" outlineLevel="0" collapsed="false">
      <c r="A112" s="7" t="s">
        <v>120</v>
      </c>
      <c r="B112" s="8" t="n">
        <v>1</v>
      </c>
      <c r="C112" s="9" t="n">
        <v>0</v>
      </c>
      <c r="D112" s="9" t="n">
        <v>0</v>
      </c>
      <c r="E112" s="9" t="n">
        <v>0</v>
      </c>
      <c r="F112" s="9" t="n">
        <v>0</v>
      </c>
      <c r="G112" s="9" t="n">
        <v>0</v>
      </c>
      <c r="H112" s="9" t="n">
        <v>0</v>
      </c>
      <c r="I112" s="9" t="n">
        <v>0</v>
      </c>
      <c r="J112" s="9" t="n">
        <v>0</v>
      </c>
    </row>
    <row r="113" customFormat="false" ht="15.75" hidden="false" customHeight="false" outlineLevel="0" collapsed="false">
      <c r="A113" s="7" t="s">
        <v>121</v>
      </c>
      <c r="B113" s="8" t="n">
        <v>1</v>
      </c>
      <c r="C113" s="9" t="n">
        <v>360</v>
      </c>
      <c r="D113" s="9" t="n">
        <v>3769920</v>
      </c>
      <c r="E113" s="9" t="n">
        <v>6000</v>
      </c>
      <c r="F113" s="9" t="n">
        <v>65454000</v>
      </c>
      <c r="G113" s="9" t="n">
        <v>360</v>
      </c>
      <c r="H113" s="9" t="n">
        <v>3918335</v>
      </c>
      <c r="I113" s="9" t="n">
        <v>6000</v>
      </c>
      <c r="J113" s="9" t="n">
        <v>65305585</v>
      </c>
    </row>
    <row r="114" customFormat="false" ht="15.75" hidden="false" customHeight="false" outlineLevel="0" collapsed="false">
      <c r="A114" s="7" t="s">
        <v>122</v>
      </c>
      <c r="B114" s="8" t="n">
        <v>1</v>
      </c>
      <c r="C114" s="9" t="n">
        <v>0</v>
      </c>
      <c r="D114" s="9" t="n">
        <v>0</v>
      </c>
      <c r="E114" s="9" t="n">
        <v>0</v>
      </c>
      <c r="F114" s="9" t="n">
        <v>0</v>
      </c>
      <c r="G114" s="9" t="n">
        <v>0</v>
      </c>
      <c r="H114" s="9" t="n">
        <v>0</v>
      </c>
      <c r="I114" s="9" t="n">
        <v>0</v>
      </c>
      <c r="J114" s="9" t="n">
        <v>0</v>
      </c>
    </row>
    <row r="115" customFormat="false" ht="15.75" hidden="false" customHeight="false" outlineLevel="0" collapsed="false">
      <c r="A115" s="7" t="s">
        <v>123</v>
      </c>
      <c r="B115" s="8" t="n">
        <v>1</v>
      </c>
      <c r="C115" s="9" t="n">
        <v>0</v>
      </c>
      <c r="D115" s="9" t="n">
        <v>0</v>
      </c>
      <c r="E115" s="9" t="n">
        <v>0</v>
      </c>
      <c r="F115" s="9" t="n">
        <v>0</v>
      </c>
      <c r="G115" s="9" t="n">
        <v>0</v>
      </c>
      <c r="H115" s="9" t="n">
        <v>0</v>
      </c>
      <c r="I115" s="9" t="n">
        <v>0</v>
      </c>
      <c r="J115" s="9" t="n">
        <v>0</v>
      </c>
    </row>
    <row r="116" customFormat="false" ht="15.75" hidden="false" customHeight="false" outlineLevel="0" collapsed="false">
      <c r="A116" s="7" t="s">
        <v>124</v>
      </c>
      <c r="B116" s="8" t="n">
        <v>1</v>
      </c>
      <c r="C116" s="9" t="n">
        <v>0</v>
      </c>
      <c r="D116" s="9" t="n">
        <v>0</v>
      </c>
      <c r="E116" s="9" t="n">
        <v>0</v>
      </c>
      <c r="F116" s="9" t="n">
        <v>0</v>
      </c>
      <c r="G116" s="9" t="n">
        <v>0</v>
      </c>
      <c r="H116" s="9" t="n">
        <v>0</v>
      </c>
      <c r="I116" s="9" t="n">
        <v>0</v>
      </c>
      <c r="J116" s="9" t="n">
        <v>0</v>
      </c>
    </row>
    <row r="117" customFormat="false" ht="15.75" hidden="false" customHeight="false" outlineLevel="0" collapsed="false">
      <c r="A117" s="7" t="s">
        <v>125</v>
      </c>
      <c r="B117" s="8" t="n">
        <v>1</v>
      </c>
      <c r="C117" s="9" t="n">
        <v>60</v>
      </c>
      <c r="D117" s="9" t="n">
        <v>2412300</v>
      </c>
      <c r="E117" s="9" t="n">
        <v>300</v>
      </c>
      <c r="F117" s="9" t="n">
        <v>12545400</v>
      </c>
      <c r="G117" s="9" t="n">
        <v>60</v>
      </c>
      <c r="H117" s="9" t="n">
        <v>2492950</v>
      </c>
      <c r="I117" s="9" t="n">
        <v>300</v>
      </c>
      <c r="J117" s="9" t="n">
        <v>12464750</v>
      </c>
    </row>
    <row r="118" customFormat="false" ht="15.75" hidden="false" customHeight="false" outlineLevel="0" collapsed="false">
      <c r="A118" s="7" t="s">
        <v>126</v>
      </c>
      <c r="B118" s="8" t="n">
        <v>1</v>
      </c>
      <c r="C118" s="9" t="n">
        <v>120</v>
      </c>
      <c r="D118" s="9" t="n">
        <v>6608580</v>
      </c>
      <c r="E118" s="9" t="n">
        <v>34800</v>
      </c>
      <c r="F118" s="9" t="n">
        <v>199299600</v>
      </c>
      <c r="G118" s="9" t="n">
        <v>26520</v>
      </c>
      <c r="H118" s="9" t="n">
        <v>156377003</v>
      </c>
      <c r="I118" s="9" t="n">
        <v>8400</v>
      </c>
      <c r="J118" s="9" t="n">
        <v>49531177</v>
      </c>
    </row>
    <row r="119" customFormat="false" ht="15.75" hidden="false" customHeight="false" outlineLevel="0" collapsed="false">
      <c r="A119" s="7" t="s">
        <v>127</v>
      </c>
      <c r="B119" s="8" t="n">
        <v>1</v>
      </c>
      <c r="C119" s="9" t="n">
        <v>0</v>
      </c>
      <c r="D119" s="9" t="n">
        <v>0</v>
      </c>
      <c r="E119" s="9" t="n">
        <v>1200</v>
      </c>
      <c r="F119" s="9" t="n">
        <v>6872400</v>
      </c>
      <c r="G119" s="9" t="n">
        <v>0</v>
      </c>
      <c r="H119" s="9" t="n">
        <v>0</v>
      </c>
      <c r="I119" s="9" t="n">
        <v>1200</v>
      </c>
      <c r="J119" s="9" t="n">
        <v>6872400</v>
      </c>
    </row>
    <row r="120" customFormat="false" ht="15.75" hidden="false" customHeight="false" outlineLevel="0" collapsed="false">
      <c r="A120" s="7" t="s">
        <v>128</v>
      </c>
      <c r="B120" s="8" t="n">
        <v>1</v>
      </c>
      <c r="C120" s="9" t="n">
        <v>0</v>
      </c>
      <c r="D120" s="9" t="n">
        <v>0</v>
      </c>
      <c r="E120" s="9" t="n">
        <v>0</v>
      </c>
      <c r="F120" s="9" t="n">
        <v>0</v>
      </c>
      <c r="G120" s="9" t="n">
        <v>0</v>
      </c>
      <c r="H120" s="9" t="n">
        <v>0</v>
      </c>
      <c r="I120" s="9" t="n">
        <v>0</v>
      </c>
      <c r="J120" s="9" t="n">
        <v>0</v>
      </c>
    </row>
    <row r="121" customFormat="false" ht="15.75" hidden="false" customHeight="false" outlineLevel="0" collapsed="false">
      <c r="A121" s="7" t="s">
        <v>129</v>
      </c>
      <c r="B121" s="8" t="n">
        <v>1</v>
      </c>
      <c r="C121" s="9" t="n">
        <v>0</v>
      </c>
      <c r="D121" s="9" t="n">
        <v>0</v>
      </c>
      <c r="E121" s="9" t="n">
        <v>0</v>
      </c>
      <c r="F121" s="9" t="n">
        <v>0</v>
      </c>
      <c r="G121" s="9" t="n">
        <v>0</v>
      </c>
      <c r="H121" s="9" t="n">
        <v>0</v>
      </c>
      <c r="I121" s="9" t="n">
        <v>0</v>
      </c>
      <c r="J121" s="9" t="n">
        <v>0</v>
      </c>
    </row>
    <row r="122" customFormat="false" ht="15.75" hidden="false" customHeight="false" outlineLevel="0" collapsed="false">
      <c r="A122" s="7" t="s">
        <v>130</v>
      </c>
      <c r="B122" s="8" t="n">
        <v>1</v>
      </c>
      <c r="C122" s="9" t="n">
        <v>0</v>
      </c>
      <c r="D122" s="9" t="n">
        <v>0</v>
      </c>
      <c r="E122" s="9" t="n">
        <v>6</v>
      </c>
      <c r="F122" s="9" t="n">
        <v>280908</v>
      </c>
      <c r="G122" s="9" t="n">
        <v>0</v>
      </c>
      <c r="H122" s="9" t="n">
        <v>0</v>
      </c>
      <c r="I122" s="9" t="n">
        <v>6</v>
      </c>
      <c r="J122" s="9" t="n">
        <v>280908</v>
      </c>
    </row>
    <row r="123" customFormat="false" ht="15.75" hidden="false" customHeight="false" outlineLevel="0" collapsed="false">
      <c r="A123" s="7" t="s">
        <v>131</v>
      </c>
      <c r="B123" s="8" t="n">
        <v>1</v>
      </c>
      <c r="C123" s="9" t="n">
        <v>0</v>
      </c>
      <c r="D123" s="9" t="n">
        <v>0</v>
      </c>
      <c r="E123" s="9" t="n">
        <v>33</v>
      </c>
      <c r="F123" s="9" t="n">
        <v>1620003</v>
      </c>
      <c r="G123" s="9" t="n">
        <v>0</v>
      </c>
      <c r="H123" s="9" t="n">
        <v>0</v>
      </c>
      <c r="I123" s="9" t="n">
        <v>33</v>
      </c>
      <c r="J123" s="9" t="n">
        <v>1620003</v>
      </c>
    </row>
    <row r="124" customFormat="false" ht="15.75" hidden="false" customHeight="false" outlineLevel="0" collapsed="false">
      <c r="A124" s="7" t="s">
        <v>132</v>
      </c>
      <c r="B124" s="8" t="n">
        <v>1</v>
      </c>
      <c r="C124" s="9" t="n">
        <v>0</v>
      </c>
      <c r="D124" s="9" t="n">
        <v>0</v>
      </c>
      <c r="E124" s="9" t="n">
        <v>100</v>
      </c>
      <c r="F124" s="9" t="n">
        <v>4363600</v>
      </c>
      <c r="G124" s="9" t="n">
        <v>0</v>
      </c>
      <c r="H124" s="9" t="n">
        <v>0</v>
      </c>
      <c r="I124" s="9" t="n">
        <v>100</v>
      </c>
      <c r="J124" s="9" t="n">
        <v>4363600</v>
      </c>
    </row>
    <row r="125" customFormat="false" ht="15.75" hidden="false" customHeight="false" outlineLevel="0" collapsed="false">
      <c r="A125" s="7" t="s">
        <v>133</v>
      </c>
      <c r="B125" s="8" t="n">
        <v>1</v>
      </c>
      <c r="C125" s="9" t="n">
        <v>0</v>
      </c>
      <c r="D125" s="9" t="n">
        <v>0</v>
      </c>
      <c r="E125" s="9" t="n">
        <v>0</v>
      </c>
      <c r="F125" s="9" t="n">
        <v>0</v>
      </c>
      <c r="G125" s="9" t="n">
        <v>0</v>
      </c>
      <c r="H125" s="9" t="n">
        <v>0</v>
      </c>
      <c r="I125" s="9" t="n">
        <v>0</v>
      </c>
      <c r="J125" s="9" t="n">
        <v>0</v>
      </c>
    </row>
    <row r="126" customFormat="false" ht="15.75" hidden="false" customHeight="false" outlineLevel="0" collapsed="false">
      <c r="A126" s="7" t="s">
        <v>134</v>
      </c>
      <c r="B126" s="8" t="n">
        <v>1</v>
      </c>
      <c r="C126" s="9" t="n">
        <v>0</v>
      </c>
      <c r="D126" s="9" t="n">
        <v>0</v>
      </c>
      <c r="E126" s="9" t="n">
        <v>8</v>
      </c>
      <c r="F126" s="9" t="n">
        <v>229088</v>
      </c>
      <c r="G126" s="9" t="n">
        <v>0</v>
      </c>
      <c r="H126" s="9" t="n">
        <v>0</v>
      </c>
      <c r="I126" s="9" t="n">
        <v>8</v>
      </c>
      <c r="J126" s="9" t="n">
        <v>229088</v>
      </c>
    </row>
    <row r="127" customFormat="false" ht="15.75" hidden="false" customHeight="false" outlineLevel="0" collapsed="false">
      <c r="A127" s="7" t="s">
        <v>135</v>
      </c>
      <c r="B127" s="8" t="n">
        <v>1</v>
      </c>
      <c r="C127" s="9" t="n">
        <v>935</v>
      </c>
      <c r="D127" s="9" t="n">
        <v>171530382</v>
      </c>
      <c r="E127" s="9" t="n">
        <v>100</v>
      </c>
      <c r="F127" s="9" t="n">
        <v>18371800</v>
      </c>
      <c r="G127" s="9" t="n">
        <v>255</v>
      </c>
      <c r="H127" s="9" t="n">
        <v>46787494</v>
      </c>
      <c r="I127" s="9" t="n">
        <v>780</v>
      </c>
      <c r="J127" s="9" t="n">
        <v>143114688</v>
      </c>
    </row>
    <row r="128" customFormat="false" ht="15.75" hidden="false" customHeight="false" outlineLevel="0" collapsed="false">
      <c r="A128" s="7" t="s">
        <v>136</v>
      </c>
      <c r="B128" s="8" t="n">
        <v>1</v>
      </c>
      <c r="C128" s="9" t="n">
        <v>2808</v>
      </c>
      <c r="D128" s="9" t="n">
        <v>39772800</v>
      </c>
      <c r="E128" s="9" t="n">
        <v>7680</v>
      </c>
      <c r="F128" s="9" t="n">
        <v>111705600</v>
      </c>
      <c r="G128" s="9" t="n">
        <v>2808</v>
      </c>
      <c r="H128" s="9" t="n">
        <v>40556002</v>
      </c>
      <c r="I128" s="9" t="n">
        <v>7680</v>
      </c>
      <c r="J128" s="9" t="n">
        <v>110922398</v>
      </c>
    </row>
    <row r="129" customFormat="false" ht="15.75" hidden="false" customHeight="false" outlineLevel="0" collapsed="false">
      <c r="A129" s="7" t="s">
        <v>137</v>
      </c>
      <c r="B129" s="8" t="n">
        <v>1</v>
      </c>
      <c r="C129" s="9" t="n">
        <v>0</v>
      </c>
      <c r="D129" s="9" t="n">
        <v>0</v>
      </c>
      <c r="E129" s="9" t="n">
        <v>0</v>
      </c>
      <c r="F129" s="9" t="n">
        <v>0</v>
      </c>
      <c r="G129" s="9" t="n">
        <v>0</v>
      </c>
      <c r="H129" s="9" t="n">
        <v>0</v>
      </c>
      <c r="I129" s="9" t="n">
        <v>0</v>
      </c>
      <c r="J129" s="9" t="n">
        <v>0</v>
      </c>
    </row>
    <row r="130" customFormat="false" ht="15.75" hidden="false" customHeight="false" outlineLevel="0" collapsed="false">
      <c r="A130" s="7" t="s">
        <v>138</v>
      </c>
      <c r="B130" s="8" t="n">
        <v>1</v>
      </c>
      <c r="C130" s="9" t="n">
        <v>0</v>
      </c>
      <c r="D130" s="9" t="n">
        <v>0</v>
      </c>
      <c r="E130" s="9" t="n">
        <v>0</v>
      </c>
      <c r="F130" s="9" t="n">
        <v>0</v>
      </c>
      <c r="G130" s="9" t="n">
        <v>0</v>
      </c>
      <c r="H130" s="9" t="n">
        <v>0</v>
      </c>
      <c r="I130" s="9" t="n">
        <v>0</v>
      </c>
      <c r="J130" s="9" t="n">
        <v>0</v>
      </c>
    </row>
    <row r="131" customFormat="false" ht="15.75" hidden="false" customHeight="false" outlineLevel="0" collapsed="false">
      <c r="A131" s="7" t="s">
        <v>139</v>
      </c>
      <c r="B131" s="8" t="n">
        <v>1</v>
      </c>
      <c r="C131" s="9" t="n">
        <v>1217</v>
      </c>
      <c r="D131" s="9" t="n">
        <v>220988080</v>
      </c>
      <c r="E131" s="9" t="n">
        <v>0</v>
      </c>
      <c r="F131" s="9" t="n">
        <v>0</v>
      </c>
      <c r="G131" s="9" t="n">
        <v>30</v>
      </c>
      <c r="H131" s="9" t="n">
        <v>5447529</v>
      </c>
      <c r="I131" s="9" t="n">
        <v>1187</v>
      </c>
      <c r="J131" s="9" t="n">
        <v>215540551</v>
      </c>
    </row>
    <row r="132" customFormat="false" ht="15.75" hidden="false" customHeight="false" outlineLevel="0" collapsed="false">
      <c r="A132" s="7" t="s">
        <v>140</v>
      </c>
      <c r="B132" s="8" t="n">
        <v>1</v>
      </c>
      <c r="C132" s="9" t="n">
        <v>4206</v>
      </c>
      <c r="D132" s="9" t="n">
        <v>772503402</v>
      </c>
      <c r="E132" s="9" t="n">
        <v>1625</v>
      </c>
      <c r="F132" s="9" t="n">
        <v>298458875</v>
      </c>
      <c r="G132" s="9" t="n">
        <v>295</v>
      </c>
      <c r="H132" s="9" t="n">
        <v>54181765</v>
      </c>
      <c r="I132" s="9" t="n">
        <v>5536</v>
      </c>
      <c r="J132" s="9" t="n">
        <v>1016780512</v>
      </c>
    </row>
    <row r="133" customFormat="false" ht="15.75" hidden="false" customHeight="false" outlineLevel="0" collapsed="false">
      <c r="A133" s="7" t="s">
        <v>141</v>
      </c>
      <c r="B133" s="8" t="n">
        <v>1</v>
      </c>
      <c r="C133" s="9" t="n">
        <v>0</v>
      </c>
      <c r="D133" s="9" t="n">
        <v>0</v>
      </c>
      <c r="E133" s="9" t="n">
        <v>2329</v>
      </c>
      <c r="F133" s="9" t="n">
        <v>427760443</v>
      </c>
      <c r="G133" s="9" t="n">
        <v>0</v>
      </c>
      <c r="H133" s="9" t="n">
        <v>0</v>
      </c>
      <c r="I133" s="9" t="n">
        <v>2329</v>
      </c>
      <c r="J133" s="9" t="n">
        <v>427760443</v>
      </c>
    </row>
    <row r="134" customFormat="false" ht="15.75" hidden="false" customHeight="false" outlineLevel="0" collapsed="false">
      <c r="A134" s="7" t="s">
        <v>142</v>
      </c>
      <c r="B134" s="8" t="n">
        <v>1</v>
      </c>
      <c r="C134" s="9" t="n">
        <v>5185</v>
      </c>
      <c r="D134" s="9" t="n">
        <v>952313395</v>
      </c>
      <c r="E134" s="9" t="n">
        <v>0</v>
      </c>
      <c r="F134" s="9" t="n">
        <v>0</v>
      </c>
      <c r="G134" s="9" t="n">
        <v>2755</v>
      </c>
      <c r="H134" s="9" t="n">
        <v>506002585</v>
      </c>
      <c r="I134" s="9" t="n">
        <v>2430</v>
      </c>
      <c r="J134" s="9" t="n">
        <v>446310810</v>
      </c>
    </row>
    <row r="135" customFormat="false" ht="15.75" hidden="false" customHeight="false" outlineLevel="0" collapsed="false">
      <c r="A135" s="7" t="s">
        <v>143</v>
      </c>
      <c r="B135" s="8" t="n">
        <v>1</v>
      </c>
      <c r="C135" s="9" t="n">
        <v>3727</v>
      </c>
      <c r="D135" s="9" t="n">
        <v>683888216</v>
      </c>
      <c r="E135" s="9" t="n">
        <v>0</v>
      </c>
      <c r="F135" s="9" t="n">
        <v>0</v>
      </c>
      <c r="G135" s="9" t="n">
        <v>1516</v>
      </c>
      <c r="H135" s="9" t="n">
        <v>278179376</v>
      </c>
      <c r="I135" s="9" t="n">
        <v>2211</v>
      </c>
      <c r="J135" s="9" t="n">
        <v>405708840</v>
      </c>
    </row>
    <row r="136" customFormat="false" ht="15.75" hidden="false" customHeight="false" outlineLevel="0" collapsed="false">
      <c r="A136" s="7" t="s">
        <v>144</v>
      </c>
      <c r="B136" s="8" t="n">
        <v>1</v>
      </c>
      <c r="C136" s="9" t="n">
        <v>1500</v>
      </c>
      <c r="D136" s="9" t="n">
        <v>273124500</v>
      </c>
      <c r="E136" s="9" t="n">
        <v>260</v>
      </c>
      <c r="F136" s="9" t="n">
        <v>47341580</v>
      </c>
      <c r="G136" s="9" t="n">
        <v>210</v>
      </c>
      <c r="H136" s="9" t="n">
        <v>38237430</v>
      </c>
      <c r="I136" s="9" t="n">
        <v>1550</v>
      </c>
      <c r="J136" s="9" t="n">
        <v>282228650</v>
      </c>
    </row>
    <row r="137" customFormat="false" ht="15.75" hidden="false" customHeight="false" outlineLevel="0" collapsed="false">
      <c r="A137" s="7" t="s">
        <v>145</v>
      </c>
      <c r="B137" s="8" t="n">
        <v>1</v>
      </c>
      <c r="C137" s="9" t="n">
        <v>583</v>
      </c>
      <c r="D137" s="9" t="n">
        <v>104200927</v>
      </c>
      <c r="E137" s="9" t="n">
        <v>0</v>
      </c>
      <c r="F137" s="9" t="n">
        <v>0</v>
      </c>
      <c r="G137" s="9" t="n">
        <v>20</v>
      </c>
      <c r="H137" s="9" t="n">
        <v>3574646</v>
      </c>
      <c r="I137" s="9" t="n">
        <v>563</v>
      </c>
      <c r="J137" s="9" t="n">
        <v>100626281</v>
      </c>
    </row>
    <row r="138" customFormat="false" ht="15.75" hidden="false" customHeight="false" outlineLevel="0" collapsed="false">
      <c r="A138" s="7" t="s">
        <v>146</v>
      </c>
      <c r="B138" s="8" t="n">
        <v>1</v>
      </c>
      <c r="C138" s="9" t="n">
        <v>0</v>
      </c>
      <c r="D138" s="9" t="n">
        <v>0</v>
      </c>
      <c r="E138" s="9" t="n">
        <v>1400</v>
      </c>
      <c r="F138" s="9" t="n">
        <v>265758500</v>
      </c>
      <c r="G138" s="9" t="n">
        <v>0</v>
      </c>
      <c r="H138" s="9" t="n">
        <v>0</v>
      </c>
      <c r="I138" s="9" t="n">
        <v>1400</v>
      </c>
      <c r="J138" s="9" t="n">
        <v>265758500</v>
      </c>
    </row>
    <row r="139" customFormat="false" ht="15.75" hidden="false" customHeight="false" outlineLevel="0" collapsed="false">
      <c r="A139" s="7" t="s">
        <v>147</v>
      </c>
      <c r="B139" s="8" t="n">
        <v>1</v>
      </c>
      <c r="C139" s="9" t="n">
        <v>0</v>
      </c>
      <c r="D139" s="9" t="n">
        <v>0</v>
      </c>
      <c r="E139" s="9" t="n">
        <v>48</v>
      </c>
      <c r="F139" s="9" t="n">
        <v>8507764</v>
      </c>
      <c r="G139" s="9" t="n">
        <v>0</v>
      </c>
      <c r="H139" s="9" t="n">
        <v>0</v>
      </c>
      <c r="I139" s="9" t="n">
        <v>48</v>
      </c>
      <c r="J139" s="9" t="n">
        <v>8507764</v>
      </c>
    </row>
    <row r="140" customFormat="false" ht="15.75" hidden="false" customHeight="false" outlineLevel="0" collapsed="false">
      <c r="A140" s="7" t="s">
        <v>148</v>
      </c>
      <c r="B140" s="8" t="n">
        <v>1</v>
      </c>
      <c r="C140" s="9" t="n">
        <v>0</v>
      </c>
      <c r="D140" s="9" t="n">
        <v>0</v>
      </c>
      <c r="E140" s="9" t="n">
        <v>264</v>
      </c>
      <c r="F140" s="9" t="n">
        <v>30000960</v>
      </c>
      <c r="G140" s="9" t="n">
        <v>0</v>
      </c>
      <c r="H140" s="9" t="n">
        <v>0</v>
      </c>
      <c r="I140" s="9" t="n">
        <v>264</v>
      </c>
      <c r="J140" s="9" t="n">
        <v>30000960</v>
      </c>
    </row>
    <row r="141" customFormat="false" ht="15.75" hidden="false" customHeight="false" outlineLevel="0" collapsed="false">
      <c r="A141" s="7" t="s">
        <v>149</v>
      </c>
      <c r="B141" s="8" t="n">
        <v>1</v>
      </c>
      <c r="C141" s="9" t="n">
        <v>3924</v>
      </c>
      <c r="D141" s="9" t="n">
        <v>745560000</v>
      </c>
      <c r="E141" s="9" t="n">
        <v>2050</v>
      </c>
      <c r="F141" s="9" t="n">
        <v>389051500</v>
      </c>
      <c r="G141" s="9" t="n">
        <v>95</v>
      </c>
      <c r="H141" s="9" t="n">
        <v>18042868</v>
      </c>
      <c r="I141" s="9" t="n">
        <v>5879</v>
      </c>
      <c r="J141" s="9" t="n">
        <v>1116568632</v>
      </c>
    </row>
    <row r="142" customFormat="false" ht="15.75" hidden="false" customHeight="false" outlineLevel="0" collapsed="false">
      <c r="A142" s="7" t="s">
        <v>150</v>
      </c>
      <c r="B142" s="8" t="n">
        <v>1</v>
      </c>
      <c r="C142" s="9" t="n">
        <v>0</v>
      </c>
      <c r="D142" s="9" t="n">
        <v>0</v>
      </c>
      <c r="E142" s="9" t="n">
        <v>0</v>
      </c>
      <c r="F142" s="9" t="n">
        <v>0</v>
      </c>
      <c r="G142" s="9" t="n">
        <v>0</v>
      </c>
      <c r="H142" s="9" t="n">
        <v>0</v>
      </c>
      <c r="I142" s="9" t="n">
        <v>0</v>
      </c>
      <c r="J142" s="9" t="n">
        <v>0</v>
      </c>
    </row>
    <row r="143" customFormat="false" ht="15.75" hidden="false" customHeight="false" outlineLevel="0" collapsed="false">
      <c r="A143" s="7" t="s">
        <v>151</v>
      </c>
      <c r="B143" s="8" t="n">
        <v>1</v>
      </c>
      <c r="C143" s="9" t="n">
        <v>0</v>
      </c>
      <c r="D143" s="9" t="n">
        <v>0</v>
      </c>
      <c r="E143" s="9" t="n">
        <v>239</v>
      </c>
      <c r="F143" s="9" t="n">
        <v>45410000</v>
      </c>
      <c r="G143" s="9" t="n">
        <v>0</v>
      </c>
      <c r="H143" s="9" t="n">
        <v>0</v>
      </c>
      <c r="I143" s="9" t="n">
        <v>239</v>
      </c>
      <c r="J143" s="9" t="n">
        <v>45410000</v>
      </c>
    </row>
    <row r="144" customFormat="false" ht="15.75" hidden="false" customHeight="false" outlineLevel="0" collapsed="false">
      <c r="A144" s="7" t="s">
        <v>152</v>
      </c>
      <c r="B144" s="8" t="n">
        <v>1</v>
      </c>
      <c r="C144" s="9" t="n">
        <v>0</v>
      </c>
      <c r="D144" s="9" t="n">
        <v>0</v>
      </c>
      <c r="E144" s="9" t="n">
        <v>0</v>
      </c>
      <c r="F144" s="9" t="n">
        <v>0</v>
      </c>
      <c r="G144" s="9" t="n">
        <v>0</v>
      </c>
      <c r="H144" s="9" t="n">
        <v>0</v>
      </c>
      <c r="I144" s="9" t="n">
        <v>0</v>
      </c>
      <c r="J144" s="9" t="n">
        <v>0</v>
      </c>
    </row>
    <row r="145" customFormat="false" ht="15.75" hidden="false" customHeight="false" outlineLevel="0" collapsed="false">
      <c r="A145" s="7" t="s">
        <v>153</v>
      </c>
      <c r="B145" s="8" t="n">
        <v>1</v>
      </c>
      <c r="C145" s="9" t="n">
        <v>0</v>
      </c>
      <c r="D145" s="9" t="n">
        <v>0</v>
      </c>
      <c r="E145" s="9" t="n">
        <v>0</v>
      </c>
      <c r="F145" s="9" t="n">
        <v>0</v>
      </c>
      <c r="G145" s="9" t="n">
        <v>0</v>
      </c>
      <c r="H145" s="9" t="n">
        <v>0</v>
      </c>
      <c r="I145" s="9" t="n">
        <v>0</v>
      </c>
      <c r="J145" s="9" t="n">
        <v>0</v>
      </c>
    </row>
    <row r="146" customFormat="false" ht="15.75" hidden="false" customHeight="false" outlineLevel="0" collapsed="false">
      <c r="A146" s="7" t="s">
        <v>154</v>
      </c>
      <c r="B146" s="8" t="n">
        <v>1</v>
      </c>
      <c r="C146" s="9" t="n">
        <v>0</v>
      </c>
      <c r="D146" s="9" t="n">
        <v>0</v>
      </c>
      <c r="E146" s="9" t="n">
        <v>0</v>
      </c>
      <c r="F146" s="9" t="n">
        <v>0</v>
      </c>
      <c r="G146" s="9" t="n">
        <v>0</v>
      </c>
      <c r="H146" s="9" t="n">
        <v>0</v>
      </c>
      <c r="I146" s="9" t="n">
        <v>0</v>
      </c>
      <c r="J146" s="9" t="n">
        <v>0</v>
      </c>
    </row>
    <row r="147" customFormat="false" ht="15.75" hidden="false" customHeight="false" outlineLevel="0" collapsed="false">
      <c r="A147" s="7" t="s">
        <v>155</v>
      </c>
      <c r="B147" s="8" t="n">
        <v>1</v>
      </c>
      <c r="C147" s="9" t="n">
        <v>299</v>
      </c>
      <c r="D147" s="9" t="n">
        <v>86652979</v>
      </c>
      <c r="E147" s="9" t="n">
        <v>40</v>
      </c>
      <c r="F147" s="9" t="n">
        <v>11611120</v>
      </c>
      <c r="G147" s="9" t="n">
        <v>185</v>
      </c>
      <c r="H147" s="9" t="n">
        <v>53624951</v>
      </c>
      <c r="I147" s="9" t="n">
        <v>154</v>
      </c>
      <c r="J147" s="9" t="n">
        <v>44639148</v>
      </c>
    </row>
    <row r="148" customFormat="false" ht="15.75" hidden="false" customHeight="false" outlineLevel="0" collapsed="false">
      <c r="A148" s="7" t="s">
        <v>156</v>
      </c>
      <c r="B148" s="8" t="n">
        <v>1</v>
      </c>
      <c r="C148" s="9" t="n">
        <v>0</v>
      </c>
      <c r="D148" s="9" t="n">
        <v>0</v>
      </c>
      <c r="E148" s="9" t="n">
        <v>0</v>
      </c>
      <c r="F148" s="9" t="n">
        <v>0</v>
      </c>
      <c r="G148" s="9" t="n">
        <v>0</v>
      </c>
      <c r="H148" s="9" t="n">
        <v>0</v>
      </c>
      <c r="I148" s="9" t="n">
        <v>0</v>
      </c>
      <c r="J148" s="9" t="n">
        <v>0</v>
      </c>
    </row>
    <row r="149" customFormat="false" ht="15.75" hidden="false" customHeight="false" outlineLevel="0" collapsed="false">
      <c r="A149" s="7" t="s">
        <v>157</v>
      </c>
      <c r="B149" s="8" t="n">
        <v>1</v>
      </c>
      <c r="C149" s="9" t="n">
        <v>0</v>
      </c>
      <c r="D149" s="9" t="n">
        <v>0</v>
      </c>
      <c r="E149" s="9" t="n">
        <v>0</v>
      </c>
      <c r="F149" s="9" t="n">
        <v>0</v>
      </c>
      <c r="G149" s="9" t="n">
        <v>0</v>
      </c>
      <c r="H149" s="9" t="n">
        <v>0</v>
      </c>
      <c r="I149" s="9" t="n">
        <v>0</v>
      </c>
      <c r="J149" s="9" t="n">
        <v>0</v>
      </c>
    </row>
    <row r="150" customFormat="false" ht="15.75" hidden="false" customHeight="false" outlineLevel="0" collapsed="false">
      <c r="A150" s="7" t="s">
        <v>158</v>
      </c>
      <c r="B150" s="8" t="n">
        <v>1</v>
      </c>
      <c r="C150" s="9" t="n">
        <v>0</v>
      </c>
      <c r="D150" s="9" t="n">
        <v>0</v>
      </c>
      <c r="E150" s="9" t="n">
        <v>157</v>
      </c>
      <c r="F150" s="9" t="n">
        <v>34833360</v>
      </c>
      <c r="G150" s="9" t="n">
        <v>0</v>
      </c>
      <c r="H150" s="9" t="n">
        <v>0</v>
      </c>
      <c r="I150" s="9" t="n">
        <v>157</v>
      </c>
      <c r="J150" s="9" t="n">
        <v>34833360</v>
      </c>
    </row>
    <row r="151" customFormat="false" ht="15.75" hidden="false" customHeight="false" outlineLevel="0" collapsed="false">
      <c r="A151" s="7" t="s">
        <v>159</v>
      </c>
      <c r="B151" s="8" t="n">
        <v>1</v>
      </c>
      <c r="C151" s="9" t="n">
        <v>0</v>
      </c>
      <c r="D151" s="9" t="n">
        <v>0</v>
      </c>
      <c r="E151" s="9" t="n">
        <v>108</v>
      </c>
      <c r="F151" s="9" t="n">
        <v>23773050</v>
      </c>
      <c r="G151" s="9" t="n">
        <v>0</v>
      </c>
      <c r="H151" s="9" t="n">
        <v>0</v>
      </c>
      <c r="I151" s="9" t="n">
        <v>108</v>
      </c>
      <c r="J151" s="9" t="n">
        <v>23773050</v>
      </c>
    </row>
    <row r="152" customFormat="false" ht="15.75" hidden="false" customHeight="false" outlineLevel="0" collapsed="false">
      <c r="A152" s="7" t="s">
        <v>160</v>
      </c>
      <c r="B152" s="8" t="n">
        <v>1</v>
      </c>
      <c r="C152" s="9" t="n">
        <v>0</v>
      </c>
      <c r="D152" s="9" t="n">
        <v>0</v>
      </c>
      <c r="E152" s="9" t="n">
        <v>100</v>
      </c>
      <c r="F152" s="9" t="n">
        <v>26411940</v>
      </c>
      <c r="G152" s="9" t="n">
        <v>0</v>
      </c>
      <c r="H152" s="9" t="n">
        <v>0</v>
      </c>
      <c r="I152" s="9" t="n">
        <v>100</v>
      </c>
      <c r="J152" s="9" t="n">
        <v>26411940</v>
      </c>
    </row>
    <row r="153" customFormat="false" ht="15.75" hidden="false" customHeight="false" outlineLevel="0" collapsed="false">
      <c r="A153" s="7" t="s">
        <v>161</v>
      </c>
      <c r="B153" s="8" t="n">
        <v>1</v>
      </c>
      <c r="C153" s="9" t="n">
        <v>0</v>
      </c>
      <c r="D153" s="9" t="n">
        <v>0</v>
      </c>
      <c r="E153" s="9" t="n">
        <v>0</v>
      </c>
      <c r="F153" s="9" t="n">
        <v>0</v>
      </c>
      <c r="G153" s="9" t="n">
        <v>0</v>
      </c>
      <c r="H153" s="9" t="n">
        <v>0</v>
      </c>
      <c r="I153" s="9" t="n">
        <v>0</v>
      </c>
      <c r="J153" s="9" t="n">
        <v>0</v>
      </c>
    </row>
    <row r="154" customFormat="false" ht="15.75" hidden="false" customHeight="false" outlineLevel="0" collapsed="false">
      <c r="A154" s="7" t="s">
        <v>162</v>
      </c>
      <c r="B154" s="8" t="n">
        <v>1</v>
      </c>
      <c r="C154" s="9" t="n">
        <v>0</v>
      </c>
      <c r="D154" s="9" t="n">
        <v>0</v>
      </c>
      <c r="E154" s="9" t="n">
        <v>105</v>
      </c>
      <c r="F154" s="9" t="n">
        <v>33189555</v>
      </c>
      <c r="G154" s="9" t="n">
        <v>0</v>
      </c>
      <c r="H154" s="9" t="n">
        <v>0</v>
      </c>
      <c r="I154" s="9" t="n">
        <v>105</v>
      </c>
      <c r="J154" s="9" t="n">
        <v>33189555</v>
      </c>
    </row>
    <row r="155" customFormat="false" ht="15.75" hidden="false" customHeight="false" outlineLevel="0" collapsed="false">
      <c r="A155" s="7" t="s">
        <v>163</v>
      </c>
      <c r="B155" s="8" t="n">
        <v>1</v>
      </c>
      <c r="C155" s="9" t="n">
        <v>0</v>
      </c>
      <c r="D155" s="9" t="n">
        <v>0</v>
      </c>
      <c r="E155" s="9" t="n">
        <v>0</v>
      </c>
      <c r="F155" s="9" t="n">
        <v>0</v>
      </c>
      <c r="G155" s="9" t="n">
        <v>0</v>
      </c>
      <c r="H155" s="9" t="n">
        <v>0</v>
      </c>
      <c r="I155" s="9" t="n">
        <v>0</v>
      </c>
      <c r="J155" s="9" t="n">
        <v>0</v>
      </c>
    </row>
    <row r="156" customFormat="false" ht="15.75" hidden="false" customHeight="false" outlineLevel="0" collapsed="false">
      <c r="A156" s="7" t="s">
        <v>164</v>
      </c>
      <c r="B156" s="8" t="n">
        <v>1</v>
      </c>
      <c r="C156" s="9" t="n">
        <v>135</v>
      </c>
      <c r="D156" s="9" t="n">
        <v>20923247</v>
      </c>
      <c r="E156" s="9" t="n">
        <v>64</v>
      </c>
      <c r="F156" s="9" t="n">
        <v>9502290</v>
      </c>
      <c r="G156" s="9" t="n">
        <v>50</v>
      </c>
      <c r="H156" s="9" t="n">
        <v>7644607</v>
      </c>
      <c r="I156" s="9" t="n">
        <v>149</v>
      </c>
      <c r="J156" s="9" t="n">
        <v>22780930</v>
      </c>
    </row>
    <row r="157" customFormat="false" ht="15.75" hidden="false" customHeight="false" outlineLevel="0" collapsed="false">
      <c r="A157" s="7" t="s">
        <v>165</v>
      </c>
      <c r="B157" s="8" t="n">
        <v>1</v>
      </c>
      <c r="C157" s="9" t="n">
        <v>0</v>
      </c>
      <c r="D157" s="9" t="n">
        <v>0</v>
      </c>
      <c r="E157" s="9" t="n">
        <v>70</v>
      </c>
      <c r="F157" s="9" t="n">
        <v>9502290</v>
      </c>
      <c r="G157" s="9" t="n">
        <v>0</v>
      </c>
      <c r="H157" s="9" t="n">
        <v>0</v>
      </c>
      <c r="I157" s="9" t="n">
        <v>70</v>
      </c>
      <c r="J157" s="9" t="n">
        <v>9502290</v>
      </c>
    </row>
    <row r="158" customFormat="false" ht="15.75" hidden="false" customHeight="false" outlineLevel="0" collapsed="false">
      <c r="A158" s="7" t="s">
        <v>166</v>
      </c>
      <c r="B158" s="8" t="n">
        <v>1</v>
      </c>
      <c r="C158" s="9" t="n">
        <v>0</v>
      </c>
      <c r="D158" s="9" t="n">
        <v>0</v>
      </c>
      <c r="E158" s="9" t="n">
        <v>0</v>
      </c>
      <c r="F158" s="9" t="n">
        <v>0</v>
      </c>
      <c r="G158" s="9" t="n">
        <v>0</v>
      </c>
      <c r="H158" s="9" t="n">
        <v>0</v>
      </c>
      <c r="I158" s="9" t="n">
        <v>0</v>
      </c>
      <c r="J158" s="9" t="n">
        <v>0</v>
      </c>
    </row>
    <row r="159" customFormat="false" ht="15.75" hidden="false" customHeight="false" outlineLevel="0" collapsed="false">
      <c r="A159" s="7" t="s">
        <v>167</v>
      </c>
      <c r="B159" s="8" t="n">
        <v>1</v>
      </c>
      <c r="C159" s="9" t="n">
        <v>2166</v>
      </c>
      <c r="D159" s="9" t="n">
        <v>402148258</v>
      </c>
      <c r="E159" s="9" t="n">
        <v>0</v>
      </c>
      <c r="F159" s="9" t="n">
        <v>0</v>
      </c>
      <c r="G159" s="9" t="n">
        <v>140</v>
      </c>
      <c r="H159" s="9" t="n">
        <v>25992962</v>
      </c>
      <c r="I159" s="9" t="n">
        <v>2026</v>
      </c>
      <c r="J159" s="9" t="n">
        <v>376155296</v>
      </c>
    </row>
    <row r="160" customFormat="false" ht="15.75" hidden="false" customHeight="false" outlineLevel="0" collapsed="false">
      <c r="A160" s="7" t="s">
        <v>168</v>
      </c>
      <c r="B160" s="8" t="n">
        <v>1</v>
      </c>
      <c r="C160" s="9" t="n">
        <v>0</v>
      </c>
      <c r="D160" s="9" t="n">
        <v>0</v>
      </c>
      <c r="E160" s="9" t="n">
        <v>10</v>
      </c>
      <c r="F160" s="9" t="n">
        <v>1820830</v>
      </c>
      <c r="G160" s="9" t="n">
        <v>0</v>
      </c>
      <c r="H160" s="9" t="n">
        <v>0</v>
      </c>
      <c r="I160" s="9" t="n">
        <v>10</v>
      </c>
      <c r="J160" s="9" t="n">
        <v>1820830</v>
      </c>
    </row>
    <row r="161" customFormat="false" ht="15.75" hidden="false" customHeight="false" outlineLevel="0" collapsed="false">
      <c r="A161" s="7" t="s">
        <v>169</v>
      </c>
      <c r="B161" s="8" t="n">
        <v>1</v>
      </c>
      <c r="C161" s="9" t="n">
        <v>1024</v>
      </c>
      <c r="D161" s="9" t="n">
        <v>181338997</v>
      </c>
      <c r="E161" s="9" t="n">
        <v>0</v>
      </c>
      <c r="F161" s="9" t="n">
        <v>0</v>
      </c>
      <c r="G161" s="9" t="n">
        <v>20</v>
      </c>
      <c r="H161" s="9" t="n">
        <v>3541777</v>
      </c>
      <c r="I161" s="9" t="n">
        <v>1004</v>
      </c>
      <c r="J161" s="9" t="n">
        <v>177797220</v>
      </c>
    </row>
    <row r="162" customFormat="false" ht="15.75" hidden="false" customHeight="false" outlineLevel="0" collapsed="false">
      <c r="A162" s="7" t="s">
        <v>170</v>
      </c>
      <c r="B162" s="8" t="n">
        <v>1</v>
      </c>
      <c r="C162" s="9" t="n">
        <v>0</v>
      </c>
      <c r="D162" s="9" t="n">
        <v>0</v>
      </c>
      <c r="E162" s="9" t="n">
        <v>17</v>
      </c>
      <c r="F162" s="9" t="n">
        <v>4668812</v>
      </c>
      <c r="G162" s="9" t="n">
        <v>0</v>
      </c>
      <c r="H162" s="9" t="n">
        <v>0</v>
      </c>
      <c r="I162" s="9" t="n">
        <v>17</v>
      </c>
      <c r="J162" s="9" t="n">
        <v>4668812</v>
      </c>
    </row>
    <row r="163" customFormat="false" ht="15.75" hidden="false" customHeight="false" outlineLevel="0" collapsed="false">
      <c r="A163" s="7" t="s">
        <v>171</v>
      </c>
      <c r="B163" s="8" t="n">
        <v>1</v>
      </c>
      <c r="C163" s="9" t="n">
        <v>0</v>
      </c>
      <c r="D163" s="9" t="n">
        <v>0</v>
      </c>
      <c r="E163" s="9" t="n">
        <v>0</v>
      </c>
      <c r="F163" s="9" t="n">
        <v>0</v>
      </c>
      <c r="G163" s="9" t="n">
        <v>0</v>
      </c>
      <c r="H163" s="9" t="n">
        <v>0</v>
      </c>
      <c r="I163" s="9" t="n">
        <v>0</v>
      </c>
      <c r="J163" s="9" t="n">
        <v>0</v>
      </c>
    </row>
    <row r="164" customFormat="false" ht="15.75" hidden="false" customHeight="false" outlineLevel="0" collapsed="false">
      <c r="A164" s="7" t="s">
        <v>172</v>
      </c>
      <c r="B164" s="8" t="n">
        <v>1</v>
      </c>
      <c r="C164" s="9" t="n">
        <v>0</v>
      </c>
      <c r="D164" s="9" t="n">
        <v>0</v>
      </c>
      <c r="E164" s="9" t="n">
        <v>0</v>
      </c>
      <c r="F164" s="9" t="n">
        <v>0</v>
      </c>
      <c r="G164" s="9" t="n">
        <v>0</v>
      </c>
      <c r="H164" s="9" t="n">
        <v>0</v>
      </c>
      <c r="I164" s="9" t="n">
        <v>0</v>
      </c>
      <c r="J164" s="9" t="n">
        <v>0</v>
      </c>
    </row>
    <row r="165" customFormat="false" ht="15.75" hidden="false" customHeight="false" outlineLevel="0" collapsed="false">
      <c r="A165" s="7" t="s">
        <v>173</v>
      </c>
      <c r="B165" s="8" t="n">
        <v>1</v>
      </c>
      <c r="C165" s="9" t="n">
        <v>0</v>
      </c>
      <c r="D165" s="9" t="n">
        <v>0</v>
      </c>
      <c r="E165" s="9" t="n">
        <v>0</v>
      </c>
      <c r="F165" s="9" t="n">
        <v>0</v>
      </c>
      <c r="G165" s="9" t="n">
        <v>0</v>
      </c>
      <c r="H165" s="9" t="n">
        <v>0</v>
      </c>
      <c r="I165" s="9" t="n">
        <v>0</v>
      </c>
      <c r="J165" s="9" t="n">
        <v>0</v>
      </c>
    </row>
    <row r="166" customFormat="false" ht="15.75" hidden="false" customHeight="false" outlineLevel="0" collapsed="false">
      <c r="A166" s="7" t="s">
        <v>174</v>
      </c>
      <c r="B166" s="8" t="n">
        <v>1</v>
      </c>
      <c r="C166" s="9" t="n">
        <v>0</v>
      </c>
      <c r="D166" s="9" t="n">
        <v>0</v>
      </c>
      <c r="E166" s="9" t="n">
        <v>30</v>
      </c>
      <c r="F166" s="9" t="n">
        <v>8233320</v>
      </c>
      <c r="G166" s="9" t="n">
        <v>0</v>
      </c>
      <c r="H166" s="9" t="n">
        <v>0</v>
      </c>
      <c r="I166" s="9" t="n">
        <v>30</v>
      </c>
      <c r="J166" s="9" t="n">
        <v>8233320</v>
      </c>
    </row>
    <row r="167" customFormat="false" ht="15.75" hidden="false" customHeight="false" outlineLevel="0" collapsed="false">
      <c r="A167" s="7" t="s">
        <v>175</v>
      </c>
      <c r="B167" s="8" t="n">
        <v>1</v>
      </c>
      <c r="C167" s="9" t="n">
        <v>0</v>
      </c>
      <c r="D167" s="9" t="n">
        <v>0</v>
      </c>
      <c r="E167" s="9" t="n">
        <v>0</v>
      </c>
      <c r="F167" s="9" t="n">
        <v>0</v>
      </c>
      <c r="G167" s="9" t="n">
        <v>0</v>
      </c>
      <c r="H167" s="9" t="n">
        <v>0</v>
      </c>
      <c r="I167" s="9" t="n">
        <v>0</v>
      </c>
      <c r="J167" s="9" t="n">
        <v>0</v>
      </c>
    </row>
    <row r="168" customFormat="false" ht="15.75" hidden="false" customHeight="false" outlineLevel="0" collapsed="false">
      <c r="A168" s="7" t="s">
        <v>176</v>
      </c>
      <c r="B168" s="8" t="n">
        <v>1</v>
      </c>
      <c r="C168" s="9" t="n">
        <v>0</v>
      </c>
      <c r="D168" s="9" t="n">
        <v>0</v>
      </c>
      <c r="E168" s="9" t="n">
        <v>0</v>
      </c>
      <c r="F168" s="9" t="n">
        <v>0</v>
      </c>
      <c r="G168" s="9" t="n">
        <v>0</v>
      </c>
      <c r="H168" s="9" t="n">
        <v>0</v>
      </c>
      <c r="I168" s="9" t="n">
        <v>0</v>
      </c>
      <c r="J168" s="9" t="n">
        <v>0</v>
      </c>
    </row>
    <row r="169" customFormat="false" ht="15.75" hidden="false" customHeight="false" outlineLevel="0" collapsed="false">
      <c r="A169" s="7" t="s">
        <v>177</v>
      </c>
      <c r="B169" s="8" t="n">
        <v>1</v>
      </c>
      <c r="C169" s="9" t="n">
        <v>0</v>
      </c>
      <c r="D169" s="9" t="n">
        <v>0</v>
      </c>
      <c r="E169" s="9" t="n">
        <v>0</v>
      </c>
      <c r="F169" s="9" t="n">
        <v>0</v>
      </c>
      <c r="G169" s="9" t="n">
        <v>0</v>
      </c>
      <c r="H169" s="9" t="n">
        <v>0</v>
      </c>
      <c r="I169" s="9" t="n">
        <v>0</v>
      </c>
      <c r="J169" s="9" t="n">
        <v>0</v>
      </c>
    </row>
    <row r="170" customFormat="false" ht="15.75" hidden="false" customHeight="false" outlineLevel="0" collapsed="false">
      <c r="A170" s="7" t="s">
        <v>178</v>
      </c>
      <c r="B170" s="8" t="n">
        <v>1</v>
      </c>
      <c r="C170" s="9" t="n">
        <v>0</v>
      </c>
      <c r="D170" s="9" t="n">
        <v>0</v>
      </c>
      <c r="E170" s="9" t="n">
        <v>0</v>
      </c>
      <c r="F170" s="9" t="n">
        <v>0</v>
      </c>
      <c r="G170" s="9" t="n">
        <v>0</v>
      </c>
      <c r="H170" s="9" t="n">
        <v>0</v>
      </c>
      <c r="I170" s="9" t="n">
        <v>0</v>
      </c>
      <c r="J170" s="9" t="n">
        <v>0</v>
      </c>
    </row>
    <row r="171" customFormat="false" ht="15.75" hidden="false" customHeight="false" outlineLevel="0" collapsed="false">
      <c r="A171" s="7" t="s">
        <v>179</v>
      </c>
      <c r="B171" s="8" t="n">
        <v>1</v>
      </c>
      <c r="C171" s="9" t="n">
        <v>7248</v>
      </c>
      <c r="D171" s="9" t="n">
        <v>40116000</v>
      </c>
      <c r="E171" s="9" t="n">
        <v>13368</v>
      </c>
      <c r="F171" s="9" t="n">
        <v>72922440</v>
      </c>
      <c r="G171" s="9" t="n">
        <v>7248</v>
      </c>
      <c r="H171" s="9" t="n">
        <v>39741105</v>
      </c>
      <c r="I171" s="9" t="n">
        <v>13368</v>
      </c>
      <c r="J171" s="9" t="n">
        <v>73297335</v>
      </c>
    </row>
    <row r="172" customFormat="false" ht="15.75" hidden="false" customHeight="false" outlineLevel="0" collapsed="false">
      <c r="A172" s="7" t="s">
        <v>180</v>
      </c>
      <c r="B172" s="8" t="n">
        <v>1</v>
      </c>
      <c r="C172" s="9" t="n">
        <v>0</v>
      </c>
      <c r="D172" s="9" t="n">
        <v>0</v>
      </c>
      <c r="E172" s="9" t="n">
        <v>0</v>
      </c>
      <c r="F172" s="9" t="n">
        <v>0</v>
      </c>
      <c r="G172" s="9" t="n">
        <v>0</v>
      </c>
      <c r="H172" s="9" t="n">
        <v>0</v>
      </c>
      <c r="I172" s="9" t="n">
        <v>0</v>
      </c>
      <c r="J172" s="9" t="n">
        <v>0</v>
      </c>
    </row>
    <row r="173" customFormat="false" ht="15.75" hidden="false" customHeight="false" outlineLevel="0" collapsed="false">
      <c r="A173" s="7" t="s">
        <v>181</v>
      </c>
      <c r="B173" s="8" t="n">
        <v>1</v>
      </c>
      <c r="C173" s="9" t="n">
        <v>1530</v>
      </c>
      <c r="D173" s="9" t="n">
        <v>73718460</v>
      </c>
      <c r="E173" s="9" t="n">
        <v>900</v>
      </c>
      <c r="F173" s="9" t="n">
        <v>43242300</v>
      </c>
      <c r="G173" s="9" t="n">
        <v>1530</v>
      </c>
      <c r="H173" s="9" t="n">
        <v>73641960</v>
      </c>
      <c r="I173" s="9" t="n">
        <v>900</v>
      </c>
      <c r="J173" s="9" t="n">
        <v>43318800</v>
      </c>
    </row>
    <row r="174" customFormat="false" ht="15.75" hidden="false" customHeight="false" outlineLevel="0" collapsed="false">
      <c r="A174" s="7" t="s">
        <v>182</v>
      </c>
      <c r="B174" s="8" t="n">
        <v>1</v>
      </c>
      <c r="C174" s="9" t="n">
        <v>0</v>
      </c>
      <c r="D174" s="9" t="n">
        <v>0</v>
      </c>
      <c r="E174" s="9" t="n">
        <v>0</v>
      </c>
      <c r="F174" s="9" t="n">
        <v>0</v>
      </c>
      <c r="G174" s="9" t="n">
        <v>0</v>
      </c>
      <c r="H174" s="9" t="n">
        <v>0</v>
      </c>
      <c r="I174" s="9" t="n">
        <v>0</v>
      </c>
      <c r="J174" s="9" t="n">
        <v>0</v>
      </c>
    </row>
    <row r="175" customFormat="false" ht="15.75" hidden="false" customHeight="false" outlineLevel="0" collapsed="false">
      <c r="A175" s="7" t="s">
        <v>183</v>
      </c>
      <c r="B175" s="8" t="n">
        <v>1</v>
      </c>
      <c r="C175" s="9" t="n">
        <v>2302</v>
      </c>
      <c r="D175" s="9" t="n">
        <v>125545601</v>
      </c>
      <c r="E175" s="9" t="n">
        <v>208</v>
      </c>
      <c r="F175" s="9" t="n">
        <v>10880000</v>
      </c>
      <c r="G175" s="9" t="n">
        <v>50</v>
      </c>
      <c r="H175" s="9" t="n">
        <v>2717641</v>
      </c>
      <c r="I175" s="9" t="n">
        <v>2460</v>
      </c>
      <c r="J175" s="9" t="n">
        <v>133707960</v>
      </c>
    </row>
    <row r="176" customFormat="false" ht="15.75" hidden="false" customHeight="false" outlineLevel="0" collapsed="false">
      <c r="A176" s="7" t="s">
        <v>184</v>
      </c>
      <c r="B176" s="8" t="n">
        <v>1</v>
      </c>
      <c r="C176" s="9" t="n">
        <v>2688</v>
      </c>
      <c r="D176" s="9" t="n">
        <v>147556845</v>
      </c>
      <c r="E176" s="9" t="n">
        <v>312</v>
      </c>
      <c r="F176" s="9" t="n">
        <v>16320000</v>
      </c>
      <c r="G176" s="9" t="n">
        <v>337</v>
      </c>
      <c r="H176" s="9" t="n">
        <v>18408832</v>
      </c>
      <c r="I176" s="9" t="n">
        <v>2663</v>
      </c>
      <c r="J176" s="9" t="n">
        <v>145468013</v>
      </c>
    </row>
    <row r="177" customFormat="false" ht="15.75" hidden="false" customHeight="false" outlineLevel="0" collapsed="false">
      <c r="A177" s="7" t="s">
        <v>185</v>
      </c>
      <c r="B177" s="8" t="n">
        <v>1</v>
      </c>
      <c r="C177" s="9" t="n">
        <v>0</v>
      </c>
      <c r="D177" s="9" t="n">
        <v>0</v>
      </c>
      <c r="E177" s="9" t="n">
        <v>200</v>
      </c>
      <c r="F177" s="9" t="n">
        <v>36046800</v>
      </c>
      <c r="G177" s="9" t="n">
        <v>110</v>
      </c>
      <c r="H177" s="9" t="n">
        <v>19825740</v>
      </c>
      <c r="I177" s="9" t="n">
        <v>90</v>
      </c>
      <c r="J177" s="9" t="n">
        <v>16221060</v>
      </c>
    </row>
    <row r="178" customFormat="false" ht="15.75" hidden="false" customHeight="false" outlineLevel="0" collapsed="false">
      <c r="A178" s="7" t="s">
        <v>186</v>
      </c>
      <c r="B178" s="8" t="n">
        <v>1</v>
      </c>
      <c r="C178" s="9" t="n">
        <v>1500</v>
      </c>
      <c r="D178" s="9" t="n">
        <v>81000000</v>
      </c>
      <c r="E178" s="9" t="n">
        <v>16800</v>
      </c>
      <c r="F178" s="9" t="n">
        <v>730252910</v>
      </c>
      <c r="G178" s="9" t="n">
        <v>17110</v>
      </c>
      <c r="H178" s="9" t="n">
        <v>758499305</v>
      </c>
      <c r="I178" s="9" t="n">
        <v>1190</v>
      </c>
      <c r="J178" s="9" t="n">
        <v>52753605</v>
      </c>
    </row>
    <row r="179" customFormat="false" ht="15.75" hidden="false" customHeight="false" outlineLevel="0" collapsed="false">
      <c r="A179" s="7" t="s">
        <v>187</v>
      </c>
      <c r="B179" s="8" t="n">
        <v>1</v>
      </c>
      <c r="C179" s="9" t="n">
        <v>1470</v>
      </c>
      <c r="D179" s="9" t="n">
        <v>59535000</v>
      </c>
      <c r="E179" s="9" t="n">
        <v>525</v>
      </c>
      <c r="F179" s="9" t="n">
        <v>18553500</v>
      </c>
      <c r="G179" s="9" t="n">
        <v>1470</v>
      </c>
      <c r="H179" s="9" t="n">
        <v>57538895</v>
      </c>
      <c r="I179" s="9" t="n">
        <v>525</v>
      </c>
      <c r="J179" s="9" t="n">
        <v>20549605</v>
      </c>
    </row>
    <row r="180" customFormat="false" ht="15.75" hidden="false" customHeight="false" outlineLevel="0" collapsed="false">
      <c r="A180" s="7" t="s">
        <v>188</v>
      </c>
      <c r="B180" s="8" t="n">
        <v>1</v>
      </c>
      <c r="C180" s="9" t="n">
        <v>6507</v>
      </c>
      <c r="D180" s="9" t="n">
        <v>1320921000</v>
      </c>
      <c r="E180" s="9" t="n">
        <v>6050</v>
      </c>
      <c r="F180" s="9" t="n">
        <v>1082287500</v>
      </c>
      <c r="G180" s="9" t="n">
        <v>6617</v>
      </c>
      <c r="H180" s="9" t="n">
        <v>1266387724</v>
      </c>
      <c r="I180" s="9" t="n">
        <v>5940</v>
      </c>
      <c r="J180" s="9" t="n">
        <v>1136820776</v>
      </c>
    </row>
    <row r="181" customFormat="false" ht="15.75" hidden="false" customHeight="false" outlineLevel="0" collapsed="false">
      <c r="A181" s="7" t="s">
        <v>189</v>
      </c>
      <c r="B181" s="8" t="n">
        <v>1</v>
      </c>
      <c r="C181" s="9" t="n">
        <v>170</v>
      </c>
      <c r="D181" s="9" t="n">
        <v>8500000</v>
      </c>
      <c r="E181" s="9" t="n">
        <v>250</v>
      </c>
      <c r="F181" s="9" t="n">
        <v>10842955</v>
      </c>
      <c r="G181" s="9" t="n">
        <v>170</v>
      </c>
      <c r="H181" s="9" t="n">
        <v>7829291</v>
      </c>
      <c r="I181" s="9" t="n">
        <v>250</v>
      </c>
      <c r="J181" s="9" t="n">
        <v>11513664</v>
      </c>
    </row>
    <row r="182" customFormat="false" ht="15.75" hidden="false" customHeight="false" outlineLevel="0" collapsed="false">
      <c r="A182" s="7" t="s">
        <v>190</v>
      </c>
      <c r="B182" s="8" t="n">
        <v>1</v>
      </c>
      <c r="C182" s="9" t="n">
        <v>14840</v>
      </c>
      <c r="D182" s="9" t="n">
        <v>482300000</v>
      </c>
      <c r="E182" s="9" t="n">
        <v>5250</v>
      </c>
      <c r="F182" s="9" t="n">
        <v>148428000</v>
      </c>
      <c r="G182" s="9" t="n">
        <v>14840</v>
      </c>
      <c r="H182" s="9" t="n">
        <v>465903610</v>
      </c>
      <c r="I182" s="9" t="n">
        <v>5250</v>
      </c>
      <c r="J182" s="9" t="n">
        <v>164824390</v>
      </c>
    </row>
    <row r="183" customFormat="false" ht="15.75" hidden="false" customHeight="false" outlineLevel="0" collapsed="false">
      <c r="A183" s="7" t="s">
        <v>191</v>
      </c>
      <c r="B183" s="8" t="n">
        <v>1</v>
      </c>
      <c r="C183" s="9" t="n">
        <v>38675</v>
      </c>
      <c r="D183" s="9" t="n">
        <v>1245257650</v>
      </c>
      <c r="E183" s="9" t="n">
        <v>53025</v>
      </c>
      <c r="F183" s="9" t="n">
        <v>1480569300</v>
      </c>
      <c r="G183" s="9" t="n">
        <v>69710</v>
      </c>
      <c r="H183" s="9" t="n">
        <v>2114639847</v>
      </c>
      <c r="I183" s="9" t="n">
        <v>21990</v>
      </c>
      <c r="J183" s="9" t="n">
        <v>611187103</v>
      </c>
    </row>
    <row r="184" customFormat="false" ht="15.75" hidden="false" customHeight="false" outlineLevel="0" collapsed="false">
      <c r="A184" s="7" t="s">
        <v>192</v>
      </c>
      <c r="B184" s="8" t="n">
        <v>1</v>
      </c>
      <c r="C184" s="9" t="n">
        <v>3450</v>
      </c>
      <c r="D184" s="9" t="n">
        <v>27945000</v>
      </c>
      <c r="E184" s="9" t="n">
        <v>3900</v>
      </c>
      <c r="F184" s="9" t="n">
        <v>27565200</v>
      </c>
      <c r="G184" s="9" t="n">
        <v>3450</v>
      </c>
      <c r="H184" s="9" t="n">
        <v>26055808</v>
      </c>
      <c r="I184" s="9" t="n">
        <v>3900</v>
      </c>
      <c r="J184" s="9" t="n">
        <v>29454392</v>
      </c>
    </row>
    <row r="185" customFormat="false" ht="15.75" hidden="false" customHeight="false" outlineLevel="0" collapsed="false">
      <c r="A185" s="7" t="s">
        <v>193</v>
      </c>
      <c r="B185" s="8" t="n">
        <v>1</v>
      </c>
      <c r="C185" s="9" t="n">
        <v>80</v>
      </c>
      <c r="D185" s="9" t="n">
        <v>19360000</v>
      </c>
      <c r="E185" s="9" t="n">
        <v>100</v>
      </c>
      <c r="F185" s="9" t="n">
        <v>21364636</v>
      </c>
      <c r="G185" s="9" t="n">
        <v>80</v>
      </c>
      <c r="H185" s="9" t="n">
        <v>18099838</v>
      </c>
      <c r="I185" s="9" t="n">
        <v>100</v>
      </c>
      <c r="J185" s="9" t="n">
        <v>22624798</v>
      </c>
    </row>
    <row r="186" customFormat="false" ht="15.75" hidden="false" customHeight="false" outlineLevel="0" collapsed="false">
      <c r="A186" s="7" t="s">
        <v>194</v>
      </c>
      <c r="B186" s="8" t="n">
        <v>1</v>
      </c>
      <c r="C186" s="9" t="n">
        <v>87340</v>
      </c>
      <c r="D186" s="9" t="n">
        <v>890780660</v>
      </c>
      <c r="E186" s="9" t="n">
        <v>116700</v>
      </c>
      <c r="F186" s="9" t="n">
        <v>824835600</v>
      </c>
      <c r="G186" s="9" t="n">
        <v>122460</v>
      </c>
      <c r="H186" s="9" t="n">
        <v>1065402000</v>
      </c>
      <c r="I186" s="9" t="n">
        <v>81580</v>
      </c>
      <c r="J186" s="9" t="n">
        <v>650214260</v>
      </c>
    </row>
    <row r="187" customFormat="false" ht="15.75" hidden="false" customHeight="false" outlineLevel="0" collapsed="false">
      <c r="A187" s="7" t="s">
        <v>195</v>
      </c>
      <c r="B187" s="8" t="n">
        <v>1</v>
      </c>
      <c r="C187" s="9" t="n">
        <v>5290</v>
      </c>
      <c r="D187" s="9" t="n">
        <v>1183380000</v>
      </c>
      <c r="E187" s="9" t="n">
        <v>5400</v>
      </c>
      <c r="F187" s="9" t="n">
        <v>1153690363</v>
      </c>
      <c r="G187" s="9" t="n">
        <v>9435</v>
      </c>
      <c r="H187" s="9" t="n">
        <v>2182179068</v>
      </c>
      <c r="I187" s="9" t="n">
        <v>1255</v>
      </c>
      <c r="J187" s="9" t="n">
        <v>154891295</v>
      </c>
    </row>
    <row r="188" customFormat="false" ht="15.75" hidden="false" customHeight="false" outlineLevel="0" collapsed="false">
      <c r="A188" s="7" t="s">
        <v>196</v>
      </c>
      <c r="B188" s="8" t="n">
        <v>1</v>
      </c>
      <c r="C188" s="9" t="n">
        <v>430</v>
      </c>
      <c r="D188" s="9" t="n">
        <v>72719239</v>
      </c>
      <c r="E188" s="9" t="n">
        <v>150</v>
      </c>
      <c r="F188" s="9" t="n">
        <v>24649650</v>
      </c>
      <c r="G188" s="9" t="n">
        <v>400</v>
      </c>
      <c r="H188" s="9" t="n">
        <v>67150958</v>
      </c>
      <c r="I188" s="9" t="n">
        <v>180</v>
      </c>
      <c r="J188" s="9" t="n">
        <v>30217931</v>
      </c>
    </row>
    <row r="189" customFormat="false" ht="15.75" hidden="false" customHeight="false" outlineLevel="0" collapsed="false">
      <c r="A189" s="7" t="s">
        <v>197</v>
      </c>
      <c r="B189" s="8" t="n">
        <v>1</v>
      </c>
      <c r="C189" s="9" t="n">
        <v>1510</v>
      </c>
      <c r="D189" s="9" t="n">
        <v>10892800</v>
      </c>
      <c r="E189" s="9" t="n">
        <v>1200</v>
      </c>
      <c r="F189" s="9" t="n">
        <v>8481600</v>
      </c>
      <c r="G189" s="9" t="n">
        <v>1510</v>
      </c>
      <c r="H189" s="9" t="n">
        <v>10795330</v>
      </c>
      <c r="I189" s="9" t="n">
        <v>1200</v>
      </c>
      <c r="J189" s="9" t="n">
        <v>8579070</v>
      </c>
    </row>
    <row r="190" customFormat="false" ht="15.75" hidden="false" customHeight="false" outlineLevel="0" collapsed="false">
      <c r="A190" s="7" t="s">
        <v>198</v>
      </c>
      <c r="B190" s="8" t="n">
        <v>1</v>
      </c>
      <c r="C190" s="9" t="n">
        <v>0</v>
      </c>
      <c r="D190" s="9" t="n">
        <v>0</v>
      </c>
      <c r="E190" s="9" t="n">
        <v>0</v>
      </c>
      <c r="F190" s="9" t="n">
        <v>0</v>
      </c>
      <c r="G190" s="9" t="n">
        <v>0</v>
      </c>
      <c r="H190" s="9" t="n">
        <v>0</v>
      </c>
      <c r="I190" s="9" t="n">
        <v>0</v>
      </c>
      <c r="J190" s="9" t="n">
        <v>0</v>
      </c>
    </row>
    <row r="191" customFormat="false" ht="15.75" hidden="false" customHeight="false" outlineLevel="0" collapsed="false">
      <c r="A191" s="7" t="s">
        <v>199</v>
      </c>
      <c r="B191" s="8" t="n">
        <v>1</v>
      </c>
      <c r="C191" s="9" t="n">
        <v>77660</v>
      </c>
      <c r="D191" s="9" t="n">
        <v>0</v>
      </c>
      <c r="E191" s="9" t="n">
        <v>0</v>
      </c>
      <c r="F191" s="9" t="n">
        <v>0</v>
      </c>
      <c r="G191" s="9" t="n">
        <v>0</v>
      </c>
      <c r="H191" s="9" t="n">
        <v>0</v>
      </c>
      <c r="I191" s="9" t="n">
        <v>77660</v>
      </c>
      <c r="J191" s="9" t="n">
        <v>0</v>
      </c>
    </row>
    <row r="192" customFormat="false" ht="15.75" hidden="false" customHeight="false" outlineLevel="0" collapsed="false">
      <c r="A192" s="7" t="s">
        <v>200</v>
      </c>
      <c r="B192" s="8" t="n">
        <v>1</v>
      </c>
      <c r="C192" s="9" t="n">
        <v>0</v>
      </c>
      <c r="D192" s="9" t="n">
        <v>0</v>
      </c>
      <c r="E192" s="9" t="n">
        <v>0</v>
      </c>
      <c r="F192" s="9" t="n">
        <v>0</v>
      </c>
      <c r="G192" s="9" t="n">
        <v>0</v>
      </c>
      <c r="H192" s="9" t="n">
        <v>0</v>
      </c>
      <c r="I192" s="9" t="n">
        <v>0</v>
      </c>
      <c r="J192" s="9" t="n">
        <v>0</v>
      </c>
    </row>
    <row r="193" customFormat="false" ht="15.75" hidden="false" customHeight="false" outlineLevel="0" collapsed="false">
      <c r="A193" s="7" t="s">
        <v>201</v>
      </c>
      <c r="B193" s="8" t="n">
        <v>1</v>
      </c>
      <c r="C193" s="9" t="n">
        <v>288</v>
      </c>
      <c r="D193" s="9" t="n">
        <v>4146912</v>
      </c>
      <c r="E193" s="9" t="n">
        <v>240</v>
      </c>
      <c r="F193" s="9" t="n">
        <v>3600000</v>
      </c>
      <c r="G193" s="9" t="n">
        <v>288</v>
      </c>
      <c r="H193" s="9" t="n">
        <v>4225588</v>
      </c>
      <c r="I193" s="9" t="n">
        <v>240</v>
      </c>
      <c r="J193" s="9" t="n">
        <v>3521324</v>
      </c>
    </row>
    <row r="194" customFormat="false" ht="15.75" hidden="false" customHeight="false" outlineLevel="0" collapsed="false">
      <c r="A194" s="7" t="s">
        <v>202</v>
      </c>
      <c r="B194" s="8" t="n">
        <v>1</v>
      </c>
      <c r="C194" s="9" t="n">
        <v>0</v>
      </c>
      <c r="D194" s="9" t="n">
        <v>0</v>
      </c>
      <c r="E194" s="9" t="n">
        <v>0</v>
      </c>
      <c r="F194" s="9" t="n">
        <v>0</v>
      </c>
      <c r="G194" s="9" t="n">
        <v>0</v>
      </c>
      <c r="H194" s="9" t="n">
        <v>0</v>
      </c>
      <c r="I194" s="9" t="n">
        <v>0</v>
      </c>
      <c r="J194" s="9" t="n">
        <v>0</v>
      </c>
    </row>
    <row r="195" customFormat="false" ht="15.75" hidden="false" customHeight="false" outlineLevel="0" collapsed="false">
      <c r="A195" s="7" t="s">
        <v>203</v>
      </c>
      <c r="B195" s="8" t="n">
        <v>1</v>
      </c>
      <c r="C195" s="9" t="n">
        <v>0</v>
      </c>
      <c r="D195" s="9" t="n">
        <v>0</v>
      </c>
      <c r="E195" s="9" t="n">
        <v>0</v>
      </c>
      <c r="F195" s="9" t="n">
        <v>0</v>
      </c>
      <c r="G195" s="9" t="n">
        <v>0</v>
      </c>
      <c r="H195" s="9" t="n">
        <v>0</v>
      </c>
      <c r="I195" s="9" t="n">
        <v>0</v>
      </c>
      <c r="J195" s="9" t="n">
        <v>0</v>
      </c>
    </row>
    <row r="196" customFormat="false" ht="15.75" hidden="false" customHeight="false" outlineLevel="0" collapsed="false">
      <c r="A196" s="7" t="s">
        <v>204</v>
      </c>
      <c r="B196" s="8" t="n">
        <v>1</v>
      </c>
      <c r="C196" s="9" t="n">
        <v>1005</v>
      </c>
      <c r="D196" s="9" t="n">
        <v>29800377</v>
      </c>
      <c r="E196" s="9" t="n">
        <v>1800</v>
      </c>
      <c r="F196" s="9" t="n">
        <v>54999000</v>
      </c>
      <c r="G196" s="9" t="n">
        <v>246</v>
      </c>
      <c r="H196" s="9" t="n">
        <v>7436951</v>
      </c>
      <c r="I196" s="9" t="n">
        <v>2559</v>
      </c>
      <c r="J196" s="9" t="n">
        <v>77362426</v>
      </c>
    </row>
    <row r="197" customFormat="false" ht="15.75" hidden="false" customHeight="false" outlineLevel="0" collapsed="false">
      <c r="A197" s="7" t="s">
        <v>205</v>
      </c>
      <c r="B197" s="8" t="n">
        <v>1</v>
      </c>
      <c r="C197" s="9" t="n">
        <v>0</v>
      </c>
      <c r="D197" s="9" t="n">
        <v>0</v>
      </c>
      <c r="E197" s="9" t="n">
        <v>0</v>
      </c>
      <c r="F197" s="9" t="n">
        <v>0</v>
      </c>
      <c r="G197" s="9" t="n">
        <v>0</v>
      </c>
      <c r="H197" s="9" t="n">
        <v>0</v>
      </c>
      <c r="I197" s="9" t="n">
        <v>0</v>
      </c>
      <c r="J197" s="9" t="n">
        <v>0</v>
      </c>
    </row>
    <row r="198" customFormat="false" ht="15.75" hidden="false" customHeight="false" outlineLevel="0" collapsed="false">
      <c r="A198" s="7" t="s">
        <v>206</v>
      </c>
      <c r="B198" s="8" t="n">
        <v>1</v>
      </c>
      <c r="C198" s="9" t="n">
        <v>794</v>
      </c>
      <c r="D198" s="9" t="n">
        <v>21565040</v>
      </c>
      <c r="E198" s="9" t="n">
        <v>144</v>
      </c>
      <c r="F198" s="9" t="n">
        <v>4302144</v>
      </c>
      <c r="G198" s="9" t="n">
        <v>98</v>
      </c>
      <c r="H198" s="9" t="n">
        <v>2702542</v>
      </c>
      <c r="I198" s="9" t="n">
        <v>840</v>
      </c>
      <c r="J198" s="9" t="n">
        <v>23164642</v>
      </c>
    </row>
    <row r="199" customFormat="false" ht="15.75" hidden="false" customHeight="false" outlineLevel="0" collapsed="false">
      <c r="A199" s="7" t="s">
        <v>207</v>
      </c>
      <c r="B199" s="8" t="n">
        <v>1</v>
      </c>
      <c r="C199" s="9" t="n">
        <v>0</v>
      </c>
      <c r="D199" s="9" t="n">
        <v>0</v>
      </c>
      <c r="E199" s="9" t="n">
        <v>0</v>
      </c>
      <c r="F199" s="9" t="n">
        <v>0</v>
      </c>
      <c r="G199" s="9" t="n">
        <v>0</v>
      </c>
      <c r="H199" s="9" t="n">
        <v>0</v>
      </c>
      <c r="I199" s="9" t="n">
        <v>0</v>
      </c>
      <c r="J199" s="9" t="n">
        <v>0</v>
      </c>
    </row>
    <row r="200" customFormat="false" ht="15.75" hidden="false" customHeight="false" outlineLevel="0" collapsed="false">
      <c r="A200" s="7" t="s">
        <v>208</v>
      </c>
      <c r="B200" s="8" t="n">
        <v>1</v>
      </c>
      <c r="C200" s="9" t="n">
        <v>0</v>
      </c>
      <c r="D200" s="9" t="n">
        <v>0</v>
      </c>
      <c r="E200" s="9" t="n">
        <v>0</v>
      </c>
      <c r="F200" s="9" t="n">
        <v>0</v>
      </c>
      <c r="G200" s="9" t="n">
        <v>0</v>
      </c>
      <c r="H200" s="9" t="n">
        <v>0</v>
      </c>
      <c r="I200" s="9" t="n">
        <v>0</v>
      </c>
      <c r="J200" s="9" t="n">
        <v>0</v>
      </c>
    </row>
    <row r="201" customFormat="false" ht="15.75" hidden="false" customHeight="false" outlineLevel="0" collapsed="false">
      <c r="A201" s="7" t="s">
        <v>209</v>
      </c>
      <c r="B201" s="8" t="n">
        <v>1</v>
      </c>
      <c r="C201" s="9" t="n">
        <v>0</v>
      </c>
      <c r="D201" s="9" t="n">
        <v>0</v>
      </c>
      <c r="E201" s="9" t="n">
        <v>24</v>
      </c>
      <c r="F201" s="9" t="n">
        <v>1401840</v>
      </c>
      <c r="G201" s="9" t="n">
        <v>0</v>
      </c>
      <c r="H201" s="9" t="n">
        <v>0</v>
      </c>
      <c r="I201" s="9" t="n">
        <v>24</v>
      </c>
      <c r="J201" s="9" t="n">
        <v>1401840</v>
      </c>
    </row>
    <row r="202" customFormat="false" ht="15.75" hidden="false" customHeight="false" outlineLevel="0" collapsed="false">
      <c r="A202" s="7" t="s">
        <v>210</v>
      </c>
      <c r="B202" s="8" t="n">
        <v>1</v>
      </c>
      <c r="C202" s="9" t="n">
        <v>0</v>
      </c>
      <c r="D202" s="9" t="n">
        <v>0</v>
      </c>
      <c r="E202" s="9" t="n">
        <v>240</v>
      </c>
      <c r="F202" s="9" t="n">
        <v>3156480</v>
      </c>
      <c r="G202" s="9" t="n">
        <v>0</v>
      </c>
      <c r="H202" s="9" t="n">
        <v>0</v>
      </c>
      <c r="I202" s="9" t="n">
        <v>240</v>
      </c>
      <c r="J202" s="9" t="n">
        <v>3156480</v>
      </c>
    </row>
    <row r="203" customFormat="false" ht="15.75" hidden="false" customHeight="false" outlineLevel="0" collapsed="false">
      <c r="A203" s="7" t="s">
        <v>211</v>
      </c>
      <c r="B203" s="8" t="n">
        <v>1</v>
      </c>
      <c r="C203" s="9" t="n">
        <v>0</v>
      </c>
      <c r="D203" s="9" t="n">
        <v>0</v>
      </c>
      <c r="E203" s="9" t="n">
        <v>0</v>
      </c>
      <c r="F203" s="9" t="n">
        <v>0</v>
      </c>
      <c r="G203" s="9" t="n">
        <v>0</v>
      </c>
      <c r="H203" s="9" t="n">
        <v>0</v>
      </c>
      <c r="I203" s="9" t="n">
        <v>0</v>
      </c>
      <c r="J203" s="9" t="n">
        <v>0</v>
      </c>
    </row>
    <row r="204" customFormat="false" ht="15.75" hidden="false" customHeight="false" outlineLevel="0" collapsed="false">
      <c r="A204" s="7" t="s">
        <v>212</v>
      </c>
      <c r="B204" s="8" t="n">
        <v>1</v>
      </c>
      <c r="C204" s="9" t="n">
        <v>1199</v>
      </c>
      <c r="D204" s="9" t="n">
        <v>14886462</v>
      </c>
      <c r="E204" s="9" t="n">
        <v>1440</v>
      </c>
      <c r="F204" s="9" t="n">
        <v>17879040</v>
      </c>
      <c r="G204" s="9" t="n">
        <v>792</v>
      </c>
      <c r="H204" s="9" t="n">
        <v>9833375</v>
      </c>
      <c r="I204" s="9" t="n">
        <v>1847</v>
      </c>
      <c r="J204" s="9" t="n">
        <v>22932127</v>
      </c>
    </row>
    <row r="205" customFormat="false" ht="15.75" hidden="false" customHeight="false" outlineLevel="0" collapsed="false">
      <c r="A205" s="7" t="s">
        <v>213</v>
      </c>
      <c r="B205" s="8" t="n">
        <v>1</v>
      </c>
      <c r="C205" s="9" t="n">
        <v>0</v>
      </c>
      <c r="D205" s="9" t="n">
        <v>0</v>
      </c>
      <c r="E205" s="9" t="n">
        <v>0</v>
      </c>
      <c r="F205" s="9" t="n">
        <v>0</v>
      </c>
      <c r="G205" s="9" t="n">
        <v>0</v>
      </c>
      <c r="H205" s="9" t="n">
        <v>0</v>
      </c>
      <c r="I205" s="9" t="n">
        <v>0</v>
      </c>
      <c r="J205" s="9" t="n">
        <v>0</v>
      </c>
    </row>
    <row r="206" customFormat="false" ht="15.75" hidden="false" customHeight="false" outlineLevel="0" collapsed="false">
      <c r="A206" s="7" t="s">
        <v>214</v>
      </c>
      <c r="B206" s="8" t="n">
        <v>1</v>
      </c>
      <c r="C206" s="9" t="n">
        <v>980</v>
      </c>
      <c r="D206" s="9" t="n">
        <v>24110728</v>
      </c>
      <c r="E206" s="9" t="n">
        <v>1800</v>
      </c>
      <c r="F206" s="9" t="n">
        <v>44348400</v>
      </c>
      <c r="G206" s="9" t="n">
        <v>328</v>
      </c>
      <c r="H206" s="9" t="n">
        <v>8077192</v>
      </c>
      <c r="I206" s="9" t="n">
        <v>2452</v>
      </c>
      <c r="J206" s="9" t="n">
        <v>60381936</v>
      </c>
    </row>
    <row r="207" customFormat="false" ht="15.75" hidden="false" customHeight="false" outlineLevel="0" collapsed="false">
      <c r="A207" s="7" t="s">
        <v>215</v>
      </c>
      <c r="B207" s="8" t="n">
        <v>1</v>
      </c>
      <c r="C207" s="9" t="n">
        <v>736</v>
      </c>
      <c r="D207" s="9" t="n">
        <v>31412480</v>
      </c>
      <c r="E207" s="9" t="n">
        <v>0</v>
      </c>
      <c r="F207" s="9" t="n">
        <v>0</v>
      </c>
      <c r="G207" s="9" t="n">
        <v>48</v>
      </c>
      <c r="H207" s="9" t="n">
        <v>2048640</v>
      </c>
      <c r="I207" s="9" t="n">
        <v>688</v>
      </c>
      <c r="J207" s="9" t="n">
        <v>29363840</v>
      </c>
    </row>
    <row r="208" customFormat="false" ht="15.75" hidden="false" customHeight="false" outlineLevel="0" collapsed="false">
      <c r="A208" s="7" t="s">
        <v>216</v>
      </c>
      <c r="B208" s="8" t="n">
        <v>1</v>
      </c>
      <c r="C208" s="9" t="n">
        <v>0</v>
      </c>
      <c r="D208" s="9" t="n">
        <v>0</v>
      </c>
      <c r="E208" s="9" t="n">
        <v>0</v>
      </c>
      <c r="F208" s="9" t="n">
        <v>0</v>
      </c>
      <c r="G208" s="9" t="n">
        <v>0</v>
      </c>
      <c r="H208" s="9" t="n">
        <v>0</v>
      </c>
      <c r="I208" s="9" t="n">
        <v>0</v>
      </c>
      <c r="J208" s="9" t="n">
        <v>0</v>
      </c>
    </row>
    <row r="209" customFormat="false" ht="15.75" hidden="false" customHeight="false" outlineLevel="0" collapsed="false">
      <c r="A209" s="7" t="s">
        <v>217</v>
      </c>
      <c r="B209" s="8" t="n">
        <v>1</v>
      </c>
      <c r="C209" s="9" t="n">
        <v>190</v>
      </c>
      <c r="D209" s="9" t="n">
        <v>33725054</v>
      </c>
      <c r="E209" s="9" t="n">
        <v>0</v>
      </c>
      <c r="F209" s="9" t="n">
        <v>0</v>
      </c>
      <c r="G209" s="9" t="n">
        <v>23</v>
      </c>
      <c r="H209" s="9" t="n">
        <v>4082507</v>
      </c>
      <c r="I209" s="9" t="n">
        <v>167</v>
      </c>
      <c r="J209" s="9" t="n">
        <v>29642547</v>
      </c>
    </row>
    <row r="210" customFormat="false" ht="15.75" hidden="false" customHeight="false" outlineLevel="0" collapsed="false">
      <c r="A210" s="7" t="s">
        <v>218</v>
      </c>
      <c r="B210" s="8" t="n">
        <v>1</v>
      </c>
      <c r="C210" s="9" t="n">
        <v>150</v>
      </c>
      <c r="D210" s="9" t="n">
        <v>34779065</v>
      </c>
      <c r="E210" s="9" t="n">
        <v>0</v>
      </c>
      <c r="F210" s="9" t="n">
        <v>0</v>
      </c>
      <c r="G210" s="9" t="n">
        <v>40</v>
      </c>
      <c r="H210" s="9" t="n">
        <v>9274417</v>
      </c>
      <c r="I210" s="9" t="n">
        <v>110</v>
      </c>
      <c r="J210" s="9" t="n">
        <v>25504648</v>
      </c>
    </row>
    <row r="211" customFormat="false" ht="15.75" hidden="false" customHeight="false" outlineLevel="0" collapsed="false">
      <c r="A211" s="7" t="s">
        <v>219</v>
      </c>
      <c r="B211" s="8" t="n">
        <v>1</v>
      </c>
      <c r="C211" s="9" t="n">
        <v>0</v>
      </c>
      <c r="D211" s="9" t="n">
        <v>0</v>
      </c>
      <c r="E211" s="9" t="n">
        <v>0</v>
      </c>
      <c r="F211" s="9" t="n">
        <v>0</v>
      </c>
      <c r="G211" s="9" t="n">
        <v>0</v>
      </c>
      <c r="H211" s="9" t="n">
        <v>0</v>
      </c>
      <c r="I211" s="9" t="n">
        <v>0</v>
      </c>
      <c r="J211" s="9" t="n">
        <v>0</v>
      </c>
    </row>
    <row r="212" customFormat="false" ht="15.75" hidden="false" customHeight="false" outlineLevel="0" collapsed="false">
      <c r="A212" s="7" t="s">
        <v>220</v>
      </c>
      <c r="B212" s="8" t="n">
        <v>1</v>
      </c>
      <c r="C212" s="9" t="n">
        <v>0</v>
      </c>
      <c r="D212" s="9" t="n">
        <v>0</v>
      </c>
      <c r="E212" s="9" t="n">
        <v>0</v>
      </c>
      <c r="F212" s="9" t="n">
        <v>0</v>
      </c>
      <c r="G212" s="9" t="n">
        <v>0</v>
      </c>
      <c r="H212" s="9" t="n">
        <v>0</v>
      </c>
      <c r="I212" s="9" t="n">
        <v>0</v>
      </c>
      <c r="J212" s="9" t="n">
        <v>0</v>
      </c>
    </row>
    <row r="213" customFormat="false" ht="15.75" hidden="false" customHeight="false" outlineLevel="0" collapsed="false">
      <c r="A213" s="7" t="s">
        <v>221</v>
      </c>
      <c r="B213" s="8" t="n">
        <v>1</v>
      </c>
      <c r="C213" s="9" t="n">
        <v>1386</v>
      </c>
      <c r="D213" s="9" t="n">
        <v>27482240</v>
      </c>
      <c r="E213" s="9" t="n">
        <v>1800</v>
      </c>
      <c r="F213" s="9" t="n">
        <v>35443800</v>
      </c>
      <c r="G213" s="9" t="n">
        <v>120</v>
      </c>
      <c r="H213" s="9" t="n">
        <v>2370096</v>
      </c>
      <c r="I213" s="9" t="n">
        <v>3066</v>
      </c>
      <c r="J213" s="9" t="n">
        <v>60555944</v>
      </c>
    </row>
    <row r="214" customFormat="false" ht="15.75" hidden="false" customHeight="false" outlineLevel="0" collapsed="false">
      <c r="A214" s="7" t="s">
        <v>222</v>
      </c>
      <c r="B214" s="8" t="n">
        <v>1</v>
      </c>
      <c r="C214" s="9" t="n">
        <v>1001</v>
      </c>
      <c r="D214" s="9" t="n">
        <v>21845794</v>
      </c>
      <c r="E214" s="9" t="n">
        <v>0</v>
      </c>
      <c r="F214" s="9" t="n">
        <v>0</v>
      </c>
      <c r="G214" s="9" t="n">
        <v>72</v>
      </c>
      <c r="H214" s="9" t="n">
        <v>1571326</v>
      </c>
      <c r="I214" s="9" t="n">
        <v>929</v>
      </c>
      <c r="J214" s="9" t="n">
        <v>20274468</v>
      </c>
    </row>
    <row r="215" customFormat="false" ht="15.75" hidden="false" customHeight="false" outlineLevel="0" collapsed="false">
      <c r="A215" s="7" t="s">
        <v>223</v>
      </c>
      <c r="B215" s="8" t="n">
        <v>1</v>
      </c>
      <c r="C215" s="9" t="n">
        <v>913</v>
      </c>
      <c r="D215" s="9" t="n">
        <v>39483212</v>
      </c>
      <c r="E215" s="9" t="n">
        <v>0</v>
      </c>
      <c r="F215" s="9" t="n">
        <v>0</v>
      </c>
      <c r="G215" s="9" t="n">
        <v>48</v>
      </c>
      <c r="H215" s="9" t="n">
        <v>2075788</v>
      </c>
      <c r="I215" s="9" t="n">
        <v>865</v>
      </c>
      <c r="J215" s="9" t="n">
        <v>37407424</v>
      </c>
    </row>
    <row r="216" customFormat="false" ht="15.75" hidden="false" customHeight="false" outlineLevel="0" collapsed="false">
      <c r="A216" s="7" t="s">
        <v>224</v>
      </c>
      <c r="B216" s="8" t="n">
        <v>1</v>
      </c>
      <c r="C216" s="9" t="n">
        <v>0</v>
      </c>
      <c r="D216" s="9" t="n">
        <v>0</v>
      </c>
      <c r="E216" s="9" t="n">
        <v>96</v>
      </c>
      <c r="F216" s="9" t="n">
        <v>1918272</v>
      </c>
      <c r="G216" s="9" t="n">
        <v>0</v>
      </c>
      <c r="H216" s="9" t="n">
        <v>0</v>
      </c>
      <c r="I216" s="9" t="n">
        <v>96</v>
      </c>
      <c r="J216" s="9" t="n">
        <v>1918272</v>
      </c>
    </row>
    <row r="217" customFormat="false" ht="15.75" hidden="false" customHeight="false" outlineLevel="0" collapsed="false">
      <c r="A217" s="7" t="s">
        <v>225</v>
      </c>
      <c r="B217" s="8" t="n">
        <v>1</v>
      </c>
      <c r="C217" s="9" t="n">
        <v>0</v>
      </c>
      <c r="D217" s="9" t="n">
        <v>0</v>
      </c>
      <c r="E217" s="9" t="n">
        <v>0</v>
      </c>
      <c r="F217" s="9" t="n">
        <v>0</v>
      </c>
      <c r="G217" s="9" t="n">
        <v>0</v>
      </c>
      <c r="H217" s="9" t="n">
        <v>0</v>
      </c>
      <c r="I217" s="9" t="n">
        <v>0</v>
      </c>
      <c r="J217" s="9" t="n">
        <v>0</v>
      </c>
    </row>
    <row r="218" customFormat="false" ht="15.75" hidden="false" customHeight="false" outlineLevel="0" collapsed="false">
      <c r="A218" s="7" t="s">
        <v>226</v>
      </c>
      <c r="B218" s="8" t="n">
        <v>1</v>
      </c>
      <c r="C218" s="9" t="n">
        <v>0</v>
      </c>
      <c r="D218" s="9" t="n">
        <v>0</v>
      </c>
      <c r="E218" s="9" t="n">
        <v>0</v>
      </c>
      <c r="F218" s="9" t="n">
        <v>0</v>
      </c>
      <c r="G218" s="9" t="n">
        <v>0</v>
      </c>
      <c r="H218" s="9" t="n">
        <v>0</v>
      </c>
      <c r="I218" s="9" t="n">
        <v>0</v>
      </c>
      <c r="J218" s="9" t="n">
        <v>0</v>
      </c>
    </row>
    <row r="219" customFormat="false" ht="15.75" hidden="false" customHeight="false" outlineLevel="0" collapsed="false">
      <c r="A219" s="7" t="s">
        <v>227</v>
      </c>
      <c r="B219" s="8" t="n">
        <v>1</v>
      </c>
      <c r="C219" s="9" t="n">
        <v>0</v>
      </c>
      <c r="D219" s="9" t="n">
        <v>0</v>
      </c>
      <c r="E219" s="9" t="n">
        <v>0</v>
      </c>
      <c r="F219" s="9" t="n">
        <v>0</v>
      </c>
      <c r="G219" s="9" t="n">
        <v>0</v>
      </c>
      <c r="H219" s="9" t="n">
        <v>0</v>
      </c>
      <c r="I219" s="9" t="n">
        <v>0</v>
      </c>
      <c r="J219" s="9" t="n">
        <v>0</v>
      </c>
    </row>
    <row r="220" customFormat="false" ht="15.75" hidden="false" customHeight="false" outlineLevel="0" collapsed="false">
      <c r="A220" s="7" t="s">
        <v>228</v>
      </c>
      <c r="B220" s="8" t="n">
        <v>1</v>
      </c>
      <c r="C220" s="9" t="n">
        <v>992</v>
      </c>
      <c r="D220" s="9" t="n">
        <v>88489189</v>
      </c>
      <c r="E220" s="9" t="n">
        <v>120</v>
      </c>
      <c r="F220" s="9" t="n">
        <v>10536960</v>
      </c>
      <c r="G220" s="9" t="n">
        <v>120</v>
      </c>
      <c r="H220" s="9" t="n">
        <v>10686275</v>
      </c>
      <c r="I220" s="9" t="n">
        <v>992</v>
      </c>
      <c r="J220" s="9" t="n">
        <v>88339874</v>
      </c>
    </row>
    <row r="221" customFormat="false" ht="15.75" hidden="false" customHeight="false" outlineLevel="0" collapsed="false">
      <c r="A221" s="7" t="s">
        <v>229</v>
      </c>
      <c r="B221" s="8" t="n">
        <v>1</v>
      </c>
      <c r="C221" s="9" t="n">
        <v>1753</v>
      </c>
      <c r="D221" s="9" t="n">
        <v>162504488</v>
      </c>
      <c r="E221" s="9" t="n">
        <v>70</v>
      </c>
      <c r="F221" s="9" t="n">
        <v>6537580</v>
      </c>
      <c r="G221" s="9" t="n">
        <v>1057</v>
      </c>
      <c r="H221" s="9" t="n">
        <v>98012872</v>
      </c>
      <c r="I221" s="9" t="n">
        <v>766</v>
      </c>
      <c r="J221" s="9" t="n">
        <v>71029196</v>
      </c>
    </row>
    <row r="222" customFormat="false" ht="15.75" hidden="false" customHeight="false" outlineLevel="0" collapsed="false">
      <c r="A222" s="7" t="s">
        <v>230</v>
      </c>
      <c r="B222" s="8" t="n">
        <v>1</v>
      </c>
      <c r="C222" s="9" t="n">
        <v>0</v>
      </c>
      <c r="D222" s="9" t="n">
        <v>0</v>
      </c>
      <c r="E222" s="9" t="n">
        <v>0</v>
      </c>
      <c r="F222" s="9" t="n">
        <v>0</v>
      </c>
      <c r="G222" s="9" t="n">
        <v>0</v>
      </c>
      <c r="H222" s="9" t="n">
        <v>0</v>
      </c>
      <c r="I222" s="9" t="n">
        <v>0</v>
      </c>
      <c r="J222" s="9" t="n">
        <v>0</v>
      </c>
    </row>
    <row r="223" customFormat="false" ht="15.75" hidden="false" customHeight="false" outlineLevel="0" collapsed="false">
      <c r="A223" s="7" t="s">
        <v>231</v>
      </c>
      <c r="B223" s="8" t="n">
        <v>1</v>
      </c>
      <c r="C223" s="9" t="n">
        <v>0</v>
      </c>
      <c r="D223" s="9" t="n">
        <v>0</v>
      </c>
      <c r="E223" s="9" t="n">
        <v>0</v>
      </c>
      <c r="F223" s="9" t="n">
        <v>0</v>
      </c>
      <c r="G223" s="9" t="n">
        <v>0</v>
      </c>
      <c r="H223" s="9" t="n">
        <v>0</v>
      </c>
      <c r="I223" s="9" t="n">
        <v>0</v>
      </c>
      <c r="J223" s="9" t="n">
        <v>0</v>
      </c>
    </row>
    <row r="224" customFormat="false" ht="15.75" hidden="false" customHeight="false" outlineLevel="0" collapsed="false">
      <c r="A224" s="7" t="s">
        <v>232</v>
      </c>
      <c r="B224" s="8" t="n">
        <v>1</v>
      </c>
      <c r="C224" s="9" t="n">
        <v>784</v>
      </c>
      <c r="D224" s="9" t="n">
        <v>49798661</v>
      </c>
      <c r="E224" s="9" t="n">
        <v>560</v>
      </c>
      <c r="F224" s="9" t="n">
        <v>35570472</v>
      </c>
      <c r="G224" s="9" t="n">
        <v>16</v>
      </c>
      <c r="H224" s="9" t="n">
        <v>1016299</v>
      </c>
      <c r="I224" s="9" t="n">
        <v>1328</v>
      </c>
      <c r="J224" s="9" t="n">
        <v>84352834</v>
      </c>
    </row>
    <row r="225" customFormat="false" ht="15.75" hidden="false" customHeight="false" outlineLevel="0" collapsed="false">
      <c r="A225" s="7" t="s">
        <v>233</v>
      </c>
      <c r="B225" s="8" t="n">
        <v>1</v>
      </c>
      <c r="C225" s="9" t="n">
        <v>3007</v>
      </c>
      <c r="D225" s="9" t="n">
        <v>187609134</v>
      </c>
      <c r="E225" s="9" t="n">
        <v>2400</v>
      </c>
      <c r="F225" s="9" t="n">
        <v>150528000</v>
      </c>
      <c r="G225" s="9" t="n">
        <v>1755</v>
      </c>
      <c r="H225" s="9" t="n">
        <v>109752297</v>
      </c>
      <c r="I225" s="9" t="n">
        <v>3652</v>
      </c>
      <c r="J225" s="9" t="n">
        <v>228384837</v>
      </c>
    </row>
    <row r="226" customFormat="false" ht="15.75" hidden="false" customHeight="false" outlineLevel="0" collapsed="false">
      <c r="A226" s="7" t="s">
        <v>234</v>
      </c>
      <c r="B226" s="8" t="n">
        <v>1</v>
      </c>
      <c r="C226" s="9" t="n">
        <v>11592</v>
      </c>
      <c r="D226" s="9" t="n">
        <v>691833744</v>
      </c>
      <c r="E226" s="9" t="n">
        <v>16054</v>
      </c>
      <c r="F226" s="9" t="n">
        <v>958134828</v>
      </c>
      <c r="G226" s="9" t="n">
        <v>12328</v>
      </c>
      <c r="H226" s="9" t="n">
        <v>735759696</v>
      </c>
      <c r="I226" s="9" t="n">
        <v>15318</v>
      </c>
      <c r="J226" s="9" t="n">
        <v>914208876</v>
      </c>
    </row>
    <row r="227" customFormat="false" ht="15.75" hidden="false" customHeight="false" outlineLevel="0" collapsed="false">
      <c r="A227" s="7" t="s">
        <v>235</v>
      </c>
      <c r="B227" s="8" t="n">
        <v>1</v>
      </c>
      <c r="C227" s="9" t="n">
        <v>1421</v>
      </c>
      <c r="D227" s="9" t="n">
        <v>99072708</v>
      </c>
      <c r="E227" s="9" t="n">
        <v>560</v>
      </c>
      <c r="F227" s="9" t="n">
        <v>39513600</v>
      </c>
      <c r="G227" s="9" t="n">
        <v>373</v>
      </c>
      <c r="H227" s="9" t="n">
        <v>26094242</v>
      </c>
      <c r="I227" s="9" t="n">
        <v>1608</v>
      </c>
      <c r="J227" s="9" t="n">
        <v>112492066</v>
      </c>
    </row>
    <row r="228" customFormat="false" ht="15.75" hidden="false" customHeight="false" outlineLevel="0" collapsed="false">
      <c r="A228" s="7" t="s">
        <v>236</v>
      </c>
      <c r="B228" s="8" t="n">
        <v>1</v>
      </c>
      <c r="C228" s="9" t="n">
        <v>0</v>
      </c>
      <c r="D228" s="9" t="n">
        <v>0</v>
      </c>
      <c r="E228" s="9" t="n">
        <v>0</v>
      </c>
      <c r="F228" s="9" t="n">
        <v>0</v>
      </c>
      <c r="G228" s="9" t="n">
        <v>0</v>
      </c>
      <c r="H228" s="9" t="n">
        <v>0</v>
      </c>
      <c r="I228" s="9" t="n">
        <v>0</v>
      </c>
      <c r="J228" s="9" t="n">
        <v>0</v>
      </c>
    </row>
    <row r="229" customFormat="false" ht="15.75" hidden="false" customHeight="false" outlineLevel="0" collapsed="false">
      <c r="A229" s="7" t="s">
        <v>237</v>
      </c>
      <c r="B229" s="8" t="n">
        <v>1</v>
      </c>
      <c r="C229" s="9" t="n">
        <v>0</v>
      </c>
      <c r="D229" s="9" t="n">
        <v>0</v>
      </c>
      <c r="E229" s="9" t="n">
        <v>0</v>
      </c>
      <c r="F229" s="9" t="n">
        <v>0</v>
      </c>
      <c r="G229" s="9" t="n">
        <v>0</v>
      </c>
      <c r="H229" s="9" t="n">
        <v>0</v>
      </c>
      <c r="I229" s="9" t="n">
        <v>0</v>
      </c>
      <c r="J229" s="9" t="n">
        <v>0</v>
      </c>
    </row>
    <row r="230" customFormat="false" ht="15.75" hidden="false" customHeight="false" outlineLevel="0" collapsed="false">
      <c r="A230" s="7" t="s">
        <v>238</v>
      </c>
      <c r="B230" s="8" t="n">
        <v>1</v>
      </c>
      <c r="C230" s="9" t="n">
        <v>0</v>
      </c>
      <c r="D230" s="9" t="n">
        <v>0</v>
      </c>
      <c r="E230" s="9" t="n">
        <v>23</v>
      </c>
      <c r="F230" s="9" t="n">
        <v>1347500</v>
      </c>
      <c r="G230" s="9" t="n">
        <v>0</v>
      </c>
      <c r="H230" s="9" t="n">
        <v>0</v>
      </c>
      <c r="I230" s="9" t="n">
        <v>23</v>
      </c>
      <c r="J230" s="9" t="n">
        <v>1347500</v>
      </c>
    </row>
    <row r="231" customFormat="false" ht="15.75" hidden="false" customHeight="false" outlineLevel="0" collapsed="false">
      <c r="A231" s="7" t="s">
        <v>239</v>
      </c>
      <c r="B231" s="8" t="n">
        <v>1</v>
      </c>
      <c r="C231" s="9" t="n">
        <v>0</v>
      </c>
      <c r="D231" s="9" t="n">
        <v>0</v>
      </c>
      <c r="E231" s="9" t="n">
        <v>0</v>
      </c>
      <c r="F231" s="9" t="n">
        <v>0</v>
      </c>
      <c r="G231" s="9" t="n">
        <v>0</v>
      </c>
      <c r="H231" s="9" t="n">
        <v>0</v>
      </c>
      <c r="I231" s="9" t="n">
        <v>0</v>
      </c>
      <c r="J231" s="9" t="n">
        <v>0</v>
      </c>
    </row>
    <row r="232" customFormat="false" ht="15.75" hidden="false" customHeight="false" outlineLevel="0" collapsed="false">
      <c r="A232" s="7" t="s">
        <v>240</v>
      </c>
      <c r="B232" s="8" t="n">
        <v>1</v>
      </c>
      <c r="C232" s="9" t="n">
        <v>7839</v>
      </c>
      <c r="D232" s="9" t="n">
        <v>748718280</v>
      </c>
      <c r="E232" s="9" t="n">
        <v>1890</v>
      </c>
      <c r="F232" s="9" t="n">
        <v>176699880</v>
      </c>
      <c r="G232" s="9" t="n">
        <v>3816</v>
      </c>
      <c r="H232" s="9" t="n">
        <v>362976226</v>
      </c>
      <c r="I232" s="9" t="n">
        <v>5913</v>
      </c>
      <c r="J232" s="9" t="n">
        <v>562441934</v>
      </c>
    </row>
    <row r="233" customFormat="false" ht="15.75" hidden="false" customHeight="false" outlineLevel="0" collapsed="false">
      <c r="A233" s="7" t="s">
        <v>241</v>
      </c>
      <c r="B233" s="8" t="n">
        <v>1</v>
      </c>
      <c r="C233" s="9" t="n">
        <v>0</v>
      </c>
      <c r="D233" s="9" t="n">
        <v>0</v>
      </c>
      <c r="E233" s="9" t="n">
        <v>0</v>
      </c>
      <c r="F233" s="9" t="n">
        <v>0</v>
      </c>
      <c r="G233" s="9" t="n">
        <v>0</v>
      </c>
      <c r="H233" s="9" t="n">
        <v>0</v>
      </c>
      <c r="I233" s="9" t="n">
        <v>0</v>
      </c>
      <c r="J233" s="9" t="n">
        <v>0</v>
      </c>
    </row>
    <row r="234" customFormat="false" ht="15.75" hidden="false" customHeight="false" outlineLevel="0" collapsed="false">
      <c r="A234" s="7" t="s">
        <v>242</v>
      </c>
      <c r="B234" s="8" t="n">
        <v>1</v>
      </c>
      <c r="C234" s="9" t="n">
        <v>1819</v>
      </c>
      <c r="D234" s="9" t="n">
        <v>123704942</v>
      </c>
      <c r="E234" s="9" t="n">
        <v>63</v>
      </c>
      <c r="F234" s="9" t="n">
        <v>4556412</v>
      </c>
      <c r="G234" s="9" t="n">
        <v>21</v>
      </c>
      <c r="H234" s="9" t="n">
        <v>1431184</v>
      </c>
      <c r="I234" s="9" t="n">
        <v>1861</v>
      </c>
      <c r="J234" s="9" t="n">
        <v>126830170</v>
      </c>
    </row>
    <row r="235" customFormat="false" ht="15.75" hidden="false" customHeight="false" outlineLevel="0" collapsed="false">
      <c r="A235" s="7" t="s">
        <v>243</v>
      </c>
      <c r="B235" s="8" t="n">
        <v>1</v>
      </c>
      <c r="C235" s="9" t="n">
        <v>1015</v>
      </c>
      <c r="D235" s="9" t="n">
        <v>96448750</v>
      </c>
      <c r="E235" s="9" t="n">
        <v>42</v>
      </c>
      <c r="F235" s="9" t="n">
        <v>3922548</v>
      </c>
      <c r="G235" s="9" t="n">
        <v>315</v>
      </c>
      <c r="H235" s="9" t="n">
        <v>29911976</v>
      </c>
      <c r="I235" s="9" t="n">
        <v>742</v>
      </c>
      <c r="J235" s="9" t="n">
        <v>70459322</v>
      </c>
    </row>
    <row r="236" customFormat="false" ht="15.75" hidden="false" customHeight="false" outlineLevel="0" collapsed="false">
      <c r="A236" s="7" t="s">
        <v>244</v>
      </c>
      <c r="B236" s="8" t="n">
        <v>1</v>
      </c>
      <c r="C236" s="9" t="n">
        <v>0</v>
      </c>
      <c r="D236" s="9" t="n">
        <v>0</v>
      </c>
      <c r="E236" s="9" t="n">
        <v>0</v>
      </c>
      <c r="F236" s="9" t="n">
        <v>0</v>
      </c>
      <c r="G236" s="9" t="n">
        <v>0</v>
      </c>
      <c r="H236" s="9" t="n">
        <v>0</v>
      </c>
      <c r="I236" s="9" t="n">
        <v>0</v>
      </c>
      <c r="J236" s="9" t="n">
        <v>0</v>
      </c>
    </row>
    <row r="237" customFormat="false" ht="15.75" hidden="false" customHeight="false" outlineLevel="0" collapsed="false">
      <c r="A237" s="7" t="s">
        <v>245</v>
      </c>
      <c r="B237" s="8" t="n">
        <v>1</v>
      </c>
      <c r="C237" s="9" t="n">
        <v>0</v>
      </c>
      <c r="D237" s="9" t="n">
        <v>0</v>
      </c>
      <c r="E237" s="9" t="n">
        <v>48</v>
      </c>
      <c r="F237" s="9" t="n">
        <v>4536726</v>
      </c>
      <c r="G237" s="9" t="n">
        <v>0</v>
      </c>
      <c r="H237" s="9" t="n">
        <v>0</v>
      </c>
      <c r="I237" s="9" t="n">
        <v>48</v>
      </c>
      <c r="J237" s="9" t="n">
        <v>4536726</v>
      </c>
    </row>
    <row r="238" customFormat="false" ht="15.75" hidden="false" customHeight="false" outlineLevel="0" collapsed="false">
      <c r="A238" s="7" t="s">
        <v>246</v>
      </c>
      <c r="B238" s="8" t="n">
        <v>1</v>
      </c>
      <c r="C238" s="9" t="n">
        <v>0</v>
      </c>
      <c r="D238" s="9" t="n">
        <v>0</v>
      </c>
      <c r="E238" s="9" t="n">
        <v>0</v>
      </c>
      <c r="F238" s="9" t="n">
        <v>0</v>
      </c>
      <c r="G238" s="9" t="n">
        <v>0</v>
      </c>
      <c r="H238" s="9" t="n">
        <v>0</v>
      </c>
      <c r="I238" s="9" t="n">
        <v>0</v>
      </c>
      <c r="J238" s="9" t="n">
        <v>0</v>
      </c>
    </row>
    <row r="239" customFormat="false" ht="15.75" hidden="false" customHeight="false" outlineLevel="0" collapsed="false">
      <c r="A239" s="7" t="s">
        <v>247</v>
      </c>
      <c r="B239" s="8" t="n">
        <v>1</v>
      </c>
      <c r="C239" s="9" t="n">
        <v>0</v>
      </c>
      <c r="D239" s="9" t="n">
        <v>0</v>
      </c>
      <c r="E239" s="9" t="n">
        <v>2880</v>
      </c>
      <c r="F239" s="9" t="n">
        <v>20527314</v>
      </c>
      <c r="G239" s="9" t="n">
        <v>0</v>
      </c>
      <c r="H239" s="9" t="n">
        <v>0</v>
      </c>
      <c r="I239" s="9" t="n">
        <v>2880</v>
      </c>
      <c r="J239" s="9" t="n">
        <v>20527314</v>
      </c>
    </row>
    <row r="240" customFormat="false" ht="15.75" hidden="false" customHeight="false" outlineLevel="0" collapsed="false">
      <c r="A240" s="7" t="s">
        <v>248</v>
      </c>
      <c r="B240" s="8" t="n">
        <v>1</v>
      </c>
      <c r="C240" s="9" t="n">
        <v>0</v>
      </c>
      <c r="D240" s="9" t="n">
        <v>0</v>
      </c>
      <c r="E240" s="9" t="n">
        <v>0</v>
      </c>
      <c r="F240" s="9" t="n">
        <v>0</v>
      </c>
      <c r="G240" s="9" t="n">
        <v>0</v>
      </c>
      <c r="H240" s="9" t="n">
        <v>0</v>
      </c>
      <c r="I240" s="9" t="n">
        <v>0</v>
      </c>
      <c r="J240" s="9" t="n">
        <v>0</v>
      </c>
    </row>
    <row r="241" customFormat="false" ht="15.75" hidden="false" customHeight="false" outlineLevel="0" collapsed="false">
      <c r="A241" s="7" t="s">
        <v>249</v>
      </c>
      <c r="B241" s="8" t="n">
        <v>1</v>
      </c>
      <c r="C241" s="9" t="n">
        <v>0</v>
      </c>
      <c r="D241" s="9" t="n">
        <v>0</v>
      </c>
      <c r="E241" s="9" t="n">
        <v>0</v>
      </c>
      <c r="F241" s="9" t="n">
        <v>0</v>
      </c>
      <c r="G241" s="9" t="n">
        <v>0</v>
      </c>
      <c r="H241" s="9" t="n">
        <v>0</v>
      </c>
      <c r="I241" s="9" t="n">
        <v>0</v>
      </c>
      <c r="J241" s="9" t="n">
        <v>0</v>
      </c>
    </row>
    <row r="242" customFormat="false" ht="15.75" hidden="false" customHeight="false" outlineLevel="0" collapsed="false">
      <c r="A242" s="7" t="s">
        <v>250</v>
      </c>
      <c r="B242" s="8" t="n">
        <v>1</v>
      </c>
      <c r="C242" s="9" t="n">
        <v>167</v>
      </c>
      <c r="D242" s="9" t="n">
        <v>57134347</v>
      </c>
      <c r="E242" s="9" t="n">
        <v>1440</v>
      </c>
      <c r="F242" s="9" t="n">
        <v>10263657</v>
      </c>
      <c r="G242" s="9" t="n">
        <v>46</v>
      </c>
      <c r="H242" s="9" t="n">
        <v>1929252</v>
      </c>
      <c r="I242" s="9" t="n">
        <v>1561</v>
      </c>
      <c r="J242" s="9" t="n">
        <v>65468752</v>
      </c>
    </row>
    <row r="243" customFormat="false" ht="15.75" hidden="false" customHeight="false" outlineLevel="0" collapsed="false">
      <c r="A243" s="7" t="s">
        <v>251</v>
      </c>
      <c r="B243" s="8" t="n">
        <v>1</v>
      </c>
      <c r="C243" s="9" t="n">
        <v>0</v>
      </c>
      <c r="D243" s="9" t="n">
        <v>0</v>
      </c>
      <c r="E243" s="9" t="n">
        <v>0</v>
      </c>
      <c r="F243" s="9" t="n">
        <v>0</v>
      </c>
      <c r="G243" s="9" t="n">
        <v>0</v>
      </c>
      <c r="H243" s="9" t="n">
        <v>0</v>
      </c>
      <c r="I243" s="9" t="n">
        <v>0</v>
      </c>
      <c r="J243" s="9" t="n">
        <v>0</v>
      </c>
    </row>
    <row r="244" customFormat="false" ht="15.75" hidden="false" customHeight="false" outlineLevel="0" collapsed="false">
      <c r="A244" s="7" t="s">
        <v>252</v>
      </c>
      <c r="B244" s="8" t="n">
        <v>1</v>
      </c>
      <c r="C244" s="9" t="n">
        <v>0</v>
      </c>
      <c r="D244" s="9" t="n">
        <v>0</v>
      </c>
      <c r="E244" s="9" t="n">
        <v>0</v>
      </c>
      <c r="F244" s="9" t="n">
        <v>0</v>
      </c>
      <c r="G244" s="9" t="n">
        <v>0</v>
      </c>
      <c r="H244" s="9" t="n">
        <v>0</v>
      </c>
      <c r="I244" s="9" t="n">
        <v>0</v>
      </c>
      <c r="J244" s="9" t="n">
        <v>0</v>
      </c>
    </row>
    <row r="245" customFormat="false" ht="15.75" hidden="false" customHeight="false" outlineLevel="0" collapsed="false">
      <c r="A245" s="7" t="s">
        <v>253</v>
      </c>
      <c r="B245" s="8" t="n">
        <v>1</v>
      </c>
      <c r="C245" s="9" t="n">
        <v>0</v>
      </c>
      <c r="D245" s="9" t="n">
        <v>0</v>
      </c>
      <c r="E245" s="9" t="n">
        <v>0</v>
      </c>
      <c r="F245" s="9" t="n">
        <v>0</v>
      </c>
      <c r="G245" s="9" t="n">
        <v>0</v>
      </c>
      <c r="H245" s="9" t="n">
        <v>0</v>
      </c>
      <c r="I245" s="9" t="n">
        <v>0</v>
      </c>
      <c r="J245" s="9" t="n">
        <v>0</v>
      </c>
    </row>
    <row r="246" customFormat="false" ht="15.75" hidden="false" customHeight="false" outlineLevel="0" collapsed="false">
      <c r="A246" s="7" t="s">
        <v>254</v>
      </c>
      <c r="B246" s="8" t="n">
        <v>1</v>
      </c>
      <c r="C246" s="9" t="n">
        <v>170</v>
      </c>
      <c r="D246" s="9" t="n">
        <v>5700903</v>
      </c>
      <c r="E246" s="9" t="n">
        <v>90</v>
      </c>
      <c r="F246" s="9" t="n">
        <v>3028680</v>
      </c>
      <c r="G246" s="9" t="n">
        <v>135</v>
      </c>
      <c r="H246" s="9" t="n">
        <v>4532668</v>
      </c>
      <c r="I246" s="9" t="n">
        <v>125</v>
      </c>
      <c r="J246" s="9" t="n">
        <v>4196915</v>
      </c>
    </row>
    <row r="247" customFormat="false" ht="15.75" hidden="false" customHeight="false" outlineLevel="0" collapsed="false">
      <c r="A247" s="7" t="s">
        <v>255</v>
      </c>
      <c r="B247" s="8" t="n">
        <v>1</v>
      </c>
      <c r="C247" s="9" t="n">
        <v>0</v>
      </c>
      <c r="D247" s="9" t="n">
        <v>0</v>
      </c>
      <c r="E247" s="9" t="n">
        <v>0</v>
      </c>
      <c r="F247" s="9" t="n">
        <v>0</v>
      </c>
      <c r="G247" s="9" t="n">
        <v>0</v>
      </c>
      <c r="H247" s="9" t="n">
        <v>0</v>
      </c>
      <c r="I247" s="9" t="n">
        <v>0</v>
      </c>
      <c r="J247" s="9" t="n">
        <v>0</v>
      </c>
    </row>
    <row r="248" customFormat="false" ht="15.75" hidden="false" customHeight="false" outlineLevel="0" collapsed="false">
      <c r="A248" s="7" t="s">
        <v>256</v>
      </c>
      <c r="B248" s="8" t="n">
        <v>1</v>
      </c>
      <c r="C248" s="9" t="n">
        <v>148</v>
      </c>
      <c r="D248" s="9" t="n">
        <v>3161852</v>
      </c>
      <c r="E248" s="9" t="n">
        <v>0</v>
      </c>
      <c r="F248" s="9" t="n">
        <v>0</v>
      </c>
      <c r="G248" s="9" t="n">
        <v>45</v>
      </c>
      <c r="H248" s="9" t="n">
        <v>961374</v>
      </c>
      <c r="I248" s="9" t="n">
        <v>103</v>
      </c>
      <c r="J248" s="9" t="n">
        <v>2200478</v>
      </c>
    </row>
    <row r="249" customFormat="false" ht="15.75" hidden="false" customHeight="false" outlineLevel="0" collapsed="false">
      <c r="A249" s="7" t="s">
        <v>257</v>
      </c>
      <c r="B249" s="8" t="n">
        <v>1</v>
      </c>
      <c r="C249" s="9" t="n">
        <v>0</v>
      </c>
      <c r="D249" s="9" t="n">
        <v>0</v>
      </c>
      <c r="E249" s="9" t="n">
        <v>0</v>
      </c>
      <c r="F249" s="9" t="n">
        <v>0</v>
      </c>
      <c r="G249" s="9" t="n">
        <v>0</v>
      </c>
      <c r="H249" s="9" t="n">
        <v>0</v>
      </c>
      <c r="I249" s="9" t="n">
        <v>0</v>
      </c>
      <c r="J249" s="9" t="n">
        <v>0</v>
      </c>
    </row>
    <row r="250" customFormat="false" ht="15.75" hidden="false" customHeight="false" outlineLevel="0" collapsed="false">
      <c r="A250" s="7" t="s">
        <v>258</v>
      </c>
      <c r="B250" s="8" t="n">
        <v>1</v>
      </c>
      <c r="C250" s="9" t="n">
        <v>320</v>
      </c>
      <c r="D250" s="9" t="n">
        <v>4864000</v>
      </c>
      <c r="E250" s="9" t="n">
        <v>270</v>
      </c>
      <c r="F250" s="9" t="n">
        <v>4050648</v>
      </c>
      <c r="G250" s="9" t="n">
        <v>320</v>
      </c>
      <c r="H250" s="9" t="n">
        <v>4835063</v>
      </c>
      <c r="I250" s="9" t="n">
        <v>270</v>
      </c>
      <c r="J250" s="9" t="n">
        <v>4079585</v>
      </c>
    </row>
    <row r="251" customFormat="false" ht="15.75" hidden="false" customHeight="false" outlineLevel="0" collapsed="false">
      <c r="A251" s="7" t="s">
        <v>259</v>
      </c>
      <c r="B251" s="8" t="n">
        <v>1</v>
      </c>
      <c r="C251" s="9" t="n">
        <v>221</v>
      </c>
      <c r="D251" s="9" t="n">
        <v>4721416</v>
      </c>
      <c r="E251" s="9" t="n">
        <v>0</v>
      </c>
      <c r="F251" s="9" t="n">
        <v>0</v>
      </c>
      <c r="G251" s="9" t="n">
        <v>60</v>
      </c>
      <c r="H251" s="9" t="n">
        <v>1281832</v>
      </c>
      <c r="I251" s="9" t="n">
        <v>161</v>
      </c>
      <c r="J251" s="9" t="n">
        <v>3439584</v>
      </c>
    </row>
    <row r="252" customFormat="false" ht="15.75" hidden="false" customHeight="false" outlineLevel="0" collapsed="false">
      <c r="A252" s="7" t="s">
        <v>260</v>
      </c>
      <c r="B252" s="8" t="n">
        <v>1</v>
      </c>
      <c r="C252" s="9" t="n">
        <v>0</v>
      </c>
      <c r="D252" s="9" t="n">
        <v>0</v>
      </c>
      <c r="E252" s="9" t="n">
        <v>5</v>
      </c>
      <c r="F252" s="9" t="n">
        <v>274480</v>
      </c>
      <c r="G252" s="9" t="n">
        <v>0</v>
      </c>
      <c r="H252" s="9" t="n">
        <v>0</v>
      </c>
      <c r="I252" s="9" t="n">
        <v>5</v>
      </c>
      <c r="J252" s="9" t="n">
        <v>274480</v>
      </c>
    </row>
    <row r="253" customFormat="false" ht="15.75" hidden="false" customHeight="false" outlineLevel="0" collapsed="false">
      <c r="A253" s="7" t="s">
        <v>261</v>
      </c>
      <c r="B253" s="8" t="n">
        <v>1</v>
      </c>
      <c r="C253" s="9" t="n">
        <v>0</v>
      </c>
      <c r="D253" s="9" t="n">
        <v>0</v>
      </c>
      <c r="E253" s="9" t="n">
        <v>0</v>
      </c>
      <c r="F253" s="9" t="n">
        <v>0</v>
      </c>
      <c r="G253" s="9" t="n">
        <v>0</v>
      </c>
      <c r="H253" s="9" t="n">
        <v>0</v>
      </c>
      <c r="I253" s="9" t="n">
        <v>0</v>
      </c>
      <c r="J253" s="9" t="n">
        <v>0</v>
      </c>
    </row>
    <row r="254" customFormat="false" ht="15.75" hidden="false" customHeight="false" outlineLevel="0" collapsed="false">
      <c r="A254" s="7" t="s">
        <v>262</v>
      </c>
      <c r="B254" s="8" t="n">
        <v>1</v>
      </c>
      <c r="C254" s="9" t="n">
        <v>0</v>
      </c>
      <c r="D254" s="9" t="n">
        <v>0</v>
      </c>
      <c r="E254" s="9" t="n">
        <v>0</v>
      </c>
      <c r="F254" s="9" t="n">
        <v>0</v>
      </c>
      <c r="G254" s="9" t="n">
        <v>0</v>
      </c>
      <c r="H254" s="9" t="n">
        <v>0</v>
      </c>
      <c r="I254" s="9" t="n">
        <v>0</v>
      </c>
      <c r="J254" s="9" t="n">
        <v>0</v>
      </c>
    </row>
    <row r="255" customFormat="false" ht="15.75" hidden="false" customHeight="false" outlineLevel="0" collapsed="false">
      <c r="A255" s="7" t="s">
        <v>263</v>
      </c>
      <c r="B255" s="8" t="n">
        <v>1</v>
      </c>
      <c r="C255" s="9" t="n">
        <v>0</v>
      </c>
      <c r="D255" s="9" t="n">
        <v>0</v>
      </c>
      <c r="E255" s="9" t="n">
        <v>2</v>
      </c>
      <c r="F255" s="9" t="n">
        <v>118440</v>
      </c>
      <c r="G255" s="9" t="n">
        <v>0</v>
      </c>
      <c r="H255" s="9" t="n">
        <v>0</v>
      </c>
      <c r="I255" s="9" t="n">
        <v>2</v>
      </c>
      <c r="J255" s="9" t="n">
        <v>118440</v>
      </c>
    </row>
    <row r="256" customFormat="false" ht="15.75" hidden="false" customHeight="false" outlineLevel="0" collapsed="false">
      <c r="A256" s="7" t="s">
        <v>264</v>
      </c>
      <c r="B256" s="8" t="n">
        <v>1</v>
      </c>
      <c r="C256" s="9" t="n">
        <v>0</v>
      </c>
      <c r="D256" s="9" t="n">
        <v>0</v>
      </c>
      <c r="E256" s="9" t="n">
        <v>0</v>
      </c>
      <c r="F256" s="9" t="n">
        <v>0</v>
      </c>
      <c r="G256" s="9" t="n">
        <v>0</v>
      </c>
      <c r="H256" s="9" t="n">
        <v>0</v>
      </c>
      <c r="I256" s="9" t="n">
        <v>0</v>
      </c>
      <c r="J256" s="9" t="n">
        <v>0</v>
      </c>
    </row>
    <row r="257" customFormat="false" ht="15.75" hidden="false" customHeight="false" outlineLevel="0" collapsed="false">
      <c r="A257" s="7" t="s">
        <v>265</v>
      </c>
      <c r="B257" s="8" t="n">
        <v>1</v>
      </c>
      <c r="C257" s="9" t="n">
        <v>0</v>
      </c>
      <c r="D257" s="9" t="n">
        <v>0</v>
      </c>
      <c r="E257" s="9" t="n">
        <v>5</v>
      </c>
      <c r="F257" s="9" t="n">
        <v>323360</v>
      </c>
      <c r="G257" s="9" t="n">
        <v>0</v>
      </c>
      <c r="H257" s="9" t="n">
        <v>0</v>
      </c>
      <c r="I257" s="9" t="n">
        <v>5</v>
      </c>
      <c r="J257" s="9" t="n">
        <v>323360</v>
      </c>
    </row>
    <row r="258" customFormat="false" ht="15.75" hidden="false" customHeight="false" outlineLevel="0" collapsed="false">
      <c r="A258" s="7" t="s">
        <v>266</v>
      </c>
      <c r="B258" s="8" t="n">
        <v>1</v>
      </c>
      <c r="C258" s="9" t="n">
        <v>0</v>
      </c>
      <c r="D258" s="9" t="n">
        <v>0</v>
      </c>
      <c r="E258" s="9" t="n">
        <v>2</v>
      </c>
      <c r="F258" s="9" t="n">
        <v>129720</v>
      </c>
      <c r="G258" s="9" t="n">
        <v>0</v>
      </c>
      <c r="H258" s="9" t="n">
        <v>0</v>
      </c>
      <c r="I258" s="9" t="n">
        <v>2</v>
      </c>
      <c r="J258" s="9" t="n">
        <v>129720</v>
      </c>
    </row>
    <row r="259" customFormat="false" ht="15.75" hidden="false" customHeight="false" outlineLevel="0" collapsed="false">
      <c r="A259" s="7" t="s">
        <v>267</v>
      </c>
      <c r="B259" s="8" t="n">
        <v>1</v>
      </c>
      <c r="C259" s="9" t="n">
        <v>0</v>
      </c>
      <c r="D259" s="9" t="n">
        <v>0</v>
      </c>
      <c r="E259" s="9" t="n">
        <v>0</v>
      </c>
      <c r="F259" s="9" t="n">
        <v>0</v>
      </c>
      <c r="G259" s="9" t="n">
        <v>0</v>
      </c>
      <c r="H259" s="9" t="n">
        <v>0</v>
      </c>
      <c r="I259" s="9" t="n">
        <v>0</v>
      </c>
      <c r="J259" s="9" t="n">
        <v>0</v>
      </c>
    </row>
    <row r="260" customFormat="false" ht="15.75" hidden="false" customHeight="false" outlineLevel="0" collapsed="false">
      <c r="A260" s="7" t="s">
        <v>268</v>
      </c>
      <c r="B260" s="8" t="n">
        <v>1</v>
      </c>
      <c r="C260" s="9" t="n">
        <v>95</v>
      </c>
      <c r="D260" s="9" t="n">
        <v>5247849</v>
      </c>
      <c r="E260" s="9" t="n">
        <v>0</v>
      </c>
      <c r="F260" s="9" t="n">
        <v>0</v>
      </c>
      <c r="G260" s="9" t="n">
        <v>15</v>
      </c>
      <c r="H260" s="9" t="n">
        <v>828608</v>
      </c>
      <c r="I260" s="9" t="n">
        <v>80</v>
      </c>
      <c r="J260" s="9" t="n">
        <v>4419241</v>
      </c>
    </row>
    <row r="261" customFormat="false" ht="15.75" hidden="false" customHeight="false" outlineLevel="0" collapsed="false">
      <c r="A261" s="7" t="s">
        <v>269</v>
      </c>
      <c r="B261" s="8" t="n">
        <v>1</v>
      </c>
      <c r="C261" s="9" t="n">
        <v>0</v>
      </c>
      <c r="D261" s="9" t="n">
        <v>0</v>
      </c>
      <c r="E261" s="9" t="n">
        <v>0</v>
      </c>
      <c r="F261" s="9" t="n">
        <v>0</v>
      </c>
      <c r="G261" s="9" t="n">
        <v>0</v>
      </c>
      <c r="H261" s="9" t="n">
        <v>0</v>
      </c>
      <c r="I261" s="9" t="n">
        <v>0</v>
      </c>
      <c r="J261" s="9" t="n">
        <v>0</v>
      </c>
    </row>
    <row r="262" customFormat="false" ht="15.75" hidden="false" customHeight="false" outlineLevel="0" collapsed="false">
      <c r="A262" s="7" t="s">
        <v>270</v>
      </c>
      <c r="B262" s="8" t="n">
        <v>1</v>
      </c>
      <c r="C262" s="9" t="n">
        <v>0</v>
      </c>
      <c r="D262" s="9" t="n">
        <v>0</v>
      </c>
      <c r="E262" s="9" t="n">
        <v>0</v>
      </c>
      <c r="F262" s="9" t="n">
        <v>0</v>
      </c>
      <c r="G262" s="9" t="n">
        <v>0</v>
      </c>
      <c r="H262" s="9" t="n">
        <v>0</v>
      </c>
      <c r="I262" s="9" t="n">
        <v>0</v>
      </c>
      <c r="J262" s="9" t="n">
        <v>0</v>
      </c>
    </row>
    <row r="263" customFormat="false" ht="15.75" hidden="false" customHeight="false" outlineLevel="0" collapsed="false">
      <c r="A263" s="7" t="s">
        <v>271</v>
      </c>
      <c r="B263" s="8" t="n">
        <v>1</v>
      </c>
      <c r="C263" s="9" t="n">
        <v>0</v>
      </c>
      <c r="D263" s="9" t="n">
        <v>0</v>
      </c>
      <c r="E263" s="9" t="n">
        <v>1</v>
      </c>
      <c r="F263" s="9" t="n">
        <v>134195</v>
      </c>
      <c r="G263" s="9" t="n">
        <v>0</v>
      </c>
      <c r="H263" s="9" t="n">
        <v>0</v>
      </c>
      <c r="I263" s="9" t="n">
        <v>1</v>
      </c>
      <c r="J263" s="9" t="n">
        <v>134195</v>
      </c>
    </row>
    <row r="264" customFormat="false" ht="15.75" hidden="false" customHeight="false" outlineLevel="0" collapsed="false">
      <c r="A264" s="7" t="s">
        <v>272</v>
      </c>
      <c r="B264" s="8" t="n">
        <v>1</v>
      </c>
      <c r="C264" s="9" t="n">
        <v>0</v>
      </c>
      <c r="D264" s="9" t="n">
        <v>0</v>
      </c>
      <c r="E264" s="9" t="n">
        <v>0</v>
      </c>
      <c r="F264" s="9" t="n">
        <v>0</v>
      </c>
      <c r="G264" s="9" t="n">
        <v>0</v>
      </c>
      <c r="H264" s="9" t="n">
        <v>0</v>
      </c>
      <c r="I264" s="9" t="n">
        <v>0</v>
      </c>
      <c r="J264" s="9" t="n">
        <v>0</v>
      </c>
    </row>
    <row r="265" customFormat="false" ht="15.75" hidden="false" customHeight="false" outlineLevel="0" collapsed="false">
      <c r="A265" s="7" t="s">
        <v>273</v>
      </c>
      <c r="B265" s="8" t="n">
        <v>1</v>
      </c>
      <c r="C265" s="9" t="n">
        <v>0</v>
      </c>
      <c r="D265" s="9" t="n">
        <v>0</v>
      </c>
      <c r="E265" s="9" t="n">
        <v>0</v>
      </c>
      <c r="F265" s="9" t="n">
        <v>0</v>
      </c>
      <c r="G265" s="9" t="n">
        <v>0</v>
      </c>
      <c r="H265" s="9" t="n">
        <v>0</v>
      </c>
      <c r="I265" s="9" t="n">
        <v>0</v>
      </c>
      <c r="J265" s="9" t="n">
        <v>0</v>
      </c>
    </row>
    <row r="266" customFormat="false" ht="15.75" hidden="false" customHeight="false" outlineLevel="0" collapsed="false">
      <c r="A266" s="7" t="s">
        <v>274</v>
      </c>
      <c r="B266" s="8" t="n">
        <v>1</v>
      </c>
      <c r="C266" s="9" t="n">
        <v>0</v>
      </c>
      <c r="D266" s="9" t="n">
        <v>0</v>
      </c>
      <c r="E266" s="9" t="n">
        <v>0</v>
      </c>
      <c r="F266" s="9" t="n">
        <v>0</v>
      </c>
      <c r="G266" s="9" t="n">
        <v>0</v>
      </c>
      <c r="H266" s="9" t="n">
        <v>0</v>
      </c>
      <c r="I266" s="9" t="n">
        <v>0</v>
      </c>
      <c r="J266" s="9" t="n">
        <v>0</v>
      </c>
    </row>
    <row r="267" customFormat="false" ht="15.75" hidden="false" customHeight="false" outlineLevel="0" collapsed="false">
      <c r="A267" s="7" t="s">
        <v>275</v>
      </c>
      <c r="B267" s="8" t="n">
        <v>1</v>
      </c>
      <c r="C267" s="9" t="n">
        <v>0</v>
      </c>
      <c r="D267" s="9" t="n">
        <v>0</v>
      </c>
      <c r="E267" s="9" t="n">
        <v>0</v>
      </c>
      <c r="F267" s="9" t="n">
        <v>0</v>
      </c>
      <c r="G267" s="9" t="n">
        <v>0</v>
      </c>
      <c r="H267" s="9" t="n">
        <v>0</v>
      </c>
      <c r="I267" s="9" t="n">
        <v>0</v>
      </c>
      <c r="J267" s="9" t="n">
        <v>0</v>
      </c>
    </row>
    <row r="268" customFormat="false" ht="15.75" hidden="false" customHeight="false" outlineLevel="0" collapsed="false">
      <c r="A268" s="7" t="s">
        <v>276</v>
      </c>
      <c r="B268" s="8" t="n">
        <v>1</v>
      </c>
      <c r="C268" s="9" t="n">
        <v>0</v>
      </c>
      <c r="D268" s="9" t="n">
        <v>0</v>
      </c>
      <c r="E268" s="9" t="n">
        <v>1</v>
      </c>
      <c r="F268" s="9" t="n">
        <v>75576</v>
      </c>
      <c r="G268" s="9" t="n">
        <v>0</v>
      </c>
      <c r="H268" s="9" t="n">
        <v>0</v>
      </c>
      <c r="I268" s="9" t="n">
        <v>1</v>
      </c>
      <c r="J268" s="9" t="n">
        <v>75576</v>
      </c>
    </row>
    <row r="269" customFormat="false" ht="15.75" hidden="false" customHeight="false" outlineLevel="0" collapsed="false">
      <c r="A269" s="7" t="s">
        <v>277</v>
      </c>
      <c r="B269" s="8" t="n">
        <v>1</v>
      </c>
      <c r="C269" s="9" t="n">
        <v>30</v>
      </c>
      <c r="D269" s="9" t="n">
        <v>639576</v>
      </c>
      <c r="E269" s="9" t="n">
        <v>0</v>
      </c>
      <c r="F269" s="9" t="n">
        <v>0</v>
      </c>
      <c r="G269" s="9" t="n">
        <v>20</v>
      </c>
      <c r="H269" s="9" t="n">
        <v>426384</v>
      </c>
      <c r="I269" s="9" t="n">
        <v>10</v>
      </c>
      <c r="J269" s="9" t="n">
        <v>213192</v>
      </c>
    </row>
    <row r="270" customFormat="false" ht="15.75" hidden="false" customHeight="false" outlineLevel="0" collapsed="false">
      <c r="A270" s="7" t="s">
        <v>278</v>
      </c>
      <c r="B270" s="8" t="n">
        <v>1</v>
      </c>
      <c r="C270" s="9" t="n">
        <v>109</v>
      </c>
      <c r="D270" s="9" t="n">
        <v>5133246</v>
      </c>
      <c r="E270" s="9" t="n">
        <v>0</v>
      </c>
      <c r="F270" s="9" t="n">
        <v>0</v>
      </c>
      <c r="G270" s="9" t="n">
        <v>24</v>
      </c>
      <c r="H270" s="9" t="n">
        <v>1130256</v>
      </c>
      <c r="I270" s="9" t="n">
        <v>85</v>
      </c>
      <c r="J270" s="9" t="n">
        <v>4002990</v>
      </c>
    </row>
    <row r="271" customFormat="false" ht="15.75" hidden="false" customHeight="false" outlineLevel="0" collapsed="false">
      <c r="A271" s="7" t="s">
        <v>279</v>
      </c>
      <c r="B271" s="8" t="n">
        <v>1</v>
      </c>
      <c r="C271" s="9" t="n">
        <v>0</v>
      </c>
      <c r="D271" s="9" t="n">
        <v>0</v>
      </c>
      <c r="E271" s="9" t="n">
        <v>0</v>
      </c>
      <c r="F271" s="9" t="n">
        <v>0</v>
      </c>
      <c r="G271" s="9" t="n">
        <v>0</v>
      </c>
      <c r="H271" s="9" t="n">
        <v>0</v>
      </c>
      <c r="I271" s="9" t="n">
        <v>0</v>
      </c>
      <c r="J271" s="9" t="n">
        <v>0</v>
      </c>
    </row>
    <row r="272" customFormat="false" ht="15.75" hidden="false" customHeight="false" outlineLevel="0" collapsed="false">
      <c r="A272" s="7" t="s">
        <v>280</v>
      </c>
      <c r="B272" s="8" t="n">
        <v>1</v>
      </c>
      <c r="C272" s="9" t="n">
        <v>0</v>
      </c>
      <c r="D272" s="9" t="n">
        <v>0</v>
      </c>
      <c r="E272" s="9" t="n">
        <v>0</v>
      </c>
      <c r="F272" s="9" t="n">
        <v>0</v>
      </c>
      <c r="G272" s="9" t="n">
        <v>0</v>
      </c>
      <c r="H272" s="9" t="n">
        <v>0</v>
      </c>
      <c r="I272" s="9" t="n">
        <v>0</v>
      </c>
      <c r="J272" s="9" t="n">
        <v>0</v>
      </c>
    </row>
    <row r="273" customFormat="false" ht="15.75" hidden="false" customHeight="false" outlineLevel="0" collapsed="false">
      <c r="A273" s="7" t="s">
        <v>281</v>
      </c>
      <c r="B273" s="8" t="n">
        <v>1</v>
      </c>
      <c r="C273" s="9" t="n">
        <v>104</v>
      </c>
      <c r="D273" s="9" t="n">
        <v>1795254</v>
      </c>
      <c r="E273" s="9" t="n">
        <v>32</v>
      </c>
      <c r="F273" s="9" t="n">
        <v>518175</v>
      </c>
      <c r="G273" s="9" t="n">
        <v>70</v>
      </c>
      <c r="H273" s="9" t="n">
        <v>1190736</v>
      </c>
      <c r="I273" s="9" t="n">
        <v>66</v>
      </c>
      <c r="J273" s="9" t="n">
        <v>1122693</v>
      </c>
    </row>
    <row r="274" customFormat="false" ht="15.75" hidden="false" customHeight="false" outlineLevel="0" collapsed="false">
      <c r="A274" s="7" t="s">
        <v>282</v>
      </c>
      <c r="B274" s="8" t="n">
        <v>1</v>
      </c>
      <c r="C274" s="9" t="n">
        <v>5</v>
      </c>
      <c r="D274" s="9" t="n">
        <v>176500</v>
      </c>
      <c r="E274" s="9" t="n">
        <v>0</v>
      </c>
      <c r="F274" s="9" t="n">
        <v>0</v>
      </c>
      <c r="G274" s="9" t="n">
        <v>5</v>
      </c>
      <c r="H274" s="9" t="n">
        <v>176500</v>
      </c>
      <c r="I274" s="9" t="n">
        <v>0</v>
      </c>
      <c r="J274" s="9" t="n">
        <v>0</v>
      </c>
    </row>
    <row r="275" customFormat="false" ht="15.75" hidden="false" customHeight="false" outlineLevel="0" collapsed="false">
      <c r="A275" s="7" t="s">
        <v>283</v>
      </c>
      <c r="B275" s="8" t="n">
        <v>1</v>
      </c>
      <c r="C275" s="9" t="n">
        <v>620</v>
      </c>
      <c r="D275" s="9" t="n">
        <v>21886000</v>
      </c>
      <c r="E275" s="9" t="n">
        <v>680</v>
      </c>
      <c r="F275" s="9" t="n">
        <v>23938040</v>
      </c>
      <c r="G275" s="9" t="n">
        <v>620</v>
      </c>
      <c r="H275" s="9" t="n">
        <v>21854542</v>
      </c>
      <c r="I275" s="9" t="n">
        <v>680</v>
      </c>
      <c r="J275" s="9" t="n">
        <v>23969498</v>
      </c>
    </row>
    <row r="276" customFormat="false" ht="15.75" hidden="false" customHeight="false" outlineLevel="0" collapsed="false">
      <c r="A276" s="7" t="s">
        <v>284</v>
      </c>
      <c r="B276" s="8" t="n">
        <v>1</v>
      </c>
      <c r="C276" s="9" t="n">
        <v>200</v>
      </c>
      <c r="D276" s="9" t="n">
        <v>8713925</v>
      </c>
      <c r="E276" s="9" t="n">
        <v>100</v>
      </c>
      <c r="F276" s="9" t="n">
        <v>4507300</v>
      </c>
      <c r="G276" s="9" t="n">
        <v>130</v>
      </c>
      <c r="H276" s="9" t="n">
        <v>5729198</v>
      </c>
      <c r="I276" s="9" t="n">
        <v>170</v>
      </c>
      <c r="J276" s="9" t="n">
        <v>7492027</v>
      </c>
    </row>
    <row r="277" customFormat="false" ht="15.75" hidden="false" customHeight="false" outlineLevel="0" collapsed="false">
      <c r="A277" s="7" t="s">
        <v>285</v>
      </c>
      <c r="B277" s="8" t="n">
        <v>1</v>
      </c>
      <c r="C277" s="9" t="n">
        <v>108</v>
      </c>
      <c r="D277" s="9" t="n">
        <v>5721944</v>
      </c>
      <c r="E277" s="9" t="n">
        <v>0</v>
      </c>
      <c r="F277" s="9" t="n">
        <v>0</v>
      </c>
      <c r="G277" s="9" t="n">
        <v>5</v>
      </c>
      <c r="H277" s="9" t="n">
        <v>264905</v>
      </c>
      <c r="I277" s="9" t="n">
        <v>103</v>
      </c>
      <c r="J277" s="9" t="n">
        <v>5457039</v>
      </c>
    </row>
    <row r="278" customFormat="false" ht="15.75" hidden="false" customHeight="false" outlineLevel="0" collapsed="false">
      <c r="A278" s="7" t="s">
        <v>286</v>
      </c>
      <c r="B278" s="8" t="n">
        <v>1</v>
      </c>
      <c r="C278" s="9" t="n">
        <v>0</v>
      </c>
      <c r="D278" s="9" t="n">
        <v>0</v>
      </c>
      <c r="E278" s="9" t="n">
        <v>0</v>
      </c>
      <c r="F278" s="9" t="n">
        <v>0</v>
      </c>
      <c r="G278" s="9" t="n">
        <v>0</v>
      </c>
      <c r="H278" s="9" t="n">
        <v>0</v>
      </c>
      <c r="I278" s="9" t="n">
        <v>0</v>
      </c>
      <c r="J278" s="9" t="n">
        <v>0</v>
      </c>
    </row>
    <row r="279" customFormat="false" ht="15.75" hidden="false" customHeight="false" outlineLevel="0" collapsed="false">
      <c r="A279" s="7" t="s">
        <v>287</v>
      </c>
      <c r="B279" s="8" t="n">
        <v>1</v>
      </c>
      <c r="C279" s="9" t="n">
        <v>0</v>
      </c>
      <c r="D279" s="9" t="n">
        <v>0</v>
      </c>
      <c r="E279" s="9" t="n">
        <v>0</v>
      </c>
      <c r="F279" s="9" t="n">
        <v>0</v>
      </c>
      <c r="G279" s="9" t="n">
        <v>0</v>
      </c>
      <c r="H279" s="9" t="n">
        <v>0</v>
      </c>
      <c r="I279" s="9" t="n">
        <v>0</v>
      </c>
      <c r="J279" s="9" t="n">
        <v>0</v>
      </c>
    </row>
    <row r="280" customFormat="false" ht="15.75" hidden="false" customHeight="false" outlineLevel="0" collapsed="false">
      <c r="A280" s="7" t="s">
        <v>288</v>
      </c>
      <c r="B280" s="8" t="n">
        <v>1</v>
      </c>
      <c r="C280" s="9" t="n">
        <v>0</v>
      </c>
      <c r="D280" s="9" t="n">
        <v>0</v>
      </c>
      <c r="E280" s="9" t="n">
        <v>0</v>
      </c>
      <c r="F280" s="9" t="n">
        <v>0</v>
      </c>
      <c r="G280" s="9" t="n">
        <v>0</v>
      </c>
      <c r="H280" s="9" t="n">
        <v>0</v>
      </c>
      <c r="I280" s="9" t="n">
        <v>0</v>
      </c>
      <c r="J280" s="9" t="n">
        <v>0</v>
      </c>
    </row>
    <row r="281" customFormat="false" ht="15.75" hidden="false" customHeight="false" outlineLevel="0" collapsed="false">
      <c r="A281" s="7" t="s">
        <v>289</v>
      </c>
      <c r="B281" s="8" t="n">
        <v>1</v>
      </c>
      <c r="C281" s="9" t="n">
        <v>0</v>
      </c>
      <c r="D281" s="9" t="n">
        <v>0</v>
      </c>
      <c r="E281" s="9" t="n">
        <v>0</v>
      </c>
      <c r="F281" s="9" t="n">
        <v>0</v>
      </c>
      <c r="G281" s="9" t="n">
        <v>0</v>
      </c>
      <c r="H281" s="9" t="n">
        <v>0</v>
      </c>
      <c r="I281" s="9" t="n">
        <v>0</v>
      </c>
      <c r="J281" s="9" t="n">
        <v>0</v>
      </c>
    </row>
    <row r="282" customFormat="false" ht="15.75" hidden="false" customHeight="false" outlineLevel="0" collapsed="false">
      <c r="A282" s="7" t="s">
        <v>290</v>
      </c>
      <c r="B282" s="8" t="n">
        <v>1</v>
      </c>
      <c r="C282" s="9" t="n">
        <v>860</v>
      </c>
      <c r="D282" s="9" t="n">
        <v>76544025</v>
      </c>
      <c r="E282" s="9" t="n">
        <v>540</v>
      </c>
      <c r="F282" s="9" t="n">
        <v>48051360</v>
      </c>
      <c r="G282" s="9" t="n">
        <v>36</v>
      </c>
      <c r="H282" s="9" t="n">
        <v>3203881</v>
      </c>
      <c r="I282" s="9" t="n">
        <v>1364</v>
      </c>
      <c r="J282" s="9" t="n">
        <v>121391504</v>
      </c>
    </row>
    <row r="283" customFormat="false" ht="15.75" hidden="false" customHeight="false" outlineLevel="0" collapsed="false">
      <c r="A283" s="7" t="s">
        <v>291</v>
      </c>
      <c r="B283" s="8" t="n">
        <v>1</v>
      </c>
      <c r="C283" s="9" t="n">
        <v>6975</v>
      </c>
      <c r="D283" s="9" t="n">
        <v>650978758</v>
      </c>
      <c r="E283" s="9" t="n">
        <v>1155</v>
      </c>
      <c r="F283" s="9" t="n">
        <v>107983260</v>
      </c>
      <c r="G283" s="9" t="n">
        <v>1663</v>
      </c>
      <c r="H283" s="9" t="n">
        <v>155246474</v>
      </c>
      <c r="I283" s="9" t="n">
        <v>6467</v>
      </c>
      <c r="J283" s="9" t="n">
        <v>603715544</v>
      </c>
    </row>
    <row r="284" customFormat="false" ht="15.75" hidden="false" customHeight="false" outlineLevel="0" collapsed="false">
      <c r="A284" s="7" t="s">
        <v>292</v>
      </c>
      <c r="B284" s="8" t="n">
        <v>1</v>
      </c>
      <c r="C284" s="9" t="n">
        <v>0</v>
      </c>
      <c r="D284" s="9" t="n">
        <v>0</v>
      </c>
      <c r="E284" s="9" t="n">
        <v>216</v>
      </c>
      <c r="F284" s="9" t="n">
        <v>19220544</v>
      </c>
      <c r="G284" s="9" t="n">
        <v>0</v>
      </c>
      <c r="H284" s="9" t="n">
        <v>0</v>
      </c>
      <c r="I284" s="9" t="n">
        <v>216</v>
      </c>
      <c r="J284" s="9" t="n">
        <v>19220544</v>
      </c>
    </row>
    <row r="285" customFormat="false" ht="15.75" hidden="false" customHeight="false" outlineLevel="0" collapsed="false">
      <c r="A285" s="4" t="s">
        <v>293</v>
      </c>
      <c r="B285" s="5"/>
      <c r="C285" s="6" t="n">
        <f aca="false">SUM(C2:C284)</f>
        <v>394837</v>
      </c>
      <c r="D285" s="6" t="n">
        <v>15447634554</v>
      </c>
      <c r="E285" s="6" t="n">
        <v>480934</v>
      </c>
      <c r="F285" s="6" t="n">
        <v>11706869809</v>
      </c>
      <c r="G285" s="6" t="n">
        <v>371957</v>
      </c>
      <c r="H285" s="6" t="n">
        <v>12007329223</v>
      </c>
      <c r="I285" s="6"/>
      <c r="J285" s="6" t="n">
        <v>15147175140</v>
      </c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</row>
    <row r="286" customFormat="false" ht="15.75" hidden="false" customHeight="false" outlineLevel="0" collapsed="false">
      <c r="B286" s="10"/>
    </row>
    <row r="287" customFormat="false" ht="15.75" hidden="false" customHeight="false" outlineLevel="0" collapsed="false">
      <c r="B287" s="10"/>
      <c r="H287" s="11" t="n">
        <f aca="false">H285+'Tháng 2'!H285+'Tháng 3'!H285+'Tháng 4'!H285+'Tháng 5'!H285+'Tháng 6'!H285+'Tháng 7'!H285+'Tháng 8'!H285+'Tháng 9'!H285+'Tháng 10'!H285+'Tháng 11'!H285+'Tháng 12'!H285</f>
        <v>112087384096</v>
      </c>
    </row>
    <row r="288" customFormat="false" ht="15.75" hidden="false" customHeight="false" outlineLevel="0" collapsed="false">
      <c r="B288" s="10"/>
    </row>
    <row r="289" customFormat="false" ht="15.75" hidden="false" customHeight="false" outlineLevel="0" collapsed="false">
      <c r="B289" s="10"/>
    </row>
    <row r="290" customFormat="false" ht="15.75" hidden="false" customHeight="false" outlineLevel="0" collapsed="false">
      <c r="B290" s="10"/>
    </row>
    <row r="291" customFormat="false" ht="15.75" hidden="false" customHeight="false" outlineLevel="0" collapsed="false">
      <c r="B291" s="10"/>
    </row>
    <row r="292" customFormat="false" ht="15.75" hidden="false" customHeight="false" outlineLevel="0" collapsed="false">
      <c r="B292" s="10"/>
    </row>
    <row r="293" customFormat="false" ht="15.75" hidden="false" customHeight="false" outlineLevel="0" collapsed="false">
      <c r="B293" s="10"/>
    </row>
    <row r="294" customFormat="false" ht="15.75" hidden="false" customHeight="false" outlineLevel="0" collapsed="false">
      <c r="B294" s="10"/>
    </row>
    <row r="295" customFormat="false" ht="15.75" hidden="false" customHeight="false" outlineLevel="0" collapsed="false">
      <c r="B295" s="10"/>
    </row>
    <row r="296" customFormat="false" ht="15.75" hidden="false" customHeight="false" outlineLevel="0" collapsed="false">
      <c r="B296" s="10"/>
    </row>
    <row r="297" customFormat="false" ht="15.75" hidden="false" customHeight="false" outlineLevel="0" collapsed="false">
      <c r="B297" s="10"/>
    </row>
    <row r="298" customFormat="false" ht="15.75" hidden="false" customHeight="false" outlineLevel="0" collapsed="false">
      <c r="B298" s="10"/>
    </row>
    <row r="299" customFormat="false" ht="15.75" hidden="false" customHeight="false" outlineLevel="0" collapsed="false">
      <c r="B299" s="10"/>
    </row>
    <row r="300" customFormat="false" ht="15.75" hidden="false" customHeight="false" outlineLevel="0" collapsed="false">
      <c r="B300" s="10"/>
    </row>
    <row r="301" customFormat="false" ht="15.75" hidden="false" customHeight="false" outlineLevel="0" collapsed="false">
      <c r="B301" s="10"/>
    </row>
    <row r="302" customFormat="false" ht="15.75" hidden="false" customHeight="false" outlineLevel="0" collapsed="false">
      <c r="B302" s="10"/>
    </row>
    <row r="303" customFormat="false" ht="15.75" hidden="false" customHeight="false" outlineLevel="0" collapsed="false">
      <c r="B303" s="10"/>
    </row>
    <row r="304" customFormat="false" ht="15.75" hidden="false" customHeight="false" outlineLevel="0" collapsed="false">
      <c r="B304" s="10"/>
    </row>
    <row r="305" customFormat="false" ht="15.75" hidden="false" customHeight="false" outlineLevel="0" collapsed="false">
      <c r="B305" s="10"/>
    </row>
    <row r="306" customFormat="false" ht="15.75" hidden="false" customHeight="false" outlineLevel="0" collapsed="false">
      <c r="B306" s="10"/>
    </row>
    <row r="307" customFormat="false" ht="15.75" hidden="false" customHeight="false" outlineLevel="0" collapsed="false">
      <c r="B307" s="10"/>
    </row>
    <row r="308" customFormat="false" ht="15.75" hidden="false" customHeight="false" outlineLevel="0" collapsed="false">
      <c r="B308" s="10"/>
    </row>
    <row r="309" customFormat="false" ht="15.75" hidden="false" customHeight="false" outlineLevel="0" collapsed="false">
      <c r="B309" s="10"/>
    </row>
    <row r="310" customFormat="false" ht="15.75" hidden="false" customHeight="false" outlineLevel="0" collapsed="false">
      <c r="B310" s="10"/>
    </row>
    <row r="311" customFormat="false" ht="15.75" hidden="false" customHeight="false" outlineLevel="0" collapsed="false">
      <c r="B311" s="10"/>
    </row>
    <row r="312" customFormat="false" ht="15.75" hidden="false" customHeight="false" outlineLevel="0" collapsed="false">
      <c r="B312" s="10"/>
    </row>
    <row r="313" customFormat="false" ht="15.75" hidden="false" customHeight="false" outlineLevel="0" collapsed="false">
      <c r="B313" s="10"/>
    </row>
    <row r="314" customFormat="false" ht="15.75" hidden="false" customHeight="false" outlineLevel="0" collapsed="false">
      <c r="B314" s="10"/>
    </row>
    <row r="315" customFormat="false" ht="15.75" hidden="false" customHeight="false" outlineLevel="0" collapsed="false">
      <c r="B315" s="10"/>
    </row>
    <row r="316" customFormat="false" ht="15.75" hidden="false" customHeight="false" outlineLevel="0" collapsed="false">
      <c r="B316" s="10"/>
    </row>
    <row r="317" customFormat="false" ht="15.75" hidden="false" customHeight="false" outlineLevel="0" collapsed="false">
      <c r="B317" s="10"/>
    </row>
    <row r="318" customFormat="false" ht="15.75" hidden="false" customHeight="false" outlineLevel="0" collapsed="false">
      <c r="B318" s="10"/>
    </row>
    <row r="319" customFormat="false" ht="15.75" hidden="false" customHeight="false" outlineLevel="0" collapsed="false">
      <c r="B319" s="10"/>
    </row>
    <row r="320" customFormat="false" ht="15.75" hidden="false" customHeight="false" outlineLevel="0" collapsed="false">
      <c r="B320" s="10"/>
    </row>
    <row r="321" customFormat="false" ht="15.75" hidden="false" customHeight="false" outlineLevel="0" collapsed="false">
      <c r="B321" s="10"/>
    </row>
    <row r="322" customFormat="false" ht="15.75" hidden="false" customHeight="false" outlineLevel="0" collapsed="false">
      <c r="B322" s="10"/>
    </row>
    <row r="323" customFormat="false" ht="15.75" hidden="false" customHeight="false" outlineLevel="0" collapsed="false">
      <c r="B323" s="10"/>
    </row>
    <row r="324" customFormat="false" ht="15.75" hidden="false" customHeight="false" outlineLevel="0" collapsed="false">
      <c r="B324" s="10"/>
    </row>
    <row r="325" customFormat="false" ht="15.75" hidden="false" customHeight="false" outlineLevel="0" collapsed="false">
      <c r="B325" s="10"/>
    </row>
    <row r="326" customFormat="false" ht="15.75" hidden="false" customHeight="false" outlineLevel="0" collapsed="false">
      <c r="B326" s="10"/>
    </row>
    <row r="327" customFormat="false" ht="15.75" hidden="false" customHeight="false" outlineLevel="0" collapsed="false">
      <c r="B327" s="10"/>
    </row>
    <row r="328" customFormat="false" ht="15.75" hidden="false" customHeight="false" outlineLevel="0" collapsed="false">
      <c r="B328" s="10"/>
    </row>
    <row r="329" customFormat="false" ht="15.75" hidden="false" customHeight="false" outlineLevel="0" collapsed="false">
      <c r="B329" s="10"/>
    </row>
    <row r="330" customFormat="false" ht="15.75" hidden="false" customHeight="false" outlineLevel="0" collapsed="false">
      <c r="B330" s="10"/>
    </row>
    <row r="331" customFormat="false" ht="15.75" hidden="false" customHeight="false" outlineLevel="0" collapsed="false">
      <c r="B331" s="10"/>
    </row>
    <row r="332" customFormat="false" ht="15.75" hidden="false" customHeight="false" outlineLevel="0" collapsed="false">
      <c r="B332" s="10"/>
    </row>
    <row r="333" customFormat="false" ht="15.75" hidden="false" customHeight="false" outlineLevel="0" collapsed="false">
      <c r="B333" s="10"/>
    </row>
    <row r="334" customFormat="false" ht="15.75" hidden="false" customHeight="false" outlineLevel="0" collapsed="false">
      <c r="B334" s="10"/>
    </row>
    <row r="335" customFormat="false" ht="15.75" hidden="false" customHeight="false" outlineLevel="0" collapsed="false">
      <c r="B335" s="10"/>
    </row>
    <row r="336" customFormat="false" ht="15.75" hidden="false" customHeight="false" outlineLevel="0" collapsed="false">
      <c r="B336" s="10"/>
    </row>
    <row r="337" customFormat="false" ht="15.75" hidden="false" customHeight="false" outlineLevel="0" collapsed="false">
      <c r="B337" s="10"/>
    </row>
    <row r="338" customFormat="false" ht="15.75" hidden="false" customHeight="false" outlineLevel="0" collapsed="false">
      <c r="B338" s="10"/>
    </row>
    <row r="339" customFormat="false" ht="15.75" hidden="false" customHeight="false" outlineLevel="0" collapsed="false">
      <c r="B339" s="10"/>
    </row>
    <row r="340" customFormat="false" ht="15.75" hidden="false" customHeight="false" outlineLevel="0" collapsed="false">
      <c r="B340" s="10"/>
    </row>
    <row r="341" customFormat="false" ht="15.75" hidden="false" customHeight="false" outlineLevel="0" collapsed="false">
      <c r="B341" s="10"/>
    </row>
    <row r="342" customFormat="false" ht="15.75" hidden="false" customHeight="false" outlineLevel="0" collapsed="false">
      <c r="B342" s="10"/>
    </row>
    <row r="343" customFormat="false" ht="15.75" hidden="false" customHeight="false" outlineLevel="0" collapsed="false">
      <c r="B343" s="10"/>
    </row>
    <row r="344" customFormat="false" ht="15.75" hidden="false" customHeight="false" outlineLevel="0" collapsed="false">
      <c r="B344" s="10"/>
    </row>
    <row r="345" customFormat="false" ht="15.75" hidden="false" customHeight="false" outlineLevel="0" collapsed="false">
      <c r="B345" s="10"/>
    </row>
    <row r="346" customFormat="false" ht="15.75" hidden="false" customHeight="false" outlineLevel="0" collapsed="false">
      <c r="B346" s="10"/>
    </row>
    <row r="347" customFormat="false" ht="15.75" hidden="false" customHeight="false" outlineLevel="0" collapsed="false">
      <c r="B347" s="10"/>
    </row>
    <row r="348" customFormat="false" ht="15.75" hidden="false" customHeight="false" outlineLevel="0" collapsed="false">
      <c r="B348" s="10"/>
    </row>
    <row r="349" customFormat="false" ht="15.75" hidden="false" customHeight="false" outlineLevel="0" collapsed="false">
      <c r="B349" s="10"/>
    </row>
    <row r="350" customFormat="false" ht="15.75" hidden="false" customHeight="false" outlineLevel="0" collapsed="false">
      <c r="B350" s="10"/>
    </row>
    <row r="351" customFormat="false" ht="15.75" hidden="false" customHeight="false" outlineLevel="0" collapsed="false">
      <c r="B351" s="10"/>
    </row>
    <row r="352" customFormat="false" ht="15.75" hidden="false" customHeight="false" outlineLevel="0" collapsed="false">
      <c r="B352" s="10"/>
    </row>
    <row r="353" customFormat="false" ht="15.75" hidden="false" customHeight="false" outlineLevel="0" collapsed="false">
      <c r="B353" s="10"/>
    </row>
    <row r="354" customFormat="false" ht="15.75" hidden="false" customHeight="false" outlineLevel="0" collapsed="false">
      <c r="B354" s="10"/>
    </row>
    <row r="355" customFormat="false" ht="15.75" hidden="false" customHeight="false" outlineLevel="0" collapsed="false">
      <c r="B355" s="10"/>
    </row>
    <row r="356" customFormat="false" ht="15.75" hidden="false" customHeight="false" outlineLevel="0" collapsed="false">
      <c r="B356" s="10"/>
    </row>
    <row r="357" customFormat="false" ht="15.75" hidden="false" customHeight="false" outlineLevel="0" collapsed="false">
      <c r="B357" s="10"/>
    </row>
    <row r="358" customFormat="false" ht="15.75" hidden="false" customHeight="false" outlineLevel="0" collapsed="false">
      <c r="B358" s="10"/>
    </row>
    <row r="359" customFormat="false" ht="15.75" hidden="false" customHeight="false" outlineLevel="0" collapsed="false">
      <c r="B359" s="10"/>
    </row>
    <row r="360" customFormat="false" ht="15.75" hidden="false" customHeight="false" outlineLevel="0" collapsed="false">
      <c r="B360" s="10"/>
    </row>
    <row r="361" customFormat="false" ht="15.75" hidden="false" customHeight="false" outlineLevel="0" collapsed="false">
      <c r="B361" s="10"/>
    </row>
    <row r="362" customFormat="false" ht="15.75" hidden="false" customHeight="false" outlineLevel="0" collapsed="false">
      <c r="B362" s="10"/>
    </row>
    <row r="363" customFormat="false" ht="15.75" hidden="false" customHeight="false" outlineLevel="0" collapsed="false">
      <c r="B363" s="10"/>
    </row>
    <row r="364" customFormat="false" ht="15.75" hidden="false" customHeight="false" outlineLevel="0" collapsed="false">
      <c r="B364" s="10"/>
    </row>
    <row r="365" customFormat="false" ht="15.75" hidden="false" customHeight="false" outlineLevel="0" collapsed="false">
      <c r="B365" s="10"/>
    </row>
    <row r="366" customFormat="false" ht="15.75" hidden="false" customHeight="false" outlineLevel="0" collapsed="false">
      <c r="B366" s="10"/>
    </row>
    <row r="367" customFormat="false" ht="15.75" hidden="false" customHeight="false" outlineLevel="0" collapsed="false">
      <c r="B367" s="10"/>
    </row>
    <row r="368" customFormat="false" ht="15.75" hidden="false" customHeight="false" outlineLevel="0" collapsed="false">
      <c r="B368" s="10"/>
    </row>
    <row r="369" customFormat="false" ht="15.75" hidden="false" customHeight="false" outlineLevel="0" collapsed="false">
      <c r="B369" s="10"/>
    </row>
    <row r="370" customFormat="false" ht="15.75" hidden="false" customHeight="false" outlineLevel="0" collapsed="false">
      <c r="B370" s="10"/>
    </row>
    <row r="371" customFormat="false" ht="15.75" hidden="false" customHeight="false" outlineLevel="0" collapsed="false">
      <c r="B371" s="10"/>
    </row>
    <row r="372" customFormat="false" ht="15.75" hidden="false" customHeight="false" outlineLevel="0" collapsed="false">
      <c r="B372" s="10"/>
    </row>
    <row r="373" customFormat="false" ht="15.75" hidden="false" customHeight="false" outlineLevel="0" collapsed="false">
      <c r="B373" s="10"/>
    </row>
    <row r="374" customFormat="false" ht="15.75" hidden="false" customHeight="false" outlineLevel="0" collapsed="false">
      <c r="B374" s="10"/>
    </row>
    <row r="375" customFormat="false" ht="15.75" hidden="false" customHeight="false" outlineLevel="0" collapsed="false">
      <c r="B375" s="10"/>
    </row>
    <row r="376" customFormat="false" ht="15.75" hidden="false" customHeight="false" outlineLevel="0" collapsed="false">
      <c r="B376" s="10"/>
    </row>
    <row r="377" customFormat="false" ht="15.75" hidden="false" customHeight="false" outlineLevel="0" collapsed="false">
      <c r="B377" s="10"/>
    </row>
    <row r="378" customFormat="false" ht="15.75" hidden="false" customHeight="false" outlineLevel="0" collapsed="false">
      <c r="B378" s="10"/>
    </row>
    <row r="379" customFormat="false" ht="15.75" hidden="false" customHeight="false" outlineLevel="0" collapsed="false">
      <c r="B379" s="10"/>
    </row>
    <row r="380" customFormat="false" ht="15.75" hidden="false" customHeight="false" outlineLevel="0" collapsed="false">
      <c r="B380" s="10"/>
    </row>
    <row r="381" customFormat="false" ht="15.75" hidden="false" customHeight="false" outlineLevel="0" collapsed="false">
      <c r="B381" s="10"/>
    </row>
    <row r="382" customFormat="false" ht="15.75" hidden="false" customHeight="false" outlineLevel="0" collapsed="false">
      <c r="B382" s="10"/>
    </row>
    <row r="383" customFormat="false" ht="15.75" hidden="false" customHeight="false" outlineLevel="0" collapsed="false">
      <c r="B383" s="10"/>
    </row>
    <row r="384" customFormat="false" ht="15.75" hidden="false" customHeight="false" outlineLevel="0" collapsed="false">
      <c r="B384" s="10"/>
    </row>
    <row r="385" customFormat="false" ht="15.75" hidden="false" customHeight="false" outlineLevel="0" collapsed="false">
      <c r="B385" s="10"/>
    </row>
    <row r="386" customFormat="false" ht="15.75" hidden="false" customHeight="false" outlineLevel="0" collapsed="false">
      <c r="B386" s="10"/>
    </row>
    <row r="387" customFormat="false" ht="15.75" hidden="false" customHeight="false" outlineLevel="0" collapsed="false">
      <c r="B387" s="10"/>
    </row>
    <row r="388" customFormat="false" ht="15.75" hidden="false" customHeight="false" outlineLevel="0" collapsed="false">
      <c r="B388" s="10"/>
    </row>
    <row r="389" customFormat="false" ht="15.75" hidden="false" customHeight="false" outlineLevel="0" collapsed="false">
      <c r="B389" s="10"/>
    </row>
    <row r="390" customFormat="false" ht="15.75" hidden="false" customHeight="false" outlineLevel="0" collapsed="false">
      <c r="B390" s="10"/>
    </row>
    <row r="391" customFormat="false" ht="15.75" hidden="false" customHeight="false" outlineLevel="0" collapsed="false">
      <c r="B391" s="10"/>
    </row>
    <row r="392" customFormat="false" ht="15.75" hidden="false" customHeight="false" outlineLevel="0" collapsed="false">
      <c r="B392" s="10"/>
    </row>
    <row r="393" customFormat="false" ht="15.75" hidden="false" customHeight="false" outlineLevel="0" collapsed="false">
      <c r="B393" s="10"/>
    </row>
    <row r="394" customFormat="false" ht="15.75" hidden="false" customHeight="false" outlineLevel="0" collapsed="false">
      <c r="B394" s="10"/>
    </row>
    <row r="395" customFormat="false" ht="15.75" hidden="false" customHeight="false" outlineLevel="0" collapsed="false">
      <c r="B395" s="10"/>
    </row>
    <row r="396" customFormat="false" ht="15.75" hidden="false" customHeight="false" outlineLevel="0" collapsed="false">
      <c r="B396" s="10"/>
    </row>
    <row r="397" customFormat="false" ht="15.75" hidden="false" customHeight="false" outlineLevel="0" collapsed="false">
      <c r="B397" s="10"/>
    </row>
    <row r="398" customFormat="false" ht="15.75" hidden="false" customHeight="false" outlineLevel="0" collapsed="false">
      <c r="B398" s="10"/>
    </row>
    <row r="399" customFormat="false" ht="15.75" hidden="false" customHeight="false" outlineLevel="0" collapsed="false">
      <c r="B399" s="10"/>
    </row>
    <row r="400" customFormat="false" ht="15.75" hidden="false" customHeight="false" outlineLevel="0" collapsed="false">
      <c r="B400" s="10"/>
    </row>
    <row r="401" customFormat="false" ht="15.75" hidden="false" customHeight="false" outlineLevel="0" collapsed="false">
      <c r="B401" s="10"/>
    </row>
    <row r="402" customFormat="false" ht="15.75" hidden="false" customHeight="false" outlineLevel="0" collapsed="false">
      <c r="B402" s="10"/>
    </row>
    <row r="403" customFormat="false" ht="15.75" hidden="false" customHeight="false" outlineLevel="0" collapsed="false">
      <c r="B403" s="10"/>
    </row>
    <row r="404" customFormat="false" ht="15.75" hidden="false" customHeight="false" outlineLevel="0" collapsed="false">
      <c r="B404" s="10"/>
    </row>
    <row r="405" customFormat="false" ht="15.75" hidden="false" customHeight="false" outlineLevel="0" collapsed="false">
      <c r="B405" s="10"/>
    </row>
    <row r="406" customFormat="false" ht="15.75" hidden="false" customHeight="false" outlineLevel="0" collapsed="false">
      <c r="B406" s="10"/>
    </row>
    <row r="407" customFormat="false" ht="15.75" hidden="false" customHeight="false" outlineLevel="0" collapsed="false">
      <c r="B407" s="10"/>
    </row>
    <row r="408" customFormat="false" ht="15.75" hidden="false" customHeight="false" outlineLevel="0" collapsed="false">
      <c r="B408" s="10"/>
    </row>
    <row r="409" customFormat="false" ht="15.75" hidden="false" customHeight="false" outlineLevel="0" collapsed="false">
      <c r="B409" s="10"/>
    </row>
    <row r="410" customFormat="false" ht="15.75" hidden="false" customHeight="false" outlineLevel="0" collapsed="false">
      <c r="B410" s="10"/>
    </row>
    <row r="411" customFormat="false" ht="15.75" hidden="false" customHeight="false" outlineLevel="0" collapsed="false">
      <c r="B411" s="10"/>
    </row>
    <row r="412" customFormat="false" ht="15.75" hidden="false" customHeight="false" outlineLevel="0" collapsed="false">
      <c r="B412" s="10"/>
    </row>
    <row r="413" customFormat="false" ht="15.75" hidden="false" customHeight="false" outlineLevel="0" collapsed="false">
      <c r="B413" s="10"/>
    </row>
    <row r="414" customFormat="false" ht="15.75" hidden="false" customHeight="false" outlineLevel="0" collapsed="false">
      <c r="B414" s="10"/>
    </row>
    <row r="415" customFormat="false" ht="15.75" hidden="false" customHeight="false" outlineLevel="0" collapsed="false">
      <c r="B415" s="10"/>
    </row>
    <row r="416" customFormat="false" ht="15.75" hidden="false" customHeight="false" outlineLevel="0" collapsed="false">
      <c r="B416" s="10"/>
    </row>
    <row r="417" customFormat="false" ht="15.75" hidden="false" customHeight="false" outlineLevel="0" collapsed="false">
      <c r="B417" s="10"/>
    </row>
    <row r="418" customFormat="false" ht="15.75" hidden="false" customHeight="false" outlineLevel="0" collapsed="false">
      <c r="B418" s="10"/>
    </row>
    <row r="419" customFormat="false" ht="15.75" hidden="false" customHeight="false" outlineLevel="0" collapsed="false">
      <c r="B419" s="10"/>
    </row>
    <row r="420" customFormat="false" ht="15.75" hidden="false" customHeight="false" outlineLevel="0" collapsed="false">
      <c r="B420" s="10"/>
    </row>
    <row r="421" customFormat="false" ht="15.75" hidden="false" customHeight="false" outlineLevel="0" collapsed="false">
      <c r="B421" s="10"/>
    </row>
    <row r="422" customFormat="false" ht="15.75" hidden="false" customHeight="false" outlineLevel="0" collapsed="false">
      <c r="B422" s="10"/>
    </row>
    <row r="423" customFormat="false" ht="15.75" hidden="false" customHeight="false" outlineLevel="0" collapsed="false">
      <c r="B423" s="10"/>
    </row>
    <row r="424" customFormat="false" ht="15.75" hidden="false" customHeight="false" outlineLevel="0" collapsed="false">
      <c r="B424" s="10"/>
    </row>
    <row r="425" customFormat="false" ht="15.75" hidden="false" customHeight="false" outlineLevel="0" collapsed="false">
      <c r="B425" s="10"/>
    </row>
    <row r="426" customFormat="false" ht="15.75" hidden="false" customHeight="false" outlineLevel="0" collapsed="false">
      <c r="B426" s="10"/>
    </row>
    <row r="427" customFormat="false" ht="15.75" hidden="false" customHeight="false" outlineLevel="0" collapsed="false">
      <c r="B427" s="10"/>
    </row>
    <row r="428" customFormat="false" ht="15.75" hidden="false" customHeight="false" outlineLevel="0" collapsed="false">
      <c r="B428" s="10"/>
    </row>
    <row r="429" customFormat="false" ht="15.75" hidden="false" customHeight="false" outlineLevel="0" collapsed="false">
      <c r="B429" s="10"/>
    </row>
    <row r="430" customFormat="false" ht="15.75" hidden="false" customHeight="false" outlineLevel="0" collapsed="false">
      <c r="B430" s="10"/>
    </row>
    <row r="431" customFormat="false" ht="15.75" hidden="false" customHeight="false" outlineLevel="0" collapsed="false">
      <c r="B431" s="10"/>
    </row>
    <row r="432" customFormat="false" ht="15.75" hidden="false" customHeight="false" outlineLevel="0" collapsed="false">
      <c r="B432" s="10"/>
    </row>
    <row r="433" customFormat="false" ht="15.75" hidden="false" customHeight="false" outlineLevel="0" collapsed="false">
      <c r="B433" s="10"/>
    </row>
    <row r="434" customFormat="false" ht="15.75" hidden="false" customHeight="false" outlineLevel="0" collapsed="false">
      <c r="B434" s="10"/>
    </row>
    <row r="435" customFormat="false" ht="15.75" hidden="false" customHeight="false" outlineLevel="0" collapsed="false">
      <c r="B435" s="10"/>
    </row>
    <row r="436" customFormat="false" ht="15.75" hidden="false" customHeight="false" outlineLevel="0" collapsed="false">
      <c r="B436" s="10"/>
    </row>
    <row r="437" customFormat="false" ht="15.75" hidden="false" customHeight="false" outlineLevel="0" collapsed="false">
      <c r="B437" s="10"/>
    </row>
    <row r="438" customFormat="false" ht="15.75" hidden="false" customHeight="false" outlineLevel="0" collapsed="false">
      <c r="B438" s="10"/>
    </row>
    <row r="439" customFormat="false" ht="15.75" hidden="false" customHeight="false" outlineLevel="0" collapsed="false">
      <c r="B439" s="10"/>
    </row>
    <row r="440" customFormat="false" ht="15.75" hidden="false" customHeight="false" outlineLevel="0" collapsed="false">
      <c r="B440" s="10"/>
    </row>
    <row r="441" customFormat="false" ht="15.75" hidden="false" customHeight="false" outlineLevel="0" collapsed="false">
      <c r="B441" s="10"/>
    </row>
    <row r="442" customFormat="false" ht="15.75" hidden="false" customHeight="false" outlineLevel="0" collapsed="false">
      <c r="B442" s="10"/>
    </row>
    <row r="443" customFormat="false" ht="15.75" hidden="false" customHeight="false" outlineLevel="0" collapsed="false">
      <c r="B443" s="10"/>
    </row>
    <row r="444" customFormat="false" ht="15.75" hidden="false" customHeight="false" outlineLevel="0" collapsed="false">
      <c r="B444" s="10"/>
    </row>
    <row r="445" customFormat="false" ht="15.75" hidden="false" customHeight="false" outlineLevel="0" collapsed="false">
      <c r="B445" s="10"/>
    </row>
    <row r="446" customFormat="false" ht="15.75" hidden="false" customHeight="false" outlineLevel="0" collapsed="false">
      <c r="B446" s="10"/>
    </row>
    <row r="447" customFormat="false" ht="15.75" hidden="false" customHeight="false" outlineLevel="0" collapsed="false">
      <c r="B447" s="10"/>
    </row>
    <row r="448" customFormat="false" ht="15.75" hidden="false" customHeight="false" outlineLevel="0" collapsed="false">
      <c r="B448" s="10"/>
    </row>
    <row r="449" customFormat="false" ht="15.75" hidden="false" customHeight="false" outlineLevel="0" collapsed="false">
      <c r="B449" s="10"/>
    </row>
    <row r="450" customFormat="false" ht="15.75" hidden="false" customHeight="false" outlineLevel="0" collapsed="false">
      <c r="B450" s="10"/>
    </row>
    <row r="451" customFormat="false" ht="15.75" hidden="false" customHeight="false" outlineLevel="0" collapsed="false">
      <c r="B451" s="10"/>
    </row>
    <row r="452" customFormat="false" ht="15.75" hidden="false" customHeight="false" outlineLevel="0" collapsed="false">
      <c r="B452" s="10"/>
    </row>
    <row r="453" customFormat="false" ht="15.75" hidden="false" customHeight="false" outlineLevel="0" collapsed="false">
      <c r="B453" s="10"/>
    </row>
    <row r="454" customFormat="false" ht="15.75" hidden="false" customHeight="false" outlineLevel="0" collapsed="false">
      <c r="B454" s="10"/>
    </row>
    <row r="455" customFormat="false" ht="15.75" hidden="false" customHeight="false" outlineLevel="0" collapsed="false">
      <c r="B455" s="10"/>
    </row>
    <row r="456" customFormat="false" ht="15.75" hidden="false" customHeight="false" outlineLevel="0" collapsed="false">
      <c r="B456" s="10"/>
    </row>
    <row r="457" customFormat="false" ht="15.75" hidden="false" customHeight="false" outlineLevel="0" collapsed="false">
      <c r="B457" s="10"/>
    </row>
    <row r="458" customFormat="false" ht="15.75" hidden="false" customHeight="false" outlineLevel="0" collapsed="false">
      <c r="B458" s="10"/>
    </row>
    <row r="459" customFormat="false" ht="15.75" hidden="false" customHeight="false" outlineLevel="0" collapsed="false">
      <c r="B459" s="10"/>
    </row>
    <row r="460" customFormat="false" ht="15.75" hidden="false" customHeight="false" outlineLevel="0" collapsed="false">
      <c r="B460" s="10"/>
    </row>
    <row r="461" customFormat="false" ht="15.75" hidden="false" customHeight="false" outlineLevel="0" collapsed="false">
      <c r="B461" s="10"/>
    </row>
    <row r="462" customFormat="false" ht="15.75" hidden="false" customHeight="false" outlineLevel="0" collapsed="false">
      <c r="B462" s="10"/>
    </row>
    <row r="463" customFormat="false" ht="15.75" hidden="false" customHeight="false" outlineLevel="0" collapsed="false">
      <c r="B463" s="10"/>
    </row>
    <row r="464" customFormat="false" ht="15.75" hidden="false" customHeight="false" outlineLevel="0" collapsed="false">
      <c r="B464" s="10"/>
    </row>
    <row r="465" customFormat="false" ht="15.75" hidden="false" customHeight="false" outlineLevel="0" collapsed="false">
      <c r="B465" s="10"/>
    </row>
    <row r="466" customFormat="false" ht="15.75" hidden="false" customHeight="false" outlineLevel="0" collapsed="false">
      <c r="B466" s="10"/>
    </row>
    <row r="467" customFormat="false" ht="15.75" hidden="false" customHeight="false" outlineLevel="0" collapsed="false">
      <c r="B467" s="10"/>
    </row>
    <row r="468" customFormat="false" ht="15.75" hidden="false" customHeight="false" outlineLevel="0" collapsed="false">
      <c r="B468" s="10"/>
    </row>
    <row r="469" customFormat="false" ht="15.75" hidden="false" customHeight="false" outlineLevel="0" collapsed="false">
      <c r="B469" s="10"/>
    </row>
    <row r="470" customFormat="false" ht="15.75" hidden="false" customHeight="false" outlineLevel="0" collapsed="false">
      <c r="B470" s="10"/>
    </row>
    <row r="471" customFormat="false" ht="15.75" hidden="false" customHeight="false" outlineLevel="0" collapsed="false">
      <c r="B471" s="10"/>
    </row>
    <row r="472" customFormat="false" ht="15.75" hidden="false" customHeight="false" outlineLevel="0" collapsed="false">
      <c r="B472" s="10"/>
    </row>
    <row r="473" customFormat="false" ht="15.75" hidden="false" customHeight="false" outlineLevel="0" collapsed="false">
      <c r="B473" s="10"/>
    </row>
    <row r="474" customFormat="false" ht="15.75" hidden="false" customHeight="false" outlineLevel="0" collapsed="false">
      <c r="B474" s="10"/>
    </row>
    <row r="475" customFormat="false" ht="15.75" hidden="false" customHeight="false" outlineLevel="0" collapsed="false">
      <c r="B475" s="10"/>
    </row>
    <row r="476" customFormat="false" ht="15.75" hidden="false" customHeight="false" outlineLevel="0" collapsed="false">
      <c r="B476" s="10"/>
    </row>
    <row r="477" customFormat="false" ht="15.75" hidden="false" customHeight="false" outlineLevel="0" collapsed="false">
      <c r="B477" s="10"/>
    </row>
    <row r="478" customFormat="false" ht="15.75" hidden="false" customHeight="false" outlineLevel="0" collapsed="false">
      <c r="B478" s="10"/>
    </row>
    <row r="479" customFormat="false" ht="15.75" hidden="false" customHeight="false" outlineLevel="0" collapsed="false">
      <c r="B479" s="10"/>
    </row>
    <row r="480" customFormat="false" ht="15.75" hidden="false" customHeight="false" outlineLevel="0" collapsed="false">
      <c r="B480" s="10"/>
    </row>
    <row r="481" customFormat="false" ht="15.75" hidden="false" customHeight="false" outlineLevel="0" collapsed="false">
      <c r="B481" s="10"/>
    </row>
    <row r="482" customFormat="false" ht="15.75" hidden="false" customHeight="false" outlineLevel="0" collapsed="false">
      <c r="B482" s="10"/>
    </row>
    <row r="483" customFormat="false" ht="15.75" hidden="false" customHeight="false" outlineLevel="0" collapsed="false">
      <c r="B483" s="10"/>
    </row>
    <row r="484" customFormat="false" ht="15.75" hidden="false" customHeight="false" outlineLevel="0" collapsed="false">
      <c r="B484" s="10"/>
    </row>
    <row r="485" customFormat="false" ht="15.75" hidden="false" customHeight="false" outlineLevel="0" collapsed="false">
      <c r="B485" s="10"/>
    </row>
    <row r="486" customFormat="false" ht="15.75" hidden="false" customHeight="false" outlineLevel="0" collapsed="false">
      <c r="B486" s="10"/>
    </row>
    <row r="487" customFormat="false" ht="15.75" hidden="false" customHeight="false" outlineLevel="0" collapsed="false">
      <c r="B487" s="10"/>
    </row>
    <row r="488" customFormat="false" ht="15.75" hidden="false" customHeight="false" outlineLevel="0" collapsed="false">
      <c r="B488" s="10"/>
    </row>
    <row r="489" customFormat="false" ht="15.75" hidden="false" customHeight="false" outlineLevel="0" collapsed="false">
      <c r="B489" s="10"/>
    </row>
    <row r="490" customFormat="false" ht="15.75" hidden="false" customHeight="false" outlineLevel="0" collapsed="false">
      <c r="B490" s="10"/>
    </row>
    <row r="491" customFormat="false" ht="15.75" hidden="false" customHeight="false" outlineLevel="0" collapsed="false">
      <c r="B491" s="10"/>
    </row>
    <row r="492" customFormat="false" ht="15.75" hidden="false" customHeight="false" outlineLevel="0" collapsed="false">
      <c r="B492" s="10"/>
    </row>
    <row r="493" customFormat="false" ht="15.75" hidden="false" customHeight="false" outlineLevel="0" collapsed="false">
      <c r="B493" s="10"/>
    </row>
    <row r="494" customFormat="false" ht="15.75" hidden="false" customHeight="false" outlineLevel="0" collapsed="false">
      <c r="B494" s="10"/>
    </row>
    <row r="495" customFormat="false" ht="15.75" hidden="false" customHeight="false" outlineLevel="0" collapsed="false">
      <c r="B495" s="10"/>
    </row>
    <row r="496" customFormat="false" ht="15.75" hidden="false" customHeight="false" outlineLevel="0" collapsed="false">
      <c r="B496" s="10"/>
    </row>
    <row r="497" customFormat="false" ht="15.75" hidden="false" customHeight="false" outlineLevel="0" collapsed="false">
      <c r="B497" s="10"/>
    </row>
    <row r="498" customFormat="false" ht="15.75" hidden="false" customHeight="false" outlineLevel="0" collapsed="false">
      <c r="B498" s="10"/>
    </row>
    <row r="499" customFormat="false" ht="15.75" hidden="false" customHeight="false" outlineLevel="0" collapsed="false">
      <c r="B499" s="10"/>
    </row>
    <row r="500" customFormat="false" ht="15.75" hidden="false" customHeight="false" outlineLevel="0" collapsed="false">
      <c r="B500" s="10"/>
    </row>
    <row r="501" customFormat="false" ht="15.75" hidden="false" customHeight="false" outlineLevel="0" collapsed="false">
      <c r="B501" s="10"/>
    </row>
    <row r="502" customFormat="false" ht="15.75" hidden="false" customHeight="false" outlineLevel="0" collapsed="false">
      <c r="B502" s="10"/>
    </row>
    <row r="503" customFormat="false" ht="15.75" hidden="false" customHeight="false" outlineLevel="0" collapsed="false">
      <c r="B503" s="10"/>
    </row>
    <row r="504" customFormat="false" ht="15.75" hidden="false" customHeight="false" outlineLevel="0" collapsed="false">
      <c r="B504" s="10"/>
    </row>
    <row r="505" customFormat="false" ht="15.75" hidden="false" customHeight="false" outlineLevel="0" collapsed="false">
      <c r="B505" s="10"/>
    </row>
    <row r="506" customFormat="false" ht="15.75" hidden="false" customHeight="false" outlineLevel="0" collapsed="false">
      <c r="B506" s="10"/>
    </row>
    <row r="507" customFormat="false" ht="15.75" hidden="false" customHeight="false" outlineLevel="0" collapsed="false">
      <c r="B507" s="10"/>
    </row>
    <row r="508" customFormat="false" ht="15.75" hidden="false" customHeight="false" outlineLevel="0" collapsed="false">
      <c r="B508" s="10"/>
    </row>
    <row r="509" customFormat="false" ht="15.75" hidden="false" customHeight="false" outlineLevel="0" collapsed="false">
      <c r="B509" s="10"/>
    </row>
    <row r="510" customFormat="false" ht="15.75" hidden="false" customHeight="false" outlineLevel="0" collapsed="false">
      <c r="B510" s="10"/>
    </row>
    <row r="511" customFormat="false" ht="15.75" hidden="false" customHeight="false" outlineLevel="0" collapsed="false">
      <c r="B511" s="10"/>
    </row>
    <row r="512" customFormat="false" ht="15.75" hidden="false" customHeight="false" outlineLevel="0" collapsed="false">
      <c r="B512" s="10"/>
    </row>
    <row r="513" customFormat="false" ht="15.75" hidden="false" customHeight="false" outlineLevel="0" collapsed="false">
      <c r="B513" s="10"/>
    </row>
    <row r="514" customFormat="false" ht="15.75" hidden="false" customHeight="false" outlineLevel="0" collapsed="false">
      <c r="B514" s="10"/>
    </row>
    <row r="515" customFormat="false" ht="15.75" hidden="false" customHeight="false" outlineLevel="0" collapsed="false">
      <c r="B515" s="10"/>
    </row>
    <row r="516" customFormat="false" ht="15.75" hidden="false" customHeight="false" outlineLevel="0" collapsed="false">
      <c r="B516" s="10"/>
    </row>
    <row r="517" customFormat="false" ht="15.75" hidden="false" customHeight="false" outlineLevel="0" collapsed="false">
      <c r="B517" s="10"/>
    </row>
    <row r="518" customFormat="false" ht="15.75" hidden="false" customHeight="false" outlineLevel="0" collapsed="false">
      <c r="B518" s="10"/>
    </row>
    <row r="519" customFormat="false" ht="15.75" hidden="false" customHeight="false" outlineLevel="0" collapsed="false">
      <c r="B519" s="10"/>
    </row>
    <row r="520" customFormat="false" ht="15.75" hidden="false" customHeight="false" outlineLevel="0" collapsed="false">
      <c r="B520" s="10"/>
    </row>
    <row r="521" customFormat="false" ht="15.75" hidden="false" customHeight="false" outlineLevel="0" collapsed="false">
      <c r="B521" s="10"/>
    </row>
    <row r="522" customFormat="false" ht="15.75" hidden="false" customHeight="false" outlineLevel="0" collapsed="false">
      <c r="B522" s="10"/>
    </row>
    <row r="523" customFormat="false" ht="15.75" hidden="false" customHeight="false" outlineLevel="0" collapsed="false">
      <c r="B523" s="10"/>
    </row>
    <row r="524" customFormat="false" ht="15.75" hidden="false" customHeight="false" outlineLevel="0" collapsed="false">
      <c r="B524" s="10"/>
    </row>
    <row r="525" customFormat="false" ht="15.75" hidden="false" customHeight="false" outlineLevel="0" collapsed="false">
      <c r="B525" s="10"/>
    </row>
    <row r="526" customFormat="false" ht="15.75" hidden="false" customHeight="false" outlineLevel="0" collapsed="false">
      <c r="B526" s="10"/>
    </row>
    <row r="527" customFormat="false" ht="15.75" hidden="false" customHeight="false" outlineLevel="0" collapsed="false">
      <c r="B527" s="10"/>
    </row>
    <row r="528" customFormat="false" ht="15.75" hidden="false" customHeight="false" outlineLevel="0" collapsed="false">
      <c r="B528" s="10"/>
    </row>
    <row r="529" customFormat="false" ht="15.75" hidden="false" customHeight="false" outlineLevel="0" collapsed="false">
      <c r="B529" s="10"/>
    </row>
    <row r="530" customFormat="false" ht="15.75" hidden="false" customHeight="false" outlineLevel="0" collapsed="false">
      <c r="B530" s="10"/>
    </row>
    <row r="531" customFormat="false" ht="15.75" hidden="false" customHeight="false" outlineLevel="0" collapsed="false">
      <c r="B531" s="10"/>
    </row>
    <row r="532" customFormat="false" ht="15.75" hidden="false" customHeight="false" outlineLevel="0" collapsed="false">
      <c r="B532" s="10"/>
    </row>
    <row r="533" customFormat="false" ht="15.75" hidden="false" customHeight="false" outlineLevel="0" collapsed="false">
      <c r="B533" s="10"/>
    </row>
    <row r="534" customFormat="false" ht="15.75" hidden="false" customHeight="false" outlineLevel="0" collapsed="false">
      <c r="B534" s="10"/>
    </row>
    <row r="535" customFormat="false" ht="15.75" hidden="false" customHeight="false" outlineLevel="0" collapsed="false">
      <c r="B535" s="10"/>
    </row>
    <row r="536" customFormat="false" ht="15.75" hidden="false" customHeight="false" outlineLevel="0" collapsed="false">
      <c r="B536" s="10"/>
    </row>
    <row r="537" customFormat="false" ht="15.75" hidden="false" customHeight="false" outlineLevel="0" collapsed="false">
      <c r="B537" s="10"/>
    </row>
    <row r="538" customFormat="false" ht="15.75" hidden="false" customHeight="false" outlineLevel="0" collapsed="false">
      <c r="B538" s="10"/>
    </row>
    <row r="539" customFormat="false" ht="15.75" hidden="false" customHeight="false" outlineLevel="0" collapsed="false">
      <c r="B539" s="10"/>
    </row>
    <row r="540" customFormat="false" ht="15.75" hidden="false" customHeight="false" outlineLevel="0" collapsed="false">
      <c r="B540" s="10"/>
    </row>
    <row r="541" customFormat="false" ht="15.75" hidden="false" customHeight="false" outlineLevel="0" collapsed="false">
      <c r="B541" s="10"/>
    </row>
    <row r="542" customFormat="false" ht="15.75" hidden="false" customHeight="false" outlineLevel="0" collapsed="false">
      <c r="B542" s="10"/>
    </row>
    <row r="543" customFormat="false" ht="15.75" hidden="false" customHeight="false" outlineLevel="0" collapsed="false">
      <c r="B543" s="10"/>
    </row>
    <row r="544" customFormat="false" ht="15.75" hidden="false" customHeight="false" outlineLevel="0" collapsed="false">
      <c r="B544" s="10"/>
    </row>
    <row r="545" customFormat="false" ht="15.75" hidden="false" customHeight="false" outlineLevel="0" collapsed="false">
      <c r="B545" s="10"/>
    </row>
    <row r="546" customFormat="false" ht="15.75" hidden="false" customHeight="false" outlineLevel="0" collapsed="false">
      <c r="B546" s="10"/>
    </row>
    <row r="547" customFormat="false" ht="15.75" hidden="false" customHeight="false" outlineLevel="0" collapsed="false">
      <c r="B547" s="10"/>
    </row>
    <row r="548" customFormat="false" ht="15.75" hidden="false" customHeight="false" outlineLevel="0" collapsed="false">
      <c r="B548" s="10"/>
    </row>
    <row r="549" customFormat="false" ht="15.75" hidden="false" customHeight="false" outlineLevel="0" collapsed="false">
      <c r="B549" s="10"/>
    </row>
    <row r="550" customFormat="false" ht="15.75" hidden="false" customHeight="false" outlineLevel="0" collapsed="false">
      <c r="B550" s="10"/>
    </row>
    <row r="551" customFormat="false" ht="15.75" hidden="false" customHeight="false" outlineLevel="0" collapsed="false">
      <c r="B551" s="10"/>
    </row>
    <row r="552" customFormat="false" ht="15.75" hidden="false" customHeight="false" outlineLevel="0" collapsed="false">
      <c r="B552" s="10"/>
    </row>
    <row r="553" customFormat="false" ht="15.75" hidden="false" customHeight="false" outlineLevel="0" collapsed="false">
      <c r="B553" s="10"/>
    </row>
    <row r="554" customFormat="false" ht="15.75" hidden="false" customHeight="false" outlineLevel="0" collapsed="false">
      <c r="B554" s="10"/>
    </row>
    <row r="555" customFormat="false" ht="15.75" hidden="false" customHeight="false" outlineLevel="0" collapsed="false">
      <c r="B555" s="10"/>
    </row>
    <row r="556" customFormat="false" ht="15.75" hidden="false" customHeight="false" outlineLevel="0" collapsed="false">
      <c r="B556" s="10"/>
    </row>
    <row r="557" customFormat="false" ht="15.75" hidden="false" customHeight="false" outlineLevel="0" collapsed="false">
      <c r="B557" s="10"/>
    </row>
    <row r="558" customFormat="false" ht="15.75" hidden="false" customHeight="false" outlineLevel="0" collapsed="false">
      <c r="B558" s="10"/>
    </row>
    <row r="559" customFormat="false" ht="15.75" hidden="false" customHeight="false" outlineLevel="0" collapsed="false">
      <c r="B559" s="10"/>
    </row>
    <row r="560" customFormat="false" ht="15.75" hidden="false" customHeight="false" outlineLevel="0" collapsed="false">
      <c r="B560" s="10"/>
    </row>
    <row r="561" customFormat="false" ht="15.75" hidden="false" customHeight="false" outlineLevel="0" collapsed="false">
      <c r="B561" s="10"/>
    </row>
    <row r="562" customFormat="false" ht="15.75" hidden="false" customHeight="false" outlineLevel="0" collapsed="false">
      <c r="B562" s="10"/>
    </row>
    <row r="563" customFormat="false" ht="15.75" hidden="false" customHeight="false" outlineLevel="0" collapsed="false">
      <c r="B563" s="10"/>
    </row>
    <row r="564" customFormat="false" ht="15.75" hidden="false" customHeight="false" outlineLevel="0" collapsed="false">
      <c r="B564" s="10"/>
    </row>
    <row r="565" customFormat="false" ht="15.75" hidden="false" customHeight="false" outlineLevel="0" collapsed="false">
      <c r="B565" s="10"/>
    </row>
    <row r="566" customFormat="false" ht="15.75" hidden="false" customHeight="false" outlineLevel="0" collapsed="false">
      <c r="B566" s="10"/>
    </row>
    <row r="567" customFormat="false" ht="15.75" hidden="false" customHeight="false" outlineLevel="0" collapsed="false">
      <c r="B567" s="10"/>
    </row>
    <row r="568" customFormat="false" ht="15.75" hidden="false" customHeight="false" outlineLevel="0" collapsed="false">
      <c r="B568" s="10"/>
    </row>
    <row r="569" customFormat="false" ht="15.75" hidden="false" customHeight="false" outlineLevel="0" collapsed="false">
      <c r="B569" s="10"/>
    </row>
    <row r="570" customFormat="false" ht="15.75" hidden="false" customHeight="false" outlineLevel="0" collapsed="false">
      <c r="B570" s="10"/>
    </row>
    <row r="571" customFormat="false" ht="15.75" hidden="false" customHeight="false" outlineLevel="0" collapsed="false">
      <c r="B571" s="10"/>
    </row>
    <row r="572" customFormat="false" ht="15.75" hidden="false" customHeight="false" outlineLevel="0" collapsed="false">
      <c r="B572" s="10"/>
    </row>
    <row r="573" customFormat="false" ht="15.75" hidden="false" customHeight="false" outlineLevel="0" collapsed="false">
      <c r="B573" s="10"/>
    </row>
    <row r="574" customFormat="false" ht="15.75" hidden="false" customHeight="false" outlineLevel="0" collapsed="false">
      <c r="B574" s="10"/>
    </row>
    <row r="575" customFormat="false" ht="15.75" hidden="false" customHeight="false" outlineLevel="0" collapsed="false">
      <c r="B575" s="10"/>
    </row>
    <row r="576" customFormat="false" ht="15.75" hidden="false" customHeight="false" outlineLevel="0" collapsed="false">
      <c r="B576" s="10"/>
    </row>
    <row r="577" customFormat="false" ht="15.75" hidden="false" customHeight="false" outlineLevel="0" collapsed="false">
      <c r="B577" s="10"/>
    </row>
    <row r="578" customFormat="false" ht="15.75" hidden="false" customHeight="false" outlineLevel="0" collapsed="false">
      <c r="B578" s="10"/>
    </row>
    <row r="579" customFormat="false" ht="15.75" hidden="false" customHeight="false" outlineLevel="0" collapsed="false">
      <c r="B579" s="10"/>
    </row>
    <row r="580" customFormat="false" ht="15.75" hidden="false" customHeight="false" outlineLevel="0" collapsed="false">
      <c r="B580" s="10"/>
    </row>
    <row r="581" customFormat="false" ht="15.75" hidden="false" customHeight="false" outlineLevel="0" collapsed="false">
      <c r="B581" s="10"/>
    </row>
    <row r="582" customFormat="false" ht="15.75" hidden="false" customHeight="false" outlineLevel="0" collapsed="false">
      <c r="B582" s="10"/>
    </row>
    <row r="583" customFormat="false" ht="15.75" hidden="false" customHeight="false" outlineLevel="0" collapsed="false">
      <c r="B583" s="10"/>
    </row>
    <row r="584" customFormat="false" ht="15.75" hidden="false" customHeight="false" outlineLevel="0" collapsed="false">
      <c r="B584" s="10"/>
    </row>
    <row r="585" customFormat="false" ht="15.75" hidden="false" customHeight="false" outlineLevel="0" collapsed="false">
      <c r="B585" s="10"/>
    </row>
    <row r="586" customFormat="false" ht="15.75" hidden="false" customHeight="false" outlineLevel="0" collapsed="false">
      <c r="B586" s="10"/>
    </row>
    <row r="587" customFormat="false" ht="15.75" hidden="false" customHeight="false" outlineLevel="0" collapsed="false">
      <c r="B587" s="10"/>
    </row>
    <row r="588" customFormat="false" ht="15.75" hidden="false" customHeight="false" outlineLevel="0" collapsed="false">
      <c r="B588" s="10"/>
    </row>
    <row r="589" customFormat="false" ht="15.75" hidden="false" customHeight="false" outlineLevel="0" collapsed="false">
      <c r="B589" s="10"/>
    </row>
    <row r="590" customFormat="false" ht="15.75" hidden="false" customHeight="false" outlineLevel="0" collapsed="false">
      <c r="B590" s="10"/>
    </row>
    <row r="591" customFormat="false" ht="15.75" hidden="false" customHeight="false" outlineLevel="0" collapsed="false">
      <c r="B591" s="10"/>
    </row>
    <row r="592" customFormat="false" ht="15.75" hidden="false" customHeight="false" outlineLevel="0" collapsed="false">
      <c r="B592" s="10"/>
    </row>
    <row r="593" customFormat="false" ht="15.75" hidden="false" customHeight="false" outlineLevel="0" collapsed="false">
      <c r="B593" s="10"/>
    </row>
    <row r="594" customFormat="false" ht="15.75" hidden="false" customHeight="false" outlineLevel="0" collapsed="false">
      <c r="B594" s="10"/>
    </row>
    <row r="595" customFormat="false" ht="15.75" hidden="false" customHeight="false" outlineLevel="0" collapsed="false">
      <c r="B595" s="10"/>
    </row>
    <row r="596" customFormat="false" ht="15.75" hidden="false" customHeight="false" outlineLevel="0" collapsed="false">
      <c r="B596" s="10"/>
    </row>
    <row r="597" customFormat="false" ht="15.75" hidden="false" customHeight="false" outlineLevel="0" collapsed="false">
      <c r="B597" s="10"/>
    </row>
    <row r="598" customFormat="false" ht="15.75" hidden="false" customHeight="false" outlineLevel="0" collapsed="false">
      <c r="B598" s="10"/>
    </row>
    <row r="599" customFormat="false" ht="15.75" hidden="false" customHeight="false" outlineLevel="0" collapsed="false">
      <c r="B599" s="10"/>
    </row>
    <row r="600" customFormat="false" ht="15.75" hidden="false" customHeight="false" outlineLevel="0" collapsed="false">
      <c r="B600" s="10"/>
    </row>
    <row r="601" customFormat="false" ht="15.75" hidden="false" customHeight="false" outlineLevel="0" collapsed="false">
      <c r="B601" s="10"/>
    </row>
    <row r="602" customFormat="false" ht="15.75" hidden="false" customHeight="false" outlineLevel="0" collapsed="false">
      <c r="B602" s="10"/>
    </row>
    <row r="603" customFormat="false" ht="15.75" hidden="false" customHeight="false" outlineLevel="0" collapsed="false">
      <c r="B603" s="10"/>
    </row>
    <row r="604" customFormat="false" ht="15.75" hidden="false" customHeight="false" outlineLevel="0" collapsed="false">
      <c r="B604" s="10"/>
    </row>
    <row r="605" customFormat="false" ht="15.75" hidden="false" customHeight="false" outlineLevel="0" collapsed="false">
      <c r="B605" s="10"/>
    </row>
    <row r="606" customFormat="false" ht="15.75" hidden="false" customHeight="false" outlineLevel="0" collapsed="false">
      <c r="B606" s="10"/>
    </row>
    <row r="607" customFormat="false" ht="15.75" hidden="false" customHeight="false" outlineLevel="0" collapsed="false">
      <c r="B607" s="10"/>
    </row>
    <row r="608" customFormat="false" ht="15.75" hidden="false" customHeight="false" outlineLevel="0" collapsed="false">
      <c r="B608" s="10"/>
    </row>
    <row r="609" customFormat="false" ht="15.75" hidden="false" customHeight="false" outlineLevel="0" collapsed="false">
      <c r="B609" s="10"/>
    </row>
    <row r="610" customFormat="false" ht="15.75" hidden="false" customHeight="false" outlineLevel="0" collapsed="false">
      <c r="B610" s="10"/>
    </row>
    <row r="611" customFormat="false" ht="15.75" hidden="false" customHeight="false" outlineLevel="0" collapsed="false">
      <c r="B611" s="10"/>
    </row>
    <row r="612" customFormat="false" ht="15.75" hidden="false" customHeight="false" outlineLevel="0" collapsed="false">
      <c r="B612" s="10"/>
    </row>
    <row r="613" customFormat="false" ht="15.75" hidden="false" customHeight="false" outlineLevel="0" collapsed="false">
      <c r="B613" s="10"/>
    </row>
    <row r="614" customFormat="false" ht="15.75" hidden="false" customHeight="false" outlineLevel="0" collapsed="false">
      <c r="B614" s="10"/>
    </row>
    <row r="615" customFormat="false" ht="15.75" hidden="false" customHeight="false" outlineLevel="0" collapsed="false">
      <c r="B615" s="10"/>
    </row>
    <row r="616" customFormat="false" ht="15.75" hidden="false" customHeight="false" outlineLevel="0" collapsed="false">
      <c r="B616" s="10"/>
    </row>
    <row r="617" customFormat="false" ht="15.75" hidden="false" customHeight="false" outlineLevel="0" collapsed="false">
      <c r="B617" s="10"/>
    </row>
    <row r="618" customFormat="false" ht="15.75" hidden="false" customHeight="false" outlineLevel="0" collapsed="false">
      <c r="B618" s="10"/>
    </row>
    <row r="619" customFormat="false" ht="15.75" hidden="false" customHeight="false" outlineLevel="0" collapsed="false">
      <c r="B619" s="10"/>
    </row>
    <row r="620" customFormat="false" ht="15.75" hidden="false" customHeight="false" outlineLevel="0" collapsed="false">
      <c r="B620" s="10"/>
    </row>
    <row r="621" customFormat="false" ht="15.75" hidden="false" customHeight="false" outlineLevel="0" collapsed="false">
      <c r="B621" s="10"/>
    </row>
    <row r="622" customFormat="false" ht="15.75" hidden="false" customHeight="false" outlineLevel="0" collapsed="false">
      <c r="B622" s="10"/>
    </row>
    <row r="623" customFormat="false" ht="15.75" hidden="false" customHeight="false" outlineLevel="0" collapsed="false">
      <c r="B623" s="10"/>
    </row>
    <row r="624" customFormat="false" ht="15.75" hidden="false" customHeight="false" outlineLevel="0" collapsed="false">
      <c r="B624" s="10"/>
    </row>
    <row r="625" customFormat="false" ht="15.75" hidden="false" customHeight="false" outlineLevel="0" collapsed="false">
      <c r="B625" s="10"/>
    </row>
    <row r="626" customFormat="false" ht="15.75" hidden="false" customHeight="false" outlineLevel="0" collapsed="false">
      <c r="B626" s="10"/>
    </row>
    <row r="627" customFormat="false" ht="15.75" hidden="false" customHeight="false" outlineLevel="0" collapsed="false">
      <c r="B627" s="10"/>
    </row>
    <row r="628" customFormat="false" ht="15.75" hidden="false" customHeight="false" outlineLevel="0" collapsed="false">
      <c r="B628" s="10"/>
    </row>
    <row r="629" customFormat="false" ht="15.75" hidden="false" customHeight="false" outlineLevel="0" collapsed="false">
      <c r="B629" s="10"/>
    </row>
    <row r="630" customFormat="false" ht="15.75" hidden="false" customHeight="false" outlineLevel="0" collapsed="false">
      <c r="B630" s="10"/>
    </row>
    <row r="631" customFormat="false" ht="15.75" hidden="false" customHeight="false" outlineLevel="0" collapsed="false">
      <c r="B631" s="10"/>
    </row>
    <row r="632" customFormat="false" ht="15.75" hidden="false" customHeight="false" outlineLevel="0" collapsed="false">
      <c r="B632" s="10"/>
    </row>
    <row r="633" customFormat="false" ht="15.75" hidden="false" customHeight="false" outlineLevel="0" collapsed="false">
      <c r="B633" s="10"/>
    </row>
    <row r="634" customFormat="false" ht="15.75" hidden="false" customHeight="false" outlineLevel="0" collapsed="false">
      <c r="B634" s="10"/>
    </row>
    <row r="635" customFormat="false" ht="15.75" hidden="false" customHeight="false" outlineLevel="0" collapsed="false">
      <c r="B635" s="10"/>
    </row>
    <row r="636" customFormat="false" ht="15.75" hidden="false" customHeight="false" outlineLevel="0" collapsed="false">
      <c r="B636" s="10"/>
    </row>
    <row r="637" customFormat="false" ht="15.75" hidden="false" customHeight="false" outlineLevel="0" collapsed="false">
      <c r="B637" s="10"/>
    </row>
    <row r="638" customFormat="false" ht="15.75" hidden="false" customHeight="false" outlineLevel="0" collapsed="false">
      <c r="B638" s="10"/>
    </row>
    <row r="639" customFormat="false" ht="15.75" hidden="false" customHeight="false" outlineLevel="0" collapsed="false">
      <c r="B639" s="10"/>
    </row>
    <row r="640" customFormat="false" ht="15.75" hidden="false" customHeight="false" outlineLevel="0" collapsed="false">
      <c r="B640" s="10"/>
    </row>
    <row r="641" customFormat="false" ht="15.75" hidden="false" customHeight="false" outlineLevel="0" collapsed="false">
      <c r="B641" s="10"/>
    </row>
    <row r="642" customFormat="false" ht="15.75" hidden="false" customHeight="false" outlineLevel="0" collapsed="false">
      <c r="B642" s="10"/>
    </row>
    <row r="643" customFormat="false" ht="15.75" hidden="false" customHeight="false" outlineLevel="0" collapsed="false">
      <c r="B643" s="10"/>
    </row>
    <row r="644" customFormat="false" ht="15.75" hidden="false" customHeight="false" outlineLevel="0" collapsed="false">
      <c r="B644" s="10"/>
    </row>
    <row r="645" customFormat="false" ht="15.75" hidden="false" customHeight="false" outlineLevel="0" collapsed="false">
      <c r="B645" s="10"/>
    </row>
    <row r="646" customFormat="false" ht="15.75" hidden="false" customHeight="false" outlineLevel="0" collapsed="false">
      <c r="B646" s="10"/>
    </row>
    <row r="647" customFormat="false" ht="15.75" hidden="false" customHeight="false" outlineLevel="0" collapsed="false">
      <c r="B647" s="10"/>
    </row>
    <row r="648" customFormat="false" ht="15.75" hidden="false" customHeight="false" outlineLevel="0" collapsed="false">
      <c r="B648" s="10"/>
    </row>
    <row r="649" customFormat="false" ht="15.75" hidden="false" customHeight="false" outlineLevel="0" collapsed="false">
      <c r="B649" s="10"/>
    </row>
    <row r="650" customFormat="false" ht="15.75" hidden="false" customHeight="false" outlineLevel="0" collapsed="false">
      <c r="B650" s="10"/>
    </row>
    <row r="651" customFormat="false" ht="15.75" hidden="false" customHeight="false" outlineLevel="0" collapsed="false">
      <c r="B651" s="10"/>
    </row>
    <row r="652" customFormat="false" ht="15.75" hidden="false" customHeight="false" outlineLevel="0" collapsed="false">
      <c r="B652" s="10"/>
    </row>
    <row r="653" customFormat="false" ht="15.75" hidden="false" customHeight="false" outlineLevel="0" collapsed="false">
      <c r="B653" s="10"/>
    </row>
    <row r="654" customFormat="false" ht="15.75" hidden="false" customHeight="false" outlineLevel="0" collapsed="false">
      <c r="B654" s="10"/>
    </row>
    <row r="655" customFormat="false" ht="15.75" hidden="false" customHeight="false" outlineLevel="0" collapsed="false">
      <c r="B655" s="10"/>
    </row>
    <row r="656" customFormat="false" ht="15.75" hidden="false" customHeight="false" outlineLevel="0" collapsed="false">
      <c r="B656" s="10"/>
    </row>
    <row r="657" customFormat="false" ht="15.75" hidden="false" customHeight="false" outlineLevel="0" collapsed="false">
      <c r="B657" s="10"/>
    </row>
    <row r="658" customFormat="false" ht="15.75" hidden="false" customHeight="false" outlineLevel="0" collapsed="false">
      <c r="B658" s="10"/>
    </row>
    <row r="659" customFormat="false" ht="15.75" hidden="false" customHeight="false" outlineLevel="0" collapsed="false">
      <c r="B659" s="10"/>
    </row>
    <row r="660" customFormat="false" ht="15.75" hidden="false" customHeight="false" outlineLevel="0" collapsed="false">
      <c r="B660" s="10"/>
    </row>
    <row r="661" customFormat="false" ht="15.75" hidden="false" customHeight="false" outlineLevel="0" collapsed="false">
      <c r="B661" s="10"/>
    </row>
    <row r="662" customFormat="false" ht="15.75" hidden="false" customHeight="false" outlineLevel="0" collapsed="false">
      <c r="B662" s="10"/>
    </row>
    <row r="663" customFormat="false" ht="15.75" hidden="false" customHeight="false" outlineLevel="0" collapsed="false">
      <c r="B663" s="10"/>
    </row>
    <row r="664" customFormat="false" ht="15.75" hidden="false" customHeight="false" outlineLevel="0" collapsed="false">
      <c r="B664" s="10"/>
    </row>
    <row r="665" customFormat="false" ht="15.75" hidden="false" customHeight="false" outlineLevel="0" collapsed="false">
      <c r="B665" s="10"/>
    </row>
    <row r="666" customFormat="false" ht="15.75" hidden="false" customHeight="false" outlineLevel="0" collapsed="false">
      <c r="B666" s="10"/>
    </row>
    <row r="667" customFormat="false" ht="15.75" hidden="false" customHeight="false" outlineLevel="0" collapsed="false">
      <c r="B667" s="10"/>
    </row>
    <row r="668" customFormat="false" ht="15.75" hidden="false" customHeight="false" outlineLevel="0" collapsed="false">
      <c r="B668" s="10"/>
    </row>
    <row r="669" customFormat="false" ht="15.75" hidden="false" customHeight="false" outlineLevel="0" collapsed="false">
      <c r="B669" s="10"/>
    </row>
    <row r="670" customFormat="false" ht="15.75" hidden="false" customHeight="false" outlineLevel="0" collapsed="false">
      <c r="B670" s="10"/>
    </row>
    <row r="671" customFormat="false" ht="15.75" hidden="false" customHeight="false" outlineLevel="0" collapsed="false">
      <c r="B671" s="10"/>
    </row>
    <row r="672" customFormat="false" ht="15.75" hidden="false" customHeight="false" outlineLevel="0" collapsed="false">
      <c r="B672" s="10"/>
    </row>
    <row r="673" customFormat="false" ht="15.75" hidden="false" customHeight="false" outlineLevel="0" collapsed="false">
      <c r="B673" s="10"/>
    </row>
    <row r="674" customFormat="false" ht="15.75" hidden="false" customHeight="false" outlineLevel="0" collapsed="false">
      <c r="B674" s="10"/>
    </row>
    <row r="675" customFormat="false" ht="15.75" hidden="false" customHeight="false" outlineLevel="0" collapsed="false">
      <c r="B675" s="10"/>
    </row>
    <row r="676" customFormat="false" ht="15.75" hidden="false" customHeight="false" outlineLevel="0" collapsed="false">
      <c r="B676" s="10"/>
    </row>
    <row r="677" customFormat="false" ht="15.75" hidden="false" customHeight="false" outlineLevel="0" collapsed="false">
      <c r="B677" s="10"/>
    </row>
    <row r="678" customFormat="false" ht="15.75" hidden="false" customHeight="false" outlineLevel="0" collapsed="false">
      <c r="B678" s="10"/>
    </row>
    <row r="679" customFormat="false" ht="15.75" hidden="false" customHeight="false" outlineLevel="0" collapsed="false">
      <c r="B679" s="10"/>
    </row>
    <row r="680" customFormat="false" ht="15.75" hidden="false" customHeight="false" outlineLevel="0" collapsed="false">
      <c r="B680" s="10"/>
    </row>
    <row r="681" customFormat="false" ht="15.75" hidden="false" customHeight="false" outlineLevel="0" collapsed="false">
      <c r="B681" s="10"/>
    </row>
    <row r="682" customFormat="false" ht="15.75" hidden="false" customHeight="false" outlineLevel="0" collapsed="false">
      <c r="B682" s="10"/>
    </row>
    <row r="683" customFormat="false" ht="15.75" hidden="false" customHeight="false" outlineLevel="0" collapsed="false">
      <c r="B683" s="10"/>
    </row>
    <row r="684" customFormat="false" ht="15.75" hidden="false" customHeight="false" outlineLevel="0" collapsed="false">
      <c r="B684" s="10"/>
    </row>
    <row r="685" customFormat="false" ht="15.75" hidden="false" customHeight="false" outlineLevel="0" collapsed="false">
      <c r="B685" s="10"/>
    </row>
    <row r="686" customFormat="false" ht="15.75" hidden="false" customHeight="false" outlineLevel="0" collapsed="false">
      <c r="B686" s="10"/>
    </row>
    <row r="687" customFormat="false" ht="15.75" hidden="false" customHeight="false" outlineLevel="0" collapsed="false">
      <c r="B687" s="10"/>
    </row>
    <row r="688" customFormat="false" ht="15.75" hidden="false" customHeight="false" outlineLevel="0" collapsed="false">
      <c r="B688" s="10"/>
    </row>
    <row r="689" customFormat="false" ht="15.75" hidden="false" customHeight="false" outlineLevel="0" collapsed="false">
      <c r="B689" s="10"/>
    </row>
    <row r="690" customFormat="false" ht="15.75" hidden="false" customHeight="false" outlineLevel="0" collapsed="false">
      <c r="B690" s="10"/>
    </row>
    <row r="691" customFormat="false" ht="15.75" hidden="false" customHeight="false" outlineLevel="0" collapsed="false">
      <c r="B691" s="10"/>
    </row>
    <row r="692" customFormat="false" ht="15.75" hidden="false" customHeight="false" outlineLevel="0" collapsed="false">
      <c r="B692" s="10"/>
    </row>
    <row r="693" customFormat="false" ht="15.75" hidden="false" customHeight="false" outlineLevel="0" collapsed="false">
      <c r="B693" s="10"/>
    </row>
    <row r="694" customFormat="false" ht="15.75" hidden="false" customHeight="false" outlineLevel="0" collapsed="false">
      <c r="B694" s="10"/>
    </row>
    <row r="695" customFormat="false" ht="15.75" hidden="false" customHeight="false" outlineLevel="0" collapsed="false">
      <c r="B695" s="10"/>
    </row>
    <row r="696" customFormat="false" ht="15.75" hidden="false" customHeight="false" outlineLevel="0" collapsed="false">
      <c r="B696" s="10"/>
    </row>
    <row r="697" customFormat="false" ht="15.75" hidden="false" customHeight="false" outlineLevel="0" collapsed="false">
      <c r="B697" s="10"/>
    </row>
    <row r="698" customFormat="false" ht="15.75" hidden="false" customHeight="false" outlineLevel="0" collapsed="false">
      <c r="B698" s="10"/>
    </row>
    <row r="699" customFormat="false" ht="15.75" hidden="false" customHeight="false" outlineLevel="0" collapsed="false">
      <c r="B699" s="10"/>
    </row>
    <row r="700" customFormat="false" ht="15.75" hidden="false" customHeight="false" outlineLevel="0" collapsed="false">
      <c r="B700" s="10"/>
    </row>
    <row r="701" customFormat="false" ht="15.75" hidden="false" customHeight="false" outlineLevel="0" collapsed="false">
      <c r="B701" s="10"/>
    </row>
    <row r="702" customFormat="false" ht="15.75" hidden="false" customHeight="false" outlineLevel="0" collapsed="false">
      <c r="B702" s="10"/>
    </row>
    <row r="703" customFormat="false" ht="15.75" hidden="false" customHeight="false" outlineLevel="0" collapsed="false">
      <c r="B703" s="10"/>
    </row>
    <row r="704" customFormat="false" ht="15.75" hidden="false" customHeight="false" outlineLevel="0" collapsed="false">
      <c r="B704" s="10"/>
    </row>
    <row r="705" customFormat="false" ht="15.75" hidden="false" customHeight="false" outlineLevel="0" collapsed="false">
      <c r="B705" s="10"/>
    </row>
    <row r="706" customFormat="false" ht="15.75" hidden="false" customHeight="false" outlineLevel="0" collapsed="false">
      <c r="B706" s="10"/>
    </row>
    <row r="707" customFormat="false" ht="15.75" hidden="false" customHeight="false" outlineLevel="0" collapsed="false">
      <c r="B707" s="10"/>
    </row>
    <row r="708" customFormat="false" ht="15.75" hidden="false" customHeight="false" outlineLevel="0" collapsed="false">
      <c r="B708" s="10"/>
    </row>
    <row r="709" customFormat="false" ht="15.75" hidden="false" customHeight="false" outlineLevel="0" collapsed="false">
      <c r="B709" s="10"/>
    </row>
    <row r="710" customFormat="false" ht="15.75" hidden="false" customHeight="false" outlineLevel="0" collapsed="false">
      <c r="B710" s="10"/>
    </row>
    <row r="711" customFormat="false" ht="15.75" hidden="false" customHeight="false" outlineLevel="0" collapsed="false">
      <c r="B711" s="10"/>
    </row>
    <row r="712" customFormat="false" ht="15.75" hidden="false" customHeight="false" outlineLevel="0" collapsed="false">
      <c r="B712" s="10"/>
    </row>
    <row r="713" customFormat="false" ht="15.75" hidden="false" customHeight="false" outlineLevel="0" collapsed="false">
      <c r="B713" s="10"/>
    </row>
    <row r="714" customFormat="false" ht="15.75" hidden="false" customHeight="false" outlineLevel="0" collapsed="false">
      <c r="B714" s="10"/>
    </row>
    <row r="715" customFormat="false" ht="15.75" hidden="false" customHeight="false" outlineLevel="0" collapsed="false">
      <c r="B715" s="10"/>
    </row>
    <row r="716" customFormat="false" ht="15.75" hidden="false" customHeight="false" outlineLevel="0" collapsed="false">
      <c r="B716" s="10"/>
    </row>
    <row r="717" customFormat="false" ht="15.75" hidden="false" customHeight="false" outlineLevel="0" collapsed="false">
      <c r="B717" s="10"/>
    </row>
    <row r="718" customFormat="false" ht="15.75" hidden="false" customHeight="false" outlineLevel="0" collapsed="false">
      <c r="B718" s="10"/>
    </row>
    <row r="719" customFormat="false" ht="15.75" hidden="false" customHeight="false" outlineLevel="0" collapsed="false">
      <c r="B719" s="10"/>
    </row>
    <row r="720" customFormat="false" ht="15.75" hidden="false" customHeight="false" outlineLevel="0" collapsed="false">
      <c r="B720" s="10"/>
    </row>
    <row r="721" customFormat="false" ht="15.75" hidden="false" customHeight="false" outlineLevel="0" collapsed="false">
      <c r="B721" s="10"/>
    </row>
    <row r="722" customFormat="false" ht="15.75" hidden="false" customHeight="false" outlineLevel="0" collapsed="false">
      <c r="B722" s="10"/>
    </row>
    <row r="723" customFormat="false" ht="15.75" hidden="false" customHeight="false" outlineLevel="0" collapsed="false">
      <c r="B723" s="10"/>
    </row>
    <row r="724" customFormat="false" ht="15.75" hidden="false" customHeight="false" outlineLevel="0" collapsed="false">
      <c r="B724" s="10"/>
    </row>
    <row r="725" customFormat="false" ht="15.75" hidden="false" customHeight="false" outlineLevel="0" collapsed="false">
      <c r="B725" s="10"/>
    </row>
    <row r="726" customFormat="false" ht="15.75" hidden="false" customHeight="false" outlineLevel="0" collapsed="false">
      <c r="B726" s="10"/>
    </row>
    <row r="727" customFormat="false" ht="15.75" hidden="false" customHeight="false" outlineLevel="0" collapsed="false">
      <c r="B727" s="10"/>
    </row>
    <row r="728" customFormat="false" ht="15.75" hidden="false" customHeight="false" outlineLevel="0" collapsed="false">
      <c r="B728" s="10"/>
    </row>
    <row r="729" customFormat="false" ht="15.75" hidden="false" customHeight="false" outlineLevel="0" collapsed="false">
      <c r="B729" s="10"/>
    </row>
    <row r="730" customFormat="false" ht="15.75" hidden="false" customHeight="false" outlineLevel="0" collapsed="false">
      <c r="B730" s="10"/>
    </row>
    <row r="731" customFormat="false" ht="15.75" hidden="false" customHeight="false" outlineLevel="0" collapsed="false">
      <c r="B731" s="10"/>
    </row>
    <row r="732" customFormat="false" ht="15.75" hidden="false" customHeight="false" outlineLevel="0" collapsed="false">
      <c r="B732" s="10"/>
    </row>
    <row r="733" customFormat="false" ht="15.75" hidden="false" customHeight="false" outlineLevel="0" collapsed="false">
      <c r="B733" s="10"/>
    </row>
    <row r="734" customFormat="false" ht="15.75" hidden="false" customHeight="false" outlineLevel="0" collapsed="false">
      <c r="B734" s="10"/>
    </row>
    <row r="735" customFormat="false" ht="15.75" hidden="false" customHeight="false" outlineLevel="0" collapsed="false">
      <c r="B735" s="10"/>
    </row>
    <row r="736" customFormat="false" ht="15.75" hidden="false" customHeight="false" outlineLevel="0" collapsed="false">
      <c r="B736" s="10"/>
    </row>
    <row r="737" customFormat="false" ht="15.75" hidden="false" customHeight="false" outlineLevel="0" collapsed="false">
      <c r="B737" s="10"/>
    </row>
    <row r="738" customFormat="false" ht="15.75" hidden="false" customHeight="false" outlineLevel="0" collapsed="false">
      <c r="B738" s="10"/>
    </row>
    <row r="739" customFormat="false" ht="15.75" hidden="false" customHeight="false" outlineLevel="0" collapsed="false">
      <c r="B739" s="10"/>
    </row>
    <row r="740" customFormat="false" ht="15.75" hidden="false" customHeight="false" outlineLevel="0" collapsed="false">
      <c r="B740" s="10"/>
    </row>
    <row r="741" customFormat="false" ht="15.75" hidden="false" customHeight="false" outlineLevel="0" collapsed="false">
      <c r="B741" s="10"/>
    </row>
    <row r="742" customFormat="false" ht="15.75" hidden="false" customHeight="false" outlineLevel="0" collapsed="false">
      <c r="B742" s="10"/>
    </row>
    <row r="743" customFormat="false" ht="15.75" hidden="false" customHeight="false" outlineLevel="0" collapsed="false">
      <c r="B743" s="10"/>
    </row>
    <row r="744" customFormat="false" ht="15.75" hidden="false" customHeight="false" outlineLevel="0" collapsed="false">
      <c r="B744" s="10"/>
    </row>
    <row r="745" customFormat="false" ht="15.75" hidden="false" customHeight="false" outlineLevel="0" collapsed="false">
      <c r="B745" s="10"/>
    </row>
    <row r="746" customFormat="false" ht="15.75" hidden="false" customHeight="false" outlineLevel="0" collapsed="false">
      <c r="B746" s="10"/>
    </row>
    <row r="747" customFormat="false" ht="15.75" hidden="false" customHeight="false" outlineLevel="0" collapsed="false">
      <c r="B747" s="10"/>
    </row>
    <row r="748" customFormat="false" ht="15.75" hidden="false" customHeight="false" outlineLevel="0" collapsed="false">
      <c r="B748" s="10"/>
    </row>
    <row r="749" customFormat="false" ht="15.75" hidden="false" customHeight="false" outlineLevel="0" collapsed="false">
      <c r="B749" s="10"/>
    </row>
    <row r="750" customFormat="false" ht="15.75" hidden="false" customHeight="false" outlineLevel="0" collapsed="false">
      <c r="B750" s="10"/>
    </row>
    <row r="751" customFormat="false" ht="15.75" hidden="false" customHeight="false" outlineLevel="0" collapsed="false">
      <c r="B751" s="10"/>
    </row>
    <row r="752" customFormat="false" ht="15.75" hidden="false" customHeight="false" outlineLevel="0" collapsed="false">
      <c r="B752" s="10"/>
    </row>
    <row r="753" customFormat="false" ht="15.75" hidden="false" customHeight="false" outlineLevel="0" collapsed="false">
      <c r="B753" s="10"/>
    </row>
    <row r="754" customFormat="false" ht="15.75" hidden="false" customHeight="false" outlineLevel="0" collapsed="false">
      <c r="B754" s="10"/>
    </row>
    <row r="755" customFormat="false" ht="15.75" hidden="false" customHeight="false" outlineLevel="0" collapsed="false">
      <c r="B755" s="10"/>
    </row>
    <row r="756" customFormat="false" ht="15.75" hidden="false" customHeight="false" outlineLevel="0" collapsed="false">
      <c r="B756" s="10"/>
    </row>
    <row r="757" customFormat="false" ht="15.75" hidden="false" customHeight="false" outlineLevel="0" collapsed="false">
      <c r="B757" s="10"/>
    </row>
    <row r="758" customFormat="false" ht="15.75" hidden="false" customHeight="false" outlineLevel="0" collapsed="false">
      <c r="B758" s="10"/>
    </row>
    <row r="759" customFormat="false" ht="15.75" hidden="false" customHeight="false" outlineLevel="0" collapsed="false">
      <c r="B759" s="10"/>
    </row>
    <row r="760" customFormat="false" ht="15.75" hidden="false" customHeight="false" outlineLevel="0" collapsed="false">
      <c r="B760" s="10"/>
    </row>
    <row r="761" customFormat="false" ht="15.75" hidden="false" customHeight="false" outlineLevel="0" collapsed="false">
      <c r="B761" s="10"/>
    </row>
    <row r="762" customFormat="false" ht="15.75" hidden="false" customHeight="false" outlineLevel="0" collapsed="false">
      <c r="B762" s="10"/>
    </row>
    <row r="763" customFormat="false" ht="15.75" hidden="false" customHeight="false" outlineLevel="0" collapsed="false">
      <c r="B763" s="10"/>
    </row>
    <row r="764" customFormat="false" ht="15.75" hidden="false" customHeight="false" outlineLevel="0" collapsed="false">
      <c r="B764" s="10"/>
    </row>
    <row r="765" customFormat="false" ht="15.75" hidden="false" customHeight="false" outlineLevel="0" collapsed="false">
      <c r="B765" s="10"/>
    </row>
    <row r="766" customFormat="false" ht="15.75" hidden="false" customHeight="false" outlineLevel="0" collapsed="false">
      <c r="B766" s="10"/>
    </row>
    <row r="767" customFormat="false" ht="15.75" hidden="false" customHeight="false" outlineLevel="0" collapsed="false">
      <c r="B767" s="10"/>
    </row>
    <row r="768" customFormat="false" ht="15.75" hidden="false" customHeight="false" outlineLevel="0" collapsed="false">
      <c r="B768" s="10"/>
    </row>
    <row r="769" customFormat="false" ht="15.75" hidden="false" customHeight="false" outlineLevel="0" collapsed="false">
      <c r="B769" s="10"/>
    </row>
    <row r="770" customFormat="false" ht="15.75" hidden="false" customHeight="false" outlineLevel="0" collapsed="false">
      <c r="B770" s="10"/>
    </row>
    <row r="771" customFormat="false" ht="15.75" hidden="false" customHeight="false" outlineLevel="0" collapsed="false">
      <c r="B771" s="10"/>
    </row>
    <row r="772" customFormat="false" ht="15.75" hidden="false" customHeight="false" outlineLevel="0" collapsed="false">
      <c r="B772" s="10"/>
    </row>
    <row r="773" customFormat="false" ht="15.75" hidden="false" customHeight="false" outlineLevel="0" collapsed="false">
      <c r="B773" s="10"/>
    </row>
    <row r="774" customFormat="false" ht="15.75" hidden="false" customHeight="false" outlineLevel="0" collapsed="false">
      <c r="B774" s="10"/>
    </row>
    <row r="775" customFormat="false" ht="15.75" hidden="false" customHeight="false" outlineLevel="0" collapsed="false">
      <c r="B775" s="10"/>
    </row>
    <row r="776" customFormat="false" ht="15.75" hidden="false" customHeight="false" outlineLevel="0" collapsed="false">
      <c r="B776" s="10"/>
    </row>
    <row r="777" customFormat="false" ht="15.75" hidden="false" customHeight="false" outlineLevel="0" collapsed="false">
      <c r="B777" s="10"/>
    </row>
    <row r="778" customFormat="false" ht="15.75" hidden="false" customHeight="false" outlineLevel="0" collapsed="false">
      <c r="B778" s="10"/>
    </row>
    <row r="779" customFormat="false" ht="15.75" hidden="false" customHeight="false" outlineLevel="0" collapsed="false">
      <c r="B779" s="10"/>
    </row>
    <row r="780" customFormat="false" ht="15.75" hidden="false" customHeight="false" outlineLevel="0" collapsed="false">
      <c r="B780" s="10"/>
    </row>
    <row r="781" customFormat="false" ht="15.75" hidden="false" customHeight="false" outlineLevel="0" collapsed="false">
      <c r="B781" s="10"/>
    </row>
    <row r="782" customFormat="false" ht="15.75" hidden="false" customHeight="false" outlineLevel="0" collapsed="false">
      <c r="B782" s="10"/>
    </row>
    <row r="783" customFormat="false" ht="15.75" hidden="false" customHeight="false" outlineLevel="0" collapsed="false">
      <c r="B783" s="10"/>
    </row>
    <row r="784" customFormat="false" ht="15.75" hidden="false" customHeight="false" outlineLevel="0" collapsed="false">
      <c r="B784" s="10"/>
    </row>
    <row r="785" customFormat="false" ht="15.75" hidden="false" customHeight="false" outlineLevel="0" collapsed="false">
      <c r="B785" s="10"/>
    </row>
    <row r="786" customFormat="false" ht="15.75" hidden="false" customHeight="false" outlineLevel="0" collapsed="false">
      <c r="B786" s="10"/>
    </row>
    <row r="787" customFormat="false" ht="15.75" hidden="false" customHeight="false" outlineLevel="0" collapsed="false">
      <c r="B787" s="10"/>
    </row>
    <row r="788" customFormat="false" ht="15.75" hidden="false" customHeight="false" outlineLevel="0" collapsed="false">
      <c r="B788" s="10"/>
    </row>
    <row r="789" customFormat="false" ht="15.75" hidden="false" customHeight="false" outlineLevel="0" collapsed="false">
      <c r="B789" s="10"/>
    </row>
    <row r="790" customFormat="false" ht="15.75" hidden="false" customHeight="false" outlineLevel="0" collapsed="false">
      <c r="B790" s="10"/>
    </row>
    <row r="791" customFormat="false" ht="15.75" hidden="false" customHeight="false" outlineLevel="0" collapsed="false">
      <c r="B791" s="10"/>
    </row>
    <row r="792" customFormat="false" ht="15.75" hidden="false" customHeight="false" outlineLevel="0" collapsed="false">
      <c r="B792" s="10"/>
    </row>
    <row r="793" customFormat="false" ht="15.75" hidden="false" customHeight="false" outlineLevel="0" collapsed="false">
      <c r="B793" s="10"/>
    </row>
    <row r="794" customFormat="false" ht="15.75" hidden="false" customHeight="false" outlineLevel="0" collapsed="false">
      <c r="B794" s="10"/>
    </row>
    <row r="795" customFormat="false" ht="15.75" hidden="false" customHeight="false" outlineLevel="0" collapsed="false">
      <c r="B795" s="10"/>
    </row>
    <row r="796" customFormat="false" ht="15.75" hidden="false" customHeight="false" outlineLevel="0" collapsed="false">
      <c r="B796" s="10"/>
    </row>
    <row r="797" customFormat="false" ht="15.75" hidden="false" customHeight="false" outlineLevel="0" collapsed="false">
      <c r="B797" s="10"/>
    </row>
    <row r="798" customFormat="false" ht="15.75" hidden="false" customHeight="false" outlineLevel="0" collapsed="false">
      <c r="B798" s="10"/>
    </row>
    <row r="799" customFormat="false" ht="15.75" hidden="false" customHeight="false" outlineLevel="0" collapsed="false">
      <c r="B799" s="10"/>
    </row>
    <row r="800" customFormat="false" ht="15.75" hidden="false" customHeight="false" outlineLevel="0" collapsed="false">
      <c r="B800" s="10"/>
    </row>
    <row r="801" customFormat="false" ht="15.75" hidden="false" customHeight="false" outlineLevel="0" collapsed="false">
      <c r="B801" s="10"/>
    </row>
    <row r="802" customFormat="false" ht="15.75" hidden="false" customHeight="false" outlineLevel="0" collapsed="false">
      <c r="B802" s="10"/>
    </row>
    <row r="803" customFormat="false" ht="15.75" hidden="false" customHeight="false" outlineLevel="0" collapsed="false">
      <c r="B803" s="10"/>
    </row>
    <row r="804" customFormat="false" ht="15.75" hidden="false" customHeight="false" outlineLevel="0" collapsed="false">
      <c r="B804" s="10"/>
    </row>
    <row r="805" customFormat="false" ht="15.75" hidden="false" customHeight="false" outlineLevel="0" collapsed="false">
      <c r="B805" s="10"/>
    </row>
    <row r="806" customFormat="false" ht="15.75" hidden="false" customHeight="false" outlineLevel="0" collapsed="false">
      <c r="B806" s="10"/>
    </row>
    <row r="807" customFormat="false" ht="15.75" hidden="false" customHeight="false" outlineLevel="0" collapsed="false">
      <c r="B807" s="10"/>
    </row>
    <row r="808" customFormat="false" ht="15.75" hidden="false" customHeight="false" outlineLevel="0" collapsed="false">
      <c r="B808" s="10"/>
    </row>
    <row r="809" customFormat="false" ht="15.75" hidden="false" customHeight="false" outlineLevel="0" collapsed="false">
      <c r="B809" s="10"/>
    </row>
    <row r="810" customFormat="false" ht="15.75" hidden="false" customHeight="false" outlineLevel="0" collapsed="false">
      <c r="B810" s="10"/>
    </row>
    <row r="811" customFormat="false" ht="15.75" hidden="false" customHeight="false" outlineLevel="0" collapsed="false">
      <c r="B811" s="10"/>
    </row>
    <row r="812" customFormat="false" ht="15.75" hidden="false" customHeight="false" outlineLevel="0" collapsed="false">
      <c r="B812" s="10"/>
    </row>
    <row r="813" customFormat="false" ht="15.75" hidden="false" customHeight="false" outlineLevel="0" collapsed="false">
      <c r="B813" s="10"/>
    </row>
    <row r="814" customFormat="false" ht="15.75" hidden="false" customHeight="false" outlineLevel="0" collapsed="false">
      <c r="B814" s="10"/>
    </row>
    <row r="815" customFormat="false" ht="15.75" hidden="false" customHeight="false" outlineLevel="0" collapsed="false">
      <c r="B815" s="10"/>
    </row>
    <row r="816" customFormat="false" ht="15.75" hidden="false" customHeight="false" outlineLevel="0" collapsed="false">
      <c r="B816" s="10"/>
    </row>
    <row r="817" customFormat="false" ht="15.75" hidden="false" customHeight="false" outlineLevel="0" collapsed="false">
      <c r="B817" s="10"/>
    </row>
    <row r="818" customFormat="false" ht="15.75" hidden="false" customHeight="false" outlineLevel="0" collapsed="false">
      <c r="B818" s="10"/>
    </row>
    <row r="819" customFormat="false" ht="15.75" hidden="false" customHeight="false" outlineLevel="0" collapsed="false">
      <c r="B819" s="10"/>
    </row>
    <row r="820" customFormat="false" ht="15.75" hidden="false" customHeight="false" outlineLevel="0" collapsed="false">
      <c r="B820" s="10"/>
    </row>
    <row r="821" customFormat="false" ht="15.75" hidden="false" customHeight="false" outlineLevel="0" collapsed="false">
      <c r="B821" s="10"/>
    </row>
    <row r="822" customFormat="false" ht="15.75" hidden="false" customHeight="false" outlineLevel="0" collapsed="false">
      <c r="B822" s="10"/>
    </row>
    <row r="823" customFormat="false" ht="15.75" hidden="false" customHeight="false" outlineLevel="0" collapsed="false">
      <c r="B823" s="10"/>
    </row>
    <row r="824" customFormat="false" ht="15.75" hidden="false" customHeight="false" outlineLevel="0" collapsed="false">
      <c r="B824" s="10"/>
    </row>
    <row r="825" customFormat="false" ht="15.75" hidden="false" customHeight="false" outlineLevel="0" collapsed="false">
      <c r="B825" s="10"/>
    </row>
    <row r="826" customFormat="false" ht="15.75" hidden="false" customHeight="false" outlineLevel="0" collapsed="false">
      <c r="B826" s="10"/>
    </row>
    <row r="827" customFormat="false" ht="15.75" hidden="false" customHeight="false" outlineLevel="0" collapsed="false">
      <c r="B827" s="10"/>
    </row>
    <row r="828" customFormat="false" ht="15.75" hidden="false" customHeight="false" outlineLevel="0" collapsed="false">
      <c r="B828" s="10"/>
    </row>
    <row r="829" customFormat="false" ht="15.75" hidden="false" customHeight="false" outlineLevel="0" collapsed="false">
      <c r="B829" s="10"/>
    </row>
    <row r="830" customFormat="false" ht="15.75" hidden="false" customHeight="false" outlineLevel="0" collapsed="false">
      <c r="B830" s="10"/>
    </row>
    <row r="831" customFormat="false" ht="15.75" hidden="false" customHeight="false" outlineLevel="0" collapsed="false">
      <c r="B831" s="10"/>
    </row>
    <row r="832" customFormat="false" ht="15.75" hidden="false" customHeight="false" outlineLevel="0" collapsed="false">
      <c r="B832" s="10"/>
    </row>
    <row r="833" customFormat="false" ht="15.75" hidden="false" customHeight="false" outlineLevel="0" collapsed="false">
      <c r="B833" s="10"/>
    </row>
    <row r="834" customFormat="false" ht="15.75" hidden="false" customHeight="false" outlineLevel="0" collapsed="false">
      <c r="B834" s="10"/>
    </row>
    <row r="835" customFormat="false" ht="15.75" hidden="false" customHeight="false" outlineLevel="0" collapsed="false">
      <c r="B835" s="10"/>
    </row>
    <row r="836" customFormat="false" ht="15.75" hidden="false" customHeight="false" outlineLevel="0" collapsed="false">
      <c r="B836" s="10"/>
    </row>
    <row r="837" customFormat="false" ht="15.75" hidden="false" customHeight="false" outlineLevel="0" collapsed="false">
      <c r="B837" s="10"/>
    </row>
    <row r="838" customFormat="false" ht="15.75" hidden="false" customHeight="false" outlineLevel="0" collapsed="false">
      <c r="B838" s="10"/>
    </row>
    <row r="839" customFormat="false" ht="15.75" hidden="false" customHeight="false" outlineLevel="0" collapsed="false">
      <c r="B839" s="10"/>
    </row>
    <row r="840" customFormat="false" ht="15.75" hidden="false" customHeight="false" outlineLevel="0" collapsed="false">
      <c r="B840" s="10"/>
    </row>
    <row r="841" customFormat="false" ht="15.75" hidden="false" customHeight="false" outlineLevel="0" collapsed="false">
      <c r="B841" s="10"/>
    </row>
    <row r="842" customFormat="false" ht="15.75" hidden="false" customHeight="false" outlineLevel="0" collapsed="false">
      <c r="B842" s="10"/>
    </row>
    <row r="843" customFormat="false" ht="15.75" hidden="false" customHeight="false" outlineLevel="0" collapsed="false">
      <c r="B843" s="10"/>
    </row>
    <row r="844" customFormat="false" ht="15.75" hidden="false" customHeight="false" outlineLevel="0" collapsed="false">
      <c r="B844" s="10"/>
    </row>
    <row r="845" customFormat="false" ht="15.75" hidden="false" customHeight="false" outlineLevel="0" collapsed="false">
      <c r="B845" s="10"/>
    </row>
    <row r="846" customFormat="false" ht="15.75" hidden="false" customHeight="false" outlineLevel="0" collapsed="false">
      <c r="B846" s="10"/>
    </row>
    <row r="847" customFormat="false" ht="15.75" hidden="false" customHeight="false" outlineLevel="0" collapsed="false">
      <c r="B847" s="10"/>
    </row>
    <row r="848" customFormat="false" ht="15.75" hidden="false" customHeight="false" outlineLevel="0" collapsed="false">
      <c r="B848" s="10"/>
    </row>
    <row r="849" customFormat="false" ht="15.75" hidden="false" customHeight="false" outlineLevel="0" collapsed="false">
      <c r="B849" s="10"/>
    </row>
    <row r="850" customFormat="false" ht="15.75" hidden="false" customHeight="false" outlineLevel="0" collapsed="false">
      <c r="B850" s="10"/>
    </row>
    <row r="851" customFormat="false" ht="15.75" hidden="false" customHeight="false" outlineLevel="0" collapsed="false">
      <c r="B851" s="10"/>
    </row>
    <row r="852" customFormat="false" ht="15.75" hidden="false" customHeight="false" outlineLevel="0" collapsed="false">
      <c r="B852" s="10"/>
    </row>
    <row r="853" customFormat="false" ht="15.75" hidden="false" customHeight="false" outlineLevel="0" collapsed="false">
      <c r="B853" s="10"/>
    </row>
    <row r="854" customFormat="false" ht="15.75" hidden="false" customHeight="false" outlineLevel="0" collapsed="false">
      <c r="B854" s="10"/>
    </row>
    <row r="855" customFormat="false" ht="15.75" hidden="false" customHeight="false" outlineLevel="0" collapsed="false">
      <c r="B855" s="10"/>
    </row>
    <row r="856" customFormat="false" ht="15.75" hidden="false" customHeight="false" outlineLevel="0" collapsed="false">
      <c r="B856" s="10"/>
    </row>
    <row r="857" customFormat="false" ht="15.75" hidden="false" customHeight="false" outlineLevel="0" collapsed="false">
      <c r="B857" s="10"/>
    </row>
    <row r="858" customFormat="false" ht="15.75" hidden="false" customHeight="false" outlineLevel="0" collapsed="false">
      <c r="B858" s="10"/>
    </row>
    <row r="859" customFormat="false" ht="15.75" hidden="false" customHeight="false" outlineLevel="0" collapsed="false">
      <c r="B859" s="10"/>
    </row>
    <row r="860" customFormat="false" ht="15.75" hidden="false" customHeight="false" outlineLevel="0" collapsed="false">
      <c r="B860" s="10"/>
    </row>
    <row r="861" customFormat="false" ht="15.75" hidden="false" customHeight="false" outlineLevel="0" collapsed="false">
      <c r="B861" s="10"/>
    </row>
    <row r="862" customFormat="false" ht="15.75" hidden="false" customHeight="false" outlineLevel="0" collapsed="false">
      <c r="B862" s="10"/>
    </row>
    <row r="863" customFormat="false" ht="15.75" hidden="false" customHeight="false" outlineLevel="0" collapsed="false">
      <c r="B863" s="10"/>
    </row>
    <row r="864" customFormat="false" ht="15.75" hidden="false" customHeight="false" outlineLevel="0" collapsed="false">
      <c r="B864" s="10"/>
    </row>
    <row r="865" customFormat="false" ht="15.75" hidden="false" customHeight="false" outlineLevel="0" collapsed="false">
      <c r="B865" s="10"/>
    </row>
    <row r="866" customFormat="false" ht="15.75" hidden="false" customHeight="false" outlineLevel="0" collapsed="false">
      <c r="B866" s="10"/>
    </row>
    <row r="867" customFormat="false" ht="15.75" hidden="false" customHeight="false" outlineLevel="0" collapsed="false">
      <c r="B867" s="10"/>
    </row>
    <row r="868" customFormat="false" ht="15.75" hidden="false" customHeight="false" outlineLevel="0" collapsed="false">
      <c r="B868" s="10"/>
    </row>
    <row r="869" customFormat="false" ht="15.75" hidden="false" customHeight="false" outlineLevel="0" collapsed="false">
      <c r="B869" s="10"/>
    </row>
    <row r="870" customFormat="false" ht="15.75" hidden="false" customHeight="false" outlineLevel="0" collapsed="false">
      <c r="B870" s="10"/>
    </row>
    <row r="871" customFormat="false" ht="15.75" hidden="false" customHeight="false" outlineLevel="0" collapsed="false">
      <c r="B871" s="10"/>
    </row>
    <row r="872" customFormat="false" ht="15.75" hidden="false" customHeight="false" outlineLevel="0" collapsed="false">
      <c r="B872" s="10"/>
    </row>
    <row r="873" customFormat="false" ht="15.75" hidden="false" customHeight="false" outlineLevel="0" collapsed="false">
      <c r="B873" s="10"/>
    </row>
    <row r="874" customFormat="false" ht="15.75" hidden="false" customHeight="false" outlineLevel="0" collapsed="false">
      <c r="B874" s="10"/>
    </row>
    <row r="875" customFormat="false" ht="15.75" hidden="false" customHeight="false" outlineLevel="0" collapsed="false">
      <c r="B875" s="10"/>
    </row>
    <row r="876" customFormat="false" ht="15.75" hidden="false" customHeight="false" outlineLevel="0" collapsed="false">
      <c r="B876" s="10"/>
    </row>
    <row r="877" customFormat="false" ht="15.75" hidden="false" customHeight="false" outlineLevel="0" collapsed="false">
      <c r="B877" s="10"/>
    </row>
    <row r="878" customFormat="false" ht="15.75" hidden="false" customHeight="false" outlineLevel="0" collapsed="false">
      <c r="B878" s="10"/>
    </row>
    <row r="879" customFormat="false" ht="15.75" hidden="false" customHeight="false" outlineLevel="0" collapsed="false">
      <c r="B879" s="10"/>
    </row>
    <row r="880" customFormat="false" ht="15.75" hidden="false" customHeight="false" outlineLevel="0" collapsed="false">
      <c r="B880" s="10"/>
    </row>
    <row r="881" customFormat="false" ht="15.75" hidden="false" customHeight="false" outlineLevel="0" collapsed="false">
      <c r="B881" s="10"/>
    </row>
    <row r="882" customFormat="false" ht="15.75" hidden="false" customHeight="false" outlineLevel="0" collapsed="false">
      <c r="B882" s="10"/>
    </row>
    <row r="883" customFormat="false" ht="15.75" hidden="false" customHeight="false" outlineLevel="0" collapsed="false">
      <c r="B883" s="10"/>
    </row>
    <row r="884" customFormat="false" ht="15.75" hidden="false" customHeight="false" outlineLevel="0" collapsed="false">
      <c r="B884" s="10"/>
    </row>
    <row r="885" customFormat="false" ht="15.75" hidden="false" customHeight="false" outlineLevel="0" collapsed="false">
      <c r="B885" s="10"/>
    </row>
    <row r="886" customFormat="false" ht="15.75" hidden="false" customHeight="false" outlineLevel="0" collapsed="false">
      <c r="B886" s="10"/>
    </row>
    <row r="887" customFormat="false" ht="15.75" hidden="false" customHeight="false" outlineLevel="0" collapsed="false">
      <c r="B887" s="10"/>
    </row>
    <row r="888" customFormat="false" ht="15.75" hidden="false" customHeight="false" outlineLevel="0" collapsed="false">
      <c r="B888" s="10"/>
    </row>
    <row r="889" customFormat="false" ht="15.75" hidden="false" customHeight="false" outlineLevel="0" collapsed="false">
      <c r="B889" s="10"/>
    </row>
    <row r="890" customFormat="false" ht="15.75" hidden="false" customHeight="false" outlineLevel="0" collapsed="false">
      <c r="B890" s="10"/>
    </row>
    <row r="891" customFormat="false" ht="15.75" hidden="false" customHeight="false" outlineLevel="0" collapsed="false">
      <c r="B891" s="10"/>
    </row>
    <row r="892" customFormat="false" ht="15.75" hidden="false" customHeight="false" outlineLevel="0" collapsed="false">
      <c r="B892" s="10"/>
    </row>
    <row r="893" customFormat="false" ht="15.75" hidden="false" customHeight="false" outlineLevel="0" collapsed="false">
      <c r="B893" s="10"/>
    </row>
    <row r="894" customFormat="false" ht="15.75" hidden="false" customHeight="false" outlineLevel="0" collapsed="false">
      <c r="B894" s="10"/>
    </row>
    <row r="895" customFormat="false" ht="15.75" hidden="false" customHeight="false" outlineLevel="0" collapsed="false">
      <c r="B895" s="10"/>
    </row>
    <row r="896" customFormat="false" ht="15.75" hidden="false" customHeight="false" outlineLevel="0" collapsed="false">
      <c r="B896" s="10"/>
    </row>
    <row r="897" customFormat="false" ht="15.75" hidden="false" customHeight="false" outlineLevel="0" collapsed="false">
      <c r="B897" s="10"/>
    </row>
    <row r="898" customFormat="false" ht="15.75" hidden="false" customHeight="false" outlineLevel="0" collapsed="false">
      <c r="B898" s="10"/>
    </row>
    <row r="899" customFormat="false" ht="15.75" hidden="false" customHeight="false" outlineLevel="0" collapsed="false">
      <c r="B899" s="10"/>
    </row>
    <row r="900" customFormat="false" ht="15.75" hidden="false" customHeight="false" outlineLevel="0" collapsed="false">
      <c r="B900" s="10"/>
    </row>
    <row r="901" customFormat="false" ht="15.75" hidden="false" customHeight="false" outlineLevel="0" collapsed="false">
      <c r="B901" s="10"/>
    </row>
    <row r="902" customFormat="false" ht="15.75" hidden="false" customHeight="false" outlineLevel="0" collapsed="false">
      <c r="B902" s="10"/>
    </row>
    <row r="903" customFormat="false" ht="15.75" hidden="false" customHeight="false" outlineLevel="0" collapsed="false">
      <c r="B903" s="10"/>
    </row>
    <row r="904" customFormat="false" ht="15.75" hidden="false" customHeight="false" outlineLevel="0" collapsed="false">
      <c r="B904" s="10"/>
    </row>
    <row r="905" customFormat="false" ht="15.75" hidden="false" customHeight="false" outlineLevel="0" collapsed="false">
      <c r="B905" s="10"/>
    </row>
    <row r="906" customFormat="false" ht="15.75" hidden="false" customHeight="false" outlineLevel="0" collapsed="false">
      <c r="B906" s="10"/>
    </row>
    <row r="907" customFormat="false" ht="15.75" hidden="false" customHeight="false" outlineLevel="0" collapsed="false">
      <c r="B907" s="10"/>
    </row>
    <row r="908" customFormat="false" ht="15.75" hidden="false" customHeight="false" outlineLevel="0" collapsed="false">
      <c r="B908" s="10"/>
    </row>
    <row r="909" customFormat="false" ht="15.75" hidden="false" customHeight="false" outlineLevel="0" collapsed="false">
      <c r="B909" s="10"/>
    </row>
    <row r="910" customFormat="false" ht="15.75" hidden="false" customHeight="false" outlineLevel="0" collapsed="false">
      <c r="B910" s="10"/>
    </row>
    <row r="911" customFormat="false" ht="15.75" hidden="false" customHeight="false" outlineLevel="0" collapsed="false">
      <c r="B911" s="10"/>
    </row>
    <row r="912" customFormat="false" ht="15.75" hidden="false" customHeight="false" outlineLevel="0" collapsed="false">
      <c r="B912" s="10"/>
    </row>
    <row r="913" customFormat="false" ht="15.75" hidden="false" customHeight="false" outlineLevel="0" collapsed="false">
      <c r="B913" s="10"/>
    </row>
    <row r="914" customFormat="false" ht="15.75" hidden="false" customHeight="false" outlineLevel="0" collapsed="false">
      <c r="B914" s="10"/>
    </row>
    <row r="915" customFormat="false" ht="15.75" hidden="false" customHeight="false" outlineLevel="0" collapsed="false">
      <c r="B915" s="10"/>
    </row>
    <row r="916" customFormat="false" ht="15.75" hidden="false" customHeight="false" outlineLevel="0" collapsed="false">
      <c r="B916" s="10"/>
    </row>
    <row r="917" customFormat="false" ht="15.75" hidden="false" customHeight="false" outlineLevel="0" collapsed="false">
      <c r="B917" s="10"/>
    </row>
    <row r="918" customFormat="false" ht="15.75" hidden="false" customHeight="false" outlineLevel="0" collapsed="false">
      <c r="B918" s="10"/>
    </row>
    <row r="919" customFormat="false" ht="15.75" hidden="false" customHeight="false" outlineLevel="0" collapsed="false">
      <c r="B919" s="10"/>
    </row>
    <row r="920" customFormat="false" ht="15.75" hidden="false" customHeight="false" outlineLevel="0" collapsed="false">
      <c r="B920" s="10"/>
    </row>
    <row r="921" customFormat="false" ht="15.75" hidden="false" customHeight="false" outlineLevel="0" collapsed="false">
      <c r="B921" s="10"/>
    </row>
    <row r="922" customFormat="false" ht="15.75" hidden="false" customHeight="false" outlineLevel="0" collapsed="false">
      <c r="B922" s="10"/>
    </row>
    <row r="923" customFormat="false" ht="15.75" hidden="false" customHeight="false" outlineLevel="0" collapsed="false">
      <c r="B923" s="10"/>
    </row>
    <row r="924" customFormat="false" ht="15.75" hidden="false" customHeight="false" outlineLevel="0" collapsed="false">
      <c r="B924" s="10"/>
    </row>
    <row r="925" customFormat="false" ht="15.75" hidden="false" customHeight="false" outlineLevel="0" collapsed="false">
      <c r="B925" s="10"/>
    </row>
    <row r="926" customFormat="false" ht="15.75" hidden="false" customHeight="false" outlineLevel="0" collapsed="false">
      <c r="B926" s="10"/>
    </row>
    <row r="927" customFormat="false" ht="15.75" hidden="false" customHeight="false" outlineLevel="0" collapsed="false">
      <c r="B927" s="10"/>
    </row>
    <row r="928" customFormat="false" ht="15.75" hidden="false" customHeight="false" outlineLevel="0" collapsed="false">
      <c r="B928" s="10"/>
    </row>
    <row r="929" customFormat="false" ht="15.75" hidden="false" customHeight="false" outlineLevel="0" collapsed="false">
      <c r="B929" s="10"/>
    </row>
    <row r="930" customFormat="false" ht="15.75" hidden="false" customHeight="false" outlineLevel="0" collapsed="false">
      <c r="B930" s="10"/>
    </row>
    <row r="931" customFormat="false" ht="15.75" hidden="false" customHeight="false" outlineLevel="0" collapsed="false">
      <c r="B931" s="10"/>
    </row>
    <row r="932" customFormat="false" ht="15.75" hidden="false" customHeight="false" outlineLevel="0" collapsed="false">
      <c r="B932" s="10"/>
    </row>
    <row r="933" customFormat="false" ht="15.75" hidden="false" customHeight="false" outlineLevel="0" collapsed="false">
      <c r="B933" s="10"/>
    </row>
    <row r="934" customFormat="false" ht="15.75" hidden="false" customHeight="false" outlineLevel="0" collapsed="false">
      <c r="B934" s="10"/>
    </row>
    <row r="935" customFormat="false" ht="15.75" hidden="false" customHeight="false" outlineLevel="0" collapsed="false">
      <c r="B935" s="10"/>
    </row>
    <row r="936" customFormat="false" ht="15.75" hidden="false" customHeight="false" outlineLevel="0" collapsed="false">
      <c r="B936" s="10"/>
    </row>
    <row r="937" customFormat="false" ht="15.75" hidden="false" customHeight="false" outlineLevel="0" collapsed="false">
      <c r="B937" s="10"/>
    </row>
    <row r="938" customFormat="false" ht="15.75" hidden="false" customHeight="false" outlineLevel="0" collapsed="false">
      <c r="B938" s="10"/>
    </row>
    <row r="939" customFormat="false" ht="15.75" hidden="false" customHeight="false" outlineLevel="0" collapsed="false">
      <c r="B939" s="10"/>
    </row>
    <row r="940" customFormat="false" ht="15.75" hidden="false" customHeight="false" outlineLevel="0" collapsed="false">
      <c r="B940" s="10"/>
    </row>
    <row r="941" customFormat="false" ht="15.75" hidden="false" customHeight="false" outlineLevel="0" collapsed="false">
      <c r="B941" s="10"/>
    </row>
    <row r="942" customFormat="false" ht="15.75" hidden="false" customHeight="false" outlineLevel="0" collapsed="false">
      <c r="B942" s="10"/>
    </row>
    <row r="943" customFormat="false" ht="15.75" hidden="false" customHeight="false" outlineLevel="0" collapsed="false">
      <c r="B943" s="10"/>
    </row>
    <row r="944" customFormat="false" ht="15.75" hidden="false" customHeight="false" outlineLevel="0" collapsed="false">
      <c r="B944" s="10"/>
    </row>
    <row r="945" customFormat="false" ht="15.75" hidden="false" customHeight="false" outlineLevel="0" collapsed="false">
      <c r="B945" s="10"/>
    </row>
    <row r="946" customFormat="false" ht="15.75" hidden="false" customHeight="false" outlineLevel="0" collapsed="false">
      <c r="B946" s="10"/>
    </row>
    <row r="947" customFormat="false" ht="15.75" hidden="false" customHeight="false" outlineLevel="0" collapsed="false">
      <c r="B947" s="10"/>
    </row>
    <row r="948" customFormat="false" ht="15.75" hidden="false" customHeight="false" outlineLevel="0" collapsed="false">
      <c r="B948" s="10"/>
    </row>
    <row r="949" customFormat="false" ht="15.75" hidden="false" customHeight="false" outlineLevel="0" collapsed="false">
      <c r="B949" s="10"/>
    </row>
    <row r="950" customFormat="false" ht="15.75" hidden="false" customHeight="false" outlineLevel="0" collapsed="false">
      <c r="B950" s="10"/>
    </row>
    <row r="951" customFormat="false" ht="15.75" hidden="false" customHeight="false" outlineLevel="0" collapsed="false">
      <c r="B951" s="10"/>
    </row>
    <row r="952" customFormat="false" ht="15.75" hidden="false" customHeight="false" outlineLevel="0" collapsed="false">
      <c r="B952" s="10"/>
    </row>
    <row r="953" customFormat="false" ht="15.75" hidden="false" customHeight="false" outlineLevel="0" collapsed="false">
      <c r="B953" s="10"/>
    </row>
    <row r="954" customFormat="false" ht="15.75" hidden="false" customHeight="false" outlineLevel="0" collapsed="false">
      <c r="B954" s="10"/>
    </row>
    <row r="955" customFormat="false" ht="15.75" hidden="false" customHeight="false" outlineLevel="0" collapsed="false">
      <c r="B955" s="10"/>
    </row>
    <row r="956" customFormat="false" ht="15.75" hidden="false" customHeight="false" outlineLevel="0" collapsed="false">
      <c r="B956" s="10"/>
    </row>
    <row r="957" customFormat="false" ht="15.75" hidden="false" customHeight="false" outlineLevel="0" collapsed="false">
      <c r="B957" s="10"/>
    </row>
    <row r="958" customFormat="false" ht="15.75" hidden="false" customHeight="false" outlineLevel="0" collapsed="false">
      <c r="B958" s="10"/>
    </row>
    <row r="959" customFormat="false" ht="15.75" hidden="false" customHeight="false" outlineLevel="0" collapsed="false">
      <c r="B959" s="10"/>
    </row>
    <row r="960" customFormat="false" ht="15.75" hidden="false" customHeight="false" outlineLevel="0" collapsed="false">
      <c r="B960" s="10"/>
    </row>
    <row r="961" customFormat="false" ht="15.75" hidden="false" customHeight="false" outlineLevel="0" collapsed="false">
      <c r="B961" s="10"/>
    </row>
    <row r="962" customFormat="false" ht="15.75" hidden="false" customHeight="false" outlineLevel="0" collapsed="false">
      <c r="B962" s="10"/>
    </row>
    <row r="963" customFormat="false" ht="15.75" hidden="false" customHeight="false" outlineLevel="0" collapsed="false">
      <c r="B963" s="10"/>
    </row>
    <row r="964" customFormat="false" ht="15.75" hidden="false" customHeight="false" outlineLevel="0" collapsed="false">
      <c r="B964" s="10"/>
    </row>
    <row r="965" customFormat="false" ht="15.75" hidden="false" customHeight="false" outlineLevel="0" collapsed="false">
      <c r="B965" s="10"/>
    </row>
    <row r="966" customFormat="false" ht="15.75" hidden="false" customHeight="false" outlineLevel="0" collapsed="false">
      <c r="B966" s="10"/>
    </row>
    <row r="967" customFormat="false" ht="15.75" hidden="false" customHeight="false" outlineLevel="0" collapsed="false">
      <c r="B967" s="10"/>
    </row>
    <row r="968" customFormat="false" ht="15.75" hidden="false" customHeight="false" outlineLevel="0" collapsed="false">
      <c r="B968" s="10"/>
    </row>
    <row r="969" customFormat="false" ht="15.75" hidden="false" customHeight="false" outlineLevel="0" collapsed="false">
      <c r="B969" s="10"/>
    </row>
    <row r="970" customFormat="false" ht="15.75" hidden="false" customHeight="false" outlineLevel="0" collapsed="false">
      <c r="B970" s="10"/>
    </row>
    <row r="971" customFormat="false" ht="15.75" hidden="false" customHeight="false" outlineLevel="0" collapsed="false">
      <c r="B971" s="10"/>
    </row>
    <row r="972" customFormat="false" ht="15.75" hidden="false" customHeight="false" outlineLevel="0" collapsed="false">
      <c r="B972" s="10"/>
    </row>
    <row r="973" customFormat="false" ht="15.75" hidden="false" customHeight="false" outlineLevel="0" collapsed="false">
      <c r="B973" s="10"/>
    </row>
    <row r="974" customFormat="false" ht="15.75" hidden="false" customHeight="false" outlineLevel="0" collapsed="false">
      <c r="B974" s="10"/>
    </row>
    <row r="975" customFormat="false" ht="15.75" hidden="false" customHeight="false" outlineLevel="0" collapsed="false">
      <c r="B975" s="10"/>
    </row>
    <row r="976" customFormat="false" ht="15.75" hidden="false" customHeight="false" outlineLevel="0" collapsed="false">
      <c r="B976" s="10"/>
    </row>
    <row r="977" customFormat="false" ht="15.75" hidden="false" customHeight="false" outlineLevel="0" collapsed="false">
      <c r="B977" s="10"/>
    </row>
    <row r="978" customFormat="false" ht="15.75" hidden="false" customHeight="false" outlineLevel="0" collapsed="false">
      <c r="B978" s="10"/>
    </row>
    <row r="979" customFormat="false" ht="15.75" hidden="false" customHeight="false" outlineLevel="0" collapsed="false">
      <c r="B979" s="10"/>
    </row>
    <row r="980" customFormat="false" ht="15.75" hidden="false" customHeight="false" outlineLevel="0" collapsed="false">
      <c r="B980" s="10"/>
    </row>
    <row r="981" customFormat="false" ht="15.75" hidden="false" customHeight="false" outlineLevel="0" collapsed="false">
      <c r="B981" s="10"/>
    </row>
    <row r="982" customFormat="false" ht="15.75" hidden="false" customHeight="false" outlineLevel="0" collapsed="false">
      <c r="B982" s="10"/>
    </row>
    <row r="983" customFormat="false" ht="15.75" hidden="false" customHeight="false" outlineLevel="0" collapsed="false">
      <c r="B983" s="10"/>
    </row>
    <row r="984" customFormat="false" ht="15.75" hidden="false" customHeight="false" outlineLevel="0" collapsed="false">
      <c r="B984" s="10"/>
    </row>
    <row r="985" customFormat="false" ht="15.75" hidden="false" customHeight="false" outlineLevel="0" collapsed="false">
      <c r="B985" s="10"/>
    </row>
    <row r="986" customFormat="false" ht="15.75" hidden="false" customHeight="false" outlineLevel="0" collapsed="false">
      <c r="B986" s="10"/>
    </row>
    <row r="987" customFormat="false" ht="15.75" hidden="false" customHeight="false" outlineLevel="0" collapsed="false">
      <c r="B987" s="10"/>
    </row>
    <row r="988" customFormat="false" ht="15.75" hidden="false" customHeight="false" outlineLevel="0" collapsed="false">
      <c r="B988" s="10"/>
    </row>
    <row r="989" customFormat="false" ht="15.75" hidden="false" customHeight="false" outlineLevel="0" collapsed="false">
      <c r="B989" s="10"/>
    </row>
    <row r="990" customFormat="false" ht="15.75" hidden="false" customHeight="false" outlineLevel="0" collapsed="false">
      <c r="B990" s="10"/>
    </row>
    <row r="991" customFormat="false" ht="15.75" hidden="false" customHeight="false" outlineLevel="0" collapsed="false">
      <c r="B991" s="10"/>
    </row>
    <row r="992" customFormat="false" ht="15.75" hidden="false" customHeight="false" outlineLevel="0" collapsed="false">
      <c r="B992" s="10"/>
    </row>
    <row r="993" customFormat="false" ht="15.75" hidden="false" customHeight="false" outlineLevel="0" collapsed="false">
      <c r="B993" s="10"/>
    </row>
    <row r="994" customFormat="false" ht="15.75" hidden="false" customHeight="false" outlineLevel="0" collapsed="false">
      <c r="B994" s="10"/>
    </row>
    <row r="995" customFormat="false" ht="15.75" hidden="false" customHeight="false" outlineLevel="0" collapsed="false">
      <c r="B995" s="10"/>
    </row>
    <row r="996" customFormat="false" ht="15.75" hidden="false" customHeight="false" outlineLevel="0" collapsed="false">
      <c r="B996" s="10"/>
    </row>
    <row r="997" customFormat="false" ht="15.75" hidden="false" customHeight="false" outlineLevel="0" collapsed="false">
      <c r="B997" s="10"/>
    </row>
    <row r="998" customFormat="false" ht="15.75" hidden="false" customHeight="false" outlineLevel="0" collapsed="false">
      <c r="B998" s="10"/>
    </row>
    <row r="999" customFormat="false" ht="15.75" hidden="false" customHeight="false" outlineLevel="0" collapsed="false">
      <c r="B999" s="10"/>
    </row>
    <row r="1000" customFormat="false" ht="15.75" hidden="false" customHeight="false" outlineLevel="0" collapsed="false">
      <c r="B1000" s="10"/>
    </row>
    <row r="1001" customFormat="false" ht="15.75" hidden="false" customHeight="false" outlineLevel="0" collapsed="false">
      <c r="B1001" s="10"/>
    </row>
  </sheetData>
  <mergeCells count="4">
    <mergeCell ref="C1:D1"/>
    <mergeCell ref="E1:F1"/>
    <mergeCell ref="G1:H1"/>
    <mergeCell ref="I1:J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W285"/>
  <sheetViews>
    <sheetView showFormulas="false" showGridLines="true" showRowColHeaders="true" showZeros="true" rightToLeft="false" tabSelected="false" showOutlineSymbols="true" defaultGridColor="true" view="normal" topLeftCell="A277" colorId="64" zoomScale="100" zoomScaleNormal="100" zoomScalePageLayoutView="100" workbookViewId="0">
      <selection pane="topLeft" activeCell="D285" activeCellId="0" sqref="D285"/>
    </sheetView>
  </sheetViews>
  <sheetFormatPr defaultColWidth="12.5703125" defaultRowHeight="15.75" customHeight="true" zeroHeight="false" outlineLevelRow="0" outlineLevelCol="0"/>
  <cols>
    <col collapsed="false" customWidth="true" hidden="false" outlineLevel="0" max="4" min="4" style="0" width="13.86"/>
    <col collapsed="false" customWidth="true" hidden="false" outlineLevel="0" max="10" min="10" style="0" width="13.86"/>
  </cols>
  <sheetData>
    <row r="1" customFormat="false" ht="15.75" hidden="false" customHeight="false" outlineLevel="0" collapsed="false">
      <c r="A1" s="1"/>
      <c r="B1" s="2"/>
      <c r="C1" s="3" t="s">
        <v>0</v>
      </c>
      <c r="D1" s="3"/>
      <c r="E1" s="3" t="s">
        <v>1</v>
      </c>
      <c r="F1" s="3"/>
      <c r="G1" s="3" t="s">
        <v>2</v>
      </c>
      <c r="H1" s="3"/>
      <c r="I1" s="3" t="s">
        <v>3</v>
      </c>
      <c r="J1" s="3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</row>
    <row r="2" customFormat="false" ht="15.75" hidden="false" customHeight="false" outlineLevel="0" collapsed="false">
      <c r="A2" s="4" t="s">
        <v>4</v>
      </c>
      <c r="B2" s="5" t="s">
        <v>5</v>
      </c>
      <c r="C2" s="6" t="s">
        <v>6</v>
      </c>
      <c r="D2" s="6" t="s">
        <v>7</v>
      </c>
      <c r="E2" s="6" t="s">
        <v>8</v>
      </c>
      <c r="F2" s="6" t="s">
        <v>9</v>
      </c>
      <c r="G2" s="6" t="s">
        <v>6</v>
      </c>
      <c r="H2" s="6" t="s">
        <v>10</v>
      </c>
      <c r="I2" s="6" t="s">
        <v>6</v>
      </c>
      <c r="J2" s="6" t="s">
        <v>9</v>
      </c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</row>
    <row r="3" customFormat="false" ht="15.75" hidden="false" customHeight="false" outlineLevel="0" collapsed="false">
      <c r="A3" s="7" t="s">
        <v>11</v>
      </c>
      <c r="B3" s="7" t="n">
        <v>2</v>
      </c>
      <c r="C3" s="9" t="n">
        <v>215</v>
      </c>
      <c r="D3" s="9" t="n">
        <v>5883607</v>
      </c>
      <c r="E3" s="9" t="n">
        <v>160</v>
      </c>
      <c r="F3" s="9" t="n">
        <v>4346560</v>
      </c>
      <c r="G3" s="9" t="n">
        <v>10</v>
      </c>
      <c r="H3" s="9" t="n">
        <v>272804</v>
      </c>
      <c r="I3" s="9" t="n">
        <v>365</v>
      </c>
      <c r="J3" s="9" t="n">
        <v>9957363</v>
      </c>
    </row>
    <row r="4" customFormat="false" ht="15.75" hidden="false" customHeight="false" outlineLevel="0" collapsed="false">
      <c r="A4" s="7" t="s">
        <v>12</v>
      </c>
      <c r="B4" s="7" t="n">
        <v>2</v>
      </c>
      <c r="C4" s="9" t="n">
        <v>0</v>
      </c>
      <c r="D4" s="9" t="n">
        <v>0</v>
      </c>
      <c r="E4" s="9" t="n">
        <v>0</v>
      </c>
      <c r="F4" s="9" t="n">
        <v>0</v>
      </c>
      <c r="G4" s="9" t="n">
        <v>0</v>
      </c>
      <c r="H4" s="9" t="n">
        <v>0</v>
      </c>
      <c r="I4" s="9" t="n">
        <v>0</v>
      </c>
      <c r="J4" s="9" t="n">
        <v>0</v>
      </c>
    </row>
    <row r="5" customFormat="false" ht="15.75" hidden="false" customHeight="false" outlineLevel="0" collapsed="false">
      <c r="A5" s="7" t="s">
        <v>13</v>
      </c>
      <c r="B5" s="7" t="n">
        <v>2</v>
      </c>
      <c r="C5" s="9" t="n">
        <v>1127</v>
      </c>
      <c r="D5" s="9" t="n">
        <v>36983785</v>
      </c>
      <c r="E5" s="9" t="n">
        <v>0</v>
      </c>
      <c r="F5" s="9" t="n">
        <v>0</v>
      </c>
      <c r="G5" s="9" t="n">
        <v>132</v>
      </c>
      <c r="H5" s="9" t="n">
        <v>4331730</v>
      </c>
      <c r="I5" s="9" t="n">
        <v>995</v>
      </c>
      <c r="J5" s="9" t="n">
        <v>32652055</v>
      </c>
    </row>
    <row r="6" customFormat="false" ht="15.75" hidden="false" customHeight="false" outlineLevel="0" collapsed="false">
      <c r="A6" s="7" t="s">
        <v>14</v>
      </c>
      <c r="B6" s="7" t="n">
        <v>2</v>
      </c>
      <c r="C6" s="9" t="n">
        <v>125</v>
      </c>
      <c r="D6" s="9" t="n">
        <v>37241817</v>
      </c>
      <c r="E6" s="9" t="n">
        <v>0</v>
      </c>
      <c r="F6" s="9" t="n">
        <v>0</v>
      </c>
      <c r="G6" s="9" t="n">
        <v>5</v>
      </c>
      <c r="H6" s="9" t="n">
        <v>1489673</v>
      </c>
      <c r="I6" s="9" t="n">
        <v>120</v>
      </c>
      <c r="J6" s="9" t="n">
        <v>35752144</v>
      </c>
    </row>
    <row r="7" customFormat="false" ht="15.75" hidden="false" customHeight="false" outlineLevel="0" collapsed="false">
      <c r="A7" s="7" t="s">
        <v>15</v>
      </c>
      <c r="B7" s="7" t="n">
        <v>2</v>
      </c>
      <c r="C7" s="9" t="n">
        <v>510</v>
      </c>
      <c r="D7" s="9" t="n">
        <v>69373706</v>
      </c>
      <c r="E7" s="9" t="n">
        <v>0</v>
      </c>
      <c r="F7" s="9" t="n">
        <v>0</v>
      </c>
      <c r="G7" s="9" t="n">
        <v>0</v>
      </c>
      <c r="H7" s="9" t="n">
        <v>0</v>
      </c>
      <c r="I7" s="9" t="n">
        <v>510</v>
      </c>
      <c r="J7" s="9" t="n">
        <v>69373706</v>
      </c>
    </row>
    <row r="8" customFormat="false" ht="15.75" hidden="false" customHeight="false" outlineLevel="0" collapsed="false">
      <c r="A8" s="7" t="s">
        <v>16</v>
      </c>
      <c r="B8" s="7" t="n">
        <v>2</v>
      </c>
      <c r="C8" s="9" t="n">
        <v>354</v>
      </c>
      <c r="D8" s="9" t="n">
        <v>55405030</v>
      </c>
      <c r="E8" s="9" t="n">
        <v>0</v>
      </c>
      <c r="F8" s="9" t="n">
        <v>0</v>
      </c>
      <c r="G8" s="9" t="n">
        <v>10</v>
      </c>
      <c r="H8" s="9" t="n">
        <v>1565114</v>
      </c>
      <c r="I8" s="9" t="n">
        <v>344</v>
      </c>
      <c r="J8" s="9" t="n">
        <v>53839916</v>
      </c>
    </row>
    <row r="9" customFormat="false" ht="15.75" hidden="false" customHeight="false" outlineLevel="0" collapsed="false">
      <c r="A9" s="7" t="s">
        <v>17</v>
      </c>
      <c r="B9" s="7" t="n">
        <v>2</v>
      </c>
      <c r="C9" s="9" t="n">
        <v>169</v>
      </c>
      <c r="D9" s="9" t="n">
        <v>40442640</v>
      </c>
      <c r="E9" s="9" t="n">
        <v>0</v>
      </c>
      <c r="F9" s="9" t="n">
        <v>0</v>
      </c>
      <c r="G9" s="9" t="n">
        <v>10</v>
      </c>
      <c r="H9" s="9" t="n">
        <v>2393056</v>
      </c>
      <c r="I9" s="9" t="n">
        <v>159</v>
      </c>
      <c r="J9" s="9" t="n">
        <v>38049584</v>
      </c>
    </row>
    <row r="10" customFormat="false" ht="15.75" hidden="false" customHeight="false" outlineLevel="0" collapsed="false">
      <c r="A10" s="7" t="s">
        <v>18</v>
      </c>
      <c r="B10" s="7" t="n">
        <v>2</v>
      </c>
      <c r="C10" s="9" t="n">
        <v>894</v>
      </c>
      <c r="D10" s="9" t="n">
        <v>19467870</v>
      </c>
      <c r="E10" s="9" t="n">
        <v>0</v>
      </c>
      <c r="F10" s="9" t="n">
        <v>0</v>
      </c>
      <c r="G10" s="9" t="n">
        <v>80</v>
      </c>
      <c r="H10" s="9" t="n">
        <v>1742091</v>
      </c>
      <c r="I10" s="9" t="n">
        <v>814</v>
      </c>
      <c r="J10" s="9" t="n">
        <v>17725779</v>
      </c>
    </row>
    <row r="11" customFormat="false" ht="15.75" hidden="false" customHeight="false" outlineLevel="0" collapsed="false">
      <c r="A11" s="7" t="s">
        <v>19</v>
      </c>
      <c r="B11" s="7" t="n">
        <v>2</v>
      </c>
      <c r="C11" s="9" t="n">
        <v>180</v>
      </c>
      <c r="D11" s="9" t="n">
        <v>3904035</v>
      </c>
      <c r="E11" s="9" t="n">
        <v>0</v>
      </c>
      <c r="F11" s="9" t="n">
        <v>0</v>
      </c>
      <c r="G11" s="9" t="n">
        <v>0</v>
      </c>
      <c r="H11" s="9" t="n">
        <v>0</v>
      </c>
      <c r="I11" s="9" t="n">
        <v>180</v>
      </c>
      <c r="J11" s="9" t="n">
        <v>3904035</v>
      </c>
    </row>
    <row r="12" customFormat="false" ht="15.75" hidden="false" customHeight="false" outlineLevel="0" collapsed="false">
      <c r="A12" s="7" t="s">
        <v>20</v>
      </c>
      <c r="B12" s="7" t="n">
        <v>2</v>
      </c>
      <c r="C12" s="9" t="n">
        <v>307</v>
      </c>
      <c r="D12" s="9" t="n">
        <v>32682234</v>
      </c>
      <c r="E12" s="9" t="n">
        <v>0</v>
      </c>
      <c r="F12" s="9" t="n">
        <v>0</v>
      </c>
      <c r="G12" s="9" t="n">
        <v>0</v>
      </c>
      <c r="H12" s="9" t="n">
        <v>0</v>
      </c>
      <c r="I12" s="9" t="n">
        <v>307</v>
      </c>
      <c r="J12" s="9" t="n">
        <v>32682234</v>
      </c>
    </row>
    <row r="13" customFormat="false" ht="15.75" hidden="false" customHeight="false" outlineLevel="0" collapsed="false">
      <c r="A13" s="7" t="s">
        <v>21</v>
      </c>
      <c r="B13" s="7" t="n">
        <v>2</v>
      </c>
      <c r="C13" s="9" t="n">
        <v>192</v>
      </c>
      <c r="D13" s="9" t="n">
        <v>45946668</v>
      </c>
      <c r="E13" s="9" t="n">
        <v>0</v>
      </c>
      <c r="F13" s="9" t="n">
        <v>0</v>
      </c>
      <c r="G13" s="9" t="n">
        <v>10</v>
      </c>
      <c r="H13" s="9" t="n">
        <v>2393056</v>
      </c>
      <c r="I13" s="9" t="n">
        <v>182</v>
      </c>
      <c r="J13" s="9" t="n">
        <v>43553612</v>
      </c>
    </row>
    <row r="14" customFormat="false" ht="15.75" hidden="false" customHeight="false" outlineLevel="0" collapsed="false">
      <c r="A14" s="7" t="s">
        <v>22</v>
      </c>
      <c r="B14" s="7" t="n">
        <v>2</v>
      </c>
      <c r="C14" s="9" t="n">
        <v>18</v>
      </c>
      <c r="D14" s="9" t="n">
        <v>407934</v>
      </c>
      <c r="E14" s="9" t="n">
        <v>0</v>
      </c>
      <c r="F14" s="9" t="n">
        <v>0</v>
      </c>
      <c r="G14" s="9" t="n">
        <v>0</v>
      </c>
      <c r="H14" s="9" t="n">
        <v>0</v>
      </c>
      <c r="I14" s="9" t="n">
        <v>18</v>
      </c>
      <c r="J14" s="9" t="n">
        <v>407934</v>
      </c>
    </row>
    <row r="15" customFormat="false" ht="15.75" hidden="false" customHeight="false" outlineLevel="0" collapsed="false">
      <c r="A15" s="7" t="s">
        <v>23</v>
      </c>
      <c r="B15" s="7" t="n">
        <v>2</v>
      </c>
      <c r="C15" s="9" t="n">
        <v>0</v>
      </c>
      <c r="D15" s="9" t="n">
        <v>0</v>
      </c>
      <c r="E15" s="9" t="n">
        <v>0</v>
      </c>
      <c r="F15" s="9" t="n">
        <v>0</v>
      </c>
      <c r="G15" s="9" t="n">
        <v>0</v>
      </c>
      <c r="H15" s="9" t="n">
        <v>0</v>
      </c>
      <c r="I15" s="9" t="n">
        <v>0</v>
      </c>
      <c r="J15" s="9" t="n">
        <v>0</v>
      </c>
    </row>
    <row r="16" customFormat="false" ht="15.75" hidden="false" customHeight="false" outlineLevel="0" collapsed="false">
      <c r="A16" s="7" t="s">
        <v>24</v>
      </c>
      <c r="B16" s="7" t="n">
        <v>2</v>
      </c>
      <c r="C16" s="9" t="n">
        <v>0</v>
      </c>
      <c r="D16" s="9" t="n">
        <v>0</v>
      </c>
      <c r="E16" s="9" t="n">
        <v>0</v>
      </c>
      <c r="F16" s="9" t="n">
        <v>0</v>
      </c>
      <c r="G16" s="9" t="n">
        <v>0</v>
      </c>
      <c r="H16" s="9" t="n">
        <v>0</v>
      </c>
      <c r="I16" s="9" t="n">
        <v>0</v>
      </c>
      <c r="J16" s="9" t="n">
        <v>0</v>
      </c>
    </row>
    <row r="17" customFormat="false" ht="15.75" hidden="false" customHeight="false" outlineLevel="0" collapsed="false">
      <c r="A17" s="7" t="s">
        <v>25</v>
      </c>
      <c r="B17" s="7" t="n">
        <v>2</v>
      </c>
      <c r="C17" s="9" t="n">
        <v>35</v>
      </c>
      <c r="D17" s="9" t="n">
        <v>731815</v>
      </c>
      <c r="E17" s="9" t="n">
        <v>95</v>
      </c>
      <c r="F17" s="9" t="n">
        <v>1986355</v>
      </c>
      <c r="G17" s="9" t="n">
        <v>0</v>
      </c>
      <c r="H17" s="9" t="n">
        <v>0</v>
      </c>
      <c r="I17" s="9" t="n">
        <v>130</v>
      </c>
      <c r="J17" s="9" t="n">
        <v>2718170</v>
      </c>
    </row>
    <row r="18" customFormat="false" ht="15.75" hidden="false" customHeight="false" outlineLevel="0" collapsed="false">
      <c r="A18" s="7" t="s">
        <v>26</v>
      </c>
      <c r="B18" s="7" t="n">
        <v>2</v>
      </c>
      <c r="C18" s="9" t="n">
        <v>48</v>
      </c>
      <c r="D18" s="9" t="n">
        <v>1221840</v>
      </c>
      <c r="E18" s="9" t="n">
        <v>88</v>
      </c>
      <c r="F18" s="9" t="n">
        <v>2240040</v>
      </c>
      <c r="G18" s="9" t="n">
        <v>0</v>
      </c>
      <c r="H18" s="9" t="n">
        <v>0</v>
      </c>
      <c r="I18" s="9" t="n">
        <v>136</v>
      </c>
      <c r="J18" s="9" t="n">
        <v>3461880</v>
      </c>
    </row>
    <row r="19" customFormat="false" ht="15.75" hidden="false" customHeight="false" outlineLevel="0" collapsed="false">
      <c r="A19" s="7" t="s">
        <v>27</v>
      </c>
      <c r="B19" s="7" t="n">
        <v>2</v>
      </c>
      <c r="C19" s="9" t="n">
        <v>0</v>
      </c>
      <c r="D19" s="9" t="n">
        <v>0</v>
      </c>
      <c r="E19" s="9" t="n">
        <v>0</v>
      </c>
      <c r="F19" s="9" t="n">
        <v>0</v>
      </c>
      <c r="G19" s="9" t="n">
        <v>0</v>
      </c>
      <c r="H19" s="9" t="n">
        <v>0</v>
      </c>
      <c r="I19" s="9" t="n">
        <v>0</v>
      </c>
      <c r="J19" s="9" t="n">
        <v>0</v>
      </c>
    </row>
    <row r="20" customFormat="false" ht="15.75" hidden="false" customHeight="false" outlineLevel="0" collapsed="false">
      <c r="A20" s="7" t="s">
        <v>28</v>
      </c>
      <c r="B20" s="7" t="n">
        <v>2</v>
      </c>
      <c r="C20" s="9" t="n">
        <v>0</v>
      </c>
      <c r="D20" s="9" t="n">
        <v>0</v>
      </c>
      <c r="E20" s="9" t="n">
        <v>0</v>
      </c>
      <c r="F20" s="9" t="n">
        <v>0</v>
      </c>
      <c r="G20" s="9" t="n">
        <v>0</v>
      </c>
      <c r="H20" s="9" t="n">
        <v>0</v>
      </c>
      <c r="I20" s="9" t="n">
        <v>0</v>
      </c>
      <c r="J20" s="9" t="n">
        <v>0</v>
      </c>
    </row>
    <row r="21" customFormat="false" ht="15.75" hidden="false" customHeight="false" outlineLevel="0" collapsed="false">
      <c r="A21" s="7" t="s">
        <v>29</v>
      </c>
      <c r="B21" s="7" t="n">
        <v>2</v>
      </c>
      <c r="C21" s="9" t="n">
        <v>150</v>
      </c>
      <c r="D21" s="9" t="n">
        <v>39640950</v>
      </c>
      <c r="E21" s="9" t="n">
        <v>0</v>
      </c>
      <c r="F21" s="9" t="n">
        <v>0</v>
      </c>
      <c r="G21" s="9" t="n">
        <v>0</v>
      </c>
      <c r="H21" s="9" t="n">
        <v>0</v>
      </c>
      <c r="I21" s="9" t="n">
        <v>150</v>
      </c>
      <c r="J21" s="9" t="n">
        <v>39640950</v>
      </c>
    </row>
    <row r="22" customFormat="false" ht="15.75" hidden="false" customHeight="false" outlineLevel="0" collapsed="false">
      <c r="A22" s="7" t="s">
        <v>30</v>
      </c>
      <c r="B22" s="7" t="n">
        <v>2</v>
      </c>
      <c r="C22" s="9" t="n">
        <v>0</v>
      </c>
      <c r="D22" s="9" t="n">
        <v>0</v>
      </c>
      <c r="E22" s="9" t="n">
        <v>20</v>
      </c>
      <c r="F22" s="9" t="n">
        <v>5492720</v>
      </c>
      <c r="G22" s="9" t="n">
        <v>0</v>
      </c>
      <c r="H22" s="9" t="n">
        <v>0</v>
      </c>
      <c r="I22" s="9" t="n">
        <v>20</v>
      </c>
      <c r="J22" s="9" t="n">
        <v>5492720</v>
      </c>
    </row>
    <row r="23" customFormat="false" ht="15.75" hidden="false" customHeight="false" outlineLevel="0" collapsed="false">
      <c r="A23" s="7" t="s">
        <v>31</v>
      </c>
      <c r="B23" s="7" t="n">
        <v>2</v>
      </c>
      <c r="C23" s="9" t="n">
        <v>0</v>
      </c>
      <c r="D23" s="9" t="n">
        <v>0</v>
      </c>
      <c r="E23" s="9" t="n">
        <v>0</v>
      </c>
      <c r="F23" s="9" t="n">
        <v>0</v>
      </c>
      <c r="G23" s="9" t="n">
        <v>0</v>
      </c>
      <c r="H23" s="9" t="n">
        <v>0</v>
      </c>
      <c r="I23" s="9" t="n">
        <v>0</v>
      </c>
      <c r="J23" s="9" t="n">
        <v>0</v>
      </c>
    </row>
    <row r="24" customFormat="false" ht="15.75" hidden="false" customHeight="false" outlineLevel="0" collapsed="false">
      <c r="A24" s="7" t="s">
        <v>32</v>
      </c>
      <c r="B24" s="7" t="n">
        <v>2</v>
      </c>
      <c r="C24" s="9" t="n">
        <v>0</v>
      </c>
      <c r="D24" s="9" t="n">
        <v>0</v>
      </c>
      <c r="E24" s="9" t="n">
        <v>0</v>
      </c>
      <c r="F24" s="9" t="n">
        <v>0</v>
      </c>
      <c r="G24" s="9" t="n">
        <v>0</v>
      </c>
      <c r="H24" s="9" t="n">
        <v>0</v>
      </c>
      <c r="I24" s="9" t="n">
        <v>0</v>
      </c>
      <c r="J24" s="9" t="n">
        <v>0</v>
      </c>
    </row>
    <row r="25" customFormat="false" ht="15.75" hidden="false" customHeight="false" outlineLevel="0" collapsed="false">
      <c r="A25" s="7" t="s">
        <v>33</v>
      </c>
      <c r="B25" s="7" t="n">
        <v>2</v>
      </c>
      <c r="C25" s="9" t="n">
        <v>0</v>
      </c>
      <c r="D25" s="9" t="n">
        <v>0</v>
      </c>
      <c r="E25" s="9" t="n">
        <v>36</v>
      </c>
      <c r="F25" s="9" t="n">
        <v>0</v>
      </c>
      <c r="G25" s="9" t="n">
        <v>0</v>
      </c>
      <c r="H25" s="9" t="n">
        <v>0</v>
      </c>
      <c r="I25" s="9" t="n">
        <v>36</v>
      </c>
      <c r="J25" s="9" t="n">
        <v>0</v>
      </c>
    </row>
    <row r="26" customFormat="false" ht="15.75" hidden="false" customHeight="false" outlineLevel="0" collapsed="false">
      <c r="A26" s="7" t="s">
        <v>34</v>
      </c>
      <c r="B26" s="7" t="n">
        <v>2</v>
      </c>
      <c r="C26" s="9" t="n">
        <v>0</v>
      </c>
      <c r="D26" s="9" t="n">
        <v>0</v>
      </c>
      <c r="E26" s="9" t="n">
        <v>0</v>
      </c>
      <c r="F26" s="9" t="n">
        <v>0</v>
      </c>
      <c r="G26" s="9" t="n">
        <v>0</v>
      </c>
      <c r="H26" s="9" t="n">
        <v>0</v>
      </c>
      <c r="I26" s="9" t="n">
        <v>0</v>
      </c>
      <c r="J26" s="9" t="n">
        <v>0</v>
      </c>
    </row>
    <row r="27" customFormat="false" ht="15.75" hidden="false" customHeight="false" outlineLevel="0" collapsed="false">
      <c r="A27" s="7" t="s">
        <v>35</v>
      </c>
      <c r="B27" s="7" t="n">
        <v>2</v>
      </c>
      <c r="C27" s="9" t="n">
        <v>0</v>
      </c>
      <c r="D27" s="9" t="n">
        <v>0</v>
      </c>
      <c r="E27" s="9" t="n">
        <v>0</v>
      </c>
      <c r="F27" s="9" t="n">
        <v>0</v>
      </c>
      <c r="G27" s="9" t="n">
        <v>0</v>
      </c>
      <c r="H27" s="9" t="n">
        <v>0</v>
      </c>
      <c r="I27" s="9" t="n">
        <v>0</v>
      </c>
      <c r="J27" s="9" t="n">
        <v>0</v>
      </c>
    </row>
    <row r="28" customFormat="false" ht="15.75" hidden="false" customHeight="false" outlineLevel="0" collapsed="false">
      <c r="A28" s="7" t="s">
        <v>36</v>
      </c>
      <c r="B28" s="7" t="n">
        <v>2</v>
      </c>
      <c r="C28" s="9" t="n">
        <v>0</v>
      </c>
      <c r="D28" s="9" t="n">
        <v>0</v>
      </c>
      <c r="E28" s="9" t="n">
        <v>20</v>
      </c>
      <c r="F28" s="9" t="n">
        <v>909100</v>
      </c>
      <c r="G28" s="9" t="n">
        <v>0</v>
      </c>
      <c r="H28" s="9" t="n">
        <v>0</v>
      </c>
      <c r="I28" s="9" t="n">
        <v>20</v>
      </c>
      <c r="J28" s="9" t="n">
        <v>909100</v>
      </c>
    </row>
    <row r="29" customFormat="false" ht="15.75" hidden="false" customHeight="false" outlineLevel="0" collapsed="false">
      <c r="A29" s="7" t="s">
        <v>37</v>
      </c>
      <c r="B29" s="7" t="n">
        <v>2</v>
      </c>
      <c r="C29" s="9" t="n">
        <v>8471</v>
      </c>
      <c r="D29" s="9" t="n">
        <v>455961507</v>
      </c>
      <c r="E29" s="9" t="n">
        <v>3040</v>
      </c>
      <c r="F29" s="9" t="n">
        <v>161092640</v>
      </c>
      <c r="G29" s="9" t="n">
        <v>2880</v>
      </c>
      <c r="H29" s="9" t="n">
        <v>154384149</v>
      </c>
      <c r="I29" s="9" t="n">
        <v>8631</v>
      </c>
      <c r="J29" s="9" t="n">
        <v>462669998</v>
      </c>
    </row>
    <row r="30" customFormat="false" ht="15.75" hidden="false" customHeight="false" outlineLevel="0" collapsed="false">
      <c r="A30" s="7" t="s">
        <v>38</v>
      </c>
      <c r="B30" s="7" t="n">
        <v>2</v>
      </c>
      <c r="C30" s="9" t="n">
        <v>8385</v>
      </c>
      <c r="D30" s="9" t="n">
        <v>255279277</v>
      </c>
      <c r="E30" s="9" t="n">
        <v>279936</v>
      </c>
      <c r="F30" s="9" t="n">
        <v>230387328</v>
      </c>
      <c r="G30" s="9" t="n">
        <v>7020</v>
      </c>
      <c r="H30" s="9" t="n">
        <v>8592364</v>
      </c>
      <c r="I30" s="9" t="n">
        <v>281301</v>
      </c>
      <c r="J30" s="9" t="n">
        <v>477074241</v>
      </c>
    </row>
    <row r="31" customFormat="false" ht="15.75" hidden="false" customHeight="false" outlineLevel="0" collapsed="false">
      <c r="A31" s="7" t="s">
        <v>39</v>
      </c>
      <c r="B31" s="7" t="n">
        <v>2</v>
      </c>
      <c r="C31" s="9" t="n">
        <v>2610</v>
      </c>
      <c r="D31" s="9" t="n">
        <v>88299837</v>
      </c>
      <c r="E31" s="9" t="n">
        <v>27900</v>
      </c>
      <c r="F31" s="9" t="n">
        <v>62642940</v>
      </c>
      <c r="G31" s="9" t="n">
        <v>1800</v>
      </c>
      <c r="H31" s="9" t="n">
        <v>5945759</v>
      </c>
      <c r="I31" s="9" t="n">
        <v>28710</v>
      </c>
      <c r="J31" s="9" t="n">
        <v>144997018</v>
      </c>
    </row>
    <row r="32" customFormat="false" ht="15.75" hidden="false" customHeight="false" outlineLevel="0" collapsed="false">
      <c r="A32" s="7" t="s">
        <v>40</v>
      </c>
      <c r="B32" s="7" t="n">
        <v>2</v>
      </c>
      <c r="C32" s="9" t="n">
        <v>0</v>
      </c>
      <c r="D32" s="9" t="n">
        <v>0</v>
      </c>
      <c r="E32" s="9" t="n">
        <v>0</v>
      </c>
      <c r="F32" s="9" t="n">
        <v>0</v>
      </c>
      <c r="G32" s="9" t="n">
        <v>0</v>
      </c>
      <c r="H32" s="9" t="n">
        <v>0</v>
      </c>
      <c r="I32" s="9" t="n">
        <v>0</v>
      </c>
      <c r="J32" s="9" t="n">
        <v>0</v>
      </c>
    </row>
    <row r="33" customFormat="false" ht="15.75" hidden="false" customHeight="false" outlineLevel="0" collapsed="false">
      <c r="A33" s="7" t="s">
        <v>41</v>
      </c>
      <c r="B33" s="7" t="n">
        <v>2</v>
      </c>
      <c r="C33" s="9" t="n">
        <v>0</v>
      </c>
      <c r="D33" s="9" t="n">
        <v>0</v>
      </c>
      <c r="E33" s="9" t="n">
        <v>90</v>
      </c>
      <c r="F33" s="9" t="n">
        <v>3031110</v>
      </c>
      <c r="G33" s="9" t="n">
        <v>0</v>
      </c>
      <c r="H33" s="9" t="n">
        <v>0</v>
      </c>
      <c r="I33" s="9" t="n">
        <v>90</v>
      </c>
      <c r="J33" s="9" t="n">
        <v>3031110</v>
      </c>
    </row>
    <row r="34" customFormat="false" ht="15.75" hidden="false" customHeight="false" outlineLevel="0" collapsed="false">
      <c r="A34" s="7" t="s">
        <v>42</v>
      </c>
      <c r="B34" s="7" t="n">
        <v>2</v>
      </c>
      <c r="C34" s="9" t="n">
        <v>0</v>
      </c>
      <c r="D34" s="9" t="n">
        <v>0</v>
      </c>
      <c r="E34" s="9" t="n">
        <v>32</v>
      </c>
      <c r="F34" s="9" t="n">
        <v>1531840</v>
      </c>
      <c r="G34" s="9" t="n">
        <v>0</v>
      </c>
      <c r="H34" s="9" t="n">
        <v>0</v>
      </c>
      <c r="I34" s="9" t="n">
        <v>32</v>
      </c>
      <c r="J34" s="9" t="n">
        <v>1531840</v>
      </c>
    </row>
    <row r="35" customFormat="false" ht="15.75" hidden="false" customHeight="false" outlineLevel="0" collapsed="false">
      <c r="A35" s="7" t="s">
        <v>43</v>
      </c>
      <c r="B35" s="7" t="n">
        <v>2</v>
      </c>
      <c r="C35" s="9" t="n">
        <v>0</v>
      </c>
      <c r="D35" s="9" t="n">
        <v>0</v>
      </c>
      <c r="E35" s="9" t="n">
        <v>0</v>
      </c>
      <c r="F35" s="9" t="n">
        <v>0</v>
      </c>
      <c r="G35" s="9" t="n">
        <v>0</v>
      </c>
      <c r="H35" s="9" t="n">
        <v>0</v>
      </c>
      <c r="I35" s="9" t="n">
        <v>0</v>
      </c>
      <c r="J35" s="9" t="n">
        <v>0</v>
      </c>
    </row>
    <row r="36" customFormat="false" ht="15.75" hidden="false" customHeight="false" outlineLevel="0" collapsed="false">
      <c r="A36" s="7" t="s">
        <v>44</v>
      </c>
      <c r="B36" s="7" t="n">
        <v>2</v>
      </c>
      <c r="C36" s="9" t="n">
        <v>935</v>
      </c>
      <c r="D36" s="9" t="n">
        <v>31489703</v>
      </c>
      <c r="E36" s="9" t="n">
        <v>9450</v>
      </c>
      <c r="F36" s="9" t="n">
        <v>21217770</v>
      </c>
      <c r="G36" s="9" t="n">
        <v>330</v>
      </c>
      <c r="H36" s="9" t="n">
        <v>1534001</v>
      </c>
      <c r="I36" s="9" t="n">
        <v>10055</v>
      </c>
      <c r="J36" s="9" t="n">
        <v>51173472</v>
      </c>
    </row>
    <row r="37" customFormat="false" ht="15.75" hidden="false" customHeight="false" outlineLevel="0" collapsed="false">
      <c r="A37" s="7" t="s">
        <v>45</v>
      </c>
      <c r="B37" s="7" t="n">
        <v>2</v>
      </c>
      <c r="C37" s="9" t="n">
        <v>1062</v>
      </c>
      <c r="D37" s="9" t="n">
        <v>35764971</v>
      </c>
      <c r="E37" s="9" t="n">
        <v>225</v>
      </c>
      <c r="F37" s="9" t="n">
        <v>7577775</v>
      </c>
      <c r="G37" s="9" t="n">
        <v>30</v>
      </c>
      <c r="H37" s="9" t="n">
        <v>1010320</v>
      </c>
      <c r="I37" s="9" t="n">
        <v>1257</v>
      </c>
      <c r="J37" s="9" t="n">
        <v>42332426</v>
      </c>
    </row>
    <row r="38" customFormat="false" ht="15.75" hidden="false" customHeight="false" outlineLevel="0" collapsed="false">
      <c r="A38" s="7" t="s">
        <v>46</v>
      </c>
      <c r="B38" s="7" t="n">
        <v>2</v>
      </c>
      <c r="C38" s="9" t="n">
        <v>0</v>
      </c>
      <c r="D38" s="9" t="n">
        <v>0</v>
      </c>
      <c r="E38" s="9" t="n">
        <v>75</v>
      </c>
      <c r="F38" s="9" t="n">
        <v>2525925</v>
      </c>
      <c r="G38" s="9" t="n">
        <v>0</v>
      </c>
      <c r="H38" s="9" t="n">
        <v>0</v>
      </c>
      <c r="I38" s="9" t="n">
        <v>75</v>
      </c>
      <c r="J38" s="9" t="n">
        <v>2525925</v>
      </c>
    </row>
    <row r="39" customFormat="false" ht="15.75" hidden="false" customHeight="false" outlineLevel="0" collapsed="false">
      <c r="A39" s="7" t="s">
        <v>47</v>
      </c>
      <c r="B39" s="7" t="n">
        <v>2</v>
      </c>
      <c r="C39" s="9" t="n">
        <v>1250</v>
      </c>
      <c r="D39" s="9" t="n">
        <v>5681250</v>
      </c>
      <c r="E39" s="9" t="n">
        <v>2000</v>
      </c>
      <c r="F39" s="9" t="n">
        <v>9090000</v>
      </c>
      <c r="G39" s="9" t="n">
        <v>1500</v>
      </c>
      <c r="H39" s="9" t="n">
        <v>6817500</v>
      </c>
      <c r="I39" s="9" t="n">
        <v>1750</v>
      </c>
      <c r="J39" s="9" t="n">
        <v>7953750</v>
      </c>
    </row>
    <row r="40" customFormat="false" ht="15.75" hidden="false" customHeight="false" outlineLevel="0" collapsed="false">
      <c r="A40" s="7" t="s">
        <v>48</v>
      </c>
      <c r="B40" s="7" t="n">
        <v>2</v>
      </c>
      <c r="C40" s="9" t="n">
        <v>0</v>
      </c>
      <c r="D40" s="9" t="n">
        <v>0</v>
      </c>
      <c r="E40" s="9" t="n">
        <v>0</v>
      </c>
      <c r="F40" s="9" t="n">
        <v>0</v>
      </c>
      <c r="G40" s="9" t="n">
        <v>0</v>
      </c>
      <c r="H40" s="9" t="n">
        <v>0</v>
      </c>
      <c r="I40" s="9" t="n">
        <v>0</v>
      </c>
      <c r="J40" s="9" t="n">
        <v>0</v>
      </c>
    </row>
    <row r="41" customFormat="false" ht="15.75" hidden="false" customHeight="false" outlineLevel="0" collapsed="false">
      <c r="A41" s="7" t="s">
        <v>49</v>
      </c>
      <c r="B41" s="7" t="n">
        <v>2</v>
      </c>
      <c r="C41" s="9" t="n">
        <v>1200</v>
      </c>
      <c r="D41" s="9" t="n">
        <v>5672400</v>
      </c>
      <c r="E41" s="9" t="n">
        <v>1800</v>
      </c>
      <c r="F41" s="9" t="n">
        <v>8508600</v>
      </c>
      <c r="G41" s="9" t="n">
        <v>1320</v>
      </c>
      <c r="H41" s="9" t="n">
        <v>6239640</v>
      </c>
      <c r="I41" s="9" t="n">
        <v>1680</v>
      </c>
      <c r="J41" s="9" t="n">
        <v>7941360</v>
      </c>
    </row>
    <row r="42" customFormat="false" ht="15.75" hidden="false" customHeight="false" outlineLevel="0" collapsed="false">
      <c r="A42" s="7" t="s">
        <v>50</v>
      </c>
      <c r="B42" s="7" t="n">
        <v>2</v>
      </c>
      <c r="C42" s="9" t="n">
        <v>0</v>
      </c>
      <c r="D42" s="9" t="n">
        <v>0</v>
      </c>
      <c r="E42" s="9" t="n">
        <v>500</v>
      </c>
      <c r="F42" s="9" t="n">
        <v>1591000</v>
      </c>
      <c r="G42" s="9" t="n">
        <v>0</v>
      </c>
      <c r="H42" s="9" t="n">
        <v>0</v>
      </c>
      <c r="I42" s="9" t="n">
        <v>500</v>
      </c>
      <c r="J42" s="9" t="n">
        <v>1591000</v>
      </c>
    </row>
    <row r="43" customFormat="false" ht="15.75" hidden="false" customHeight="false" outlineLevel="0" collapsed="false">
      <c r="A43" s="7" t="s">
        <v>51</v>
      </c>
      <c r="B43" s="7" t="n">
        <v>2</v>
      </c>
      <c r="C43" s="9" t="n">
        <v>500</v>
      </c>
      <c r="D43" s="9" t="n">
        <v>1818000</v>
      </c>
      <c r="E43" s="9" t="n">
        <v>500</v>
      </c>
      <c r="F43" s="9" t="n">
        <v>1818000</v>
      </c>
      <c r="G43" s="9" t="n">
        <v>150</v>
      </c>
      <c r="H43" s="9" t="n">
        <v>545400</v>
      </c>
      <c r="I43" s="9" t="n">
        <v>850</v>
      </c>
      <c r="J43" s="9" t="n">
        <v>3090600</v>
      </c>
    </row>
    <row r="44" customFormat="false" ht="15.75" hidden="false" customHeight="false" outlineLevel="0" collapsed="false">
      <c r="A44" s="7" t="s">
        <v>52</v>
      </c>
      <c r="B44" s="7" t="n">
        <v>2</v>
      </c>
      <c r="C44" s="9" t="n">
        <v>0</v>
      </c>
      <c r="D44" s="9" t="n">
        <v>0</v>
      </c>
      <c r="E44" s="9" t="n">
        <v>96</v>
      </c>
      <c r="F44" s="9" t="n">
        <v>2181792</v>
      </c>
      <c r="G44" s="9" t="n">
        <v>0</v>
      </c>
      <c r="H44" s="9" t="n">
        <v>0</v>
      </c>
      <c r="I44" s="9" t="n">
        <v>96</v>
      </c>
      <c r="J44" s="9" t="n">
        <v>2181792</v>
      </c>
    </row>
    <row r="45" customFormat="false" ht="15.75" hidden="false" customHeight="false" outlineLevel="0" collapsed="false">
      <c r="A45" s="7" t="s">
        <v>53</v>
      </c>
      <c r="B45" s="7" t="n">
        <v>2</v>
      </c>
      <c r="C45" s="9" t="n">
        <v>0</v>
      </c>
      <c r="D45" s="9" t="n">
        <v>0</v>
      </c>
      <c r="E45" s="9" t="n">
        <v>0</v>
      </c>
      <c r="F45" s="9" t="n">
        <v>0</v>
      </c>
      <c r="G45" s="9" t="n">
        <v>0</v>
      </c>
      <c r="H45" s="9" t="n">
        <v>0</v>
      </c>
      <c r="I45" s="9" t="n">
        <v>0</v>
      </c>
      <c r="J45" s="9" t="n">
        <v>0</v>
      </c>
    </row>
    <row r="46" customFormat="false" ht="15.75" hidden="false" customHeight="false" outlineLevel="0" collapsed="false">
      <c r="A46" s="7" t="s">
        <v>54</v>
      </c>
      <c r="B46" s="7" t="n">
        <v>2</v>
      </c>
      <c r="C46" s="9" t="n">
        <v>7920</v>
      </c>
      <c r="D46" s="9" t="n">
        <v>108184824</v>
      </c>
      <c r="E46" s="9" t="n">
        <v>10800</v>
      </c>
      <c r="F46" s="9" t="n">
        <v>147268800</v>
      </c>
      <c r="G46" s="9" t="n">
        <v>14160</v>
      </c>
      <c r="H46" s="9" t="n">
        <v>193227741</v>
      </c>
      <c r="I46" s="9" t="n">
        <v>4560</v>
      </c>
      <c r="J46" s="9" t="n">
        <v>62225883</v>
      </c>
    </row>
    <row r="47" customFormat="false" ht="15.75" hidden="false" customHeight="false" outlineLevel="0" collapsed="false">
      <c r="A47" s="7" t="s">
        <v>55</v>
      </c>
      <c r="B47" s="7" t="n">
        <v>2</v>
      </c>
      <c r="C47" s="9" t="n">
        <v>0</v>
      </c>
      <c r="D47" s="9" t="n">
        <v>0</v>
      </c>
      <c r="E47" s="9" t="n">
        <v>0</v>
      </c>
      <c r="F47" s="9" t="n">
        <v>0</v>
      </c>
      <c r="G47" s="9" t="n">
        <v>0</v>
      </c>
      <c r="H47" s="9" t="n">
        <v>0</v>
      </c>
      <c r="I47" s="9" t="n">
        <v>0</v>
      </c>
      <c r="J47" s="9" t="n">
        <v>0</v>
      </c>
    </row>
    <row r="48" customFormat="false" ht="15.75" hidden="false" customHeight="false" outlineLevel="0" collapsed="false">
      <c r="A48" s="7" t="s">
        <v>56</v>
      </c>
      <c r="B48" s="7" t="n">
        <v>2</v>
      </c>
      <c r="C48" s="9" t="n">
        <v>0</v>
      </c>
      <c r="D48" s="9" t="n">
        <v>0</v>
      </c>
      <c r="E48" s="9" t="n">
        <v>0</v>
      </c>
      <c r="F48" s="9" t="n">
        <v>0</v>
      </c>
      <c r="G48" s="9" t="n">
        <v>0</v>
      </c>
      <c r="H48" s="9" t="n">
        <v>0</v>
      </c>
      <c r="I48" s="9" t="n">
        <v>0</v>
      </c>
      <c r="J48" s="9" t="n">
        <v>0</v>
      </c>
    </row>
    <row r="49" customFormat="false" ht="15.75" hidden="false" customHeight="false" outlineLevel="0" collapsed="false">
      <c r="A49" s="7" t="s">
        <v>57</v>
      </c>
      <c r="B49" s="7" t="n">
        <v>2</v>
      </c>
      <c r="C49" s="9" t="n">
        <v>240</v>
      </c>
      <c r="D49" s="9" t="n">
        <v>3818160</v>
      </c>
      <c r="E49" s="9" t="n">
        <v>360</v>
      </c>
      <c r="F49" s="9" t="n">
        <v>5727240</v>
      </c>
      <c r="G49" s="9" t="n">
        <v>240</v>
      </c>
      <c r="H49" s="9" t="n">
        <v>3818160</v>
      </c>
      <c r="I49" s="9" t="n">
        <v>360</v>
      </c>
      <c r="J49" s="9" t="n">
        <v>5727240</v>
      </c>
    </row>
    <row r="50" customFormat="false" ht="15.75" hidden="false" customHeight="false" outlineLevel="0" collapsed="false">
      <c r="A50" s="7" t="s">
        <v>58</v>
      </c>
      <c r="B50" s="7" t="n">
        <v>2</v>
      </c>
      <c r="C50" s="9" t="n">
        <v>0</v>
      </c>
      <c r="D50" s="9" t="n">
        <v>0</v>
      </c>
      <c r="E50" s="9" t="n">
        <v>0</v>
      </c>
      <c r="F50" s="9" t="n">
        <v>0</v>
      </c>
      <c r="G50" s="9" t="n">
        <v>0</v>
      </c>
      <c r="H50" s="9" t="n">
        <v>0</v>
      </c>
      <c r="I50" s="9" t="n">
        <v>0</v>
      </c>
      <c r="J50" s="9" t="n">
        <v>0</v>
      </c>
    </row>
    <row r="51" customFormat="false" ht="15.75" hidden="false" customHeight="false" outlineLevel="0" collapsed="false">
      <c r="A51" s="7" t="s">
        <v>59</v>
      </c>
      <c r="B51" s="7" t="n">
        <v>2</v>
      </c>
      <c r="C51" s="9" t="n">
        <v>960</v>
      </c>
      <c r="D51" s="9" t="n">
        <v>13907733</v>
      </c>
      <c r="E51" s="9" t="n">
        <v>2640</v>
      </c>
      <c r="F51" s="9" t="n">
        <v>38398800</v>
      </c>
      <c r="G51" s="9" t="n">
        <v>720</v>
      </c>
      <c r="H51" s="9" t="n">
        <v>10461307</v>
      </c>
      <c r="I51" s="9" t="n">
        <v>2880</v>
      </c>
      <c r="J51" s="9" t="n">
        <v>41845226</v>
      </c>
    </row>
    <row r="52" customFormat="false" ht="15.75" hidden="false" customHeight="false" outlineLevel="0" collapsed="false">
      <c r="A52" s="7" t="s">
        <v>60</v>
      </c>
      <c r="B52" s="7" t="n">
        <v>2</v>
      </c>
      <c r="C52" s="9" t="n">
        <v>180</v>
      </c>
      <c r="D52" s="9" t="n">
        <v>5727240</v>
      </c>
      <c r="E52" s="9" t="n">
        <v>240</v>
      </c>
      <c r="F52" s="9" t="n">
        <v>7636320</v>
      </c>
      <c r="G52" s="9" t="n">
        <v>0</v>
      </c>
      <c r="H52" s="9" t="n">
        <v>0</v>
      </c>
      <c r="I52" s="9" t="n">
        <v>420</v>
      </c>
      <c r="J52" s="9" t="n">
        <v>13363560</v>
      </c>
    </row>
    <row r="53" customFormat="false" ht="15.75" hidden="false" customHeight="false" outlineLevel="0" collapsed="false">
      <c r="A53" s="7" t="s">
        <v>61</v>
      </c>
      <c r="B53" s="7" t="n">
        <v>2</v>
      </c>
      <c r="C53" s="9" t="n">
        <v>0</v>
      </c>
      <c r="D53" s="9" t="n">
        <v>0</v>
      </c>
      <c r="E53" s="9" t="n">
        <v>0</v>
      </c>
      <c r="F53" s="9" t="n">
        <v>0</v>
      </c>
      <c r="G53" s="9" t="n">
        <v>0</v>
      </c>
      <c r="H53" s="9" t="n">
        <v>0</v>
      </c>
      <c r="I53" s="9" t="n">
        <v>0</v>
      </c>
      <c r="J53" s="9" t="n">
        <v>0</v>
      </c>
    </row>
    <row r="54" customFormat="false" ht="15.75" hidden="false" customHeight="false" outlineLevel="0" collapsed="false">
      <c r="A54" s="7" t="s">
        <v>62</v>
      </c>
      <c r="B54" s="7" t="n">
        <v>2</v>
      </c>
      <c r="C54" s="9" t="n">
        <v>1800</v>
      </c>
      <c r="D54" s="9" t="n">
        <v>8508600</v>
      </c>
      <c r="E54" s="9" t="n">
        <v>3000</v>
      </c>
      <c r="F54" s="9" t="n">
        <v>14181000</v>
      </c>
      <c r="G54" s="9" t="n">
        <v>2040</v>
      </c>
      <c r="H54" s="9" t="n">
        <v>9643080</v>
      </c>
      <c r="I54" s="9" t="n">
        <v>2760</v>
      </c>
      <c r="J54" s="9" t="n">
        <v>13046520</v>
      </c>
    </row>
    <row r="55" customFormat="false" ht="15.75" hidden="false" customHeight="false" outlineLevel="0" collapsed="false">
      <c r="A55" s="7" t="s">
        <v>63</v>
      </c>
      <c r="B55" s="7" t="n">
        <v>2</v>
      </c>
      <c r="C55" s="9" t="n">
        <v>0</v>
      </c>
      <c r="D55" s="9" t="n">
        <v>0</v>
      </c>
      <c r="E55" s="9" t="n">
        <v>0</v>
      </c>
      <c r="F55" s="9" t="n">
        <v>0</v>
      </c>
      <c r="G55" s="9" t="n">
        <v>0</v>
      </c>
      <c r="H55" s="9" t="n">
        <v>0</v>
      </c>
      <c r="I55" s="9" t="n">
        <v>0</v>
      </c>
      <c r="J55" s="9" t="n">
        <v>0</v>
      </c>
    </row>
    <row r="56" customFormat="false" ht="15.75" hidden="false" customHeight="false" outlineLevel="0" collapsed="false">
      <c r="A56" s="7" t="s">
        <v>64</v>
      </c>
      <c r="B56" s="7" t="n">
        <v>2</v>
      </c>
      <c r="C56" s="9" t="n">
        <v>0</v>
      </c>
      <c r="D56" s="9" t="n">
        <v>0</v>
      </c>
      <c r="E56" s="9" t="n">
        <v>0</v>
      </c>
      <c r="F56" s="9" t="n">
        <v>0</v>
      </c>
      <c r="G56" s="9" t="n">
        <v>0</v>
      </c>
      <c r="H56" s="9" t="n">
        <v>0</v>
      </c>
      <c r="I56" s="9" t="n">
        <v>0</v>
      </c>
      <c r="J56" s="9" t="n">
        <v>0</v>
      </c>
    </row>
    <row r="57" customFormat="false" ht="15.75" hidden="false" customHeight="false" outlineLevel="0" collapsed="false">
      <c r="A57" s="7" t="s">
        <v>65</v>
      </c>
      <c r="B57" s="7" t="n">
        <v>2</v>
      </c>
      <c r="C57" s="9" t="n">
        <v>0</v>
      </c>
      <c r="D57" s="9" t="n">
        <v>0</v>
      </c>
      <c r="E57" s="9" t="n">
        <v>0</v>
      </c>
      <c r="F57" s="9" t="n">
        <v>0</v>
      </c>
      <c r="G57" s="9" t="n">
        <v>0</v>
      </c>
      <c r="H57" s="9" t="n">
        <v>0</v>
      </c>
      <c r="I57" s="9" t="n">
        <v>0</v>
      </c>
      <c r="J57" s="9" t="n">
        <v>0</v>
      </c>
    </row>
    <row r="58" customFormat="false" ht="15.75" hidden="false" customHeight="false" outlineLevel="0" collapsed="false">
      <c r="A58" s="7" t="s">
        <v>66</v>
      </c>
      <c r="B58" s="7" t="n">
        <v>2</v>
      </c>
      <c r="C58" s="9" t="n">
        <v>3240</v>
      </c>
      <c r="D58" s="9" t="n">
        <v>47020331</v>
      </c>
      <c r="E58" s="9" t="n">
        <v>2880</v>
      </c>
      <c r="F58" s="9" t="n">
        <v>41889600</v>
      </c>
      <c r="G58" s="9" t="n">
        <v>4140</v>
      </c>
      <c r="H58" s="9" t="n">
        <v>60144953</v>
      </c>
      <c r="I58" s="9" t="n">
        <v>1980</v>
      </c>
      <c r="J58" s="9" t="n">
        <v>28764978</v>
      </c>
    </row>
    <row r="59" customFormat="false" ht="15.75" hidden="false" customHeight="false" outlineLevel="0" collapsed="false">
      <c r="A59" s="7" t="s">
        <v>67</v>
      </c>
      <c r="B59" s="7" t="n">
        <v>2</v>
      </c>
      <c r="C59" s="9" t="n">
        <v>120</v>
      </c>
      <c r="D59" s="9" t="n">
        <v>1854600</v>
      </c>
      <c r="E59" s="9" t="n">
        <v>0</v>
      </c>
      <c r="F59" s="9" t="n">
        <v>0</v>
      </c>
      <c r="G59" s="9" t="n">
        <v>0</v>
      </c>
      <c r="H59" s="9" t="n">
        <v>0</v>
      </c>
      <c r="I59" s="9" t="n">
        <v>120</v>
      </c>
      <c r="J59" s="9" t="n">
        <v>1854600</v>
      </c>
    </row>
    <row r="60" customFormat="false" ht="15.75" hidden="false" customHeight="false" outlineLevel="0" collapsed="false">
      <c r="A60" s="7" t="s">
        <v>68</v>
      </c>
      <c r="B60" s="7" t="n">
        <v>2</v>
      </c>
      <c r="C60" s="9" t="n">
        <v>0</v>
      </c>
      <c r="D60" s="9" t="n">
        <v>0</v>
      </c>
      <c r="E60" s="9" t="n">
        <v>60</v>
      </c>
      <c r="F60" s="9" t="n">
        <v>2618160</v>
      </c>
      <c r="G60" s="9" t="n">
        <v>0</v>
      </c>
      <c r="H60" s="9" t="n">
        <v>0</v>
      </c>
      <c r="I60" s="9" t="n">
        <v>60</v>
      </c>
      <c r="J60" s="9" t="n">
        <v>2618160</v>
      </c>
    </row>
    <row r="61" customFormat="false" ht="15.75" hidden="false" customHeight="false" outlineLevel="0" collapsed="false">
      <c r="A61" s="7" t="s">
        <v>69</v>
      </c>
      <c r="B61" s="7" t="n">
        <v>2</v>
      </c>
      <c r="C61" s="9" t="n">
        <v>0</v>
      </c>
      <c r="D61" s="9" t="n">
        <v>0</v>
      </c>
      <c r="E61" s="9" t="n">
        <v>0</v>
      </c>
      <c r="F61" s="9" t="n">
        <v>0</v>
      </c>
      <c r="G61" s="9" t="n">
        <v>0</v>
      </c>
      <c r="H61" s="9" t="n">
        <v>0</v>
      </c>
      <c r="I61" s="9" t="n">
        <v>0</v>
      </c>
      <c r="J61" s="9" t="n">
        <v>0</v>
      </c>
    </row>
    <row r="62" customFormat="false" ht="15.75" hidden="false" customHeight="false" outlineLevel="0" collapsed="false">
      <c r="A62" s="7" t="s">
        <v>70</v>
      </c>
      <c r="B62" s="7" t="n">
        <v>2</v>
      </c>
      <c r="C62" s="9" t="n">
        <v>0</v>
      </c>
      <c r="D62" s="9" t="n">
        <v>0</v>
      </c>
      <c r="E62" s="9" t="n">
        <v>0</v>
      </c>
      <c r="F62" s="9" t="n">
        <v>0</v>
      </c>
      <c r="G62" s="9" t="n">
        <v>0</v>
      </c>
      <c r="H62" s="9" t="n">
        <v>0</v>
      </c>
      <c r="I62" s="9" t="n">
        <v>0</v>
      </c>
      <c r="J62" s="9" t="n">
        <v>0</v>
      </c>
    </row>
    <row r="63" customFormat="false" ht="15.75" hidden="false" customHeight="false" outlineLevel="0" collapsed="false">
      <c r="A63" s="7" t="s">
        <v>71</v>
      </c>
      <c r="B63" s="7" t="n">
        <v>2</v>
      </c>
      <c r="C63" s="9" t="n">
        <v>0</v>
      </c>
      <c r="D63" s="9" t="n">
        <v>0</v>
      </c>
      <c r="E63" s="9" t="n">
        <v>240</v>
      </c>
      <c r="F63" s="9" t="n">
        <v>3490800</v>
      </c>
      <c r="G63" s="9" t="n">
        <v>0</v>
      </c>
      <c r="H63" s="9" t="n">
        <v>0</v>
      </c>
      <c r="I63" s="9" t="n">
        <v>240</v>
      </c>
      <c r="J63" s="9" t="n">
        <v>3490800</v>
      </c>
    </row>
    <row r="64" customFormat="false" ht="15.75" hidden="false" customHeight="false" outlineLevel="0" collapsed="false">
      <c r="A64" s="7" t="s">
        <v>72</v>
      </c>
      <c r="B64" s="7" t="n">
        <v>2</v>
      </c>
      <c r="C64" s="9" t="n">
        <v>240</v>
      </c>
      <c r="D64" s="9" t="n">
        <v>4266713</v>
      </c>
      <c r="E64" s="9" t="n">
        <v>1320</v>
      </c>
      <c r="F64" s="9" t="n">
        <v>27599880</v>
      </c>
      <c r="G64" s="9" t="n">
        <v>0</v>
      </c>
      <c r="H64" s="9" t="n">
        <v>0</v>
      </c>
      <c r="I64" s="9" t="n">
        <v>1560</v>
      </c>
      <c r="J64" s="9" t="n">
        <v>31866593</v>
      </c>
    </row>
    <row r="65" customFormat="false" ht="15.75" hidden="false" customHeight="false" outlineLevel="0" collapsed="false">
      <c r="A65" s="7" t="s">
        <v>73</v>
      </c>
      <c r="B65" s="7" t="n">
        <v>2</v>
      </c>
      <c r="C65" s="9" t="n">
        <v>360</v>
      </c>
      <c r="D65" s="9" t="n">
        <v>11127240</v>
      </c>
      <c r="E65" s="9" t="n">
        <v>1200</v>
      </c>
      <c r="F65" s="9" t="n">
        <v>37090800</v>
      </c>
      <c r="G65" s="9" t="n">
        <v>0</v>
      </c>
      <c r="H65" s="9" t="n">
        <v>0</v>
      </c>
      <c r="I65" s="9" t="n">
        <v>1560</v>
      </c>
      <c r="J65" s="9" t="n">
        <v>48218040</v>
      </c>
    </row>
    <row r="66" customFormat="false" ht="15.75" hidden="false" customHeight="false" outlineLevel="0" collapsed="false">
      <c r="A66" s="7" t="s">
        <v>74</v>
      </c>
      <c r="B66" s="7" t="n">
        <v>2</v>
      </c>
      <c r="C66" s="9" t="n">
        <v>1080</v>
      </c>
      <c r="D66" s="9" t="n">
        <v>13161096</v>
      </c>
      <c r="E66" s="9" t="n">
        <v>2160</v>
      </c>
      <c r="F66" s="9" t="n">
        <v>29453760</v>
      </c>
      <c r="G66" s="9" t="n">
        <v>0</v>
      </c>
      <c r="H66" s="9" t="n">
        <v>0</v>
      </c>
      <c r="I66" s="9" t="n">
        <v>3240</v>
      </c>
      <c r="J66" s="9" t="n">
        <v>42614856</v>
      </c>
    </row>
    <row r="67" customFormat="false" ht="15.75" hidden="false" customHeight="false" outlineLevel="0" collapsed="false">
      <c r="A67" s="7" t="s">
        <v>75</v>
      </c>
      <c r="B67" s="7" t="n">
        <v>2</v>
      </c>
      <c r="C67" s="9" t="n">
        <v>0</v>
      </c>
      <c r="D67" s="9" t="n">
        <v>0</v>
      </c>
      <c r="E67" s="9" t="n">
        <v>1600</v>
      </c>
      <c r="F67" s="9" t="n">
        <v>537600</v>
      </c>
      <c r="G67" s="9" t="n">
        <v>0</v>
      </c>
      <c r="H67" s="9" t="n">
        <v>0</v>
      </c>
      <c r="I67" s="9" t="n">
        <v>1600</v>
      </c>
      <c r="J67" s="9" t="n">
        <v>537600</v>
      </c>
    </row>
    <row r="68" customFormat="false" ht="15.75" hidden="false" customHeight="false" outlineLevel="0" collapsed="false">
      <c r="A68" s="7" t="s">
        <v>76</v>
      </c>
      <c r="B68" s="7" t="n">
        <v>2</v>
      </c>
      <c r="C68" s="9" t="n">
        <v>0</v>
      </c>
      <c r="D68" s="9" t="n">
        <v>0</v>
      </c>
      <c r="E68" s="9" t="n">
        <v>0</v>
      </c>
      <c r="F68" s="9" t="n">
        <v>0</v>
      </c>
      <c r="G68" s="9" t="n">
        <v>0</v>
      </c>
      <c r="H68" s="9" t="n">
        <v>0</v>
      </c>
      <c r="I68" s="9" t="n">
        <v>0</v>
      </c>
      <c r="J68" s="9" t="n">
        <v>0</v>
      </c>
    </row>
    <row r="69" customFormat="false" ht="15.75" hidden="false" customHeight="false" outlineLevel="0" collapsed="false">
      <c r="A69" s="7" t="s">
        <v>77</v>
      </c>
      <c r="B69" s="7" t="n">
        <v>2</v>
      </c>
      <c r="C69" s="9" t="n">
        <v>0</v>
      </c>
      <c r="D69" s="9" t="n">
        <v>0</v>
      </c>
      <c r="E69" s="9" t="n">
        <v>0</v>
      </c>
      <c r="F69" s="9" t="n">
        <v>0</v>
      </c>
      <c r="G69" s="9" t="n">
        <v>0</v>
      </c>
      <c r="H69" s="9" t="n">
        <v>0</v>
      </c>
      <c r="I69" s="9" t="n">
        <v>0</v>
      </c>
      <c r="J69" s="9" t="n">
        <v>0</v>
      </c>
    </row>
    <row r="70" customFormat="false" ht="15.75" hidden="false" customHeight="false" outlineLevel="0" collapsed="false">
      <c r="A70" s="7" t="s">
        <v>78</v>
      </c>
      <c r="B70" s="7" t="n">
        <v>2</v>
      </c>
      <c r="C70" s="9" t="n">
        <v>1200</v>
      </c>
      <c r="D70" s="9" t="n">
        <v>11926100</v>
      </c>
      <c r="E70" s="9" t="n">
        <v>2160</v>
      </c>
      <c r="F70" s="9" t="n">
        <v>21600000</v>
      </c>
      <c r="G70" s="9" t="n">
        <v>1464</v>
      </c>
      <c r="H70" s="9" t="n">
        <v>14607801</v>
      </c>
      <c r="I70" s="9" t="n">
        <v>1896</v>
      </c>
      <c r="J70" s="9" t="n">
        <v>18918299</v>
      </c>
    </row>
    <row r="71" customFormat="false" ht="15.75" hidden="false" customHeight="false" outlineLevel="0" collapsed="false">
      <c r="A71" s="7" t="s">
        <v>79</v>
      </c>
      <c r="B71" s="7" t="n">
        <v>2</v>
      </c>
      <c r="C71" s="9" t="n">
        <v>0</v>
      </c>
      <c r="D71" s="9" t="n">
        <v>0</v>
      </c>
      <c r="E71" s="9" t="n">
        <v>0</v>
      </c>
      <c r="F71" s="9" t="n">
        <v>0</v>
      </c>
      <c r="G71" s="9" t="n">
        <v>0</v>
      </c>
      <c r="H71" s="9" t="n">
        <v>0</v>
      </c>
      <c r="I71" s="9" t="n">
        <v>0</v>
      </c>
      <c r="J71" s="9" t="n">
        <v>0</v>
      </c>
    </row>
    <row r="72" customFormat="false" ht="15.75" hidden="false" customHeight="false" outlineLevel="0" collapsed="false">
      <c r="A72" s="7" t="s">
        <v>80</v>
      </c>
      <c r="B72" s="7" t="n">
        <v>2</v>
      </c>
      <c r="C72" s="9" t="n">
        <v>108</v>
      </c>
      <c r="D72" s="9" t="n">
        <v>1288138</v>
      </c>
      <c r="E72" s="9" t="n">
        <v>0</v>
      </c>
      <c r="F72" s="9" t="n">
        <v>0</v>
      </c>
      <c r="G72" s="9" t="n">
        <v>0</v>
      </c>
      <c r="H72" s="9" t="n">
        <v>0</v>
      </c>
      <c r="I72" s="9" t="n">
        <v>108</v>
      </c>
      <c r="J72" s="9" t="n">
        <v>1288138</v>
      </c>
    </row>
    <row r="73" customFormat="false" ht="15.75" hidden="false" customHeight="false" outlineLevel="0" collapsed="false">
      <c r="A73" s="7" t="s">
        <v>81</v>
      </c>
      <c r="B73" s="7" t="n">
        <v>2</v>
      </c>
      <c r="C73" s="9" t="n">
        <v>540</v>
      </c>
      <c r="D73" s="9" t="n">
        <v>7854300</v>
      </c>
      <c r="E73" s="9" t="n">
        <v>180</v>
      </c>
      <c r="F73" s="9" t="n">
        <v>2618100</v>
      </c>
      <c r="G73" s="9" t="n">
        <v>0</v>
      </c>
      <c r="H73" s="9" t="n">
        <v>0</v>
      </c>
      <c r="I73" s="9" t="n">
        <v>720</v>
      </c>
      <c r="J73" s="9" t="n">
        <v>10472400</v>
      </c>
    </row>
    <row r="74" customFormat="false" ht="15.75" hidden="false" customHeight="false" outlineLevel="0" collapsed="false">
      <c r="A74" s="7" t="s">
        <v>82</v>
      </c>
      <c r="B74" s="7" t="n">
        <v>2</v>
      </c>
      <c r="C74" s="9" t="n">
        <v>720</v>
      </c>
      <c r="D74" s="9" t="n">
        <v>5105520</v>
      </c>
      <c r="E74" s="9" t="n">
        <v>1800</v>
      </c>
      <c r="F74" s="9" t="n">
        <v>12763800</v>
      </c>
      <c r="G74" s="9" t="n">
        <v>360</v>
      </c>
      <c r="H74" s="9" t="n">
        <v>2552760</v>
      </c>
      <c r="I74" s="9" t="n">
        <v>2160</v>
      </c>
      <c r="J74" s="9" t="n">
        <v>15316560</v>
      </c>
    </row>
    <row r="75" customFormat="false" ht="15.75" hidden="false" customHeight="false" outlineLevel="0" collapsed="false">
      <c r="A75" s="7" t="s">
        <v>83</v>
      </c>
      <c r="B75" s="7" t="n">
        <v>2</v>
      </c>
      <c r="C75" s="9" t="n">
        <v>0</v>
      </c>
      <c r="D75" s="9" t="n">
        <v>0</v>
      </c>
      <c r="E75" s="9" t="n">
        <v>1584</v>
      </c>
      <c r="F75" s="9" t="n">
        <v>11520432</v>
      </c>
      <c r="G75" s="9" t="n">
        <v>0</v>
      </c>
      <c r="H75" s="9" t="n">
        <v>0</v>
      </c>
      <c r="I75" s="9" t="n">
        <v>1584</v>
      </c>
      <c r="J75" s="9" t="n">
        <v>11520432</v>
      </c>
    </row>
    <row r="76" customFormat="false" ht="15.75" hidden="false" customHeight="false" outlineLevel="0" collapsed="false">
      <c r="A76" s="7" t="s">
        <v>84</v>
      </c>
      <c r="B76" s="7" t="n">
        <v>2</v>
      </c>
      <c r="C76" s="9" t="n">
        <v>11520</v>
      </c>
      <c r="D76" s="9" t="n">
        <v>330287445</v>
      </c>
      <c r="E76" s="9" t="n">
        <v>4560</v>
      </c>
      <c r="F76" s="9" t="n">
        <v>130580160</v>
      </c>
      <c r="G76" s="9" t="n">
        <v>7440</v>
      </c>
      <c r="H76" s="9" t="n">
        <v>213237250</v>
      </c>
      <c r="I76" s="9" t="n">
        <v>8640</v>
      </c>
      <c r="J76" s="9" t="n">
        <v>247630355</v>
      </c>
    </row>
    <row r="77" customFormat="false" ht="15.75" hidden="false" customHeight="false" outlineLevel="0" collapsed="false">
      <c r="A77" s="7" t="s">
        <v>85</v>
      </c>
      <c r="B77" s="7" t="n">
        <v>2</v>
      </c>
      <c r="C77" s="9" t="n">
        <v>7200</v>
      </c>
      <c r="D77" s="9" t="n">
        <v>63489600</v>
      </c>
      <c r="E77" s="9" t="n">
        <v>8640</v>
      </c>
      <c r="F77" s="9" t="n">
        <v>76187520</v>
      </c>
      <c r="G77" s="9" t="n">
        <v>6120</v>
      </c>
      <c r="H77" s="9" t="n">
        <v>53966160</v>
      </c>
      <c r="I77" s="9" t="n">
        <v>9720</v>
      </c>
      <c r="J77" s="9" t="n">
        <v>85710960</v>
      </c>
    </row>
    <row r="78" customFormat="false" ht="15.75" hidden="false" customHeight="false" outlineLevel="0" collapsed="false">
      <c r="A78" s="7" t="s">
        <v>86</v>
      </c>
      <c r="B78" s="7" t="n">
        <v>2</v>
      </c>
      <c r="C78" s="9" t="n">
        <v>28080</v>
      </c>
      <c r="D78" s="9" t="n">
        <v>199986565</v>
      </c>
      <c r="E78" s="9" t="n">
        <v>26640</v>
      </c>
      <c r="F78" s="9" t="n">
        <v>188904240</v>
      </c>
      <c r="G78" s="9" t="n">
        <v>26640</v>
      </c>
      <c r="H78" s="9" t="n">
        <v>189328418</v>
      </c>
      <c r="I78" s="9" t="n">
        <v>28080</v>
      </c>
      <c r="J78" s="9" t="n">
        <v>199562387</v>
      </c>
    </row>
    <row r="79" customFormat="false" ht="15.75" hidden="false" customHeight="false" outlineLevel="0" collapsed="false">
      <c r="A79" s="7" t="s">
        <v>87</v>
      </c>
      <c r="B79" s="7" t="n">
        <v>2</v>
      </c>
      <c r="C79" s="9" t="n">
        <v>7020</v>
      </c>
      <c r="D79" s="9" t="n">
        <v>118047449</v>
      </c>
      <c r="E79" s="9" t="n">
        <v>6840</v>
      </c>
      <c r="F79" s="9" t="n">
        <v>115035120</v>
      </c>
      <c r="G79" s="9" t="n">
        <v>10620</v>
      </c>
      <c r="H79" s="9" t="n">
        <v>178595735</v>
      </c>
      <c r="I79" s="9" t="n">
        <v>3240</v>
      </c>
      <c r="J79" s="9" t="n">
        <v>54486834</v>
      </c>
    </row>
    <row r="80" customFormat="false" ht="15.75" hidden="false" customHeight="false" outlineLevel="0" collapsed="false">
      <c r="A80" s="7" t="s">
        <v>88</v>
      </c>
      <c r="B80" s="7" t="n">
        <v>2</v>
      </c>
      <c r="C80" s="9" t="n">
        <v>0</v>
      </c>
      <c r="D80" s="9" t="n">
        <v>0</v>
      </c>
      <c r="E80" s="9" t="n">
        <v>0</v>
      </c>
      <c r="F80" s="9" t="n">
        <v>0</v>
      </c>
      <c r="G80" s="9" t="n">
        <v>0</v>
      </c>
      <c r="H80" s="9" t="n">
        <v>0</v>
      </c>
      <c r="I80" s="9" t="n">
        <v>0</v>
      </c>
      <c r="J80" s="9" t="n">
        <v>0</v>
      </c>
    </row>
    <row r="81" customFormat="false" ht="15.75" hidden="false" customHeight="false" outlineLevel="0" collapsed="false">
      <c r="A81" s="7" t="s">
        <v>89</v>
      </c>
      <c r="B81" s="7" t="n">
        <v>2</v>
      </c>
      <c r="C81" s="9" t="n">
        <v>0</v>
      </c>
      <c r="D81" s="9" t="n">
        <v>0</v>
      </c>
      <c r="E81" s="9" t="n">
        <v>300</v>
      </c>
      <c r="F81" s="9" t="n">
        <v>6818100</v>
      </c>
      <c r="G81" s="9" t="n">
        <v>0</v>
      </c>
      <c r="H81" s="9" t="n">
        <v>0</v>
      </c>
      <c r="I81" s="9" t="n">
        <v>300</v>
      </c>
      <c r="J81" s="9" t="n">
        <v>6818100</v>
      </c>
    </row>
    <row r="82" customFormat="false" ht="15.75" hidden="false" customHeight="false" outlineLevel="0" collapsed="false">
      <c r="A82" s="7" t="s">
        <v>90</v>
      </c>
      <c r="B82" s="7" t="n">
        <v>2</v>
      </c>
      <c r="C82" s="9" t="n">
        <v>2280</v>
      </c>
      <c r="D82" s="9" t="n">
        <v>113575952</v>
      </c>
      <c r="E82" s="9" t="n">
        <v>1560</v>
      </c>
      <c r="F82" s="9" t="n">
        <v>78000000</v>
      </c>
      <c r="G82" s="9" t="n">
        <v>1080</v>
      </c>
      <c r="H82" s="9" t="n">
        <v>53880737</v>
      </c>
      <c r="I82" s="9" t="n">
        <v>2760</v>
      </c>
      <c r="J82" s="9" t="n">
        <v>137695215</v>
      </c>
    </row>
    <row r="83" customFormat="false" ht="15.75" hidden="false" customHeight="false" outlineLevel="0" collapsed="false">
      <c r="A83" s="7" t="s">
        <v>91</v>
      </c>
      <c r="B83" s="7" t="n">
        <v>2</v>
      </c>
      <c r="C83" s="9" t="n">
        <v>7200</v>
      </c>
      <c r="D83" s="9" t="n">
        <v>63597019</v>
      </c>
      <c r="E83" s="9" t="n">
        <v>7200</v>
      </c>
      <c r="F83" s="9" t="n">
        <v>63489600</v>
      </c>
      <c r="G83" s="9" t="n">
        <v>11280</v>
      </c>
      <c r="H83" s="9" t="n">
        <v>99551185</v>
      </c>
      <c r="I83" s="9" t="n">
        <v>3120</v>
      </c>
      <c r="J83" s="9" t="n">
        <v>27535434</v>
      </c>
    </row>
    <row r="84" customFormat="false" ht="15.75" hidden="false" customHeight="false" outlineLevel="0" collapsed="false">
      <c r="A84" s="7" t="s">
        <v>92</v>
      </c>
      <c r="B84" s="7" t="n">
        <v>2</v>
      </c>
      <c r="C84" s="9" t="n">
        <v>8000</v>
      </c>
      <c r="D84" s="9" t="n">
        <v>3856000</v>
      </c>
      <c r="E84" s="9" t="n">
        <v>16000</v>
      </c>
      <c r="F84" s="9" t="n">
        <v>7712000</v>
      </c>
      <c r="G84" s="9" t="n">
        <v>0</v>
      </c>
      <c r="H84" s="9" t="n">
        <v>0</v>
      </c>
      <c r="I84" s="9" t="n">
        <v>24000</v>
      </c>
      <c r="J84" s="9" t="n">
        <v>11568000</v>
      </c>
    </row>
    <row r="85" customFormat="false" ht="15.75" hidden="false" customHeight="false" outlineLevel="0" collapsed="false">
      <c r="A85" s="7" t="s">
        <v>93</v>
      </c>
      <c r="B85" s="7" t="n">
        <v>2</v>
      </c>
      <c r="C85" s="9" t="n">
        <v>90</v>
      </c>
      <c r="D85" s="9" t="n">
        <v>4500000</v>
      </c>
      <c r="E85" s="9" t="n">
        <v>90</v>
      </c>
      <c r="F85" s="9" t="n">
        <v>4500000</v>
      </c>
      <c r="G85" s="9" t="n">
        <v>30</v>
      </c>
      <c r="H85" s="9" t="n">
        <v>1500000</v>
      </c>
      <c r="I85" s="9" t="n">
        <v>150</v>
      </c>
      <c r="J85" s="9" t="n">
        <v>7500000</v>
      </c>
    </row>
    <row r="86" customFormat="false" ht="15.75" hidden="false" customHeight="false" outlineLevel="0" collapsed="false">
      <c r="A86" s="7" t="s">
        <v>94</v>
      </c>
      <c r="B86" s="7" t="n">
        <v>2</v>
      </c>
      <c r="C86" s="9" t="n">
        <v>0</v>
      </c>
      <c r="D86" s="9" t="n">
        <v>0</v>
      </c>
      <c r="E86" s="9" t="n">
        <v>0</v>
      </c>
      <c r="F86" s="9" t="n">
        <v>0</v>
      </c>
      <c r="G86" s="9" t="n">
        <v>0</v>
      </c>
      <c r="H86" s="9" t="n">
        <v>0</v>
      </c>
      <c r="I86" s="9" t="n">
        <v>0</v>
      </c>
      <c r="J86" s="9" t="n">
        <v>0</v>
      </c>
    </row>
    <row r="87" customFormat="false" ht="15.75" hidden="false" customHeight="false" outlineLevel="0" collapsed="false">
      <c r="A87" s="7" t="s">
        <v>95</v>
      </c>
      <c r="B87" s="7" t="n">
        <v>2</v>
      </c>
      <c r="C87" s="9" t="n">
        <v>180</v>
      </c>
      <c r="D87" s="9" t="n">
        <v>1440000</v>
      </c>
      <c r="E87" s="9" t="n">
        <v>360</v>
      </c>
      <c r="F87" s="9" t="n">
        <v>2880000</v>
      </c>
      <c r="G87" s="9" t="n">
        <v>0</v>
      </c>
      <c r="H87" s="9" t="n">
        <v>0</v>
      </c>
      <c r="I87" s="9" t="n">
        <v>540</v>
      </c>
      <c r="J87" s="9" t="n">
        <v>4320000</v>
      </c>
    </row>
    <row r="88" customFormat="false" ht="15.75" hidden="false" customHeight="false" outlineLevel="0" collapsed="false">
      <c r="A88" s="7" t="s">
        <v>96</v>
      </c>
      <c r="B88" s="7" t="n">
        <v>2</v>
      </c>
      <c r="C88" s="9" t="n">
        <v>30</v>
      </c>
      <c r="D88" s="9" t="n">
        <v>3151934</v>
      </c>
      <c r="E88" s="9" t="n">
        <v>120</v>
      </c>
      <c r="F88" s="9" t="n">
        <v>12872760</v>
      </c>
      <c r="G88" s="9" t="n">
        <v>0</v>
      </c>
      <c r="H88" s="9" t="n">
        <v>0</v>
      </c>
      <c r="I88" s="9" t="n">
        <v>150</v>
      </c>
      <c r="J88" s="9" t="n">
        <v>16024694</v>
      </c>
    </row>
    <row r="89" customFormat="false" ht="15.75" hidden="false" customHeight="false" outlineLevel="0" collapsed="false">
      <c r="A89" s="7" t="s">
        <v>97</v>
      </c>
      <c r="B89" s="7" t="n">
        <v>2</v>
      </c>
      <c r="C89" s="9" t="n">
        <v>20000</v>
      </c>
      <c r="D89" s="9" t="n">
        <v>9640000</v>
      </c>
      <c r="E89" s="9" t="n">
        <v>8000</v>
      </c>
      <c r="F89" s="9" t="n">
        <v>3856000</v>
      </c>
      <c r="G89" s="9" t="n">
        <v>8800</v>
      </c>
      <c r="H89" s="9" t="n">
        <v>4241600</v>
      </c>
      <c r="I89" s="9" t="n">
        <v>19200</v>
      </c>
      <c r="J89" s="9" t="n">
        <v>9254400</v>
      </c>
    </row>
    <row r="90" customFormat="false" ht="15.75" hidden="false" customHeight="false" outlineLevel="0" collapsed="false">
      <c r="A90" s="7" t="s">
        <v>98</v>
      </c>
      <c r="B90" s="7" t="n">
        <v>2</v>
      </c>
      <c r="C90" s="9" t="n">
        <v>240</v>
      </c>
      <c r="D90" s="9" t="n">
        <v>2334480</v>
      </c>
      <c r="E90" s="9" t="n">
        <v>1440</v>
      </c>
      <c r="F90" s="9" t="n">
        <v>14006880</v>
      </c>
      <c r="G90" s="9" t="n">
        <v>0</v>
      </c>
      <c r="H90" s="9" t="n">
        <v>0</v>
      </c>
      <c r="I90" s="9" t="n">
        <v>1680</v>
      </c>
      <c r="J90" s="9" t="n">
        <v>16341360</v>
      </c>
    </row>
    <row r="91" customFormat="false" ht="15.75" hidden="false" customHeight="false" outlineLevel="0" collapsed="false">
      <c r="A91" s="7" t="s">
        <v>99</v>
      </c>
      <c r="B91" s="7" t="n">
        <v>2</v>
      </c>
      <c r="C91" s="9" t="n">
        <v>0</v>
      </c>
      <c r="D91" s="9" t="n">
        <v>0</v>
      </c>
      <c r="E91" s="9" t="n">
        <v>0</v>
      </c>
      <c r="F91" s="9" t="n">
        <v>0</v>
      </c>
      <c r="G91" s="9" t="n">
        <v>0</v>
      </c>
      <c r="H91" s="9" t="n">
        <v>0</v>
      </c>
      <c r="I91" s="9" t="n">
        <v>0</v>
      </c>
      <c r="J91" s="9" t="n">
        <v>0</v>
      </c>
    </row>
    <row r="92" customFormat="false" ht="15.75" hidden="false" customHeight="false" outlineLevel="0" collapsed="false">
      <c r="A92" s="7" t="s">
        <v>100</v>
      </c>
      <c r="B92" s="7" t="n">
        <v>2</v>
      </c>
      <c r="C92" s="9" t="n">
        <v>2220</v>
      </c>
      <c r="D92" s="9" t="n">
        <v>110066484</v>
      </c>
      <c r="E92" s="9" t="n">
        <v>1260</v>
      </c>
      <c r="F92" s="9" t="n">
        <v>62426700</v>
      </c>
      <c r="G92" s="9" t="n">
        <v>1080</v>
      </c>
      <c r="H92" s="9" t="n">
        <v>53532367</v>
      </c>
      <c r="I92" s="9" t="n">
        <v>2400</v>
      </c>
      <c r="J92" s="9" t="n">
        <v>118960817</v>
      </c>
    </row>
    <row r="93" customFormat="false" ht="15.75" hidden="false" customHeight="false" outlineLevel="0" collapsed="false">
      <c r="A93" s="7" t="s">
        <v>101</v>
      </c>
      <c r="B93" s="7" t="n">
        <v>2</v>
      </c>
      <c r="C93" s="9" t="n">
        <v>7200</v>
      </c>
      <c r="D93" s="9" t="n">
        <v>63610435</v>
      </c>
      <c r="E93" s="9" t="n">
        <v>6960</v>
      </c>
      <c r="F93" s="9" t="n">
        <v>61373280</v>
      </c>
      <c r="G93" s="9" t="n">
        <v>11424</v>
      </c>
      <c r="H93" s="9" t="n">
        <v>100834319</v>
      </c>
      <c r="I93" s="9" t="n">
        <v>2736</v>
      </c>
      <c r="J93" s="9" t="n">
        <v>24149396</v>
      </c>
    </row>
    <row r="94" customFormat="false" ht="15.75" hidden="false" customHeight="false" outlineLevel="0" collapsed="false">
      <c r="A94" s="7" t="s">
        <v>102</v>
      </c>
      <c r="B94" s="7" t="n">
        <v>2</v>
      </c>
      <c r="C94" s="9" t="n">
        <v>360</v>
      </c>
      <c r="D94" s="9" t="n">
        <v>8183362</v>
      </c>
      <c r="E94" s="9" t="n">
        <v>720</v>
      </c>
      <c r="F94" s="9" t="n">
        <v>16363440</v>
      </c>
      <c r="G94" s="9" t="n">
        <v>24</v>
      </c>
      <c r="H94" s="9" t="n">
        <v>545485</v>
      </c>
      <c r="I94" s="9" t="n">
        <v>1056</v>
      </c>
      <c r="J94" s="9" t="n">
        <v>24001317</v>
      </c>
    </row>
    <row r="95" customFormat="false" ht="15.75" hidden="false" customHeight="false" outlineLevel="0" collapsed="false">
      <c r="A95" s="7" t="s">
        <v>103</v>
      </c>
      <c r="B95" s="7" t="n">
        <v>2</v>
      </c>
      <c r="C95" s="9" t="n">
        <v>0</v>
      </c>
      <c r="D95" s="9" t="n">
        <v>0</v>
      </c>
      <c r="E95" s="9" t="n">
        <v>0</v>
      </c>
      <c r="F95" s="9" t="n">
        <v>0</v>
      </c>
      <c r="G95" s="9" t="n">
        <v>0</v>
      </c>
      <c r="H95" s="9" t="n">
        <v>0</v>
      </c>
      <c r="I95" s="9" t="n">
        <v>0</v>
      </c>
      <c r="J95" s="9" t="n">
        <v>0</v>
      </c>
    </row>
    <row r="96" customFormat="false" ht="15.75" hidden="false" customHeight="false" outlineLevel="0" collapsed="false">
      <c r="A96" s="7" t="s">
        <v>104</v>
      </c>
      <c r="B96" s="7" t="n">
        <v>2</v>
      </c>
      <c r="C96" s="9" t="n">
        <v>72</v>
      </c>
      <c r="D96" s="9" t="n">
        <v>1309104</v>
      </c>
      <c r="E96" s="9" t="n">
        <v>120</v>
      </c>
      <c r="F96" s="9" t="n">
        <v>2181840</v>
      </c>
      <c r="G96" s="9" t="n">
        <v>0</v>
      </c>
      <c r="H96" s="9" t="n">
        <v>0</v>
      </c>
      <c r="I96" s="9" t="n">
        <v>192</v>
      </c>
      <c r="J96" s="9" t="n">
        <v>3490944</v>
      </c>
    </row>
    <row r="97" customFormat="false" ht="15.75" hidden="false" customHeight="false" outlineLevel="0" collapsed="false">
      <c r="A97" s="7" t="s">
        <v>105</v>
      </c>
      <c r="B97" s="7" t="n">
        <v>2</v>
      </c>
      <c r="C97" s="9" t="n">
        <v>60</v>
      </c>
      <c r="D97" s="9" t="n">
        <v>2961180</v>
      </c>
      <c r="E97" s="9" t="n">
        <v>60</v>
      </c>
      <c r="F97" s="9" t="n">
        <v>3000000</v>
      </c>
      <c r="G97" s="9" t="n">
        <v>0</v>
      </c>
      <c r="H97" s="9" t="n">
        <v>0</v>
      </c>
      <c r="I97" s="9" t="n">
        <v>120</v>
      </c>
      <c r="J97" s="9" t="n">
        <v>5961180</v>
      </c>
    </row>
    <row r="98" customFormat="false" ht="15.75" hidden="false" customHeight="false" outlineLevel="0" collapsed="false">
      <c r="A98" s="7" t="s">
        <v>106</v>
      </c>
      <c r="B98" s="7" t="n">
        <v>2</v>
      </c>
      <c r="C98" s="9" t="n">
        <v>120</v>
      </c>
      <c r="D98" s="9" t="n">
        <v>1058160</v>
      </c>
      <c r="E98" s="9" t="n">
        <v>240</v>
      </c>
      <c r="F98" s="9" t="n">
        <v>2116320</v>
      </c>
      <c r="G98" s="9" t="n">
        <v>0</v>
      </c>
      <c r="H98" s="9" t="n">
        <v>0</v>
      </c>
      <c r="I98" s="9" t="n">
        <v>360</v>
      </c>
      <c r="J98" s="9" t="n">
        <v>3174480</v>
      </c>
    </row>
    <row r="99" customFormat="false" ht="15.75" hidden="false" customHeight="false" outlineLevel="0" collapsed="false">
      <c r="A99" s="7" t="s">
        <v>107</v>
      </c>
      <c r="B99" s="7" t="n">
        <v>2</v>
      </c>
      <c r="C99" s="9" t="n">
        <v>0</v>
      </c>
      <c r="D99" s="9" t="n">
        <v>0</v>
      </c>
      <c r="E99" s="9" t="n">
        <v>180</v>
      </c>
      <c r="F99" s="9" t="n">
        <v>1341900</v>
      </c>
      <c r="G99" s="9" t="n">
        <v>0</v>
      </c>
      <c r="H99" s="9" t="n">
        <v>0</v>
      </c>
      <c r="I99" s="9" t="n">
        <v>180</v>
      </c>
      <c r="J99" s="9" t="n">
        <v>1341900</v>
      </c>
    </row>
    <row r="100" customFormat="false" ht="15.75" hidden="false" customHeight="false" outlineLevel="0" collapsed="false">
      <c r="A100" s="7" t="s">
        <v>108</v>
      </c>
      <c r="B100" s="7" t="n">
        <v>2</v>
      </c>
      <c r="C100" s="9" t="n">
        <v>14400</v>
      </c>
      <c r="D100" s="9" t="n">
        <v>94516364</v>
      </c>
      <c r="E100" s="9" t="n">
        <v>14400</v>
      </c>
      <c r="F100" s="9" t="n">
        <v>94248000</v>
      </c>
      <c r="G100" s="9" t="n">
        <v>16740</v>
      </c>
      <c r="H100" s="9" t="n">
        <v>109719287</v>
      </c>
      <c r="I100" s="9" t="n">
        <v>12060</v>
      </c>
      <c r="J100" s="9" t="n">
        <v>79045077</v>
      </c>
    </row>
    <row r="101" customFormat="false" ht="15.75" hidden="false" customHeight="false" outlineLevel="0" collapsed="false">
      <c r="A101" s="7" t="s">
        <v>109</v>
      </c>
      <c r="B101" s="7" t="n">
        <v>2</v>
      </c>
      <c r="C101" s="9" t="n">
        <v>0</v>
      </c>
      <c r="D101" s="9" t="n">
        <v>0</v>
      </c>
      <c r="E101" s="9" t="n">
        <v>0</v>
      </c>
      <c r="F101" s="9" t="n">
        <v>0</v>
      </c>
      <c r="G101" s="9" t="n">
        <v>0</v>
      </c>
      <c r="H101" s="9" t="n">
        <v>0</v>
      </c>
      <c r="I101" s="9" t="n">
        <v>0</v>
      </c>
      <c r="J101" s="9" t="n">
        <v>0</v>
      </c>
    </row>
    <row r="102" customFormat="false" ht="15.75" hidden="false" customHeight="false" outlineLevel="0" collapsed="false">
      <c r="A102" s="7" t="s">
        <v>110</v>
      </c>
      <c r="B102" s="7" t="n">
        <v>2</v>
      </c>
      <c r="C102" s="9" t="n">
        <v>720</v>
      </c>
      <c r="D102" s="9" t="n">
        <v>11954760</v>
      </c>
      <c r="E102" s="9" t="n">
        <v>288</v>
      </c>
      <c r="F102" s="9" t="n">
        <v>4843584</v>
      </c>
      <c r="G102" s="9" t="n">
        <v>180</v>
      </c>
      <c r="H102" s="9" t="n">
        <v>2999704</v>
      </c>
      <c r="I102" s="9" t="n">
        <v>828</v>
      </c>
      <c r="J102" s="9" t="n">
        <v>13798640</v>
      </c>
    </row>
    <row r="103" customFormat="false" ht="15.75" hidden="false" customHeight="false" outlineLevel="0" collapsed="false">
      <c r="A103" s="7" t="s">
        <v>111</v>
      </c>
      <c r="B103" s="7" t="n">
        <v>2</v>
      </c>
      <c r="C103" s="9" t="n">
        <v>4800</v>
      </c>
      <c r="D103" s="9" t="n">
        <v>37526400</v>
      </c>
      <c r="E103" s="9" t="n">
        <v>6000</v>
      </c>
      <c r="F103" s="9" t="n">
        <v>46908000</v>
      </c>
      <c r="G103" s="9" t="n">
        <v>8040</v>
      </c>
      <c r="H103" s="9" t="n">
        <v>62856720</v>
      </c>
      <c r="I103" s="9" t="n">
        <v>2760</v>
      </c>
      <c r="J103" s="9" t="n">
        <v>21577680</v>
      </c>
    </row>
    <row r="104" customFormat="false" ht="15.75" hidden="false" customHeight="false" outlineLevel="0" collapsed="false">
      <c r="A104" s="7" t="s">
        <v>112</v>
      </c>
      <c r="B104" s="7" t="n">
        <v>2</v>
      </c>
      <c r="C104" s="9" t="n">
        <v>1200</v>
      </c>
      <c r="D104" s="9" t="n">
        <v>9381600</v>
      </c>
      <c r="E104" s="9" t="n">
        <v>600</v>
      </c>
      <c r="F104" s="9" t="n">
        <v>4690800</v>
      </c>
      <c r="G104" s="9" t="n">
        <v>720</v>
      </c>
      <c r="H104" s="9" t="n">
        <v>5628960</v>
      </c>
      <c r="I104" s="9" t="n">
        <v>1080</v>
      </c>
      <c r="J104" s="9" t="n">
        <v>8443440</v>
      </c>
    </row>
    <row r="105" customFormat="false" ht="15.75" hidden="false" customHeight="false" outlineLevel="0" collapsed="false">
      <c r="A105" s="7" t="s">
        <v>113</v>
      </c>
      <c r="B105" s="7" t="n">
        <v>2</v>
      </c>
      <c r="C105" s="9" t="n">
        <v>0</v>
      </c>
      <c r="D105" s="9" t="n">
        <v>0</v>
      </c>
      <c r="E105" s="9" t="n">
        <v>0</v>
      </c>
      <c r="F105" s="9" t="n">
        <v>0</v>
      </c>
      <c r="G105" s="9" t="n">
        <v>0</v>
      </c>
      <c r="H105" s="9" t="n">
        <v>0</v>
      </c>
      <c r="I105" s="9" t="n">
        <v>0</v>
      </c>
      <c r="J105" s="9" t="n">
        <v>0</v>
      </c>
    </row>
    <row r="106" customFormat="false" ht="15.75" hidden="false" customHeight="false" outlineLevel="0" collapsed="false">
      <c r="A106" s="7" t="s">
        <v>114</v>
      </c>
      <c r="B106" s="7" t="n">
        <v>2</v>
      </c>
      <c r="C106" s="9" t="n">
        <v>72</v>
      </c>
      <c r="D106" s="9" t="n">
        <v>1309104</v>
      </c>
      <c r="E106" s="9" t="n">
        <v>120</v>
      </c>
      <c r="F106" s="9" t="n">
        <v>2181840</v>
      </c>
      <c r="G106" s="9" t="n">
        <v>72</v>
      </c>
      <c r="H106" s="9" t="n">
        <v>1309104</v>
      </c>
      <c r="I106" s="9" t="n">
        <v>120</v>
      </c>
      <c r="J106" s="9" t="n">
        <v>2181840</v>
      </c>
    </row>
    <row r="107" customFormat="false" ht="15.75" hidden="false" customHeight="false" outlineLevel="0" collapsed="false">
      <c r="A107" s="7" t="s">
        <v>115</v>
      </c>
      <c r="B107" s="7" t="n">
        <v>2</v>
      </c>
      <c r="C107" s="9" t="n">
        <v>0</v>
      </c>
      <c r="D107" s="9" t="n">
        <v>0</v>
      </c>
      <c r="E107" s="9" t="n">
        <v>0</v>
      </c>
      <c r="F107" s="9" t="n">
        <v>0</v>
      </c>
      <c r="G107" s="9" t="n">
        <v>0</v>
      </c>
      <c r="H107" s="9" t="n">
        <v>0</v>
      </c>
      <c r="I107" s="9" t="n">
        <v>0</v>
      </c>
      <c r="J107" s="9" t="n">
        <v>0</v>
      </c>
    </row>
    <row r="108" customFormat="false" ht="15.75" hidden="false" customHeight="false" outlineLevel="0" collapsed="false">
      <c r="A108" s="7" t="s">
        <v>116</v>
      </c>
      <c r="B108" s="7" t="n">
        <v>2</v>
      </c>
      <c r="C108" s="9" t="n">
        <v>0</v>
      </c>
      <c r="D108" s="9" t="n">
        <v>0</v>
      </c>
      <c r="E108" s="9" t="n">
        <v>0</v>
      </c>
      <c r="F108" s="9" t="n">
        <v>0</v>
      </c>
      <c r="G108" s="9" t="n">
        <v>0</v>
      </c>
      <c r="H108" s="9" t="n">
        <v>0</v>
      </c>
      <c r="I108" s="9" t="n">
        <v>0</v>
      </c>
      <c r="J108" s="9" t="n">
        <v>0</v>
      </c>
    </row>
    <row r="109" customFormat="false" ht="15.75" hidden="false" customHeight="false" outlineLevel="0" collapsed="false">
      <c r="A109" s="7" t="s">
        <v>117</v>
      </c>
      <c r="B109" s="7" t="n">
        <v>2</v>
      </c>
      <c r="C109" s="9" t="n">
        <v>0</v>
      </c>
      <c r="D109" s="9" t="n">
        <v>0</v>
      </c>
      <c r="E109" s="9" t="n">
        <v>72</v>
      </c>
      <c r="F109" s="9" t="n">
        <v>1178208</v>
      </c>
      <c r="G109" s="9" t="n">
        <v>0</v>
      </c>
      <c r="H109" s="9" t="n">
        <v>0</v>
      </c>
      <c r="I109" s="9" t="n">
        <v>72</v>
      </c>
      <c r="J109" s="9" t="n">
        <v>1178208</v>
      </c>
    </row>
    <row r="110" customFormat="false" ht="15.75" hidden="false" customHeight="false" outlineLevel="0" collapsed="false">
      <c r="A110" s="7" t="s">
        <v>118</v>
      </c>
      <c r="B110" s="7" t="n">
        <v>2</v>
      </c>
      <c r="C110" s="9" t="n">
        <v>0</v>
      </c>
      <c r="D110" s="9" t="n">
        <v>0</v>
      </c>
      <c r="E110" s="9" t="n">
        <v>180</v>
      </c>
      <c r="F110" s="9" t="n">
        <v>7118100</v>
      </c>
      <c r="G110" s="9" t="n">
        <v>0</v>
      </c>
      <c r="H110" s="9" t="n">
        <v>0</v>
      </c>
      <c r="I110" s="9" t="n">
        <v>180</v>
      </c>
      <c r="J110" s="9" t="n">
        <v>7118100</v>
      </c>
    </row>
    <row r="111" customFormat="false" ht="15.75" hidden="false" customHeight="false" outlineLevel="0" collapsed="false">
      <c r="A111" s="7" t="s">
        <v>119</v>
      </c>
      <c r="B111" s="7" t="n">
        <v>2</v>
      </c>
      <c r="C111" s="9" t="n">
        <v>0</v>
      </c>
      <c r="D111" s="9" t="n">
        <v>0</v>
      </c>
      <c r="E111" s="9" t="n">
        <v>0</v>
      </c>
      <c r="F111" s="9" t="n">
        <v>0</v>
      </c>
      <c r="G111" s="9" t="n">
        <v>0</v>
      </c>
      <c r="H111" s="9" t="n">
        <v>0</v>
      </c>
      <c r="I111" s="9" t="n">
        <v>0</v>
      </c>
      <c r="J111" s="9" t="n">
        <v>0</v>
      </c>
    </row>
    <row r="112" customFormat="false" ht="15.75" hidden="false" customHeight="false" outlineLevel="0" collapsed="false">
      <c r="A112" s="7" t="s">
        <v>120</v>
      </c>
      <c r="B112" s="7" t="n">
        <v>2</v>
      </c>
      <c r="C112" s="9" t="n">
        <v>0</v>
      </c>
      <c r="D112" s="9" t="n">
        <v>0</v>
      </c>
      <c r="E112" s="9" t="n">
        <v>0</v>
      </c>
      <c r="F112" s="9" t="n">
        <v>0</v>
      </c>
      <c r="G112" s="9" t="n">
        <v>0</v>
      </c>
      <c r="H112" s="9" t="n">
        <v>0</v>
      </c>
      <c r="I112" s="9" t="n">
        <v>0</v>
      </c>
      <c r="J112" s="9" t="n">
        <v>0</v>
      </c>
    </row>
    <row r="113" customFormat="false" ht="15.75" hidden="false" customHeight="false" outlineLevel="0" collapsed="false">
      <c r="A113" s="7" t="s">
        <v>121</v>
      </c>
      <c r="B113" s="7" t="n">
        <v>2</v>
      </c>
      <c r="C113" s="9" t="n">
        <v>6000</v>
      </c>
      <c r="D113" s="9" t="n">
        <v>65305585</v>
      </c>
      <c r="E113" s="9" t="n">
        <v>5040</v>
      </c>
      <c r="F113" s="9" t="n">
        <v>54981360</v>
      </c>
      <c r="G113" s="9" t="n">
        <v>9240</v>
      </c>
      <c r="H113" s="9" t="n">
        <v>100674943</v>
      </c>
      <c r="I113" s="9" t="n">
        <v>1800</v>
      </c>
      <c r="J113" s="9" t="n">
        <v>19612002</v>
      </c>
    </row>
    <row r="114" customFormat="false" ht="15.75" hidden="false" customHeight="false" outlineLevel="0" collapsed="false">
      <c r="A114" s="7" t="s">
        <v>122</v>
      </c>
      <c r="B114" s="7" t="n">
        <v>2</v>
      </c>
      <c r="C114" s="9" t="n">
        <v>0</v>
      </c>
      <c r="D114" s="9" t="n">
        <v>0</v>
      </c>
      <c r="E114" s="9" t="n">
        <v>0</v>
      </c>
      <c r="F114" s="9" t="n">
        <v>0</v>
      </c>
      <c r="G114" s="9" t="n">
        <v>0</v>
      </c>
      <c r="H114" s="9" t="n">
        <v>0</v>
      </c>
      <c r="I114" s="9" t="n">
        <v>0</v>
      </c>
      <c r="J114" s="9" t="n">
        <v>0</v>
      </c>
    </row>
    <row r="115" customFormat="false" ht="15.75" hidden="false" customHeight="false" outlineLevel="0" collapsed="false">
      <c r="A115" s="7" t="s">
        <v>123</v>
      </c>
      <c r="B115" s="7" t="n">
        <v>2</v>
      </c>
      <c r="C115" s="9" t="n">
        <v>0</v>
      </c>
      <c r="D115" s="9" t="n">
        <v>0</v>
      </c>
      <c r="E115" s="9" t="n">
        <v>144</v>
      </c>
      <c r="F115" s="9" t="n">
        <v>2421792</v>
      </c>
      <c r="G115" s="9" t="n">
        <v>0</v>
      </c>
      <c r="H115" s="9" t="n">
        <v>0</v>
      </c>
      <c r="I115" s="9" t="n">
        <v>144</v>
      </c>
      <c r="J115" s="9" t="n">
        <v>2421792</v>
      </c>
    </row>
    <row r="116" customFormat="false" ht="15.75" hidden="false" customHeight="false" outlineLevel="0" collapsed="false">
      <c r="A116" s="7" t="s">
        <v>124</v>
      </c>
      <c r="B116" s="7" t="n">
        <v>2</v>
      </c>
      <c r="C116" s="9" t="n">
        <v>0</v>
      </c>
      <c r="D116" s="9" t="n">
        <v>0</v>
      </c>
      <c r="E116" s="9" t="n">
        <v>0</v>
      </c>
      <c r="F116" s="9" t="n">
        <v>0</v>
      </c>
      <c r="G116" s="9" t="n">
        <v>0</v>
      </c>
      <c r="H116" s="9" t="n">
        <v>0</v>
      </c>
      <c r="I116" s="9" t="n">
        <v>0</v>
      </c>
      <c r="J116" s="9" t="n">
        <v>0</v>
      </c>
    </row>
    <row r="117" customFormat="false" ht="15.75" hidden="false" customHeight="false" outlineLevel="0" collapsed="false">
      <c r="A117" s="7" t="s">
        <v>125</v>
      </c>
      <c r="B117" s="7" t="n">
        <v>2</v>
      </c>
      <c r="C117" s="9" t="n">
        <v>300</v>
      </c>
      <c r="D117" s="9" t="n">
        <v>12464750</v>
      </c>
      <c r="E117" s="9" t="n">
        <v>600</v>
      </c>
      <c r="F117" s="9" t="n">
        <v>25090800</v>
      </c>
      <c r="G117" s="9" t="n">
        <v>288</v>
      </c>
      <c r="H117" s="9" t="n">
        <v>12017776</v>
      </c>
      <c r="I117" s="9" t="n">
        <v>612</v>
      </c>
      <c r="J117" s="9" t="n">
        <v>25537774</v>
      </c>
    </row>
    <row r="118" customFormat="false" ht="15.75" hidden="false" customHeight="false" outlineLevel="0" collapsed="false">
      <c r="A118" s="7" t="s">
        <v>126</v>
      </c>
      <c r="B118" s="7" t="n">
        <v>2</v>
      </c>
      <c r="C118" s="9" t="n">
        <v>8400</v>
      </c>
      <c r="D118" s="9" t="n">
        <v>49531177</v>
      </c>
      <c r="E118" s="9" t="n">
        <v>24000</v>
      </c>
      <c r="F118" s="9" t="n">
        <v>137448000</v>
      </c>
      <c r="G118" s="9" t="n">
        <v>25300</v>
      </c>
      <c r="H118" s="9" t="n">
        <v>146005345</v>
      </c>
      <c r="I118" s="9" t="n">
        <v>7100</v>
      </c>
      <c r="J118" s="9" t="n">
        <v>40973832</v>
      </c>
    </row>
    <row r="119" customFormat="false" ht="15.75" hidden="false" customHeight="false" outlineLevel="0" collapsed="false">
      <c r="A119" s="7" t="s">
        <v>127</v>
      </c>
      <c r="B119" s="7" t="n">
        <v>2</v>
      </c>
      <c r="C119" s="9" t="n">
        <v>1200</v>
      </c>
      <c r="D119" s="9" t="n">
        <v>6872400</v>
      </c>
      <c r="E119" s="9" t="n">
        <v>600</v>
      </c>
      <c r="F119" s="9" t="n">
        <v>3436200</v>
      </c>
      <c r="G119" s="9" t="n">
        <v>240</v>
      </c>
      <c r="H119" s="9" t="n">
        <v>1374480</v>
      </c>
      <c r="I119" s="9" t="n">
        <v>1560</v>
      </c>
      <c r="J119" s="9" t="n">
        <v>8934120</v>
      </c>
    </row>
    <row r="120" customFormat="false" ht="15.75" hidden="false" customHeight="false" outlineLevel="0" collapsed="false">
      <c r="A120" s="7" t="s">
        <v>128</v>
      </c>
      <c r="B120" s="7" t="n">
        <v>2</v>
      </c>
      <c r="C120" s="9" t="n">
        <v>0</v>
      </c>
      <c r="D120" s="9" t="n">
        <v>0</v>
      </c>
      <c r="E120" s="9" t="n">
        <v>200</v>
      </c>
      <c r="F120" s="9" t="n">
        <v>3000000</v>
      </c>
      <c r="G120" s="9" t="n">
        <v>0</v>
      </c>
      <c r="H120" s="9" t="n">
        <v>0</v>
      </c>
      <c r="I120" s="9" t="n">
        <v>200</v>
      </c>
      <c r="J120" s="9" t="n">
        <v>3000000</v>
      </c>
    </row>
    <row r="121" customFormat="false" ht="15.75" hidden="false" customHeight="false" outlineLevel="0" collapsed="false">
      <c r="A121" s="7" t="s">
        <v>129</v>
      </c>
      <c r="B121" s="7" t="n">
        <v>2</v>
      </c>
      <c r="C121" s="9" t="n">
        <v>0</v>
      </c>
      <c r="D121" s="9" t="n">
        <v>0</v>
      </c>
      <c r="E121" s="9" t="n">
        <v>0</v>
      </c>
      <c r="F121" s="9" t="n">
        <v>0</v>
      </c>
      <c r="G121" s="9" t="n">
        <v>0</v>
      </c>
      <c r="H121" s="9" t="n">
        <v>0</v>
      </c>
      <c r="I121" s="9" t="n">
        <v>0</v>
      </c>
      <c r="J121" s="9" t="n">
        <v>0</v>
      </c>
    </row>
    <row r="122" customFormat="false" ht="15.75" hidden="false" customHeight="false" outlineLevel="0" collapsed="false">
      <c r="A122" s="7" t="s">
        <v>130</v>
      </c>
      <c r="B122" s="7" t="n">
        <v>2</v>
      </c>
      <c r="C122" s="9" t="n">
        <v>6</v>
      </c>
      <c r="D122" s="9" t="n">
        <v>280908</v>
      </c>
      <c r="E122" s="9" t="n">
        <v>48</v>
      </c>
      <c r="F122" s="9" t="n">
        <v>2247264</v>
      </c>
      <c r="G122" s="9" t="n">
        <v>0</v>
      </c>
      <c r="H122" s="9" t="n">
        <v>0</v>
      </c>
      <c r="I122" s="9" t="n">
        <v>54</v>
      </c>
      <c r="J122" s="9" t="n">
        <v>2528172</v>
      </c>
    </row>
    <row r="123" customFormat="false" ht="15.75" hidden="false" customHeight="false" outlineLevel="0" collapsed="false">
      <c r="A123" s="7" t="s">
        <v>131</v>
      </c>
      <c r="B123" s="7" t="n">
        <v>2</v>
      </c>
      <c r="C123" s="9" t="n">
        <v>33</v>
      </c>
      <c r="D123" s="9" t="n">
        <v>1620003</v>
      </c>
      <c r="E123" s="9" t="n">
        <v>16</v>
      </c>
      <c r="F123" s="9" t="n">
        <v>785456</v>
      </c>
      <c r="G123" s="9" t="n">
        <v>0</v>
      </c>
      <c r="H123" s="9" t="n">
        <v>0</v>
      </c>
      <c r="I123" s="9" t="n">
        <v>49</v>
      </c>
      <c r="J123" s="9" t="n">
        <v>2405459</v>
      </c>
    </row>
    <row r="124" customFormat="false" ht="15.75" hidden="false" customHeight="false" outlineLevel="0" collapsed="false">
      <c r="A124" s="7" t="s">
        <v>132</v>
      </c>
      <c r="B124" s="7" t="n">
        <v>2</v>
      </c>
      <c r="C124" s="9" t="n">
        <v>100</v>
      </c>
      <c r="D124" s="9" t="n">
        <v>4363600</v>
      </c>
      <c r="E124" s="9" t="n">
        <v>160</v>
      </c>
      <c r="F124" s="9" t="n">
        <v>6981760</v>
      </c>
      <c r="G124" s="9" t="n">
        <v>0</v>
      </c>
      <c r="H124" s="9" t="n">
        <v>0</v>
      </c>
      <c r="I124" s="9" t="n">
        <v>260</v>
      </c>
      <c r="J124" s="9" t="n">
        <v>11345360</v>
      </c>
    </row>
    <row r="125" customFormat="false" ht="15.75" hidden="false" customHeight="false" outlineLevel="0" collapsed="false">
      <c r="A125" s="7" t="s">
        <v>133</v>
      </c>
      <c r="B125" s="7" t="n">
        <v>2</v>
      </c>
      <c r="C125" s="9" t="n">
        <v>0</v>
      </c>
      <c r="D125" s="9" t="n">
        <v>0</v>
      </c>
      <c r="E125" s="9" t="n">
        <v>101</v>
      </c>
      <c r="F125" s="9" t="n">
        <v>3764573</v>
      </c>
      <c r="G125" s="9" t="n">
        <v>0</v>
      </c>
      <c r="H125" s="9" t="n">
        <v>0</v>
      </c>
      <c r="I125" s="9" t="n">
        <v>101</v>
      </c>
      <c r="J125" s="9" t="n">
        <v>3764573</v>
      </c>
    </row>
    <row r="126" customFormat="false" ht="15.75" hidden="false" customHeight="false" outlineLevel="0" collapsed="false">
      <c r="A126" s="7" t="s">
        <v>134</v>
      </c>
      <c r="B126" s="7" t="n">
        <v>2</v>
      </c>
      <c r="C126" s="9" t="n">
        <v>8</v>
      </c>
      <c r="D126" s="9" t="n">
        <v>229088</v>
      </c>
      <c r="E126" s="9" t="n">
        <v>15</v>
      </c>
      <c r="F126" s="9" t="n">
        <v>429540</v>
      </c>
      <c r="G126" s="9" t="n">
        <v>0</v>
      </c>
      <c r="H126" s="9" t="n">
        <v>0</v>
      </c>
      <c r="I126" s="9" t="n">
        <v>23</v>
      </c>
      <c r="J126" s="9" t="n">
        <v>658628</v>
      </c>
    </row>
    <row r="127" customFormat="false" ht="15.75" hidden="false" customHeight="false" outlineLevel="0" collapsed="false">
      <c r="A127" s="7" t="s">
        <v>135</v>
      </c>
      <c r="B127" s="7" t="n">
        <v>2</v>
      </c>
      <c r="C127" s="9" t="n">
        <v>780</v>
      </c>
      <c r="D127" s="9" t="n">
        <v>143114688</v>
      </c>
      <c r="E127" s="9" t="n">
        <v>200</v>
      </c>
      <c r="F127" s="9" t="n">
        <v>36743600</v>
      </c>
      <c r="G127" s="9" t="n">
        <v>50</v>
      </c>
      <c r="H127" s="9" t="n">
        <v>9176443</v>
      </c>
      <c r="I127" s="9" t="n">
        <v>930</v>
      </c>
      <c r="J127" s="9" t="n">
        <v>170681845</v>
      </c>
    </row>
    <row r="128" customFormat="false" ht="15.75" hidden="false" customHeight="false" outlineLevel="0" collapsed="false">
      <c r="A128" s="7" t="s">
        <v>136</v>
      </c>
      <c r="B128" s="7" t="n">
        <v>2</v>
      </c>
      <c r="C128" s="9" t="n">
        <v>7680</v>
      </c>
      <c r="D128" s="9" t="n">
        <v>110922398</v>
      </c>
      <c r="E128" s="9" t="n">
        <v>6240</v>
      </c>
      <c r="F128" s="9" t="n">
        <v>90760800</v>
      </c>
      <c r="G128" s="9" t="n">
        <v>11112</v>
      </c>
      <c r="H128" s="9" t="n">
        <v>160998829</v>
      </c>
      <c r="I128" s="9" t="n">
        <v>2808</v>
      </c>
      <c r="J128" s="9" t="n">
        <v>40684369</v>
      </c>
    </row>
    <row r="129" customFormat="false" ht="15.75" hidden="false" customHeight="false" outlineLevel="0" collapsed="false">
      <c r="A129" s="7" t="s">
        <v>137</v>
      </c>
      <c r="B129" s="7" t="n">
        <v>2</v>
      </c>
      <c r="C129" s="9" t="n">
        <v>0</v>
      </c>
      <c r="D129" s="9" t="n">
        <v>0</v>
      </c>
      <c r="E129" s="9" t="n">
        <v>0</v>
      </c>
      <c r="F129" s="9" t="n">
        <v>0</v>
      </c>
      <c r="G129" s="9" t="n">
        <v>0</v>
      </c>
      <c r="H129" s="9" t="n">
        <v>0</v>
      </c>
      <c r="I129" s="9" t="n">
        <v>0</v>
      </c>
      <c r="J129" s="9" t="n">
        <v>0</v>
      </c>
    </row>
    <row r="130" customFormat="false" ht="15.75" hidden="false" customHeight="false" outlineLevel="0" collapsed="false">
      <c r="A130" s="7" t="s">
        <v>138</v>
      </c>
      <c r="B130" s="7" t="n">
        <v>2</v>
      </c>
      <c r="C130" s="9" t="n">
        <v>0</v>
      </c>
      <c r="D130" s="9" t="n">
        <v>0</v>
      </c>
      <c r="E130" s="9" t="n">
        <v>0</v>
      </c>
      <c r="F130" s="9" t="n">
        <v>0</v>
      </c>
      <c r="G130" s="9" t="n">
        <v>0</v>
      </c>
      <c r="H130" s="9" t="n">
        <v>0</v>
      </c>
      <c r="I130" s="9" t="n">
        <v>0</v>
      </c>
      <c r="J130" s="9" t="n">
        <v>0</v>
      </c>
    </row>
    <row r="131" customFormat="false" ht="15.75" hidden="false" customHeight="false" outlineLevel="0" collapsed="false">
      <c r="A131" s="7" t="s">
        <v>139</v>
      </c>
      <c r="B131" s="7" t="n">
        <v>2</v>
      </c>
      <c r="C131" s="9" t="n">
        <v>1187</v>
      </c>
      <c r="D131" s="9" t="n">
        <v>215540551</v>
      </c>
      <c r="E131" s="9" t="n">
        <v>0</v>
      </c>
      <c r="F131" s="9" t="n">
        <v>0</v>
      </c>
      <c r="G131" s="9" t="n">
        <v>395</v>
      </c>
      <c r="H131" s="9" t="n">
        <v>71725794</v>
      </c>
      <c r="I131" s="9" t="n">
        <v>792</v>
      </c>
      <c r="J131" s="9" t="n">
        <v>143814757</v>
      </c>
    </row>
    <row r="132" customFormat="false" ht="15.75" hidden="false" customHeight="false" outlineLevel="0" collapsed="false">
      <c r="A132" s="7" t="s">
        <v>140</v>
      </c>
      <c r="B132" s="7" t="n">
        <v>2</v>
      </c>
      <c r="C132" s="9" t="n">
        <v>5536</v>
      </c>
      <c r="D132" s="9" t="n">
        <v>1016780512</v>
      </c>
      <c r="E132" s="9" t="n">
        <v>1050</v>
      </c>
      <c r="F132" s="9" t="n">
        <v>193696650</v>
      </c>
      <c r="G132" s="9" t="n">
        <v>150</v>
      </c>
      <c r="H132" s="9" t="n">
        <v>27569325</v>
      </c>
      <c r="I132" s="9" t="n">
        <v>6436</v>
      </c>
      <c r="J132" s="9" t="n">
        <v>1182907837</v>
      </c>
    </row>
    <row r="133" customFormat="false" ht="15.75" hidden="false" customHeight="false" outlineLevel="0" collapsed="false">
      <c r="A133" s="7" t="s">
        <v>141</v>
      </c>
      <c r="B133" s="7" t="n">
        <v>2</v>
      </c>
      <c r="C133" s="9" t="n">
        <v>2329</v>
      </c>
      <c r="D133" s="9" t="n">
        <v>427760443</v>
      </c>
      <c r="E133" s="9" t="n">
        <v>800</v>
      </c>
      <c r="F133" s="9" t="n">
        <v>147578400</v>
      </c>
      <c r="G133" s="9" t="n">
        <v>0</v>
      </c>
      <c r="H133" s="9" t="n">
        <v>0</v>
      </c>
      <c r="I133" s="9" t="n">
        <v>3129</v>
      </c>
      <c r="J133" s="9" t="n">
        <v>575338843</v>
      </c>
    </row>
    <row r="134" customFormat="false" ht="15.75" hidden="false" customHeight="false" outlineLevel="0" collapsed="false">
      <c r="A134" s="7" t="s">
        <v>142</v>
      </c>
      <c r="B134" s="7" t="n">
        <v>2</v>
      </c>
      <c r="C134" s="9" t="n">
        <v>2430</v>
      </c>
      <c r="D134" s="9" t="n">
        <v>446310810</v>
      </c>
      <c r="E134" s="9" t="n">
        <v>0</v>
      </c>
      <c r="F134" s="9" t="n">
        <v>0</v>
      </c>
      <c r="G134" s="9" t="n">
        <v>1280</v>
      </c>
      <c r="H134" s="9" t="n">
        <v>235093760</v>
      </c>
      <c r="I134" s="9" t="n">
        <v>1150</v>
      </c>
      <c r="J134" s="9" t="n">
        <v>211217050</v>
      </c>
    </row>
    <row r="135" customFormat="false" ht="15.75" hidden="false" customHeight="false" outlineLevel="0" collapsed="false">
      <c r="A135" s="7" t="s">
        <v>143</v>
      </c>
      <c r="B135" s="7" t="n">
        <v>2</v>
      </c>
      <c r="C135" s="9" t="n">
        <v>2211</v>
      </c>
      <c r="D135" s="9" t="n">
        <v>405708840</v>
      </c>
      <c r="E135" s="9" t="n">
        <v>0</v>
      </c>
      <c r="F135" s="9" t="n">
        <v>0</v>
      </c>
      <c r="G135" s="9" t="n">
        <v>940</v>
      </c>
      <c r="H135" s="9" t="n">
        <v>172485893</v>
      </c>
      <c r="I135" s="9" t="n">
        <v>1271</v>
      </c>
      <c r="J135" s="9" t="n">
        <v>233222947</v>
      </c>
    </row>
    <row r="136" customFormat="false" ht="15.75" hidden="false" customHeight="false" outlineLevel="0" collapsed="false">
      <c r="A136" s="7" t="s">
        <v>144</v>
      </c>
      <c r="B136" s="7" t="n">
        <v>2</v>
      </c>
      <c r="C136" s="9" t="n">
        <v>1550</v>
      </c>
      <c r="D136" s="9" t="n">
        <v>282228650</v>
      </c>
      <c r="E136" s="9" t="n">
        <v>1210</v>
      </c>
      <c r="F136" s="9" t="n">
        <v>220704000</v>
      </c>
      <c r="G136" s="9" t="n">
        <v>1290</v>
      </c>
      <c r="H136" s="9" t="n">
        <v>235066347</v>
      </c>
      <c r="I136" s="9" t="n">
        <v>1470</v>
      </c>
      <c r="J136" s="9" t="n">
        <v>267866303</v>
      </c>
    </row>
    <row r="137" customFormat="false" ht="15.75" hidden="false" customHeight="false" outlineLevel="0" collapsed="false">
      <c r="A137" s="7" t="s">
        <v>145</v>
      </c>
      <c r="B137" s="7" t="n">
        <v>2</v>
      </c>
      <c r="C137" s="9" t="n">
        <v>563</v>
      </c>
      <c r="D137" s="9" t="n">
        <v>100626281</v>
      </c>
      <c r="E137" s="9" t="n">
        <v>0</v>
      </c>
      <c r="F137" s="9" t="n">
        <v>0</v>
      </c>
      <c r="G137" s="9" t="n">
        <v>0</v>
      </c>
      <c r="H137" s="9" t="n">
        <v>0</v>
      </c>
      <c r="I137" s="9" t="n">
        <v>563</v>
      </c>
      <c r="J137" s="9" t="n">
        <v>100626281</v>
      </c>
    </row>
    <row r="138" customFormat="false" ht="15.75" hidden="false" customHeight="false" outlineLevel="0" collapsed="false">
      <c r="A138" s="7" t="s">
        <v>146</v>
      </c>
      <c r="B138" s="7" t="n">
        <v>2</v>
      </c>
      <c r="C138" s="9" t="n">
        <v>1400</v>
      </c>
      <c r="D138" s="9" t="n">
        <v>265758500</v>
      </c>
      <c r="E138" s="9" t="n">
        <v>1010</v>
      </c>
      <c r="F138" s="9" t="n">
        <v>191551550</v>
      </c>
      <c r="G138" s="9" t="n">
        <v>0</v>
      </c>
      <c r="H138" s="9" t="n">
        <v>0</v>
      </c>
      <c r="I138" s="9" t="n">
        <v>2410</v>
      </c>
      <c r="J138" s="9" t="n">
        <v>457310050</v>
      </c>
    </row>
    <row r="139" customFormat="false" ht="15.75" hidden="false" customHeight="false" outlineLevel="0" collapsed="false">
      <c r="A139" s="7" t="s">
        <v>147</v>
      </c>
      <c r="B139" s="7" t="n">
        <v>2</v>
      </c>
      <c r="C139" s="9" t="n">
        <v>48</v>
      </c>
      <c r="D139" s="9" t="n">
        <v>8507764</v>
      </c>
      <c r="E139" s="9" t="n">
        <v>812</v>
      </c>
      <c r="F139" s="9" t="n">
        <v>227562236</v>
      </c>
      <c r="G139" s="9" t="n">
        <v>860</v>
      </c>
      <c r="H139" s="9" t="n">
        <v>236070000</v>
      </c>
      <c r="I139" s="9" t="n">
        <v>0</v>
      </c>
      <c r="J139" s="9" t="n">
        <v>0</v>
      </c>
    </row>
    <row r="140" customFormat="false" ht="15.75" hidden="false" customHeight="false" outlineLevel="0" collapsed="false">
      <c r="A140" s="7" t="s">
        <v>148</v>
      </c>
      <c r="B140" s="7" t="n">
        <v>2</v>
      </c>
      <c r="C140" s="9" t="n">
        <v>264</v>
      </c>
      <c r="D140" s="9" t="n">
        <v>30000960</v>
      </c>
      <c r="E140" s="9" t="n">
        <v>770</v>
      </c>
      <c r="F140" s="9" t="n">
        <v>87780000</v>
      </c>
      <c r="G140" s="9" t="n">
        <v>0</v>
      </c>
      <c r="H140" s="9" t="n">
        <v>0</v>
      </c>
      <c r="I140" s="9" t="n">
        <v>1034</v>
      </c>
      <c r="J140" s="9" t="n">
        <v>117780960</v>
      </c>
    </row>
    <row r="141" customFormat="false" ht="15.75" hidden="false" customHeight="false" outlineLevel="0" collapsed="false">
      <c r="A141" s="7" t="s">
        <v>149</v>
      </c>
      <c r="B141" s="7" t="n">
        <v>2</v>
      </c>
      <c r="C141" s="9" t="n">
        <v>5879</v>
      </c>
      <c r="D141" s="9" t="n">
        <v>1116568632</v>
      </c>
      <c r="E141" s="9" t="n">
        <v>230</v>
      </c>
      <c r="F141" s="9" t="n">
        <v>43620650</v>
      </c>
      <c r="G141" s="9" t="n">
        <v>130</v>
      </c>
      <c r="H141" s="9" t="n">
        <v>24688919</v>
      </c>
      <c r="I141" s="9" t="n">
        <v>5979</v>
      </c>
      <c r="J141" s="9" t="n">
        <v>1135500363</v>
      </c>
    </row>
    <row r="142" customFormat="false" ht="15.75" hidden="false" customHeight="false" outlineLevel="0" collapsed="false">
      <c r="A142" s="7" t="s">
        <v>150</v>
      </c>
      <c r="B142" s="7" t="n">
        <v>2</v>
      </c>
      <c r="C142" s="9" t="n">
        <v>0</v>
      </c>
      <c r="D142" s="9" t="n">
        <v>0</v>
      </c>
      <c r="E142" s="9" t="n">
        <v>0</v>
      </c>
      <c r="F142" s="9" t="n">
        <v>0</v>
      </c>
      <c r="G142" s="9" t="n">
        <v>0</v>
      </c>
      <c r="H142" s="9" t="n">
        <v>0</v>
      </c>
      <c r="I142" s="9" t="n">
        <v>0</v>
      </c>
      <c r="J142" s="9" t="n">
        <v>0</v>
      </c>
    </row>
    <row r="143" customFormat="false" ht="15.75" hidden="false" customHeight="false" outlineLevel="0" collapsed="false">
      <c r="A143" s="7" t="s">
        <v>151</v>
      </c>
      <c r="B143" s="7" t="n">
        <v>2</v>
      </c>
      <c r="C143" s="9" t="n">
        <v>239</v>
      </c>
      <c r="D143" s="9" t="n">
        <v>45410000</v>
      </c>
      <c r="E143" s="9" t="n">
        <v>0</v>
      </c>
      <c r="F143" s="9" t="n">
        <v>0</v>
      </c>
      <c r="G143" s="9" t="n">
        <v>0</v>
      </c>
      <c r="H143" s="9" t="n">
        <v>0</v>
      </c>
      <c r="I143" s="9" t="n">
        <v>239</v>
      </c>
      <c r="J143" s="9" t="n">
        <v>45410000</v>
      </c>
    </row>
    <row r="144" customFormat="false" ht="15.75" hidden="false" customHeight="false" outlineLevel="0" collapsed="false">
      <c r="A144" s="7" t="s">
        <v>152</v>
      </c>
      <c r="B144" s="7" t="n">
        <v>2</v>
      </c>
      <c r="C144" s="9" t="n">
        <v>0</v>
      </c>
      <c r="D144" s="9" t="n">
        <v>0</v>
      </c>
      <c r="E144" s="9" t="n">
        <v>0</v>
      </c>
      <c r="F144" s="9" t="n">
        <v>0</v>
      </c>
      <c r="G144" s="9" t="n">
        <v>0</v>
      </c>
      <c r="H144" s="9" t="n">
        <v>0</v>
      </c>
      <c r="I144" s="9" t="n">
        <v>0</v>
      </c>
      <c r="J144" s="9" t="n">
        <v>0</v>
      </c>
    </row>
    <row r="145" customFormat="false" ht="15.75" hidden="false" customHeight="false" outlineLevel="0" collapsed="false">
      <c r="A145" s="7" t="s">
        <v>153</v>
      </c>
      <c r="B145" s="7" t="n">
        <v>2</v>
      </c>
      <c r="C145" s="9" t="n">
        <v>0</v>
      </c>
      <c r="D145" s="9" t="n">
        <v>0</v>
      </c>
      <c r="E145" s="9" t="n">
        <v>0</v>
      </c>
      <c r="F145" s="9" t="n">
        <v>0</v>
      </c>
      <c r="G145" s="9" t="n">
        <v>0</v>
      </c>
      <c r="H145" s="9" t="n">
        <v>0</v>
      </c>
      <c r="I145" s="9" t="n">
        <v>0</v>
      </c>
      <c r="J145" s="9" t="n">
        <v>0</v>
      </c>
    </row>
    <row r="146" customFormat="false" ht="15.75" hidden="false" customHeight="false" outlineLevel="0" collapsed="false">
      <c r="A146" s="7" t="s">
        <v>154</v>
      </c>
      <c r="B146" s="7" t="n">
        <v>2</v>
      </c>
      <c r="C146" s="9" t="n">
        <v>0</v>
      </c>
      <c r="D146" s="9" t="n">
        <v>0</v>
      </c>
      <c r="E146" s="9" t="n">
        <v>0</v>
      </c>
      <c r="F146" s="9" t="n">
        <v>0</v>
      </c>
      <c r="G146" s="9" t="n">
        <v>0</v>
      </c>
      <c r="H146" s="9" t="n">
        <v>0</v>
      </c>
      <c r="I146" s="9" t="n">
        <v>0</v>
      </c>
      <c r="J146" s="9" t="n">
        <v>0</v>
      </c>
    </row>
    <row r="147" customFormat="false" ht="15.75" hidden="false" customHeight="false" outlineLevel="0" collapsed="false">
      <c r="A147" s="7" t="s">
        <v>155</v>
      </c>
      <c r="B147" s="7" t="n">
        <v>2</v>
      </c>
      <c r="C147" s="9" t="n">
        <v>154</v>
      </c>
      <c r="D147" s="9" t="n">
        <v>44639148</v>
      </c>
      <c r="E147" s="9" t="n">
        <v>50</v>
      </c>
      <c r="F147" s="9" t="n">
        <v>14509100</v>
      </c>
      <c r="G147" s="9" t="n">
        <v>0</v>
      </c>
      <c r="H147" s="9" t="n">
        <v>0</v>
      </c>
      <c r="I147" s="9" t="n">
        <v>204</v>
      </c>
      <c r="J147" s="9" t="n">
        <v>59148248</v>
      </c>
    </row>
    <row r="148" customFormat="false" ht="15.75" hidden="false" customHeight="false" outlineLevel="0" collapsed="false">
      <c r="A148" s="7" t="s">
        <v>156</v>
      </c>
      <c r="B148" s="7" t="n">
        <v>2</v>
      </c>
      <c r="C148" s="9" t="n">
        <v>0</v>
      </c>
      <c r="D148" s="9" t="n">
        <v>0</v>
      </c>
      <c r="E148" s="9" t="n">
        <v>0</v>
      </c>
      <c r="F148" s="9" t="n">
        <v>0</v>
      </c>
      <c r="G148" s="9" t="n">
        <v>0</v>
      </c>
      <c r="H148" s="9" t="n">
        <v>0</v>
      </c>
      <c r="I148" s="9" t="n">
        <v>0</v>
      </c>
      <c r="J148" s="9" t="n">
        <v>0</v>
      </c>
    </row>
    <row r="149" customFormat="false" ht="15.75" hidden="false" customHeight="false" outlineLevel="0" collapsed="false">
      <c r="A149" s="7" t="s">
        <v>157</v>
      </c>
      <c r="B149" s="7" t="n">
        <v>2</v>
      </c>
      <c r="C149" s="9" t="n">
        <v>0</v>
      </c>
      <c r="D149" s="9" t="n">
        <v>0</v>
      </c>
      <c r="E149" s="9" t="n">
        <v>0</v>
      </c>
      <c r="F149" s="9" t="n">
        <v>0</v>
      </c>
      <c r="G149" s="9" t="n">
        <v>0</v>
      </c>
      <c r="H149" s="9" t="n">
        <v>0</v>
      </c>
      <c r="I149" s="9" t="n">
        <v>0</v>
      </c>
      <c r="J149" s="9" t="n">
        <v>0</v>
      </c>
    </row>
    <row r="150" customFormat="false" ht="15.75" hidden="false" customHeight="false" outlineLevel="0" collapsed="false">
      <c r="A150" s="7" t="s">
        <v>158</v>
      </c>
      <c r="B150" s="7" t="n">
        <v>2</v>
      </c>
      <c r="C150" s="9" t="n">
        <v>157</v>
      </c>
      <c r="D150" s="9" t="n">
        <v>34833360</v>
      </c>
      <c r="E150" s="9" t="n">
        <v>6</v>
      </c>
      <c r="F150" s="9" t="n">
        <v>0</v>
      </c>
      <c r="G150" s="9" t="n">
        <v>0</v>
      </c>
      <c r="H150" s="9" t="n">
        <v>0</v>
      </c>
      <c r="I150" s="9" t="n">
        <v>163</v>
      </c>
      <c r="J150" s="9" t="n">
        <v>34833360</v>
      </c>
    </row>
    <row r="151" customFormat="false" ht="15.75" hidden="false" customHeight="false" outlineLevel="0" collapsed="false">
      <c r="A151" s="7" t="s">
        <v>159</v>
      </c>
      <c r="B151" s="7" t="n">
        <v>2</v>
      </c>
      <c r="C151" s="9" t="n">
        <v>108</v>
      </c>
      <c r="D151" s="9" t="n">
        <v>23773050</v>
      </c>
      <c r="E151" s="9" t="n">
        <v>200</v>
      </c>
      <c r="F151" s="9" t="n">
        <v>44024000</v>
      </c>
      <c r="G151" s="9" t="n">
        <v>214</v>
      </c>
      <c r="H151" s="9" t="n">
        <v>47105858</v>
      </c>
      <c r="I151" s="9" t="n">
        <v>94</v>
      </c>
      <c r="J151" s="9" t="n">
        <v>20691192</v>
      </c>
    </row>
    <row r="152" customFormat="false" ht="15.75" hidden="false" customHeight="false" outlineLevel="0" collapsed="false">
      <c r="A152" s="7" t="s">
        <v>160</v>
      </c>
      <c r="B152" s="7" t="n">
        <v>2</v>
      </c>
      <c r="C152" s="9" t="n">
        <v>100</v>
      </c>
      <c r="D152" s="9" t="n">
        <v>26411940</v>
      </c>
      <c r="E152" s="9" t="n">
        <v>150</v>
      </c>
      <c r="F152" s="9" t="n">
        <v>39630000</v>
      </c>
      <c r="G152" s="9" t="n">
        <v>185</v>
      </c>
      <c r="H152" s="9" t="n">
        <v>48862089</v>
      </c>
      <c r="I152" s="9" t="n">
        <v>65</v>
      </c>
      <c r="J152" s="9" t="n">
        <v>17179851</v>
      </c>
    </row>
    <row r="153" customFormat="false" ht="15.75" hidden="false" customHeight="false" outlineLevel="0" collapsed="false">
      <c r="A153" s="7" t="s">
        <v>161</v>
      </c>
      <c r="B153" s="7" t="n">
        <v>2</v>
      </c>
      <c r="C153" s="9" t="n">
        <v>0</v>
      </c>
      <c r="D153" s="9" t="n">
        <v>0</v>
      </c>
      <c r="E153" s="9" t="n">
        <v>0</v>
      </c>
      <c r="F153" s="9" t="n">
        <v>0</v>
      </c>
      <c r="G153" s="9" t="n">
        <v>0</v>
      </c>
      <c r="H153" s="9" t="n">
        <v>0</v>
      </c>
      <c r="I153" s="9" t="n">
        <v>0</v>
      </c>
      <c r="J153" s="9" t="n">
        <v>0</v>
      </c>
    </row>
    <row r="154" customFormat="false" ht="15.75" hidden="false" customHeight="false" outlineLevel="0" collapsed="false">
      <c r="A154" s="7" t="s">
        <v>162</v>
      </c>
      <c r="B154" s="7" t="n">
        <v>2</v>
      </c>
      <c r="C154" s="9" t="n">
        <v>105</v>
      </c>
      <c r="D154" s="9" t="n">
        <v>33189555</v>
      </c>
      <c r="E154" s="9" t="n">
        <v>150</v>
      </c>
      <c r="F154" s="9" t="n">
        <v>47413650</v>
      </c>
      <c r="G154" s="9" t="n">
        <v>0</v>
      </c>
      <c r="H154" s="9" t="n">
        <v>0</v>
      </c>
      <c r="I154" s="9" t="n">
        <v>255</v>
      </c>
      <c r="J154" s="9" t="n">
        <v>80603205</v>
      </c>
    </row>
    <row r="155" customFormat="false" ht="15.75" hidden="false" customHeight="false" outlineLevel="0" collapsed="false">
      <c r="A155" s="7" t="s">
        <v>163</v>
      </c>
      <c r="B155" s="7" t="n">
        <v>2</v>
      </c>
      <c r="C155" s="9" t="n">
        <v>0</v>
      </c>
      <c r="D155" s="9" t="n">
        <v>0</v>
      </c>
      <c r="E155" s="9" t="n">
        <v>0</v>
      </c>
      <c r="F155" s="9" t="n">
        <v>0</v>
      </c>
      <c r="G155" s="9" t="n">
        <v>0</v>
      </c>
      <c r="H155" s="9" t="n">
        <v>0</v>
      </c>
      <c r="I155" s="9" t="n">
        <v>0</v>
      </c>
      <c r="J155" s="9" t="n">
        <v>0</v>
      </c>
    </row>
    <row r="156" customFormat="false" ht="15.75" hidden="false" customHeight="false" outlineLevel="0" collapsed="false">
      <c r="A156" s="7" t="s">
        <v>164</v>
      </c>
      <c r="B156" s="7" t="n">
        <v>2</v>
      </c>
      <c r="C156" s="9" t="n">
        <v>149</v>
      </c>
      <c r="D156" s="9" t="n">
        <v>22780930</v>
      </c>
      <c r="E156" s="9" t="n">
        <v>42</v>
      </c>
      <c r="F156" s="9" t="n">
        <v>4756920</v>
      </c>
      <c r="G156" s="9" t="n">
        <v>96</v>
      </c>
      <c r="H156" s="9" t="n">
        <v>13841014</v>
      </c>
      <c r="I156" s="9" t="n">
        <v>95</v>
      </c>
      <c r="J156" s="9" t="n">
        <v>13696836</v>
      </c>
    </row>
    <row r="157" customFormat="false" ht="15.75" hidden="false" customHeight="false" outlineLevel="0" collapsed="false">
      <c r="A157" s="7" t="s">
        <v>165</v>
      </c>
      <c r="B157" s="7" t="n">
        <v>2</v>
      </c>
      <c r="C157" s="9" t="n">
        <v>70</v>
      </c>
      <c r="D157" s="9" t="n">
        <v>9502290</v>
      </c>
      <c r="E157" s="9" t="n">
        <v>80</v>
      </c>
      <c r="F157" s="9" t="n">
        <v>12685120</v>
      </c>
      <c r="G157" s="9" t="n">
        <v>0</v>
      </c>
      <c r="H157" s="9" t="n">
        <v>0</v>
      </c>
      <c r="I157" s="9" t="n">
        <v>150</v>
      </c>
      <c r="J157" s="9" t="n">
        <v>22187410</v>
      </c>
    </row>
    <row r="158" customFormat="false" ht="15.75" hidden="false" customHeight="false" outlineLevel="0" collapsed="false">
      <c r="A158" s="7" t="s">
        <v>166</v>
      </c>
      <c r="B158" s="7" t="n">
        <v>2</v>
      </c>
      <c r="C158" s="9" t="n">
        <v>0</v>
      </c>
      <c r="D158" s="9" t="n">
        <v>0</v>
      </c>
      <c r="E158" s="9" t="n">
        <v>0</v>
      </c>
      <c r="F158" s="9" t="n">
        <v>0</v>
      </c>
      <c r="G158" s="9" t="n">
        <v>0</v>
      </c>
      <c r="H158" s="9" t="n">
        <v>0</v>
      </c>
      <c r="I158" s="9" t="n">
        <v>0</v>
      </c>
      <c r="J158" s="9" t="n">
        <v>0</v>
      </c>
    </row>
    <row r="159" customFormat="false" ht="15.75" hidden="false" customHeight="false" outlineLevel="0" collapsed="false">
      <c r="A159" s="7" t="s">
        <v>167</v>
      </c>
      <c r="B159" s="7" t="n">
        <v>2</v>
      </c>
      <c r="C159" s="9" t="n">
        <v>2026</v>
      </c>
      <c r="D159" s="9" t="n">
        <v>376155296</v>
      </c>
      <c r="E159" s="9" t="n">
        <v>0</v>
      </c>
      <c r="F159" s="9" t="n">
        <v>0</v>
      </c>
      <c r="G159" s="9" t="n">
        <v>950</v>
      </c>
      <c r="H159" s="9" t="n">
        <v>176380815</v>
      </c>
      <c r="I159" s="9" t="n">
        <v>1076</v>
      </c>
      <c r="J159" s="9" t="n">
        <v>199774481</v>
      </c>
    </row>
    <row r="160" customFormat="false" ht="15.75" hidden="false" customHeight="false" outlineLevel="0" collapsed="false">
      <c r="A160" s="7" t="s">
        <v>168</v>
      </c>
      <c r="B160" s="7" t="n">
        <v>2</v>
      </c>
      <c r="C160" s="9" t="n">
        <v>10</v>
      </c>
      <c r="D160" s="9" t="n">
        <v>1820830</v>
      </c>
      <c r="E160" s="9" t="n">
        <v>0</v>
      </c>
      <c r="F160" s="9" t="n">
        <v>0</v>
      </c>
      <c r="G160" s="9" t="n">
        <v>0</v>
      </c>
      <c r="H160" s="9" t="n">
        <v>0</v>
      </c>
      <c r="I160" s="9" t="n">
        <v>10</v>
      </c>
      <c r="J160" s="9" t="n">
        <v>1820830</v>
      </c>
    </row>
    <row r="161" customFormat="false" ht="15.75" hidden="false" customHeight="false" outlineLevel="0" collapsed="false">
      <c r="A161" s="7" t="s">
        <v>169</v>
      </c>
      <c r="B161" s="7" t="n">
        <v>2</v>
      </c>
      <c r="C161" s="9" t="n">
        <v>1004</v>
      </c>
      <c r="D161" s="9" t="n">
        <v>177797220</v>
      </c>
      <c r="E161" s="9" t="n">
        <v>0</v>
      </c>
      <c r="F161" s="9" t="n">
        <v>0</v>
      </c>
      <c r="G161" s="9" t="n">
        <v>0</v>
      </c>
      <c r="H161" s="9" t="n">
        <v>0</v>
      </c>
      <c r="I161" s="9" t="n">
        <v>1004</v>
      </c>
      <c r="J161" s="9" t="n">
        <v>177797220</v>
      </c>
    </row>
    <row r="162" customFormat="false" ht="15.75" hidden="false" customHeight="false" outlineLevel="0" collapsed="false">
      <c r="A162" s="7" t="s">
        <v>170</v>
      </c>
      <c r="B162" s="7" t="n">
        <v>2</v>
      </c>
      <c r="C162" s="9" t="n">
        <v>17</v>
      </c>
      <c r="D162" s="9" t="n">
        <v>4668812</v>
      </c>
      <c r="E162" s="9" t="n">
        <v>600</v>
      </c>
      <c r="F162" s="9" t="n">
        <v>164781600</v>
      </c>
      <c r="G162" s="9" t="n">
        <v>540</v>
      </c>
      <c r="H162" s="9" t="n">
        <v>148303440</v>
      </c>
      <c r="I162" s="9" t="n">
        <v>77</v>
      </c>
      <c r="J162" s="9" t="n">
        <v>21146972</v>
      </c>
    </row>
    <row r="163" customFormat="false" ht="15.75" hidden="false" customHeight="false" outlineLevel="0" collapsed="false">
      <c r="A163" s="7" t="s">
        <v>171</v>
      </c>
      <c r="B163" s="7" t="n">
        <v>2</v>
      </c>
      <c r="C163" s="9" t="n">
        <v>0</v>
      </c>
      <c r="D163" s="9" t="n">
        <v>0</v>
      </c>
      <c r="E163" s="9" t="n">
        <v>0</v>
      </c>
      <c r="F163" s="9" t="n">
        <v>0</v>
      </c>
      <c r="G163" s="9" t="n">
        <v>0</v>
      </c>
      <c r="H163" s="9" t="n">
        <v>0</v>
      </c>
      <c r="I163" s="9" t="n">
        <v>0</v>
      </c>
      <c r="J163" s="9" t="n">
        <v>0</v>
      </c>
    </row>
    <row r="164" customFormat="false" ht="15.75" hidden="false" customHeight="false" outlineLevel="0" collapsed="false">
      <c r="A164" s="7" t="s">
        <v>172</v>
      </c>
      <c r="B164" s="7" t="n">
        <v>2</v>
      </c>
      <c r="C164" s="9" t="n">
        <v>0</v>
      </c>
      <c r="D164" s="9" t="n">
        <v>0</v>
      </c>
      <c r="E164" s="9" t="n">
        <v>0</v>
      </c>
      <c r="F164" s="9" t="n">
        <v>0</v>
      </c>
      <c r="G164" s="9" t="n">
        <v>0</v>
      </c>
      <c r="H164" s="9" t="n">
        <v>0</v>
      </c>
      <c r="I164" s="9" t="n">
        <v>0</v>
      </c>
      <c r="J164" s="9" t="n">
        <v>0</v>
      </c>
    </row>
    <row r="165" customFormat="false" ht="15.75" hidden="false" customHeight="false" outlineLevel="0" collapsed="false">
      <c r="A165" s="7" t="s">
        <v>173</v>
      </c>
      <c r="B165" s="7" t="n">
        <v>2</v>
      </c>
      <c r="C165" s="9" t="n">
        <v>0</v>
      </c>
      <c r="D165" s="9" t="n">
        <v>0</v>
      </c>
      <c r="E165" s="9" t="n">
        <v>0</v>
      </c>
      <c r="F165" s="9" t="n">
        <v>0</v>
      </c>
      <c r="G165" s="9" t="n">
        <v>0</v>
      </c>
      <c r="H165" s="9" t="n">
        <v>0</v>
      </c>
      <c r="I165" s="9" t="n">
        <v>0</v>
      </c>
      <c r="J165" s="9" t="n">
        <v>0</v>
      </c>
    </row>
    <row r="166" customFormat="false" ht="15.75" hidden="false" customHeight="false" outlineLevel="0" collapsed="false">
      <c r="A166" s="7" t="s">
        <v>174</v>
      </c>
      <c r="B166" s="7" t="n">
        <v>2</v>
      </c>
      <c r="C166" s="9" t="n">
        <v>30</v>
      </c>
      <c r="D166" s="9" t="n">
        <v>8233320</v>
      </c>
      <c r="E166" s="9" t="n">
        <v>30</v>
      </c>
      <c r="F166" s="9" t="n">
        <v>8239080</v>
      </c>
      <c r="G166" s="9" t="n">
        <v>0</v>
      </c>
      <c r="H166" s="9" t="n">
        <v>0</v>
      </c>
      <c r="I166" s="9" t="n">
        <v>60</v>
      </c>
      <c r="J166" s="9" t="n">
        <v>16472400</v>
      </c>
    </row>
    <row r="167" customFormat="false" ht="15.75" hidden="false" customHeight="false" outlineLevel="0" collapsed="false">
      <c r="A167" s="7" t="s">
        <v>175</v>
      </c>
      <c r="B167" s="7" t="n">
        <v>2</v>
      </c>
      <c r="C167" s="9" t="n">
        <v>0</v>
      </c>
      <c r="D167" s="9" t="n">
        <v>0</v>
      </c>
      <c r="E167" s="9" t="n">
        <v>0</v>
      </c>
      <c r="F167" s="9" t="n">
        <v>0</v>
      </c>
      <c r="G167" s="9" t="n">
        <v>0</v>
      </c>
      <c r="H167" s="9" t="n">
        <v>0</v>
      </c>
      <c r="I167" s="9" t="n">
        <v>0</v>
      </c>
      <c r="J167" s="9" t="n">
        <v>0</v>
      </c>
    </row>
    <row r="168" customFormat="false" ht="15.75" hidden="false" customHeight="false" outlineLevel="0" collapsed="false">
      <c r="A168" s="7" t="s">
        <v>176</v>
      </c>
      <c r="B168" s="7" t="n">
        <v>2</v>
      </c>
      <c r="C168" s="9" t="n">
        <v>0</v>
      </c>
      <c r="D168" s="9" t="n">
        <v>0</v>
      </c>
      <c r="E168" s="9" t="n">
        <v>0</v>
      </c>
      <c r="F168" s="9" t="n">
        <v>0</v>
      </c>
      <c r="G168" s="9" t="n">
        <v>0</v>
      </c>
      <c r="H168" s="9" t="n">
        <v>0</v>
      </c>
      <c r="I168" s="9" t="n">
        <v>0</v>
      </c>
      <c r="J168" s="9" t="n">
        <v>0</v>
      </c>
    </row>
    <row r="169" customFormat="false" ht="15.75" hidden="false" customHeight="false" outlineLevel="0" collapsed="false">
      <c r="A169" s="7" t="s">
        <v>177</v>
      </c>
      <c r="B169" s="7" t="n">
        <v>2</v>
      </c>
      <c r="C169" s="9" t="n">
        <v>0</v>
      </c>
      <c r="D169" s="9" t="n">
        <v>0</v>
      </c>
      <c r="E169" s="9" t="n">
        <v>0</v>
      </c>
      <c r="F169" s="9" t="n">
        <v>0</v>
      </c>
      <c r="G169" s="9" t="n">
        <v>0</v>
      </c>
      <c r="H169" s="9" t="n">
        <v>0</v>
      </c>
      <c r="I169" s="9" t="n">
        <v>0</v>
      </c>
      <c r="J169" s="9" t="n">
        <v>0</v>
      </c>
    </row>
    <row r="170" customFormat="false" ht="15.75" hidden="false" customHeight="false" outlineLevel="0" collapsed="false">
      <c r="A170" s="7" t="s">
        <v>178</v>
      </c>
      <c r="B170" s="7" t="n">
        <v>2</v>
      </c>
      <c r="C170" s="9" t="n">
        <v>0</v>
      </c>
      <c r="D170" s="9" t="n">
        <v>0</v>
      </c>
      <c r="E170" s="9" t="n">
        <v>0</v>
      </c>
      <c r="F170" s="9" t="n">
        <v>0</v>
      </c>
      <c r="G170" s="9" t="n">
        <v>0</v>
      </c>
      <c r="H170" s="9" t="n">
        <v>0</v>
      </c>
      <c r="I170" s="9" t="n">
        <v>0</v>
      </c>
      <c r="J170" s="9" t="n">
        <v>0</v>
      </c>
    </row>
    <row r="171" customFormat="false" ht="15.75" hidden="false" customHeight="false" outlineLevel="0" collapsed="false">
      <c r="A171" s="7" t="s">
        <v>179</v>
      </c>
      <c r="B171" s="7" t="n">
        <v>2</v>
      </c>
      <c r="C171" s="9" t="n">
        <v>13368</v>
      </c>
      <c r="D171" s="9" t="n">
        <v>73297335</v>
      </c>
      <c r="E171" s="9" t="n">
        <v>13800</v>
      </c>
      <c r="F171" s="9" t="n">
        <v>75279000</v>
      </c>
      <c r="G171" s="9" t="n">
        <v>15984</v>
      </c>
      <c r="H171" s="9" t="n">
        <v>87413285</v>
      </c>
      <c r="I171" s="9" t="n">
        <v>11184</v>
      </c>
      <c r="J171" s="9" t="n">
        <v>61163050</v>
      </c>
    </row>
    <row r="172" customFormat="false" ht="15.75" hidden="false" customHeight="false" outlineLevel="0" collapsed="false">
      <c r="A172" s="7" t="s">
        <v>180</v>
      </c>
      <c r="B172" s="7" t="n">
        <v>2</v>
      </c>
      <c r="C172" s="9" t="n">
        <v>0</v>
      </c>
      <c r="D172" s="9" t="n">
        <v>0</v>
      </c>
      <c r="E172" s="9" t="n">
        <v>0</v>
      </c>
      <c r="F172" s="9" t="n">
        <v>0</v>
      </c>
      <c r="G172" s="9" t="n">
        <v>0</v>
      </c>
      <c r="H172" s="9" t="n">
        <v>0</v>
      </c>
      <c r="I172" s="9" t="n">
        <v>0</v>
      </c>
      <c r="J172" s="9" t="n">
        <v>0</v>
      </c>
    </row>
    <row r="173" customFormat="false" ht="15.75" hidden="false" customHeight="false" outlineLevel="0" collapsed="false">
      <c r="A173" s="7" t="s">
        <v>181</v>
      </c>
      <c r="B173" s="7" t="n">
        <v>2</v>
      </c>
      <c r="C173" s="9" t="n">
        <v>900</v>
      </c>
      <c r="D173" s="9" t="n">
        <v>43318800</v>
      </c>
      <c r="E173" s="9" t="n">
        <v>525</v>
      </c>
      <c r="F173" s="9" t="n">
        <v>25224675</v>
      </c>
      <c r="G173" s="9" t="n">
        <v>225</v>
      </c>
      <c r="H173" s="9" t="n">
        <v>10822654</v>
      </c>
      <c r="I173" s="9" t="n">
        <v>1200</v>
      </c>
      <c r="J173" s="9" t="n">
        <v>57720821</v>
      </c>
    </row>
    <row r="174" customFormat="false" ht="15.75" hidden="false" customHeight="false" outlineLevel="0" collapsed="false">
      <c r="A174" s="7" t="s">
        <v>182</v>
      </c>
      <c r="B174" s="7" t="n">
        <v>2</v>
      </c>
      <c r="C174" s="9" t="n">
        <v>0</v>
      </c>
      <c r="D174" s="9" t="n">
        <v>0</v>
      </c>
      <c r="E174" s="9" t="n">
        <v>0</v>
      </c>
      <c r="F174" s="9" t="n">
        <v>0</v>
      </c>
      <c r="G174" s="9" t="n">
        <v>0</v>
      </c>
      <c r="H174" s="9" t="n">
        <v>0</v>
      </c>
      <c r="I174" s="9" t="n">
        <v>0</v>
      </c>
      <c r="J174" s="9" t="n">
        <v>0</v>
      </c>
    </row>
    <row r="175" customFormat="false" ht="15.75" hidden="false" customHeight="false" outlineLevel="0" collapsed="false">
      <c r="A175" s="7" t="s">
        <v>183</v>
      </c>
      <c r="B175" s="7" t="n">
        <v>2</v>
      </c>
      <c r="C175" s="9" t="n">
        <v>2460</v>
      </c>
      <c r="D175" s="9" t="n">
        <v>133707960</v>
      </c>
      <c r="E175" s="9" t="n">
        <v>0</v>
      </c>
      <c r="F175" s="9" t="n">
        <v>0</v>
      </c>
      <c r="G175" s="9" t="n">
        <v>20</v>
      </c>
      <c r="H175" s="9" t="n">
        <v>1087057</v>
      </c>
      <c r="I175" s="9" t="n">
        <v>2440</v>
      </c>
      <c r="J175" s="9" t="n">
        <v>132620903</v>
      </c>
    </row>
    <row r="176" customFormat="false" ht="15.75" hidden="false" customHeight="false" outlineLevel="0" collapsed="false">
      <c r="A176" s="7" t="s">
        <v>184</v>
      </c>
      <c r="B176" s="7" t="n">
        <v>2</v>
      </c>
      <c r="C176" s="9" t="n">
        <v>2663</v>
      </c>
      <c r="D176" s="9" t="n">
        <v>145468013</v>
      </c>
      <c r="E176" s="9" t="n">
        <v>0</v>
      </c>
      <c r="F176" s="9" t="n">
        <v>0</v>
      </c>
      <c r="G176" s="9" t="n">
        <v>100</v>
      </c>
      <c r="H176" s="9" t="n">
        <v>5462562</v>
      </c>
      <c r="I176" s="9" t="n">
        <v>2563</v>
      </c>
      <c r="J176" s="9" t="n">
        <v>140005451</v>
      </c>
    </row>
    <row r="177" customFormat="false" ht="15.75" hidden="false" customHeight="false" outlineLevel="0" collapsed="false">
      <c r="A177" s="7" t="s">
        <v>185</v>
      </c>
      <c r="B177" s="7" t="n">
        <v>2</v>
      </c>
      <c r="C177" s="9" t="n">
        <v>90</v>
      </c>
      <c r="D177" s="9" t="n">
        <v>16221060</v>
      </c>
      <c r="E177" s="9" t="n">
        <v>110</v>
      </c>
      <c r="F177" s="9" t="n">
        <v>19825740</v>
      </c>
      <c r="G177" s="9" t="n">
        <v>0</v>
      </c>
      <c r="H177" s="9" t="n">
        <v>0</v>
      </c>
      <c r="I177" s="9" t="n">
        <v>200</v>
      </c>
      <c r="J177" s="9" t="n">
        <v>36046800</v>
      </c>
    </row>
    <row r="178" customFormat="false" ht="15.75" hidden="false" customHeight="false" outlineLevel="0" collapsed="false">
      <c r="A178" s="7" t="s">
        <v>186</v>
      </c>
      <c r="B178" s="7" t="n">
        <v>2</v>
      </c>
      <c r="C178" s="9" t="n">
        <v>1190</v>
      </c>
      <c r="D178" s="9" t="n">
        <v>52753605</v>
      </c>
      <c r="E178" s="9" t="n">
        <v>5300</v>
      </c>
      <c r="F178" s="9" t="n">
        <v>230834455</v>
      </c>
      <c r="G178" s="9" t="n">
        <v>5380</v>
      </c>
      <c r="H178" s="9" t="n">
        <v>235085326</v>
      </c>
      <c r="I178" s="9" t="n">
        <v>1110</v>
      </c>
      <c r="J178" s="9" t="n">
        <v>48502734</v>
      </c>
    </row>
    <row r="179" customFormat="false" ht="15.75" hidden="false" customHeight="false" outlineLevel="0" collapsed="false">
      <c r="A179" s="7" t="s">
        <v>187</v>
      </c>
      <c r="B179" s="7" t="n">
        <v>2</v>
      </c>
      <c r="C179" s="9" t="n">
        <v>525</v>
      </c>
      <c r="D179" s="9" t="n">
        <v>20549605</v>
      </c>
      <c r="E179" s="9" t="n">
        <v>525</v>
      </c>
      <c r="F179" s="9" t="n">
        <v>18553500</v>
      </c>
      <c r="G179" s="9" t="n">
        <v>0</v>
      </c>
      <c r="H179" s="9" t="n">
        <v>0</v>
      </c>
      <c r="I179" s="9" t="n">
        <v>1050</v>
      </c>
      <c r="J179" s="9" t="n">
        <v>39103105</v>
      </c>
    </row>
    <row r="180" customFormat="false" ht="15.75" hidden="false" customHeight="false" outlineLevel="0" collapsed="false">
      <c r="A180" s="7" t="s">
        <v>188</v>
      </c>
      <c r="B180" s="7" t="n">
        <v>2</v>
      </c>
      <c r="C180" s="9" t="n">
        <v>5940</v>
      </c>
      <c r="D180" s="9" t="n">
        <v>1136820776</v>
      </c>
      <c r="E180" s="9" t="n">
        <v>2025</v>
      </c>
      <c r="F180" s="9" t="n">
        <v>362676750</v>
      </c>
      <c r="G180" s="9" t="n">
        <v>2190</v>
      </c>
      <c r="H180" s="9" t="n">
        <v>412291222</v>
      </c>
      <c r="I180" s="9" t="n">
        <v>5775</v>
      </c>
      <c r="J180" s="9" t="n">
        <v>1087206304</v>
      </c>
    </row>
    <row r="181" customFormat="false" ht="15.75" hidden="false" customHeight="false" outlineLevel="0" collapsed="false">
      <c r="A181" s="7" t="s">
        <v>189</v>
      </c>
      <c r="B181" s="7" t="n">
        <v>2</v>
      </c>
      <c r="C181" s="9" t="n">
        <v>250</v>
      </c>
      <c r="D181" s="9" t="n">
        <v>11513664</v>
      </c>
      <c r="E181" s="9" t="n">
        <v>100</v>
      </c>
      <c r="F181" s="9" t="n">
        <v>4337182</v>
      </c>
      <c r="G181" s="9" t="n">
        <v>0</v>
      </c>
      <c r="H181" s="9" t="n">
        <v>0</v>
      </c>
      <c r="I181" s="9" t="n">
        <v>350</v>
      </c>
      <c r="J181" s="9" t="n">
        <v>15850846</v>
      </c>
    </row>
    <row r="182" customFormat="false" ht="15.75" hidden="false" customHeight="false" outlineLevel="0" collapsed="false">
      <c r="A182" s="7" t="s">
        <v>190</v>
      </c>
      <c r="B182" s="7" t="n">
        <v>2</v>
      </c>
      <c r="C182" s="9" t="n">
        <v>5250</v>
      </c>
      <c r="D182" s="9" t="n">
        <v>164824390</v>
      </c>
      <c r="E182" s="9" t="n">
        <v>3150</v>
      </c>
      <c r="F182" s="9" t="n">
        <v>89056800</v>
      </c>
      <c r="G182" s="9" t="n">
        <v>0</v>
      </c>
      <c r="H182" s="9" t="n">
        <v>0</v>
      </c>
      <c r="I182" s="9" t="n">
        <v>8400</v>
      </c>
      <c r="J182" s="9" t="n">
        <v>253881190</v>
      </c>
    </row>
    <row r="183" customFormat="false" ht="15.75" hidden="false" customHeight="false" outlineLevel="0" collapsed="false">
      <c r="A183" s="7" t="s">
        <v>191</v>
      </c>
      <c r="B183" s="7" t="n">
        <v>2</v>
      </c>
      <c r="C183" s="9" t="n">
        <v>21990</v>
      </c>
      <c r="D183" s="9" t="n">
        <v>611187103</v>
      </c>
      <c r="E183" s="9" t="n">
        <v>41250</v>
      </c>
      <c r="F183" s="9" t="n">
        <v>1152967500</v>
      </c>
      <c r="G183" s="9" t="n">
        <v>27500</v>
      </c>
      <c r="H183" s="9" t="n">
        <v>805202139</v>
      </c>
      <c r="I183" s="9" t="n">
        <v>35740</v>
      </c>
      <c r="J183" s="9" t="n">
        <v>958952464</v>
      </c>
    </row>
    <row r="184" customFormat="false" ht="15.75" hidden="false" customHeight="false" outlineLevel="0" collapsed="false">
      <c r="A184" s="7" t="s">
        <v>192</v>
      </c>
      <c r="B184" s="7" t="n">
        <v>2</v>
      </c>
      <c r="C184" s="9" t="n">
        <v>3900</v>
      </c>
      <c r="D184" s="9" t="n">
        <v>29454392</v>
      </c>
      <c r="E184" s="9" t="n">
        <v>4500</v>
      </c>
      <c r="F184" s="9" t="n">
        <v>31806000</v>
      </c>
      <c r="G184" s="9" t="n">
        <v>0</v>
      </c>
      <c r="H184" s="9" t="n">
        <v>0</v>
      </c>
      <c r="I184" s="9" t="n">
        <v>8400</v>
      </c>
      <c r="J184" s="9" t="n">
        <v>61260392</v>
      </c>
    </row>
    <row r="185" customFormat="false" ht="15.75" hidden="false" customHeight="false" outlineLevel="0" collapsed="false">
      <c r="A185" s="7" t="s">
        <v>193</v>
      </c>
      <c r="B185" s="7" t="n">
        <v>2</v>
      </c>
      <c r="C185" s="9" t="n">
        <v>100</v>
      </c>
      <c r="D185" s="9" t="n">
        <v>22624798</v>
      </c>
      <c r="E185" s="9" t="n">
        <v>0</v>
      </c>
      <c r="F185" s="9" t="n">
        <v>0</v>
      </c>
      <c r="G185" s="9" t="n">
        <v>0</v>
      </c>
      <c r="H185" s="9" t="n">
        <v>0</v>
      </c>
      <c r="I185" s="9" t="n">
        <v>100</v>
      </c>
      <c r="J185" s="9" t="n">
        <v>22624798</v>
      </c>
    </row>
    <row r="186" customFormat="false" ht="15.75" hidden="false" customHeight="false" outlineLevel="0" collapsed="false">
      <c r="A186" s="7" t="s">
        <v>194</v>
      </c>
      <c r="B186" s="7" t="n">
        <v>2</v>
      </c>
      <c r="C186" s="9" t="n">
        <v>81580</v>
      </c>
      <c r="D186" s="9" t="n">
        <v>650214260</v>
      </c>
      <c r="E186" s="9" t="n">
        <v>131100</v>
      </c>
      <c r="F186" s="9" t="n">
        <v>926614800</v>
      </c>
      <c r="G186" s="9" t="n">
        <v>116610</v>
      </c>
      <c r="H186" s="9" t="n">
        <v>915643013</v>
      </c>
      <c r="I186" s="9" t="n">
        <v>96070</v>
      </c>
      <c r="J186" s="9" t="n">
        <v>661186047</v>
      </c>
    </row>
    <row r="187" customFormat="false" ht="15.75" hidden="false" customHeight="false" outlineLevel="0" collapsed="false">
      <c r="A187" s="7" t="s">
        <v>195</v>
      </c>
      <c r="B187" s="7" t="n">
        <v>2</v>
      </c>
      <c r="C187" s="9" t="n">
        <v>1255</v>
      </c>
      <c r="D187" s="9" t="n">
        <v>154891295</v>
      </c>
      <c r="E187" s="9" t="n">
        <v>500</v>
      </c>
      <c r="F187" s="9" t="n">
        <v>106823182</v>
      </c>
      <c r="G187" s="9" t="n">
        <v>1755</v>
      </c>
      <c r="H187" s="9" t="n">
        <v>261714477</v>
      </c>
      <c r="I187" s="9" t="n">
        <v>0</v>
      </c>
      <c r="J187" s="9" t="n">
        <v>0</v>
      </c>
    </row>
    <row r="188" customFormat="false" ht="15.75" hidden="false" customHeight="false" outlineLevel="0" collapsed="false">
      <c r="A188" s="7" t="s">
        <v>196</v>
      </c>
      <c r="B188" s="7" t="n">
        <v>2</v>
      </c>
      <c r="C188" s="9" t="n">
        <v>180</v>
      </c>
      <c r="D188" s="9" t="n">
        <v>30217931</v>
      </c>
      <c r="E188" s="9" t="n">
        <v>100</v>
      </c>
      <c r="F188" s="9" t="n">
        <v>16433100</v>
      </c>
      <c r="G188" s="9" t="n">
        <v>0</v>
      </c>
      <c r="H188" s="9" t="n">
        <v>0</v>
      </c>
      <c r="I188" s="9" t="n">
        <v>280</v>
      </c>
      <c r="J188" s="9" t="n">
        <v>46651031</v>
      </c>
    </row>
    <row r="189" customFormat="false" ht="15.75" hidden="false" customHeight="false" outlineLevel="0" collapsed="false">
      <c r="A189" s="7" t="s">
        <v>197</v>
      </c>
      <c r="B189" s="7" t="n">
        <v>2</v>
      </c>
      <c r="C189" s="9" t="n">
        <v>1200</v>
      </c>
      <c r="D189" s="9" t="n">
        <v>8579070</v>
      </c>
      <c r="E189" s="9" t="n">
        <v>0</v>
      </c>
      <c r="F189" s="9" t="n">
        <v>0</v>
      </c>
      <c r="G189" s="9" t="n">
        <v>0</v>
      </c>
      <c r="H189" s="9" t="n">
        <v>0</v>
      </c>
      <c r="I189" s="9" t="n">
        <v>1200</v>
      </c>
      <c r="J189" s="9" t="n">
        <v>8579070</v>
      </c>
    </row>
    <row r="190" customFormat="false" ht="15.75" hidden="false" customHeight="false" outlineLevel="0" collapsed="false">
      <c r="A190" s="7" t="s">
        <v>198</v>
      </c>
      <c r="B190" s="7" t="n">
        <v>2</v>
      </c>
      <c r="C190" s="9" t="n">
        <v>0</v>
      </c>
      <c r="D190" s="9" t="n">
        <v>0</v>
      </c>
      <c r="E190" s="9" t="n">
        <v>0</v>
      </c>
      <c r="F190" s="9" t="n">
        <v>0</v>
      </c>
      <c r="G190" s="9" t="n">
        <v>0</v>
      </c>
      <c r="H190" s="9" t="n">
        <v>0</v>
      </c>
      <c r="I190" s="9" t="n">
        <v>0</v>
      </c>
      <c r="J190" s="9" t="n">
        <v>0</v>
      </c>
    </row>
    <row r="191" customFormat="false" ht="15.75" hidden="false" customHeight="false" outlineLevel="0" collapsed="false">
      <c r="A191" s="7" t="s">
        <v>199</v>
      </c>
      <c r="B191" s="7" t="n">
        <v>2</v>
      </c>
      <c r="C191" s="9" t="n">
        <v>77660</v>
      </c>
      <c r="D191" s="9" t="n">
        <v>0</v>
      </c>
      <c r="E191" s="9" t="n">
        <v>0</v>
      </c>
      <c r="F191" s="9" t="n">
        <v>0</v>
      </c>
      <c r="G191" s="9" t="n">
        <v>0</v>
      </c>
      <c r="H191" s="9" t="n">
        <v>0</v>
      </c>
      <c r="I191" s="9" t="n">
        <v>77660</v>
      </c>
      <c r="J191" s="9" t="n">
        <v>0</v>
      </c>
    </row>
    <row r="192" customFormat="false" ht="15.75" hidden="false" customHeight="false" outlineLevel="0" collapsed="false">
      <c r="A192" s="7" t="s">
        <v>200</v>
      </c>
      <c r="B192" s="7" t="n">
        <v>2</v>
      </c>
      <c r="C192" s="9" t="n">
        <v>0</v>
      </c>
      <c r="D192" s="9" t="n">
        <v>0</v>
      </c>
      <c r="E192" s="9" t="n">
        <v>72</v>
      </c>
      <c r="F192" s="9" t="n">
        <v>504000</v>
      </c>
      <c r="G192" s="9" t="n">
        <v>0</v>
      </c>
      <c r="H192" s="9" t="n">
        <v>0</v>
      </c>
      <c r="I192" s="9" t="n">
        <v>72</v>
      </c>
      <c r="J192" s="9" t="n">
        <v>504000</v>
      </c>
    </row>
    <row r="193" customFormat="false" ht="15.75" hidden="false" customHeight="false" outlineLevel="0" collapsed="false">
      <c r="A193" s="7" t="s">
        <v>201</v>
      </c>
      <c r="B193" s="7" t="n">
        <v>2</v>
      </c>
      <c r="C193" s="9" t="n">
        <v>240</v>
      </c>
      <c r="D193" s="9" t="n">
        <v>3521324</v>
      </c>
      <c r="E193" s="9" t="n">
        <v>360</v>
      </c>
      <c r="F193" s="9" t="n">
        <v>5400000</v>
      </c>
      <c r="G193" s="9" t="n">
        <v>120</v>
      </c>
      <c r="H193" s="9" t="n">
        <v>1784265</v>
      </c>
      <c r="I193" s="9" t="n">
        <v>480</v>
      </c>
      <c r="J193" s="9" t="n">
        <v>7137059</v>
      </c>
    </row>
    <row r="194" customFormat="false" ht="15.75" hidden="false" customHeight="false" outlineLevel="0" collapsed="false">
      <c r="A194" s="7" t="s">
        <v>202</v>
      </c>
      <c r="B194" s="7" t="n">
        <v>2</v>
      </c>
      <c r="C194" s="9" t="n">
        <v>0</v>
      </c>
      <c r="D194" s="9" t="n">
        <v>0</v>
      </c>
      <c r="E194" s="9" t="n">
        <v>0</v>
      </c>
      <c r="F194" s="9" t="n">
        <v>0</v>
      </c>
      <c r="G194" s="9" t="n">
        <v>0</v>
      </c>
      <c r="H194" s="9" t="n">
        <v>0</v>
      </c>
      <c r="I194" s="9" t="n">
        <v>0</v>
      </c>
      <c r="J194" s="9" t="n">
        <v>0</v>
      </c>
    </row>
    <row r="195" customFormat="false" ht="15.75" hidden="false" customHeight="false" outlineLevel="0" collapsed="false">
      <c r="A195" s="7" t="s">
        <v>203</v>
      </c>
      <c r="B195" s="7" t="n">
        <v>2</v>
      </c>
      <c r="C195" s="9" t="n">
        <v>0</v>
      </c>
      <c r="D195" s="9" t="n">
        <v>0</v>
      </c>
      <c r="E195" s="9" t="n">
        <v>720</v>
      </c>
      <c r="F195" s="9" t="n">
        <v>8450640</v>
      </c>
      <c r="G195" s="9" t="n">
        <v>0</v>
      </c>
      <c r="H195" s="9" t="n">
        <v>0</v>
      </c>
      <c r="I195" s="9" t="n">
        <v>720</v>
      </c>
      <c r="J195" s="9" t="n">
        <v>8450640</v>
      </c>
    </row>
    <row r="196" customFormat="false" ht="15.75" hidden="false" customHeight="false" outlineLevel="0" collapsed="false">
      <c r="A196" s="7" t="s">
        <v>204</v>
      </c>
      <c r="B196" s="7" t="n">
        <v>2</v>
      </c>
      <c r="C196" s="9" t="n">
        <v>2559</v>
      </c>
      <c r="D196" s="9" t="n">
        <v>77362426</v>
      </c>
      <c r="E196" s="9" t="n">
        <v>2800</v>
      </c>
      <c r="F196" s="9" t="n">
        <v>76998600</v>
      </c>
      <c r="G196" s="9" t="n">
        <v>1104</v>
      </c>
      <c r="H196" s="9" t="n">
        <v>31799696</v>
      </c>
      <c r="I196" s="9" t="n">
        <v>4255</v>
      </c>
      <c r="J196" s="9" t="n">
        <v>122561330</v>
      </c>
    </row>
    <row r="197" customFormat="false" ht="15.75" hidden="false" customHeight="false" outlineLevel="0" collapsed="false">
      <c r="A197" s="7" t="s">
        <v>205</v>
      </c>
      <c r="B197" s="7" t="n">
        <v>2</v>
      </c>
      <c r="C197" s="9" t="n">
        <v>0</v>
      </c>
      <c r="D197" s="9" t="n">
        <v>0</v>
      </c>
      <c r="E197" s="9" t="n">
        <v>720</v>
      </c>
      <c r="F197" s="9" t="n">
        <v>48329280</v>
      </c>
      <c r="G197" s="9" t="n">
        <v>0</v>
      </c>
      <c r="H197" s="9" t="n">
        <v>0</v>
      </c>
      <c r="I197" s="9" t="n">
        <v>720</v>
      </c>
      <c r="J197" s="9" t="n">
        <v>48329280</v>
      </c>
    </row>
    <row r="198" customFormat="false" ht="15.75" hidden="false" customHeight="false" outlineLevel="0" collapsed="false">
      <c r="A198" s="7" t="s">
        <v>206</v>
      </c>
      <c r="B198" s="7" t="n">
        <v>2</v>
      </c>
      <c r="C198" s="9" t="n">
        <v>840</v>
      </c>
      <c r="D198" s="9" t="n">
        <v>23164642</v>
      </c>
      <c r="E198" s="9" t="n">
        <v>240</v>
      </c>
      <c r="F198" s="9" t="n">
        <v>7170240</v>
      </c>
      <c r="G198" s="9" t="n">
        <v>696</v>
      </c>
      <c r="H198" s="9" t="n">
        <v>19549146</v>
      </c>
      <c r="I198" s="9" t="n">
        <v>384</v>
      </c>
      <c r="J198" s="9" t="n">
        <v>10785736</v>
      </c>
    </row>
    <row r="199" customFormat="false" ht="15.75" hidden="false" customHeight="false" outlineLevel="0" collapsed="false">
      <c r="A199" s="7" t="s">
        <v>207</v>
      </c>
      <c r="B199" s="7" t="n">
        <v>2</v>
      </c>
      <c r="C199" s="9" t="n">
        <v>0</v>
      </c>
      <c r="D199" s="9" t="n">
        <v>0</v>
      </c>
      <c r="E199" s="9" t="n">
        <v>0</v>
      </c>
      <c r="F199" s="9" t="n">
        <v>0</v>
      </c>
      <c r="G199" s="9" t="n">
        <v>0</v>
      </c>
      <c r="H199" s="9" t="n">
        <v>0</v>
      </c>
      <c r="I199" s="9" t="n">
        <v>0</v>
      </c>
      <c r="J199" s="9" t="n">
        <v>0</v>
      </c>
    </row>
    <row r="200" customFormat="false" ht="15.75" hidden="false" customHeight="false" outlineLevel="0" collapsed="false">
      <c r="A200" s="7" t="s">
        <v>208</v>
      </c>
      <c r="B200" s="7" t="n">
        <v>2</v>
      </c>
      <c r="C200" s="9" t="n">
        <v>0</v>
      </c>
      <c r="D200" s="9" t="n">
        <v>0</v>
      </c>
      <c r="E200" s="9" t="n">
        <v>288</v>
      </c>
      <c r="F200" s="9" t="n">
        <v>0</v>
      </c>
      <c r="G200" s="9" t="n">
        <v>0</v>
      </c>
      <c r="H200" s="9" t="n">
        <v>0</v>
      </c>
      <c r="I200" s="9" t="n">
        <v>288</v>
      </c>
      <c r="J200" s="9" t="n">
        <v>0</v>
      </c>
    </row>
    <row r="201" customFormat="false" ht="15.75" hidden="false" customHeight="false" outlineLevel="0" collapsed="false">
      <c r="A201" s="7" t="s">
        <v>209</v>
      </c>
      <c r="B201" s="7" t="n">
        <v>2</v>
      </c>
      <c r="C201" s="9" t="n">
        <v>24</v>
      </c>
      <c r="D201" s="9" t="n">
        <v>1401840</v>
      </c>
      <c r="E201" s="9" t="n">
        <v>700</v>
      </c>
      <c r="F201" s="9" t="n">
        <v>40887000</v>
      </c>
      <c r="G201" s="9" t="n">
        <v>660</v>
      </c>
      <c r="H201" s="9" t="n">
        <v>38550600</v>
      </c>
      <c r="I201" s="9" t="n">
        <v>64</v>
      </c>
      <c r="J201" s="9" t="n">
        <v>3738240</v>
      </c>
    </row>
    <row r="202" customFormat="false" ht="15.75" hidden="false" customHeight="false" outlineLevel="0" collapsed="false">
      <c r="A202" s="7" t="s">
        <v>210</v>
      </c>
      <c r="B202" s="7" t="n">
        <v>2</v>
      </c>
      <c r="C202" s="9" t="n">
        <v>240</v>
      </c>
      <c r="D202" s="9" t="n">
        <v>3156480</v>
      </c>
      <c r="E202" s="9" t="n">
        <v>0</v>
      </c>
      <c r="F202" s="9" t="n">
        <v>0</v>
      </c>
      <c r="G202" s="9" t="n">
        <v>0</v>
      </c>
      <c r="H202" s="9" t="n">
        <v>0</v>
      </c>
      <c r="I202" s="9" t="n">
        <v>240</v>
      </c>
      <c r="J202" s="9" t="n">
        <v>3156480</v>
      </c>
    </row>
    <row r="203" customFormat="false" ht="15.75" hidden="false" customHeight="false" outlineLevel="0" collapsed="false">
      <c r="A203" s="7" t="s">
        <v>211</v>
      </c>
      <c r="B203" s="7" t="n">
        <v>2</v>
      </c>
      <c r="C203" s="9" t="n">
        <v>0</v>
      </c>
      <c r="D203" s="9" t="n">
        <v>0</v>
      </c>
      <c r="E203" s="9" t="n">
        <v>0</v>
      </c>
      <c r="F203" s="9" t="n">
        <v>0</v>
      </c>
      <c r="G203" s="9" t="n">
        <v>0</v>
      </c>
      <c r="H203" s="9" t="n">
        <v>0</v>
      </c>
      <c r="I203" s="9" t="n">
        <v>0</v>
      </c>
      <c r="J203" s="9" t="n">
        <v>0</v>
      </c>
    </row>
    <row r="204" customFormat="false" ht="15.75" hidden="false" customHeight="false" outlineLevel="0" collapsed="false">
      <c r="A204" s="7" t="s">
        <v>212</v>
      </c>
      <c r="B204" s="7" t="n">
        <v>2</v>
      </c>
      <c r="C204" s="9" t="n">
        <v>1847</v>
      </c>
      <c r="D204" s="9" t="n">
        <v>22932127</v>
      </c>
      <c r="E204" s="9" t="n">
        <v>5040</v>
      </c>
      <c r="F204" s="9" t="n">
        <v>62576640</v>
      </c>
      <c r="G204" s="9" t="n">
        <v>1224</v>
      </c>
      <c r="H204" s="9" t="n">
        <v>15197144</v>
      </c>
      <c r="I204" s="9" t="n">
        <v>5663</v>
      </c>
      <c r="J204" s="9" t="n">
        <v>70311623</v>
      </c>
    </row>
    <row r="205" customFormat="false" ht="15.75" hidden="false" customHeight="false" outlineLevel="0" collapsed="false">
      <c r="A205" s="7" t="s">
        <v>213</v>
      </c>
      <c r="B205" s="7" t="n">
        <v>2</v>
      </c>
      <c r="C205" s="9" t="n">
        <v>0</v>
      </c>
      <c r="D205" s="9" t="n">
        <v>0</v>
      </c>
      <c r="E205" s="9" t="n">
        <v>720</v>
      </c>
      <c r="F205" s="9" t="n">
        <v>15294960</v>
      </c>
      <c r="G205" s="9" t="n">
        <v>0</v>
      </c>
      <c r="H205" s="9" t="n">
        <v>0</v>
      </c>
      <c r="I205" s="9" t="n">
        <v>720</v>
      </c>
      <c r="J205" s="9" t="n">
        <v>15294960</v>
      </c>
    </row>
    <row r="206" customFormat="false" ht="15.75" hidden="false" customHeight="false" outlineLevel="0" collapsed="false">
      <c r="A206" s="7" t="s">
        <v>214</v>
      </c>
      <c r="B206" s="7" t="n">
        <v>2</v>
      </c>
      <c r="C206" s="9" t="n">
        <v>2452</v>
      </c>
      <c r="D206" s="9" t="n">
        <v>60381936</v>
      </c>
      <c r="E206" s="9" t="n">
        <v>4009</v>
      </c>
      <c r="F206" s="9" t="n">
        <v>88696800</v>
      </c>
      <c r="G206" s="9" t="n">
        <v>1554</v>
      </c>
      <c r="H206" s="9" t="n">
        <v>35856424</v>
      </c>
      <c r="I206" s="9" t="n">
        <v>4907</v>
      </c>
      <c r="J206" s="9" t="n">
        <v>113222312</v>
      </c>
    </row>
    <row r="207" customFormat="false" ht="15.75" hidden="false" customHeight="false" outlineLevel="0" collapsed="false">
      <c r="A207" s="7" t="s">
        <v>215</v>
      </c>
      <c r="B207" s="7" t="n">
        <v>2</v>
      </c>
      <c r="C207" s="9" t="n">
        <v>688</v>
      </c>
      <c r="D207" s="9" t="n">
        <v>29363840</v>
      </c>
      <c r="E207" s="9" t="n">
        <v>0</v>
      </c>
      <c r="F207" s="9" t="n">
        <v>0</v>
      </c>
      <c r="G207" s="9" t="n">
        <v>0</v>
      </c>
      <c r="H207" s="9" t="n">
        <v>0</v>
      </c>
      <c r="I207" s="9" t="n">
        <v>688</v>
      </c>
      <c r="J207" s="9" t="n">
        <v>29363840</v>
      </c>
    </row>
    <row r="208" customFormat="false" ht="15.75" hidden="false" customHeight="false" outlineLevel="0" collapsed="false">
      <c r="A208" s="7" t="s">
        <v>216</v>
      </c>
      <c r="B208" s="7" t="n">
        <v>2</v>
      </c>
      <c r="C208" s="9" t="n">
        <v>0</v>
      </c>
      <c r="D208" s="9" t="n">
        <v>0</v>
      </c>
      <c r="E208" s="9" t="n">
        <v>0</v>
      </c>
      <c r="F208" s="9" t="n">
        <v>0</v>
      </c>
      <c r="G208" s="9" t="n">
        <v>0</v>
      </c>
      <c r="H208" s="9" t="n">
        <v>0</v>
      </c>
      <c r="I208" s="9" t="n">
        <v>0</v>
      </c>
      <c r="J208" s="9" t="n">
        <v>0</v>
      </c>
    </row>
    <row r="209" customFormat="false" ht="15.75" hidden="false" customHeight="false" outlineLevel="0" collapsed="false">
      <c r="A209" s="7" t="s">
        <v>217</v>
      </c>
      <c r="B209" s="7" t="n">
        <v>2</v>
      </c>
      <c r="C209" s="9" t="n">
        <v>167</v>
      </c>
      <c r="D209" s="9" t="n">
        <v>29642547</v>
      </c>
      <c r="E209" s="9" t="n">
        <v>0</v>
      </c>
      <c r="F209" s="9" t="n">
        <v>0</v>
      </c>
      <c r="G209" s="9" t="n">
        <v>127</v>
      </c>
      <c r="H209" s="9" t="n">
        <v>22542536</v>
      </c>
      <c r="I209" s="9" t="n">
        <v>40</v>
      </c>
      <c r="J209" s="9" t="n">
        <v>7100011</v>
      </c>
    </row>
    <row r="210" customFormat="false" ht="15.75" hidden="false" customHeight="false" outlineLevel="0" collapsed="false">
      <c r="A210" s="7" t="s">
        <v>218</v>
      </c>
      <c r="B210" s="7" t="n">
        <v>2</v>
      </c>
      <c r="C210" s="9" t="n">
        <v>110</v>
      </c>
      <c r="D210" s="9" t="n">
        <v>25504648</v>
      </c>
      <c r="E210" s="9" t="n">
        <v>0</v>
      </c>
      <c r="F210" s="9" t="n">
        <v>0</v>
      </c>
      <c r="G210" s="9" t="n">
        <v>70</v>
      </c>
      <c r="H210" s="9" t="n">
        <v>16230231</v>
      </c>
      <c r="I210" s="9" t="n">
        <v>40</v>
      </c>
      <c r="J210" s="9" t="n">
        <v>9274417</v>
      </c>
    </row>
    <row r="211" customFormat="false" ht="15.75" hidden="false" customHeight="false" outlineLevel="0" collapsed="false">
      <c r="A211" s="7" t="s">
        <v>219</v>
      </c>
      <c r="B211" s="7" t="n">
        <v>2</v>
      </c>
      <c r="C211" s="9" t="n">
        <v>0</v>
      </c>
      <c r="D211" s="9" t="n">
        <v>0</v>
      </c>
      <c r="E211" s="9" t="n">
        <v>80</v>
      </c>
      <c r="F211" s="9" t="n">
        <v>17200000</v>
      </c>
      <c r="G211" s="9" t="n">
        <v>80</v>
      </c>
      <c r="H211" s="9" t="n">
        <v>17200000</v>
      </c>
      <c r="I211" s="9" t="n">
        <v>0</v>
      </c>
      <c r="J211" s="9" t="n">
        <v>0</v>
      </c>
    </row>
    <row r="212" customFormat="false" ht="15.75" hidden="false" customHeight="false" outlineLevel="0" collapsed="false">
      <c r="A212" s="7" t="s">
        <v>220</v>
      </c>
      <c r="B212" s="7" t="n">
        <v>2</v>
      </c>
      <c r="C212" s="9" t="n">
        <v>0</v>
      </c>
      <c r="D212" s="9" t="n">
        <v>0</v>
      </c>
      <c r="E212" s="9" t="n">
        <v>0</v>
      </c>
      <c r="F212" s="9" t="n">
        <v>0</v>
      </c>
      <c r="G212" s="9" t="n">
        <v>0</v>
      </c>
      <c r="H212" s="9" t="n">
        <v>0</v>
      </c>
      <c r="I212" s="9" t="n">
        <v>0</v>
      </c>
      <c r="J212" s="9" t="n">
        <v>0</v>
      </c>
    </row>
    <row r="213" customFormat="false" ht="15.75" hidden="false" customHeight="false" outlineLevel="0" collapsed="false">
      <c r="A213" s="7" t="s">
        <v>221</v>
      </c>
      <c r="B213" s="7" t="n">
        <v>2</v>
      </c>
      <c r="C213" s="9" t="n">
        <v>3066</v>
      </c>
      <c r="D213" s="9" t="n">
        <v>60555944</v>
      </c>
      <c r="E213" s="9" t="n">
        <v>0</v>
      </c>
      <c r="F213" s="9" t="n">
        <v>0</v>
      </c>
      <c r="G213" s="9" t="n">
        <v>0</v>
      </c>
      <c r="H213" s="9" t="n">
        <v>0</v>
      </c>
      <c r="I213" s="9" t="n">
        <v>3066</v>
      </c>
      <c r="J213" s="9" t="n">
        <v>60555944</v>
      </c>
    </row>
    <row r="214" customFormat="false" ht="15.75" hidden="false" customHeight="false" outlineLevel="0" collapsed="false">
      <c r="A214" s="7" t="s">
        <v>222</v>
      </c>
      <c r="B214" s="7" t="n">
        <v>2</v>
      </c>
      <c r="C214" s="9" t="n">
        <v>929</v>
      </c>
      <c r="D214" s="9" t="n">
        <v>20274468</v>
      </c>
      <c r="E214" s="9" t="n">
        <v>67</v>
      </c>
      <c r="F214" s="9" t="n">
        <v>0</v>
      </c>
      <c r="G214" s="9" t="n">
        <v>220</v>
      </c>
      <c r="H214" s="9" t="n">
        <v>4478296</v>
      </c>
      <c r="I214" s="9" t="n">
        <v>776</v>
      </c>
      <c r="J214" s="9" t="n">
        <v>15796172</v>
      </c>
    </row>
    <row r="215" customFormat="false" ht="15.75" hidden="false" customHeight="false" outlineLevel="0" collapsed="false">
      <c r="A215" s="7" t="s">
        <v>223</v>
      </c>
      <c r="B215" s="7" t="n">
        <v>2</v>
      </c>
      <c r="C215" s="9" t="n">
        <v>865</v>
      </c>
      <c r="D215" s="9" t="n">
        <v>37407424</v>
      </c>
      <c r="E215" s="9" t="n">
        <v>0</v>
      </c>
      <c r="F215" s="9" t="n">
        <v>0</v>
      </c>
      <c r="G215" s="9" t="n">
        <v>0</v>
      </c>
      <c r="H215" s="9" t="n">
        <v>0</v>
      </c>
      <c r="I215" s="9" t="n">
        <v>865</v>
      </c>
      <c r="J215" s="9" t="n">
        <v>37407424</v>
      </c>
    </row>
    <row r="216" customFormat="false" ht="15.75" hidden="false" customHeight="false" outlineLevel="0" collapsed="false">
      <c r="A216" s="7" t="s">
        <v>224</v>
      </c>
      <c r="B216" s="7" t="n">
        <v>2</v>
      </c>
      <c r="C216" s="9" t="n">
        <v>96</v>
      </c>
      <c r="D216" s="9" t="n">
        <v>1918272</v>
      </c>
      <c r="E216" s="9" t="n">
        <v>240</v>
      </c>
      <c r="F216" s="9" t="n">
        <v>4795680</v>
      </c>
      <c r="G216" s="9" t="n">
        <v>0</v>
      </c>
      <c r="H216" s="9" t="n">
        <v>0</v>
      </c>
      <c r="I216" s="9" t="n">
        <v>336</v>
      </c>
      <c r="J216" s="9" t="n">
        <v>6713952</v>
      </c>
    </row>
    <row r="217" customFormat="false" ht="15.75" hidden="false" customHeight="false" outlineLevel="0" collapsed="false">
      <c r="A217" s="7" t="s">
        <v>225</v>
      </c>
      <c r="B217" s="7" t="n">
        <v>2</v>
      </c>
      <c r="C217" s="9" t="n">
        <v>0</v>
      </c>
      <c r="D217" s="9" t="n">
        <v>0</v>
      </c>
      <c r="E217" s="9" t="n">
        <v>0</v>
      </c>
      <c r="F217" s="9" t="n">
        <v>0</v>
      </c>
      <c r="G217" s="9" t="n">
        <v>0</v>
      </c>
      <c r="H217" s="9" t="n">
        <v>0</v>
      </c>
      <c r="I217" s="9" t="n">
        <v>0</v>
      </c>
      <c r="J217" s="9" t="n">
        <v>0</v>
      </c>
    </row>
    <row r="218" customFormat="false" ht="15.75" hidden="false" customHeight="false" outlineLevel="0" collapsed="false">
      <c r="A218" s="7" t="s">
        <v>226</v>
      </c>
      <c r="B218" s="7" t="n">
        <v>2</v>
      </c>
      <c r="C218" s="9" t="n">
        <v>0</v>
      </c>
      <c r="D218" s="9" t="n">
        <v>0</v>
      </c>
      <c r="E218" s="9" t="n">
        <v>0</v>
      </c>
      <c r="F218" s="9" t="n">
        <v>0</v>
      </c>
      <c r="G218" s="9" t="n">
        <v>0</v>
      </c>
      <c r="H218" s="9" t="n">
        <v>0</v>
      </c>
      <c r="I218" s="9" t="n">
        <v>0</v>
      </c>
      <c r="J218" s="9" t="n">
        <v>0</v>
      </c>
    </row>
    <row r="219" customFormat="false" ht="15.75" hidden="false" customHeight="false" outlineLevel="0" collapsed="false">
      <c r="A219" s="7" t="s">
        <v>227</v>
      </c>
      <c r="B219" s="7" t="n">
        <v>2</v>
      </c>
      <c r="C219" s="9" t="n">
        <v>0</v>
      </c>
      <c r="D219" s="9" t="n">
        <v>0</v>
      </c>
      <c r="E219" s="9" t="n">
        <v>5</v>
      </c>
      <c r="F219" s="9" t="n">
        <v>1715000</v>
      </c>
      <c r="G219" s="9" t="n">
        <v>5</v>
      </c>
      <c r="H219" s="9" t="n">
        <v>1715000</v>
      </c>
      <c r="I219" s="9" t="n">
        <v>0</v>
      </c>
      <c r="J219" s="9" t="n">
        <v>0</v>
      </c>
    </row>
    <row r="220" customFormat="false" ht="15.75" hidden="false" customHeight="false" outlineLevel="0" collapsed="false">
      <c r="A220" s="7" t="s">
        <v>228</v>
      </c>
      <c r="B220" s="7" t="n">
        <v>2</v>
      </c>
      <c r="C220" s="9" t="n">
        <v>992</v>
      </c>
      <c r="D220" s="9" t="n">
        <v>88339874</v>
      </c>
      <c r="E220" s="9" t="n">
        <v>80</v>
      </c>
      <c r="F220" s="9" t="n">
        <v>7024640</v>
      </c>
      <c r="G220" s="9" t="n">
        <v>0</v>
      </c>
      <c r="H220" s="9" t="n">
        <v>0</v>
      </c>
      <c r="I220" s="9" t="n">
        <v>1072</v>
      </c>
      <c r="J220" s="9" t="n">
        <v>95364514</v>
      </c>
    </row>
    <row r="221" customFormat="false" ht="15.75" hidden="false" customHeight="false" outlineLevel="0" collapsed="false">
      <c r="A221" s="7" t="s">
        <v>229</v>
      </c>
      <c r="B221" s="7" t="n">
        <v>2</v>
      </c>
      <c r="C221" s="9" t="n">
        <v>766</v>
      </c>
      <c r="D221" s="9" t="n">
        <v>71029196</v>
      </c>
      <c r="E221" s="9" t="n">
        <v>494</v>
      </c>
      <c r="F221" s="9" t="n">
        <v>45763060</v>
      </c>
      <c r="G221" s="9" t="n">
        <v>70</v>
      </c>
      <c r="H221" s="9" t="n">
        <v>6488459</v>
      </c>
      <c r="I221" s="9" t="n">
        <v>1190</v>
      </c>
      <c r="J221" s="9" t="n">
        <v>110303797</v>
      </c>
    </row>
    <row r="222" customFormat="false" ht="15.75" hidden="false" customHeight="false" outlineLevel="0" collapsed="false">
      <c r="A222" s="7" t="s">
        <v>230</v>
      </c>
      <c r="B222" s="7" t="n">
        <v>2</v>
      </c>
      <c r="C222" s="9" t="n">
        <v>0</v>
      </c>
      <c r="D222" s="9" t="n">
        <v>0</v>
      </c>
      <c r="E222" s="9" t="n">
        <v>0</v>
      </c>
      <c r="F222" s="9" t="n">
        <v>0</v>
      </c>
      <c r="G222" s="9" t="n">
        <v>0</v>
      </c>
      <c r="H222" s="9" t="n">
        <v>0</v>
      </c>
      <c r="I222" s="9" t="n">
        <v>0</v>
      </c>
      <c r="J222" s="9" t="n">
        <v>0</v>
      </c>
    </row>
    <row r="223" customFormat="false" ht="15.75" hidden="false" customHeight="false" outlineLevel="0" collapsed="false">
      <c r="A223" s="7" t="s">
        <v>231</v>
      </c>
      <c r="B223" s="7" t="n">
        <v>2</v>
      </c>
      <c r="C223" s="9" t="n">
        <v>0</v>
      </c>
      <c r="D223" s="9" t="n">
        <v>0</v>
      </c>
      <c r="E223" s="9" t="n">
        <v>315</v>
      </c>
      <c r="F223" s="9" t="n">
        <v>10080000</v>
      </c>
      <c r="G223" s="9" t="n">
        <v>315</v>
      </c>
      <c r="H223" s="9" t="n">
        <v>10080000</v>
      </c>
      <c r="I223" s="9" t="n">
        <v>0</v>
      </c>
      <c r="J223" s="9" t="n">
        <v>0</v>
      </c>
    </row>
    <row r="224" customFormat="false" ht="15.75" hidden="false" customHeight="false" outlineLevel="0" collapsed="false">
      <c r="A224" s="7" t="s">
        <v>232</v>
      </c>
      <c r="B224" s="7" t="n">
        <v>2</v>
      </c>
      <c r="C224" s="9" t="n">
        <v>1328</v>
      </c>
      <c r="D224" s="9" t="n">
        <v>84352834</v>
      </c>
      <c r="E224" s="9" t="n">
        <v>800</v>
      </c>
      <c r="F224" s="9" t="n">
        <v>50814960</v>
      </c>
      <c r="G224" s="9" t="n">
        <v>0</v>
      </c>
      <c r="H224" s="9" t="n">
        <v>0</v>
      </c>
      <c r="I224" s="9" t="n">
        <v>2128</v>
      </c>
      <c r="J224" s="9" t="n">
        <v>135167794</v>
      </c>
    </row>
    <row r="225" customFormat="false" ht="15.75" hidden="false" customHeight="false" outlineLevel="0" collapsed="false">
      <c r="A225" s="7" t="s">
        <v>233</v>
      </c>
      <c r="B225" s="7" t="n">
        <v>2</v>
      </c>
      <c r="C225" s="9" t="n">
        <v>3652</v>
      </c>
      <c r="D225" s="9" t="n">
        <v>228384837</v>
      </c>
      <c r="E225" s="9" t="n">
        <v>1600</v>
      </c>
      <c r="F225" s="9" t="n">
        <v>100352000</v>
      </c>
      <c r="G225" s="9" t="n">
        <v>0</v>
      </c>
      <c r="H225" s="9" t="n">
        <v>0</v>
      </c>
      <c r="I225" s="9" t="n">
        <v>5252</v>
      </c>
      <c r="J225" s="9" t="n">
        <v>328736837</v>
      </c>
    </row>
    <row r="226" customFormat="false" ht="15.75" hidden="false" customHeight="false" outlineLevel="0" collapsed="false">
      <c r="A226" s="7" t="s">
        <v>234</v>
      </c>
      <c r="B226" s="7" t="n">
        <v>2</v>
      </c>
      <c r="C226" s="9" t="n">
        <v>15318</v>
      </c>
      <c r="D226" s="9" t="n">
        <v>914208876</v>
      </c>
      <c r="E226" s="9" t="n">
        <v>9331</v>
      </c>
      <c r="F226" s="9" t="n">
        <v>510639193</v>
      </c>
      <c r="G226" s="9" t="n">
        <v>7705</v>
      </c>
      <c r="H226" s="9" t="n">
        <v>445391471</v>
      </c>
      <c r="I226" s="9" t="n">
        <v>16944</v>
      </c>
      <c r="J226" s="9" t="n">
        <v>979456598</v>
      </c>
    </row>
    <row r="227" customFormat="false" ht="15.75" hidden="false" customHeight="false" outlineLevel="0" collapsed="false">
      <c r="A227" s="7" t="s">
        <v>235</v>
      </c>
      <c r="B227" s="7" t="n">
        <v>2</v>
      </c>
      <c r="C227" s="9" t="n">
        <v>1608</v>
      </c>
      <c r="D227" s="9" t="n">
        <v>112492066</v>
      </c>
      <c r="E227" s="9" t="n">
        <v>334</v>
      </c>
      <c r="F227" s="9" t="n">
        <v>22579200</v>
      </c>
      <c r="G227" s="9" t="n">
        <v>176</v>
      </c>
      <c r="H227" s="9" t="n">
        <v>12241268</v>
      </c>
      <c r="I227" s="9" t="n">
        <v>1766</v>
      </c>
      <c r="J227" s="9" t="n">
        <v>122829998</v>
      </c>
    </row>
    <row r="228" customFormat="false" ht="15.75" hidden="false" customHeight="false" outlineLevel="0" collapsed="false">
      <c r="A228" s="7" t="s">
        <v>236</v>
      </c>
      <c r="B228" s="7" t="n">
        <v>2</v>
      </c>
      <c r="C228" s="9" t="n">
        <v>0</v>
      </c>
      <c r="D228" s="9" t="n">
        <v>0</v>
      </c>
      <c r="E228" s="9" t="n">
        <v>0</v>
      </c>
      <c r="F228" s="9" t="n">
        <v>0</v>
      </c>
      <c r="G228" s="9" t="n">
        <v>0</v>
      </c>
      <c r="H228" s="9" t="n">
        <v>0</v>
      </c>
      <c r="I228" s="9" t="n">
        <v>0</v>
      </c>
      <c r="J228" s="9" t="n">
        <v>0</v>
      </c>
    </row>
    <row r="229" customFormat="false" ht="15.75" hidden="false" customHeight="false" outlineLevel="0" collapsed="false">
      <c r="A229" s="7" t="s">
        <v>237</v>
      </c>
      <c r="B229" s="7" t="n">
        <v>2</v>
      </c>
      <c r="C229" s="9" t="n">
        <v>0</v>
      </c>
      <c r="D229" s="9" t="n">
        <v>0</v>
      </c>
      <c r="E229" s="9" t="n">
        <v>238</v>
      </c>
      <c r="F229" s="9" t="n">
        <v>0</v>
      </c>
      <c r="G229" s="9" t="n">
        <v>0</v>
      </c>
      <c r="H229" s="9" t="n">
        <v>0</v>
      </c>
      <c r="I229" s="9" t="n">
        <v>238</v>
      </c>
      <c r="J229" s="9" t="n">
        <v>0</v>
      </c>
    </row>
    <row r="230" customFormat="false" ht="15.75" hidden="false" customHeight="false" outlineLevel="0" collapsed="false">
      <c r="A230" s="7" t="s">
        <v>238</v>
      </c>
      <c r="B230" s="7" t="n">
        <v>2</v>
      </c>
      <c r="C230" s="9" t="n">
        <v>23</v>
      </c>
      <c r="D230" s="9" t="n">
        <v>1347500</v>
      </c>
      <c r="E230" s="9" t="n">
        <v>54</v>
      </c>
      <c r="F230" s="9" t="n">
        <v>2694999</v>
      </c>
      <c r="G230" s="9" t="n">
        <v>0</v>
      </c>
      <c r="H230" s="9" t="n">
        <v>0</v>
      </c>
      <c r="I230" s="9" t="n">
        <v>77</v>
      </c>
      <c r="J230" s="9" t="n">
        <v>4042499</v>
      </c>
    </row>
    <row r="231" customFormat="false" ht="15.75" hidden="false" customHeight="false" outlineLevel="0" collapsed="false">
      <c r="A231" s="7" t="s">
        <v>239</v>
      </c>
      <c r="B231" s="7" t="n">
        <v>2</v>
      </c>
      <c r="C231" s="9" t="n">
        <v>0</v>
      </c>
      <c r="D231" s="9" t="n">
        <v>0</v>
      </c>
      <c r="E231" s="9" t="n">
        <v>0</v>
      </c>
      <c r="F231" s="9" t="n">
        <v>0</v>
      </c>
      <c r="G231" s="9" t="n">
        <v>0</v>
      </c>
      <c r="H231" s="9" t="n">
        <v>0</v>
      </c>
      <c r="I231" s="9" t="n">
        <v>0</v>
      </c>
      <c r="J231" s="9" t="n">
        <v>0</v>
      </c>
    </row>
    <row r="232" customFormat="false" ht="15.75" hidden="false" customHeight="false" outlineLevel="0" collapsed="false">
      <c r="A232" s="7" t="s">
        <v>240</v>
      </c>
      <c r="B232" s="7" t="n">
        <v>2</v>
      </c>
      <c r="C232" s="9" t="n">
        <v>5913</v>
      </c>
      <c r="D232" s="9" t="n">
        <v>562441934</v>
      </c>
      <c r="E232" s="9" t="n">
        <v>2275</v>
      </c>
      <c r="F232" s="9" t="n">
        <v>212694300</v>
      </c>
      <c r="G232" s="9" t="n">
        <v>4207</v>
      </c>
      <c r="H232" s="9" t="n">
        <v>398265527</v>
      </c>
      <c r="I232" s="9" t="n">
        <v>3981</v>
      </c>
      <c r="J232" s="9" t="n">
        <v>376870707</v>
      </c>
    </row>
    <row r="233" customFormat="false" ht="15.75" hidden="false" customHeight="false" outlineLevel="0" collapsed="false">
      <c r="A233" s="7" t="s">
        <v>241</v>
      </c>
      <c r="B233" s="7" t="n">
        <v>2</v>
      </c>
      <c r="C233" s="9" t="n">
        <v>0</v>
      </c>
      <c r="D233" s="9" t="n">
        <v>0</v>
      </c>
      <c r="E233" s="9" t="n">
        <v>0</v>
      </c>
      <c r="F233" s="9" t="n">
        <v>0</v>
      </c>
      <c r="G233" s="9" t="n">
        <v>0</v>
      </c>
      <c r="H233" s="9" t="n">
        <v>0</v>
      </c>
      <c r="I233" s="9" t="n">
        <v>0</v>
      </c>
      <c r="J233" s="9" t="n">
        <v>0</v>
      </c>
    </row>
    <row r="234" customFormat="false" ht="15.75" hidden="false" customHeight="false" outlineLevel="0" collapsed="false">
      <c r="A234" s="7" t="s">
        <v>242</v>
      </c>
      <c r="B234" s="7" t="n">
        <v>2</v>
      </c>
      <c r="C234" s="9" t="n">
        <v>1861</v>
      </c>
      <c r="D234" s="9" t="n">
        <v>126830170</v>
      </c>
      <c r="E234" s="9" t="n">
        <v>84</v>
      </c>
      <c r="F234" s="9" t="n">
        <v>6075216</v>
      </c>
      <c r="G234" s="9" t="n">
        <v>0</v>
      </c>
      <c r="H234" s="9" t="n">
        <v>0</v>
      </c>
      <c r="I234" s="9" t="n">
        <v>1945</v>
      </c>
      <c r="J234" s="9" t="n">
        <v>132905386</v>
      </c>
    </row>
    <row r="235" customFormat="false" ht="15.75" hidden="false" customHeight="false" outlineLevel="0" collapsed="false">
      <c r="A235" s="7" t="s">
        <v>243</v>
      </c>
      <c r="B235" s="7" t="n">
        <v>2</v>
      </c>
      <c r="C235" s="9" t="n">
        <v>742</v>
      </c>
      <c r="D235" s="9" t="n">
        <v>70459322</v>
      </c>
      <c r="E235" s="9" t="n">
        <v>182</v>
      </c>
      <c r="F235" s="9" t="n">
        <v>16997708</v>
      </c>
      <c r="G235" s="9" t="n">
        <v>0</v>
      </c>
      <c r="H235" s="9" t="n">
        <v>0</v>
      </c>
      <c r="I235" s="9" t="n">
        <v>924</v>
      </c>
      <c r="J235" s="9" t="n">
        <v>87457030</v>
      </c>
    </row>
    <row r="236" customFormat="false" ht="15.75" hidden="false" customHeight="false" outlineLevel="0" collapsed="false">
      <c r="A236" s="7" t="s">
        <v>244</v>
      </c>
      <c r="B236" s="7" t="n">
        <v>2</v>
      </c>
      <c r="C236" s="9" t="n">
        <v>0</v>
      </c>
      <c r="D236" s="9" t="n">
        <v>0</v>
      </c>
      <c r="E236" s="9" t="n">
        <v>0</v>
      </c>
      <c r="F236" s="9" t="n">
        <v>0</v>
      </c>
      <c r="G236" s="9" t="n">
        <v>0</v>
      </c>
      <c r="H236" s="9" t="n">
        <v>0</v>
      </c>
      <c r="I236" s="9" t="n">
        <v>0</v>
      </c>
      <c r="J236" s="9" t="n">
        <v>0</v>
      </c>
    </row>
    <row r="237" customFormat="false" ht="15.75" hidden="false" customHeight="false" outlineLevel="0" collapsed="false">
      <c r="A237" s="7" t="s">
        <v>245</v>
      </c>
      <c r="B237" s="7" t="n">
        <v>2</v>
      </c>
      <c r="C237" s="9" t="n">
        <v>48</v>
      </c>
      <c r="D237" s="9" t="n">
        <v>4536726</v>
      </c>
      <c r="E237" s="9" t="n">
        <v>300</v>
      </c>
      <c r="F237" s="9" t="n">
        <v>28354500</v>
      </c>
      <c r="G237" s="9" t="n">
        <v>256</v>
      </c>
      <c r="H237" s="9" t="n">
        <v>24195872</v>
      </c>
      <c r="I237" s="9" t="n">
        <v>92</v>
      </c>
      <c r="J237" s="9" t="n">
        <v>8695354</v>
      </c>
    </row>
    <row r="238" customFormat="false" ht="15.75" hidden="false" customHeight="false" outlineLevel="0" collapsed="false">
      <c r="A238" s="7" t="s">
        <v>246</v>
      </c>
      <c r="B238" s="7" t="n">
        <v>2</v>
      </c>
      <c r="C238" s="9" t="n">
        <v>0</v>
      </c>
      <c r="D238" s="9" t="n">
        <v>0</v>
      </c>
      <c r="E238" s="9" t="n">
        <v>0</v>
      </c>
      <c r="F238" s="9" t="n">
        <v>0</v>
      </c>
      <c r="G238" s="9" t="n">
        <v>0</v>
      </c>
      <c r="H238" s="9" t="n">
        <v>0</v>
      </c>
      <c r="I238" s="9" t="n">
        <v>0</v>
      </c>
      <c r="J238" s="9" t="n">
        <v>0</v>
      </c>
    </row>
    <row r="239" customFormat="false" ht="15.75" hidden="false" customHeight="false" outlineLevel="0" collapsed="false">
      <c r="A239" s="7" t="s">
        <v>247</v>
      </c>
      <c r="B239" s="7" t="n">
        <v>2</v>
      </c>
      <c r="C239" s="9" t="n">
        <v>2880</v>
      </c>
      <c r="D239" s="9" t="n">
        <v>20527314</v>
      </c>
      <c r="E239" s="9" t="n">
        <v>2544</v>
      </c>
      <c r="F239" s="9" t="n">
        <v>18132462</v>
      </c>
      <c r="G239" s="9" t="n">
        <v>52</v>
      </c>
      <c r="H239" s="9" t="n">
        <v>370632</v>
      </c>
      <c r="I239" s="9" t="n">
        <v>5372</v>
      </c>
      <c r="J239" s="9" t="n">
        <v>38289144</v>
      </c>
    </row>
    <row r="240" customFormat="false" ht="15.75" hidden="false" customHeight="false" outlineLevel="0" collapsed="false">
      <c r="A240" s="7" t="s">
        <v>248</v>
      </c>
      <c r="B240" s="7" t="n">
        <v>2</v>
      </c>
      <c r="C240" s="9" t="n">
        <v>0</v>
      </c>
      <c r="D240" s="9" t="n">
        <v>0</v>
      </c>
      <c r="E240" s="9" t="n">
        <v>0</v>
      </c>
      <c r="F240" s="9" t="n">
        <v>0</v>
      </c>
      <c r="G240" s="9" t="n">
        <v>0</v>
      </c>
      <c r="H240" s="9" t="n">
        <v>0</v>
      </c>
      <c r="I240" s="9" t="n">
        <v>0</v>
      </c>
      <c r="J240" s="9" t="n">
        <v>0</v>
      </c>
    </row>
    <row r="241" customFormat="false" ht="15.75" hidden="false" customHeight="false" outlineLevel="0" collapsed="false">
      <c r="A241" s="7" t="s">
        <v>249</v>
      </c>
      <c r="B241" s="7" t="n">
        <v>2</v>
      </c>
      <c r="C241" s="9" t="n">
        <v>0</v>
      </c>
      <c r="D241" s="9" t="n">
        <v>0</v>
      </c>
      <c r="E241" s="9" t="n">
        <v>0</v>
      </c>
      <c r="F241" s="9" t="n">
        <v>0</v>
      </c>
      <c r="G241" s="9" t="n">
        <v>0</v>
      </c>
      <c r="H241" s="9" t="n">
        <v>0</v>
      </c>
      <c r="I241" s="9" t="n">
        <v>0</v>
      </c>
      <c r="J241" s="9" t="n">
        <v>0</v>
      </c>
    </row>
    <row r="242" customFormat="false" ht="15.75" hidden="false" customHeight="false" outlineLevel="0" collapsed="false">
      <c r="A242" s="7" t="s">
        <v>250</v>
      </c>
      <c r="B242" s="7" t="n">
        <v>2</v>
      </c>
      <c r="C242" s="9" t="n">
        <v>1561</v>
      </c>
      <c r="D242" s="9" t="n">
        <v>65468752</v>
      </c>
      <c r="E242" s="9" t="n">
        <v>288</v>
      </c>
      <c r="F242" s="9" t="n">
        <v>2052732</v>
      </c>
      <c r="G242" s="9" t="n">
        <v>0</v>
      </c>
      <c r="H242" s="9" t="n">
        <v>0</v>
      </c>
      <c r="I242" s="9" t="n">
        <v>1849</v>
      </c>
      <c r="J242" s="9" t="n">
        <v>67521484</v>
      </c>
    </row>
    <row r="243" customFormat="false" ht="15.75" hidden="false" customHeight="false" outlineLevel="0" collapsed="false">
      <c r="A243" s="7" t="s">
        <v>251</v>
      </c>
      <c r="B243" s="7" t="n">
        <v>2</v>
      </c>
      <c r="C243" s="9" t="n">
        <v>0</v>
      </c>
      <c r="D243" s="9" t="n">
        <v>0</v>
      </c>
      <c r="E243" s="9" t="n">
        <v>15</v>
      </c>
      <c r="F243" s="9" t="n">
        <v>1122000</v>
      </c>
      <c r="G243" s="9" t="n">
        <v>15</v>
      </c>
      <c r="H243" s="9" t="n">
        <v>1122000</v>
      </c>
      <c r="I243" s="9" t="n">
        <v>0</v>
      </c>
      <c r="J243" s="9" t="n">
        <v>0</v>
      </c>
    </row>
    <row r="244" customFormat="false" ht="15.75" hidden="false" customHeight="false" outlineLevel="0" collapsed="false">
      <c r="A244" s="7" t="s">
        <v>252</v>
      </c>
      <c r="B244" s="7" t="n">
        <v>2</v>
      </c>
      <c r="C244" s="9" t="n">
        <v>0</v>
      </c>
      <c r="D244" s="9" t="n">
        <v>0</v>
      </c>
      <c r="E244" s="9" t="n">
        <v>0</v>
      </c>
      <c r="F244" s="9" t="n">
        <v>0</v>
      </c>
      <c r="G244" s="9"/>
      <c r="H244" s="9" t="n">
        <v>0</v>
      </c>
      <c r="I244" s="9" t="n">
        <v>0</v>
      </c>
      <c r="J244" s="9" t="n">
        <v>0</v>
      </c>
    </row>
    <row r="245" customFormat="false" ht="15.75" hidden="false" customHeight="false" outlineLevel="0" collapsed="false">
      <c r="A245" s="7" t="s">
        <v>253</v>
      </c>
      <c r="B245" s="7" t="n">
        <v>2</v>
      </c>
      <c r="C245" s="9" t="n">
        <v>0</v>
      </c>
      <c r="D245" s="9" t="n">
        <v>0</v>
      </c>
      <c r="E245" s="9" t="n">
        <v>42</v>
      </c>
      <c r="F245" s="9" t="n">
        <v>3141600</v>
      </c>
      <c r="G245" s="9" t="n">
        <v>42</v>
      </c>
      <c r="H245" s="9" t="n">
        <v>3141600</v>
      </c>
      <c r="I245" s="9" t="n">
        <v>0</v>
      </c>
      <c r="J245" s="9" t="n">
        <v>0</v>
      </c>
    </row>
    <row r="246" customFormat="false" ht="15.75" hidden="false" customHeight="false" outlineLevel="0" collapsed="false">
      <c r="A246" s="7" t="s">
        <v>254</v>
      </c>
      <c r="B246" s="7" t="n">
        <v>2</v>
      </c>
      <c r="C246" s="9" t="n">
        <v>125</v>
      </c>
      <c r="D246" s="9" t="n">
        <v>4196915</v>
      </c>
      <c r="E246" s="9" t="n">
        <v>170</v>
      </c>
      <c r="F246" s="9" t="n">
        <v>5720840</v>
      </c>
      <c r="G246" s="9" t="n">
        <v>50</v>
      </c>
      <c r="H246" s="9" t="n">
        <v>1680975</v>
      </c>
      <c r="I246" s="9" t="n">
        <v>245</v>
      </c>
      <c r="J246" s="9" t="n">
        <v>8236780</v>
      </c>
    </row>
    <row r="247" customFormat="false" ht="15.75" hidden="false" customHeight="false" outlineLevel="0" collapsed="false">
      <c r="A247" s="7" t="s">
        <v>255</v>
      </c>
      <c r="B247" s="7" t="n">
        <v>2</v>
      </c>
      <c r="C247" s="9" t="n">
        <v>0</v>
      </c>
      <c r="D247" s="9" t="n">
        <v>0</v>
      </c>
      <c r="E247" s="9" t="n">
        <v>0</v>
      </c>
      <c r="F247" s="9" t="n">
        <v>0</v>
      </c>
      <c r="G247" s="9"/>
      <c r="H247" s="9" t="n">
        <v>0</v>
      </c>
      <c r="I247" s="9" t="n">
        <v>0</v>
      </c>
      <c r="J247" s="9" t="n">
        <v>0</v>
      </c>
    </row>
    <row r="248" customFormat="false" ht="15.75" hidden="false" customHeight="false" outlineLevel="0" collapsed="false">
      <c r="A248" s="7" t="s">
        <v>256</v>
      </c>
      <c r="B248" s="7" t="n">
        <v>2</v>
      </c>
      <c r="C248" s="9" t="n">
        <v>103</v>
      </c>
      <c r="D248" s="9" t="n">
        <v>2200478</v>
      </c>
      <c r="E248" s="9" t="n">
        <v>20</v>
      </c>
      <c r="F248" s="9" t="n">
        <v>854554</v>
      </c>
      <c r="G248" s="9" t="n">
        <v>0</v>
      </c>
      <c r="H248" s="9" t="n">
        <v>0</v>
      </c>
      <c r="I248" s="9" t="n">
        <v>123</v>
      </c>
      <c r="J248" s="9" t="n">
        <v>3055032</v>
      </c>
    </row>
    <row r="249" customFormat="false" ht="15.75" hidden="false" customHeight="false" outlineLevel="0" collapsed="false">
      <c r="A249" s="7" t="s">
        <v>257</v>
      </c>
      <c r="B249" s="7" t="n">
        <v>2</v>
      </c>
      <c r="C249" s="9" t="n">
        <v>0</v>
      </c>
      <c r="D249" s="9" t="n">
        <v>0</v>
      </c>
      <c r="E249" s="9" t="n">
        <v>0</v>
      </c>
      <c r="F249" s="9" t="n">
        <v>0</v>
      </c>
      <c r="G249" s="9" t="n">
        <v>0</v>
      </c>
      <c r="H249" s="9" t="n">
        <v>0</v>
      </c>
      <c r="I249" s="9" t="n">
        <v>0</v>
      </c>
      <c r="J249" s="9" t="n">
        <v>0</v>
      </c>
    </row>
    <row r="250" customFormat="false" ht="15.75" hidden="false" customHeight="false" outlineLevel="0" collapsed="false">
      <c r="A250" s="7" t="s">
        <v>258</v>
      </c>
      <c r="B250" s="7" t="n">
        <v>2</v>
      </c>
      <c r="C250" s="9" t="n">
        <v>270</v>
      </c>
      <c r="D250" s="9" t="n">
        <v>4079585</v>
      </c>
      <c r="E250" s="9" t="n">
        <v>1200</v>
      </c>
      <c r="F250" s="9" t="n">
        <v>3600576</v>
      </c>
      <c r="G250" s="9" t="n">
        <v>40</v>
      </c>
      <c r="H250" s="9" t="n">
        <v>169522</v>
      </c>
      <c r="I250" s="9" t="n">
        <v>1430</v>
      </c>
      <c r="J250" s="9" t="n">
        <v>7510639</v>
      </c>
    </row>
    <row r="251" customFormat="false" ht="15.75" hidden="false" customHeight="false" outlineLevel="0" collapsed="false">
      <c r="A251" s="7" t="s">
        <v>259</v>
      </c>
      <c r="B251" s="7" t="n">
        <v>2</v>
      </c>
      <c r="C251" s="9" t="n">
        <v>161</v>
      </c>
      <c r="D251" s="9" t="n">
        <v>3439584</v>
      </c>
      <c r="E251" s="9" t="n">
        <v>5</v>
      </c>
      <c r="F251" s="9" t="n">
        <v>213639</v>
      </c>
      <c r="G251" s="9" t="n">
        <v>46</v>
      </c>
      <c r="H251" s="9" t="n">
        <v>1012339</v>
      </c>
      <c r="I251" s="9" t="n">
        <v>120</v>
      </c>
      <c r="J251" s="9" t="n">
        <v>2640884</v>
      </c>
    </row>
    <row r="252" customFormat="false" ht="15.75" hidden="false" customHeight="false" outlineLevel="0" collapsed="false">
      <c r="A252" s="7" t="s">
        <v>260</v>
      </c>
      <c r="B252" s="7" t="n">
        <v>2</v>
      </c>
      <c r="C252" s="9" t="n">
        <v>5</v>
      </c>
      <c r="D252" s="9" t="n">
        <v>274480</v>
      </c>
      <c r="E252" s="9" t="n">
        <v>20</v>
      </c>
      <c r="F252" s="9" t="n">
        <v>1097920</v>
      </c>
      <c r="G252" s="9" t="n">
        <v>23</v>
      </c>
      <c r="H252" s="9" t="n">
        <v>1262608</v>
      </c>
      <c r="I252" s="9" t="n">
        <v>2</v>
      </c>
      <c r="J252" s="9" t="n">
        <v>109792</v>
      </c>
    </row>
    <row r="253" customFormat="false" ht="15.75" hidden="false" customHeight="false" outlineLevel="0" collapsed="false">
      <c r="A253" s="7" t="s">
        <v>261</v>
      </c>
      <c r="B253" s="7" t="n">
        <v>2</v>
      </c>
      <c r="C253" s="9" t="n">
        <v>0</v>
      </c>
      <c r="D253" s="9" t="n">
        <v>0</v>
      </c>
      <c r="E253" s="9" t="n">
        <v>0</v>
      </c>
      <c r="F253" s="9" t="n">
        <v>0</v>
      </c>
      <c r="G253" s="9"/>
      <c r="H253" s="9" t="n">
        <v>0</v>
      </c>
      <c r="I253" s="9" t="n">
        <v>0</v>
      </c>
      <c r="J253" s="9" t="n">
        <v>0</v>
      </c>
    </row>
    <row r="254" customFormat="false" ht="15.75" hidden="false" customHeight="false" outlineLevel="0" collapsed="false">
      <c r="A254" s="7" t="s">
        <v>262</v>
      </c>
      <c r="B254" s="7" t="n">
        <v>2</v>
      </c>
      <c r="C254" s="9" t="n">
        <v>0</v>
      </c>
      <c r="D254" s="9" t="n">
        <v>0</v>
      </c>
      <c r="E254" s="9" t="n">
        <v>0</v>
      </c>
      <c r="F254" s="9" t="n">
        <v>0</v>
      </c>
      <c r="G254" s="9"/>
      <c r="H254" s="9" t="n">
        <v>0</v>
      </c>
      <c r="I254" s="9" t="n">
        <v>0</v>
      </c>
      <c r="J254" s="9" t="n">
        <v>0</v>
      </c>
    </row>
    <row r="255" customFormat="false" ht="15.75" hidden="false" customHeight="false" outlineLevel="0" collapsed="false">
      <c r="A255" s="7" t="s">
        <v>263</v>
      </c>
      <c r="B255" s="7" t="n">
        <v>2</v>
      </c>
      <c r="C255" s="9" t="n">
        <v>2</v>
      </c>
      <c r="D255" s="9" t="n">
        <v>118440</v>
      </c>
      <c r="E255" s="9" t="n">
        <v>80</v>
      </c>
      <c r="F255" s="9" t="n">
        <v>4737600</v>
      </c>
      <c r="G255" s="9" t="n">
        <v>79</v>
      </c>
      <c r="H255" s="9" t="n">
        <v>4678380</v>
      </c>
      <c r="I255" s="9" t="n">
        <v>3</v>
      </c>
      <c r="J255" s="9" t="n">
        <v>177660</v>
      </c>
    </row>
    <row r="256" customFormat="false" ht="15.75" hidden="false" customHeight="false" outlineLevel="0" collapsed="false">
      <c r="A256" s="7" t="s">
        <v>264</v>
      </c>
      <c r="B256" s="7" t="n">
        <v>2</v>
      </c>
      <c r="C256" s="9" t="n">
        <v>0</v>
      </c>
      <c r="D256" s="9" t="n">
        <v>0</v>
      </c>
      <c r="E256" s="9" t="n">
        <v>30</v>
      </c>
      <c r="F256" s="9" t="n">
        <v>1170000</v>
      </c>
      <c r="G256" s="9" t="n">
        <v>29</v>
      </c>
      <c r="H256" s="9" t="n">
        <v>1131000</v>
      </c>
      <c r="I256" s="9" t="n">
        <v>1</v>
      </c>
      <c r="J256" s="9" t="n">
        <v>39000</v>
      </c>
    </row>
    <row r="257" customFormat="false" ht="15.75" hidden="false" customHeight="false" outlineLevel="0" collapsed="false">
      <c r="A257" s="7" t="s">
        <v>265</v>
      </c>
      <c r="B257" s="7" t="n">
        <v>2</v>
      </c>
      <c r="C257" s="9" t="n">
        <v>5</v>
      </c>
      <c r="D257" s="9" t="n">
        <v>323360</v>
      </c>
      <c r="E257" s="9" t="n">
        <v>5</v>
      </c>
      <c r="F257" s="9" t="n">
        <v>323360</v>
      </c>
      <c r="G257" s="9" t="n">
        <v>10</v>
      </c>
      <c r="H257" s="9" t="n">
        <v>646720</v>
      </c>
      <c r="I257" s="9" t="n">
        <v>0</v>
      </c>
      <c r="J257" s="9" t="n">
        <v>0</v>
      </c>
    </row>
    <row r="258" customFormat="false" ht="15.75" hidden="false" customHeight="false" outlineLevel="0" collapsed="false">
      <c r="A258" s="7" t="s">
        <v>266</v>
      </c>
      <c r="B258" s="7" t="n">
        <v>2</v>
      </c>
      <c r="C258" s="9" t="n">
        <v>2</v>
      </c>
      <c r="D258" s="9" t="n">
        <v>129720</v>
      </c>
      <c r="E258" s="9" t="n">
        <v>0</v>
      </c>
      <c r="F258" s="9" t="n">
        <v>0</v>
      </c>
      <c r="G258" s="9" t="n">
        <v>0</v>
      </c>
      <c r="H258" s="9" t="n">
        <v>0</v>
      </c>
      <c r="I258" s="9" t="n">
        <v>2</v>
      </c>
      <c r="J258" s="9" t="n">
        <v>129720</v>
      </c>
    </row>
    <row r="259" customFormat="false" ht="15.75" hidden="false" customHeight="false" outlineLevel="0" collapsed="false">
      <c r="A259" s="7" t="s">
        <v>267</v>
      </c>
      <c r="B259" s="7" t="n">
        <v>2</v>
      </c>
      <c r="C259" s="9" t="n">
        <v>0</v>
      </c>
      <c r="D259" s="9" t="n">
        <v>0</v>
      </c>
      <c r="E259" s="9" t="n">
        <v>30</v>
      </c>
      <c r="F259" s="9" t="n">
        <v>1170000</v>
      </c>
      <c r="G259" s="9" t="n">
        <v>29</v>
      </c>
      <c r="H259" s="9" t="n">
        <v>1131000</v>
      </c>
      <c r="I259" s="9" t="n">
        <v>1</v>
      </c>
      <c r="J259" s="9" t="n">
        <v>39000</v>
      </c>
    </row>
    <row r="260" customFormat="false" ht="15.75" hidden="false" customHeight="false" outlineLevel="0" collapsed="false">
      <c r="A260" s="7" t="s">
        <v>268</v>
      </c>
      <c r="B260" s="7" t="n">
        <v>2</v>
      </c>
      <c r="C260" s="9" t="n">
        <v>80</v>
      </c>
      <c r="D260" s="9" t="n">
        <v>4419241</v>
      </c>
      <c r="E260" s="9" t="n">
        <v>0</v>
      </c>
      <c r="F260" s="9" t="n">
        <v>0</v>
      </c>
      <c r="G260" s="9" t="n">
        <v>80</v>
      </c>
      <c r="H260" s="9" t="n">
        <v>4419241</v>
      </c>
      <c r="I260" s="9" t="n">
        <v>0</v>
      </c>
      <c r="J260" s="9" t="n">
        <v>0</v>
      </c>
    </row>
    <row r="261" customFormat="false" ht="15.75" hidden="false" customHeight="false" outlineLevel="0" collapsed="false">
      <c r="A261" s="7" t="s">
        <v>269</v>
      </c>
      <c r="B261" s="7" t="n">
        <v>2</v>
      </c>
      <c r="C261" s="9" t="n">
        <v>0</v>
      </c>
      <c r="D261" s="9" t="n">
        <v>0</v>
      </c>
      <c r="E261" s="9" t="n">
        <v>6</v>
      </c>
      <c r="F261" s="9" t="n">
        <v>378000</v>
      </c>
      <c r="G261" s="9" t="n">
        <v>6</v>
      </c>
      <c r="H261" s="9" t="n">
        <v>378000</v>
      </c>
      <c r="I261" s="9" t="n">
        <v>0</v>
      </c>
      <c r="J261" s="9" t="n">
        <v>0</v>
      </c>
    </row>
    <row r="262" customFormat="false" ht="15.75" hidden="false" customHeight="false" outlineLevel="0" collapsed="false">
      <c r="A262" s="7" t="s">
        <v>270</v>
      </c>
      <c r="B262" s="7" t="n">
        <v>2</v>
      </c>
      <c r="C262" s="9" t="n">
        <v>0</v>
      </c>
      <c r="D262" s="9" t="n">
        <v>0</v>
      </c>
      <c r="E262" s="9" t="n">
        <v>20</v>
      </c>
      <c r="F262" s="9" t="n">
        <v>1160000</v>
      </c>
      <c r="G262" s="9" t="n">
        <v>20</v>
      </c>
      <c r="H262" s="9" t="n">
        <v>1160000</v>
      </c>
      <c r="I262" s="9" t="n">
        <v>0</v>
      </c>
      <c r="J262" s="9" t="n">
        <v>0</v>
      </c>
    </row>
    <row r="263" customFormat="false" ht="15.75" hidden="false" customHeight="false" outlineLevel="0" collapsed="false">
      <c r="A263" s="7" t="s">
        <v>271</v>
      </c>
      <c r="B263" s="7" t="n">
        <v>2</v>
      </c>
      <c r="C263" s="9" t="n">
        <v>1</v>
      </c>
      <c r="D263" s="9" t="n">
        <v>134195</v>
      </c>
      <c r="E263" s="9" t="n">
        <v>31</v>
      </c>
      <c r="F263" s="9" t="n">
        <v>4160045</v>
      </c>
      <c r="G263" s="9" t="n">
        <v>32</v>
      </c>
      <c r="H263" s="9" t="n">
        <v>4294240</v>
      </c>
      <c r="I263" s="9" t="n">
        <v>0</v>
      </c>
      <c r="J263" s="9" t="n">
        <v>0</v>
      </c>
    </row>
    <row r="264" customFormat="false" ht="15.75" hidden="false" customHeight="false" outlineLevel="0" collapsed="false">
      <c r="A264" s="7" t="s">
        <v>272</v>
      </c>
      <c r="B264" s="7" t="n">
        <v>2</v>
      </c>
      <c r="C264" s="9" t="n">
        <v>0</v>
      </c>
      <c r="D264" s="9" t="n">
        <v>0</v>
      </c>
      <c r="E264" s="9" t="n">
        <v>0</v>
      </c>
      <c r="F264" s="9" t="n">
        <v>0</v>
      </c>
      <c r="G264" s="9" t="n">
        <v>0</v>
      </c>
      <c r="H264" s="9" t="n">
        <v>0</v>
      </c>
      <c r="I264" s="9" t="n">
        <v>0</v>
      </c>
      <c r="J264" s="9" t="n">
        <v>0</v>
      </c>
    </row>
    <row r="265" customFormat="false" ht="15.75" hidden="false" customHeight="false" outlineLevel="0" collapsed="false">
      <c r="A265" s="7" t="s">
        <v>273</v>
      </c>
      <c r="B265" s="7" t="n">
        <v>2</v>
      </c>
      <c r="C265" s="9" t="n">
        <v>0</v>
      </c>
      <c r="D265" s="9" t="n">
        <v>0</v>
      </c>
      <c r="E265" s="9" t="n">
        <v>0</v>
      </c>
      <c r="F265" s="9" t="n">
        <v>0</v>
      </c>
      <c r="G265" s="9"/>
      <c r="H265" s="9" t="n">
        <v>0</v>
      </c>
      <c r="I265" s="9" t="n">
        <v>0</v>
      </c>
      <c r="J265" s="9" t="n">
        <v>0</v>
      </c>
    </row>
    <row r="266" customFormat="false" ht="15.75" hidden="false" customHeight="false" outlineLevel="0" collapsed="false">
      <c r="A266" s="7" t="s">
        <v>274</v>
      </c>
      <c r="B266" s="7" t="n">
        <v>2</v>
      </c>
      <c r="C266" s="9" t="n">
        <v>0</v>
      </c>
      <c r="D266" s="9" t="n">
        <v>0</v>
      </c>
      <c r="E266" s="9" t="n">
        <v>21</v>
      </c>
      <c r="F266" s="9" t="n">
        <v>745500</v>
      </c>
      <c r="G266" s="9" t="n">
        <v>21</v>
      </c>
      <c r="H266" s="9" t="n">
        <v>745500</v>
      </c>
      <c r="I266" s="9" t="n">
        <v>0</v>
      </c>
      <c r="J266" s="9" t="n">
        <v>0</v>
      </c>
    </row>
    <row r="267" customFormat="false" ht="15.75" hidden="false" customHeight="false" outlineLevel="0" collapsed="false">
      <c r="A267" s="7" t="s">
        <v>275</v>
      </c>
      <c r="B267" s="7" t="n">
        <v>2</v>
      </c>
      <c r="C267" s="9" t="n">
        <v>0</v>
      </c>
      <c r="D267" s="9" t="n">
        <v>0</v>
      </c>
      <c r="E267" s="9" t="n">
        <v>53</v>
      </c>
      <c r="F267" s="9" t="n">
        <v>1325000</v>
      </c>
      <c r="G267" s="9" t="n">
        <v>53</v>
      </c>
      <c r="H267" s="9" t="n">
        <v>1325000</v>
      </c>
      <c r="I267" s="9" t="n">
        <v>0</v>
      </c>
      <c r="J267" s="9" t="n">
        <v>0</v>
      </c>
    </row>
    <row r="268" customFormat="false" ht="15.75" hidden="false" customHeight="false" outlineLevel="0" collapsed="false">
      <c r="A268" s="7" t="s">
        <v>276</v>
      </c>
      <c r="B268" s="7" t="n">
        <v>2</v>
      </c>
      <c r="C268" s="9" t="n">
        <v>1</v>
      </c>
      <c r="D268" s="9" t="n">
        <v>75576</v>
      </c>
      <c r="E268" s="9" t="n">
        <v>65</v>
      </c>
      <c r="F268" s="9" t="n">
        <v>2457000</v>
      </c>
      <c r="G268" s="9" t="n">
        <v>66</v>
      </c>
      <c r="H268" s="9" t="n">
        <v>2532576</v>
      </c>
      <c r="I268" s="9" t="n">
        <v>0</v>
      </c>
      <c r="J268" s="9" t="n">
        <v>0</v>
      </c>
    </row>
    <row r="269" customFormat="false" ht="15.75" hidden="false" customHeight="false" outlineLevel="0" collapsed="false">
      <c r="A269" s="7" t="s">
        <v>277</v>
      </c>
      <c r="B269" s="7" t="n">
        <v>2</v>
      </c>
      <c r="C269" s="9" t="n">
        <v>10</v>
      </c>
      <c r="D269" s="9" t="n">
        <v>213192</v>
      </c>
      <c r="E269" s="9" t="n">
        <v>0</v>
      </c>
      <c r="F269" s="9" t="n">
        <v>0</v>
      </c>
      <c r="G269" s="9" t="n">
        <v>10</v>
      </c>
      <c r="H269" s="9" t="n">
        <v>213192</v>
      </c>
      <c r="I269" s="9" t="n">
        <v>0</v>
      </c>
      <c r="J269" s="9" t="n">
        <v>0</v>
      </c>
    </row>
    <row r="270" customFormat="false" ht="15.75" hidden="false" customHeight="false" outlineLevel="0" collapsed="false">
      <c r="A270" s="7" t="s">
        <v>278</v>
      </c>
      <c r="B270" s="7" t="n">
        <v>2</v>
      </c>
      <c r="C270" s="9" t="n">
        <v>85</v>
      </c>
      <c r="D270" s="9" t="n">
        <v>4002990</v>
      </c>
      <c r="E270" s="9" t="n">
        <v>0</v>
      </c>
      <c r="F270" s="9" t="n">
        <v>0</v>
      </c>
      <c r="G270" s="9" t="n">
        <v>85</v>
      </c>
      <c r="H270" s="9" t="n">
        <v>4002990</v>
      </c>
      <c r="I270" s="9" t="n">
        <v>0</v>
      </c>
      <c r="J270" s="9" t="n">
        <v>0</v>
      </c>
    </row>
    <row r="271" customFormat="false" ht="15.75" hidden="false" customHeight="false" outlineLevel="0" collapsed="false">
      <c r="A271" s="7" t="s">
        <v>279</v>
      </c>
      <c r="B271" s="7" t="n">
        <v>2</v>
      </c>
      <c r="C271" s="9" t="n">
        <v>0</v>
      </c>
      <c r="D271" s="9" t="n">
        <v>0</v>
      </c>
      <c r="E271" s="9" t="n">
        <v>31</v>
      </c>
      <c r="F271" s="9" t="n">
        <v>2371500</v>
      </c>
      <c r="G271" s="9" t="n">
        <v>31</v>
      </c>
      <c r="H271" s="9" t="n">
        <v>2371500</v>
      </c>
      <c r="I271" s="9" t="n">
        <v>0</v>
      </c>
      <c r="J271" s="9" t="n">
        <v>0</v>
      </c>
    </row>
    <row r="272" customFormat="false" ht="15.75" hidden="false" customHeight="false" outlineLevel="0" collapsed="false">
      <c r="A272" s="7" t="s">
        <v>280</v>
      </c>
      <c r="B272" s="7" t="n">
        <v>2</v>
      </c>
      <c r="C272" s="9" t="n">
        <v>0</v>
      </c>
      <c r="D272" s="9" t="n">
        <v>0</v>
      </c>
      <c r="E272" s="9" t="n">
        <v>16</v>
      </c>
      <c r="F272" s="9" t="n">
        <v>1280000</v>
      </c>
      <c r="G272" s="9" t="n">
        <v>16</v>
      </c>
      <c r="H272" s="9" t="n">
        <v>1280000</v>
      </c>
      <c r="I272" s="9" t="n">
        <v>0</v>
      </c>
      <c r="J272" s="9" t="n">
        <v>0</v>
      </c>
    </row>
    <row r="273" customFormat="false" ht="15.75" hidden="false" customHeight="false" outlineLevel="0" collapsed="false">
      <c r="A273" s="7" t="s">
        <v>281</v>
      </c>
      <c r="B273" s="7" t="n">
        <v>2</v>
      </c>
      <c r="C273" s="9" t="n">
        <v>66</v>
      </c>
      <c r="D273" s="9" t="n">
        <v>1122693</v>
      </c>
      <c r="E273" s="9" t="n">
        <v>92</v>
      </c>
      <c r="F273" s="9" t="n">
        <v>1554525</v>
      </c>
      <c r="G273" s="9" t="n">
        <v>10</v>
      </c>
      <c r="H273" s="9" t="n">
        <v>169444</v>
      </c>
      <c r="I273" s="9" t="n">
        <v>148</v>
      </c>
      <c r="J273" s="9" t="n">
        <v>2507774</v>
      </c>
    </row>
    <row r="274" customFormat="false" ht="15.75" hidden="false" customHeight="false" outlineLevel="0" collapsed="false">
      <c r="A274" s="7" t="s">
        <v>282</v>
      </c>
      <c r="B274" s="7" t="n">
        <v>2</v>
      </c>
      <c r="C274" s="9" t="n">
        <v>0</v>
      </c>
      <c r="D274" s="9" t="n">
        <v>0</v>
      </c>
      <c r="E274" s="9" t="n">
        <v>28</v>
      </c>
      <c r="F274" s="9" t="n">
        <v>1899975</v>
      </c>
      <c r="G274" s="9" t="n">
        <v>0</v>
      </c>
      <c r="H274" s="9" t="n">
        <v>0</v>
      </c>
      <c r="I274" s="9" t="n">
        <v>28</v>
      </c>
      <c r="J274" s="9" t="n">
        <v>1899975</v>
      </c>
    </row>
    <row r="275" customFormat="false" ht="15.75" hidden="false" customHeight="false" outlineLevel="0" collapsed="false">
      <c r="A275" s="7" t="s">
        <v>283</v>
      </c>
      <c r="B275" s="7" t="n">
        <v>2</v>
      </c>
      <c r="C275" s="9" t="n">
        <v>680</v>
      </c>
      <c r="D275" s="9" t="n">
        <v>23969498</v>
      </c>
      <c r="E275" s="9" t="n">
        <v>2348</v>
      </c>
      <c r="F275" s="9" t="n">
        <v>40131420</v>
      </c>
      <c r="G275" s="9" t="n">
        <v>613</v>
      </c>
      <c r="H275" s="9" t="n">
        <v>11837863</v>
      </c>
      <c r="I275" s="9" t="n">
        <v>2415</v>
      </c>
      <c r="J275" s="9" t="n">
        <v>52263055</v>
      </c>
    </row>
    <row r="276" customFormat="false" ht="15.75" hidden="false" customHeight="false" outlineLevel="0" collapsed="false">
      <c r="A276" s="7" t="s">
        <v>284</v>
      </c>
      <c r="B276" s="7" t="n">
        <v>2</v>
      </c>
      <c r="C276" s="9" t="n">
        <v>170</v>
      </c>
      <c r="D276" s="9" t="n">
        <v>7492027</v>
      </c>
      <c r="E276" s="9" t="n">
        <v>50</v>
      </c>
      <c r="F276" s="9" t="n">
        <v>2253650</v>
      </c>
      <c r="G276" s="9" t="n">
        <v>10</v>
      </c>
      <c r="H276" s="9" t="n">
        <v>442985</v>
      </c>
      <c r="I276" s="9" t="n">
        <v>210</v>
      </c>
      <c r="J276" s="9" t="n">
        <v>9302692</v>
      </c>
    </row>
    <row r="277" customFormat="false" ht="15.75" hidden="false" customHeight="false" outlineLevel="0" collapsed="false">
      <c r="A277" s="7" t="s">
        <v>285</v>
      </c>
      <c r="B277" s="7" t="n">
        <v>2</v>
      </c>
      <c r="C277" s="9" t="n">
        <v>103</v>
      </c>
      <c r="D277" s="9" t="n">
        <v>5457039</v>
      </c>
      <c r="E277" s="9" t="n">
        <v>5</v>
      </c>
      <c r="F277" s="9" t="n">
        <v>475090</v>
      </c>
      <c r="G277" s="9" t="n">
        <v>108</v>
      </c>
      <c r="H277" s="9" t="n">
        <v>5932129</v>
      </c>
      <c r="I277" s="9" t="n">
        <v>0</v>
      </c>
      <c r="J277" s="9" t="n">
        <v>0</v>
      </c>
    </row>
    <row r="278" customFormat="false" ht="15.75" hidden="false" customHeight="false" outlineLevel="0" collapsed="false">
      <c r="A278" s="7" t="s">
        <v>286</v>
      </c>
      <c r="B278" s="7" t="n">
        <v>2</v>
      </c>
      <c r="C278" s="9" t="n">
        <v>0</v>
      </c>
      <c r="D278" s="9" t="n">
        <v>0</v>
      </c>
      <c r="E278" s="9" t="n">
        <v>0</v>
      </c>
      <c r="F278" s="9" t="n">
        <v>0</v>
      </c>
      <c r="G278" s="9" t="n">
        <v>0</v>
      </c>
      <c r="H278" s="9" t="n">
        <v>0</v>
      </c>
      <c r="I278" s="9" t="n">
        <v>0</v>
      </c>
      <c r="J278" s="9" t="n">
        <v>0</v>
      </c>
    </row>
    <row r="279" customFormat="false" ht="15.75" hidden="false" customHeight="false" outlineLevel="0" collapsed="false">
      <c r="A279" s="7" t="s">
        <v>287</v>
      </c>
      <c r="B279" s="7" t="n">
        <v>2</v>
      </c>
      <c r="C279" s="9" t="n">
        <v>0</v>
      </c>
      <c r="D279" s="9" t="n">
        <v>0</v>
      </c>
      <c r="E279" s="9" t="n">
        <v>0</v>
      </c>
      <c r="F279" s="9" t="n">
        <v>0</v>
      </c>
      <c r="G279" s="9"/>
      <c r="H279" s="9" t="n">
        <v>0</v>
      </c>
      <c r="I279" s="9" t="n">
        <v>0</v>
      </c>
      <c r="J279" s="9" t="n">
        <v>0</v>
      </c>
    </row>
    <row r="280" customFormat="false" ht="15.75" hidden="false" customHeight="false" outlineLevel="0" collapsed="false">
      <c r="A280" s="7" t="s">
        <v>288</v>
      </c>
      <c r="B280" s="7" t="n">
        <v>2</v>
      </c>
      <c r="C280" s="9" t="n">
        <v>0</v>
      </c>
      <c r="D280" s="9" t="n">
        <v>0</v>
      </c>
      <c r="E280" s="9" t="n">
        <v>0</v>
      </c>
      <c r="F280" s="9" t="n">
        <v>0</v>
      </c>
      <c r="G280" s="9" t="n">
        <v>0</v>
      </c>
      <c r="H280" s="9" t="n">
        <v>0</v>
      </c>
      <c r="I280" s="9" t="n">
        <v>0</v>
      </c>
      <c r="J280" s="9" t="n">
        <v>0</v>
      </c>
    </row>
    <row r="281" customFormat="false" ht="15.75" hidden="false" customHeight="false" outlineLevel="0" collapsed="false">
      <c r="A281" s="7" t="s">
        <v>289</v>
      </c>
      <c r="B281" s="7" t="n">
        <v>2</v>
      </c>
      <c r="C281" s="9" t="n">
        <v>0</v>
      </c>
      <c r="D281" s="9" t="n">
        <v>0</v>
      </c>
      <c r="E281" s="9" t="n">
        <v>2400</v>
      </c>
      <c r="F281" s="9" t="n">
        <v>18544800</v>
      </c>
      <c r="G281" s="9" t="n">
        <v>0</v>
      </c>
      <c r="H281" s="9" t="n">
        <v>0</v>
      </c>
      <c r="I281" s="9" t="n">
        <v>2400</v>
      </c>
      <c r="J281" s="9" t="n">
        <v>18544800</v>
      </c>
    </row>
    <row r="282" customFormat="false" ht="15.75" hidden="false" customHeight="false" outlineLevel="0" collapsed="false">
      <c r="A282" s="7" t="s">
        <v>290</v>
      </c>
      <c r="B282" s="7" t="n">
        <v>2</v>
      </c>
      <c r="C282" s="9" t="n">
        <v>1364</v>
      </c>
      <c r="D282" s="9" t="n">
        <v>121391504</v>
      </c>
      <c r="E282" s="9" t="n">
        <v>756</v>
      </c>
      <c r="F282" s="9" t="n">
        <v>67271904</v>
      </c>
      <c r="G282" s="9" t="n">
        <v>0</v>
      </c>
      <c r="H282" s="9" t="n">
        <v>0</v>
      </c>
      <c r="I282" s="9" t="n">
        <v>2120</v>
      </c>
      <c r="J282" s="9" t="n">
        <v>188663408</v>
      </c>
    </row>
    <row r="283" customFormat="false" ht="15.75" hidden="false" customHeight="false" outlineLevel="0" collapsed="false">
      <c r="A283" s="7" t="s">
        <v>291</v>
      </c>
      <c r="B283" s="7" t="n">
        <v>2</v>
      </c>
      <c r="C283" s="9" t="n">
        <v>6467</v>
      </c>
      <c r="D283" s="9" t="n">
        <v>603715544</v>
      </c>
      <c r="E283" s="9" t="n">
        <v>1225</v>
      </c>
      <c r="F283" s="9" t="n">
        <v>114527700</v>
      </c>
      <c r="G283" s="9" t="n">
        <v>3106</v>
      </c>
      <c r="H283" s="9" t="n">
        <v>290023858</v>
      </c>
      <c r="I283" s="9" t="n">
        <v>4586</v>
      </c>
      <c r="J283" s="9" t="n">
        <v>428219386</v>
      </c>
    </row>
    <row r="284" customFormat="false" ht="15.75" hidden="false" customHeight="false" outlineLevel="0" collapsed="false">
      <c r="A284" s="7" t="s">
        <v>292</v>
      </c>
      <c r="B284" s="7" t="n">
        <v>2</v>
      </c>
      <c r="C284" s="9" t="n">
        <v>216</v>
      </c>
      <c r="D284" s="9" t="n">
        <v>19220544</v>
      </c>
      <c r="E284" s="9" t="n">
        <v>450</v>
      </c>
      <c r="F284" s="9" t="n">
        <v>32034240</v>
      </c>
      <c r="G284" s="9" t="n">
        <v>0</v>
      </c>
      <c r="H284" s="9" t="n">
        <v>0</v>
      </c>
      <c r="I284" s="9" t="n">
        <v>666</v>
      </c>
      <c r="J284" s="9" t="n">
        <v>51254784</v>
      </c>
    </row>
    <row r="285" customFormat="false" ht="15.75" hidden="false" customHeight="false" outlineLevel="0" collapsed="false">
      <c r="A285" s="4" t="s">
        <v>293</v>
      </c>
      <c r="B285" s="4"/>
      <c r="C285" s="6"/>
      <c r="D285" s="6" t="n">
        <v>15147175140</v>
      </c>
      <c r="E285" s="6" t="n">
        <v>762970</v>
      </c>
      <c r="F285" s="6" t="n">
        <v>8552434012</v>
      </c>
      <c r="G285" s="6" t="n">
        <v>394996</v>
      </c>
      <c r="H285" s="6" t="n">
        <v>7676643524</v>
      </c>
      <c r="I285" s="6"/>
      <c r="J285" s="6" t="n">
        <v>16022965628</v>
      </c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</row>
  </sheetData>
  <mergeCells count="4">
    <mergeCell ref="C1:D1"/>
    <mergeCell ref="E1:F1"/>
    <mergeCell ref="G1:H1"/>
    <mergeCell ref="I1:J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W285"/>
  <sheetViews>
    <sheetView showFormulas="false" showGridLines="true" showRowColHeaders="true" showZeros="true" rightToLeft="false" tabSelected="false" showOutlineSymbols="true" defaultGridColor="true" view="normal" topLeftCell="A268" colorId="64" zoomScale="100" zoomScaleNormal="100" zoomScalePageLayoutView="100" workbookViewId="0">
      <selection pane="topLeft" activeCell="D285" activeCellId="0" sqref="D285"/>
    </sheetView>
  </sheetViews>
  <sheetFormatPr defaultColWidth="12.5703125" defaultRowHeight="15.75" customHeight="true" zeroHeight="false" outlineLevelRow="0" outlineLevelCol="0"/>
  <cols>
    <col collapsed="false" customWidth="true" hidden="false" outlineLevel="0" max="1" min="1" style="0" width="64.43"/>
    <col collapsed="false" customWidth="true" hidden="false" outlineLevel="0" max="2" min="2" style="0" width="5.71"/>
    <col collapsed="false" customWidth="true" hidden="false" outlineLevel="0" max="4" min="4" style="0" width="13.86"/>
    <col collapsed="false" customWidth="true" hidden="false" outlineLevel="0" max="10" min="10" style="0" width="13.86"/>
  </cols>
  <sheetData>
    <row r="1" customFormat="false" ht="15.75" hidden="false" customHeight="false" outlineLevel="0" collapsed="false">
      <c r="A1" s="1"/>
      <c r="B1" s="2"/>
      <c r="C1" s="3" t="s">
        <v>0</v>
      </c>
      <c r="D1" s="3"/>
      <c r="E1" s="3" t="s">
        <v>1</v>
      </c>
      <c r="F1" s="3"/>
      <c r="G1" s="3" t="s">
        <v>2</v>
      </c>
      <c r="H1" s="3"/>
      <c r="I1" s="3" t="s">
        <v>3</v>
      </c>
      <c r="J1" s="3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</row>
    <row r="2" customFormat="false" ht="15.75" hidden="false" customHeight="false" outlineLevel="0" collapsed="false">
      <c r="A2" s="4" t="s">
        <v>4</v>
      </c>
      <c r="B2" s="5" t="s">
        <v>5</v>
      </c>
      <c r="C2" s="6" t="s">
        <v>6</v>
      </c>
      <c r="D2" s="6" t="s">
        <v>7</v>
      </c>
      <c r="E2" s="6" t="s">
        <v>8</v>
      </c>
      <c r="F2" s="6" t="s">
        <v>9</v>
      </c>
      <c r="G2" s="6" t="s">
        <v>6</v>
      </c>
      <c r="H2" s="6" t="s">
        <v>10</v>
      </c>
      <c r="I2" s="6" t="s">
        <v>6</v>
      </c>
      <c r="J2" s="6" t="s">
        <v>9</v>
      </c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</row>
    <row r="3" customFormat="false" ht="15.75" hidden="false" customHeight="false" outlineLevel="0" collapsed="false">
      <c r="A3" s="7" t="s">
        <v>11</v>
      </c>
      <c r="B3" s="7" t="n">
        <v>3</v>
      </c>
      <c r="C3" s="9" t="n">
        <v>365</v>
      </c>
      <c r="D3" s="9" t="n">
        <v>9957363</v>
      </c>
      <c r="E3" s="9" t="n">
        <v>130</v>
      </c>
      <c r="F3" s="9" t="n">
        <v>3531580</v>
      </c>
      <c r="G3" s="9" t="n">
        <v>240</v>
      </c>
      <c r="H3" s="9" t="n">
        <v>6540094</v>
      </c>
      <c r="I3" s="9" t="n">
        <v>255</v>
      </c>
      <c r="J3" s="9" t="n">
        <v>6948849</v>
      </c>
    </row>
    <row r="4" customFormat="false" ht="15.75" hidden="false" customHeight="false" outlineLevel="0" collapsed="false">
      <c r="A4" s="7" t="s">
        <v>12</v>
      </c>
      <c r="B4" s="7" t="n">
        <v>3</v>
      </c>
      <c r="C4" s="9" t="n">
        <v>0</v>
      </c>
      <c r="D4" s="9" t="n">
        <v>0</v>
      </c>
      <c r="E4" s="9" t="n">
        <v>0</v>
      </c>
      <c r="F4" s="9" t="n">
        <v>0</v>
      </c>
      <c r="G4" s="9" t="n">
        <v>0</v>
      </c>
      <c r="H4" s="9" t="n">
        <v>0</v>
      </c>
      <c r="I4" s="9" t="n">
        <v>0</v>
      </c>
      <c r="J4" s="9" t="n">
        <v>0</v>
      </c>
    </row>
    <row r="5" customFormat="false" ht="15.75" hidden="false" customHeight="false" outlineLevel="0" collapsed="false">
      <c r="A5" s="7" t="s">
        <v>13</v>
      </c>
      <c r="B5" s="7" t="n">
        <v>3</v>
      </c>
      <c r="C5" s="9" t="n">
        <v>995</v>
      </c>
      <c r="D5" s="9" t="n">
        <v>32652055</v>
      </c>
      <c r="E5" s="9" t="n">
        <v>0</v>
      </c>
      <c r="F5" s="9" t="n">
        <v>0</v>
      </c>
      <c r="G5" s="9" t="n">
        <v>72</v>
      </c>
      <c r="H5" s="9" t="n">
        <v>2362762</v>
      </c>
      <c r="I5" s="9" t="n">
        <v>923</v>
      </c>
      <c r="J5" s="9" t="n">
        <v>30289293</v>
      </c>
    </row>
    <row r="6" customFormat="false" ht="15.75" hidden="false" customHeight="false" outlineLevel="0" collapsed="false">
      <c r="A6" s="7" t="s">
        <v>14</v>
      </c>
      <c r="B6" s="7" t="n">
        <v>3</v>
      </c>
      <c r="C6" s="9" t="n">
        <v>120</v>
      </c>
      <c r="D6" s="9" t="n">
        <v>35752144</v>
      </c>
      <c r="E6" s="9" t="n">
        <v>0</v>
      </c>
      <c r="F6" s="9" t="n">
        <v>0</v>
      </c>
      <c r="G6" s="9" t="n">
        <v>0</v>
      </c>
      <c r="H6" s="9" t="n">
        <v>0</v>
      </c>
      <c r="I6" s="9" t="n">
        <v>120</v>
      </c>
      <c r="J6" s="9" t="n">
        <v>35752144</v>
      </c>
    </row>
    <row r="7" customFormat="false" ht="15.75" hidden="false" customHeight="false" outlineLevel="0" collapsed="false">
      <c r="A7" s="7" t="s">
        <v>15</v>
      </c>
      <c r="B7" s="7" t="n">
        <v>3</v>
      </c>
      <c r="C7" s="9" t="n">
        <v>510</v>
      </c>
      <c r="D7" s="9" t="n">
        <v>69373706</v>
      </c>
      <c r="E7" s="9" t="n">
        <v>0</v>
      </c>
      <c r="F7" s="9" t="n">
        <v>0</v>
      </c>
      <c r="G7" s="9" t="n">
        <v>0</v>
      </c>
      <c r="H7" s="9" t="n">
        <v>0</v>
      </c>
      <c r="I7" s="9" t="n">
        <v>510</v>
      </c>
      <c r="J7" s="9" t="n">
        <v>69373706</v>
      </c>
    </row>
    <row r="8" customFormat="false" ht="15.75" hidden="false" customHeight="false" outlineLevel="0" collapsed="false">
      <c r="A8" s="7" t="s">
        <v>16</v>
      </c>
      <c r="B8" s="7" t="n">
        <v>3</v>
      </c>
      <c r="C8" s="9" t="n">
        <v>344</v>
      </c>
      <c r="D8" s="9" t="n">
        <v>53839916</v>
      </c>
      <c r="E8" s="9" t="n">
        <v>0</v>
      </c>
      <c r="F8" s="9" t="n">
        <v>0</v>
      </c>
      <c r="G8" s="9" t="n">
        <v>0</v>
      </c>
      <c r="H8" s="9" t="n">
        <v>0</v>
      </c>
      <c r="I8" s="9" t="n">
        <v>344</v>
      </c>
      <c r="J8" s="9" t="n">
        <v>53839916</v>
      </c>
    </row>
    <row r="9" customFormat="false" ht="15.75" hidden="false" customHeight="false" outlineLevel="0" collapsed="false">
      <c r="A9" s="7" t="s">
        <v>17</v>
      </c>
      <c r="B9" s="7" t="n">
        <v>3</v>
      </c>
      <c r="C9" s="9" t="n">
        <v>159</v>
      </c>
      <c r="D9" s="9" t="n">
        <v>38049584</v>
      </c>
      <c r="E9" s="9" t="n">
        <v>0</v>
      </c>
      <c r="F9" s="9" t="n">
        <v>0</v>
      </c>
      <c r="G9" s="9" t="n">
        <v>0</v>
      </c>
      <c r="H9" s="9" t="n">
        <v>0</v>
      </c>
      <c r="I9" s="9" t="n">
        <v>159</v>
      </c>
      <c r="J9" s="9" t="n">
        <v>38049584</v>
      </c>
    </row>
    <row r="10" customFormat="false" ht="15.75" hidden="false" customHeight="false" outlineLevel="0" collapsed="false">
      <c r="A10" s="7" t="s">
        <v>18</v>
      </c>
      <c r="B10" s="7" t="n">
        <v>3</v>
      </c>
      <c r="C10" s="9" t="n">
        <v>814</v>
      </c>
      <c r="D10" s="9" t="n">
        <v>17725779</v>
      </c>
      <c r="E10" s="9" t="n">
        <v>0</v>
      </c>
      <c r="F10" s="9" t="n">
        <v>0</v>
      </c>
      <c r="G10" s="9" t="n">
        <v>80</v>
      </c>
      <c r="H10" s="9" t="n">
        <v>1742091</v>
      </c>
      <c r="I10" s="9" t="n">
        <v>734</v>
      </c>
      <c r="J10" s="9" t="n">
        <v>15983688</v>
      </c>
    </row>
    <row r="11" customFormat="false" ht="15.75" hidden="false" customHeight="false" outlineLevel="0" collapsed="false">
      <c r="A11" s="7" t="s">
        <v>19</v>
      </c>
      <c r="B11" s="7" t="n">
        <v>3</v>
      </c>
      <c r="C11" s="9" t="n">
        <v>180</v>
      </c>
      <c r="D11" s="9" t="n">
        <v>3904035</v>
      </c>
      <c r="E11" s="9" t="n">
        <v>0</v>
      </c>
      <c r="F11" s="9" t="n">
        <v>0</v>
      </c>
      <c r="G11" s="9" t="n">
        <v>0</v>
      </c>
      <c r="H11" s="9" t="n">
        <v>0</v>
      </c>
      <c r="I11" s="9" t="n">
        <v>180</v>
      </c>
      <c r="J11" s="9" t="n">
        <v>3904035</v>
      </c>
    </row>
    <row r="12" customFormat="false" ht="15.75" hidden="false" customHeight="false" outlineLevel="0" collapsed="false">
      <c r="A12" s="7" t="s">
        <v>20</v>
      </c>
      <c r="B12" s="7" t="n">
        <v>3</v>
      </c>
      <c r="C12" s="9" t="n">
        <v>307</v>
      </c>
      <c r="D12" s="9" t="n">
        <v>32682234</v>
      </c>
      <c r="E12" s="9" t="n">
        <v>0</v>
      </c>
      <c r="F12" s="9" t="n">
        <v>0</v>
      </c>
      <c r="G12" s="9" t="n">
        <v>12</v>
      </c>
      <c r="H12" s="9" t="n">
        <v>1277481</v>
      </c>
      <c r="I12" s="9" t="n">
        <v>295</v>
      </c>
      <c r="J12" s="9" t="n">
        <v>31404753</v>
      </c>
    </row>
    <row r="13" customFormat="false" ht="15.75" hidden="false" customHeight="false" outlineLevel="0" collapsed="false">
      <c r="A13" s="7" t="s">
        <v>21</v>
      </c>
      <c r="B13" s="7" t="n">
        <v>3</v>
      </c>
      <c r="C13" s="9" t="n">
        <v>182</v>
      </c>
      <c r="D13" s="9" t="n">
        <v>43553612</v>
      </c>
      <c r="E13" s="9" t="n">
        <v>0</v>
      </c>
      <c r="F13" s="9" t="n">
        <v>0</v>
      </c>
      <c r="G13" s="9" t="n">
        <v>12</v>
      </c>
      <c r="H13" s="9" t="n">
        <v>2871667</v>
      </c>
      <c r="I13" s="9" t="n">
        <v>170</v>
      </c>
      <c r="J13" s="9" t="n">
        <v>40681945</v>
      </c>
    </row>
    <row r="14" customFormat="false" ht="15.75" hidden="false" customHeight="false" outlineLevel="0" collapsed="false">
      <c r="A14" s="7" t="s">
        <v>22</v>
      </c>
      <c r="B14" s="7" t="n">
        <v>3</v>
      </c>
      <c r="C14" s="9" t="n">
        <v>18</v>
      </c>
      <c r="D14" s="9" t="n">
        <v>407934</v>
      </c>
      <c r="E14" s="9" t="n">
        <v>0</v>
      </c>
      <c r="F14" s="9" t="n">
        <v>0</v>
      </c>
      <c r="G14" s="9" t="n">
        <v>0</v>
      </c>
      <c r="H14" s="9" t="n">
        <v>0</v>
      </c>
      <c r="I14" s="9" t="n">
        <v>18</v>
      </c>
      <c r="J14" s="9" t="n">
        <v>407934</v>
      </c>
    </row>
    <row r="15" customFormat="false" ht="15.75" hidden="false" customHeight="false" outlineLevel="0" collapsed="false">
      <c r="A15" s="7" t="s">
        <v>23</v>
      </c>
      <c r="B15" s="7" t="n">
        <v>3</v>
      </c>
      <c r="C15" s="9" t="n">
        <v>0</v>
      </c>
      <c r="D15" s="9" t="n">
        <v>0</v>
      </c>
      <c r="E15" s="9" t="n">
        <v>0</v>
      </c>
      <c r="F15" s="9" t="n">
        <v>0</v>
      </c>
      <c r="G15" s="9" t="n">
        <v>0</v>
      </c>
      <c r="H15" s="9" t="n">
        <v>0</v>
      </c>
      <c r="I15" s="9" t="n">
        <v>0</v>
      </c>
      <c r="J15" s="9" t="n">
        <v>0</v>
      </c>
    </row>
    <row r="16" customFormat="false" ht="15.75" hidden="false" customHeight="false" outlineLevel="0" collapsed="false">
      <c r="A16" s="7" t="s">
        <v>24</v>
      </c>
      <c r="B16" s="7" t="n">
        <v>3</v>
      </c>
      <c r="C16" s="9" t="n">
        <v>0</v>
      </c>
      <c r="D16" s="9" t="n">
        <v>0</v>
      </c>
      <c r="E16" s="9" t="n">
        <v>0</v>
      </c>
      <c r="F16" s="9" t="n">
        <v>0</v>
      </c>
      <c r="G16" s="9" t="n">
        <v>0</v>
      </c>
      <c r="H16" s="9" t="n">
        <v>0</v>
      </c>
      <c r="I16" s="9" t="n">
        <v>0</v>
      </c>
      <c r="J16" s="9" t="n">
        <v>0</v>
      </c>
    </row>
    <row r="17" customFormat="false" ht="15.75" hidden="false" customHeight="false" outlineLevel="0" collapsed="false">
      <c r="A17" s="7" t="s">
        <v>25</v>
      </c>
      <c r="B17" s="7" t="n">
        <v>3</v>
      </c>
      <c r="C17" s="9" t="n">
        <v>130</v>
      </c>
      <c r="D17" s="9" t="n">
        <v>2718170</v>
      </c>
      <c r="E17" s="9" t="n">
        <v>107</v>
      </c>
      <c r="F17" s="9" t="n">
        <v>2237263</v>
      </c>
      <c r="G17" s="9" t="n">
        <v>95</v>
      </c>
      <c r="H17" s="9" t="n">
        <v>1986355</v>
      </c>
      <c r="I17" s="9" t="n">
        <v>142</v>
      </c>
      <c r="J17" s="9" t="n">
        <v>2969078</v>
      </c>
    </row>
    <row r="18" customFormat="false" ht="15.75" hidden="false" customHeight="false" outlineLevel="0" collapsed="false">
      <c r="A18" s="7" t="s">
        <v>26</v>
      </c>
      <c r="B18" s="7" t="n">
        <v>3</v>
      </c>
      <c r="C18" s="9" t="n">
        <v>136</v>
      </c>
      <c r="D18" s="9" t="n">
        <v>3461880</v>
      </c>
      <c r="E18" s="9" t="n">
        <v>53</v>
      </c>
      <c r="F18" s="9" t="n">
        <v>1349115</v>
      </c>
      <c r="G18" s="9" t="n">
        <v>50</v>
      </c>
      <c r="H18" s="9" t="n">
        <v>1272750</v>
      </c>
      <c r="I18" s="9" t="n">
        <v>139</v>
      </c>
      <c r="J18" s="9" t="n">
        <v>3538245</v>
      </c>
    </row>
    <row r="19" customFormat="false" ht="15.75" hidden="false" customHeight="false" outlineLevel="0" collapsed="false">
      <c r="A19" s="7" t="s">
        <v>27</v>
      </c>
      <c r="B19" s="7" t="n">
        <v>3</v>
      </c>
      <c r="C19" s="9" t="n">
        <v>0</v>
      </c>
      <c r="D19" s="9" t="n">
        <v>0</v>
      </c>
      <c r="E19" s="9" t="n">
        <v>0</v>
      </c>
      <c r="F19" s="9" t="n">
        <v>0</v>
      </c>
      <c r="G19" s="9" t="n">
        <v>0</v>
      </c>
      <c r="H19" s="9" t="n">
        <v>0</v>
      </c>
      <c r="I19" s="9" t="n">
        <v>0</v>
      </c>
      <c r="J19" s="9" t="n">
        <v>0</v>
      </c>
    </row>
    <row r="20" customFormat="false" ht="15.75" hidden="false" customHeight="false" outlineLevel="0" collapsed="false">
      <c r="A20" s="7" t="s">
        <v>28</v>
      </c>
      <c r="B20" s="7" t="n">
        <v>3</v>
      </c>
      <c r="C20" s="9" t="n">
        <v>0</v>
      </c>
      <c r="D20" s="9" t="n">
        <v>0</v>
      </c>
      <c r="E20" s="9" t="n">
        <v>0</v>
      </c>
      <c r="F20" s="9" t="n">
        <v>0</v>
      </c>
      <c r="G20" s="9" t="n">
        <v>0</v>
      </c>
      <c r="H20" s="9" t="n">
        <v>0</v>
      </c>
      <c r="I20" s="9" t="n">
        <v>0</v>
      </c>
      <c r="J20" s="9" t="n">
        <v>0</v>
      </c>
    </row>
    <row r="21" customFormat="false" ht="15.75" hidden="false" customHeight="false" outlineLevel="0" collapsed="false">
      <c r="A21" s="7" t="s">
        <v>29</v>
      </c>
      <c r="B21" s="7" t="n">
        <v>3</v>
      </c>
      <c r="C21" s="9" t="n">
        <v>150</v>
      </c>
      <c r="D21" s="9" t="n">
        <v>39640950</v>
      </c>
      <c r="E21" s="9" t="n">
        <v>0</v>
      </c>
      <c r="F21" s="9" t="n">
        <v>0</v>
      </c>
      <c r="G21" s="9" t="n">
        <v>0</v>
      </c>
      <c r="H21" s="9" t="n">
        <v>0</v>
      </c>
      <c r="I21" s="9" t="n">
        <v>150</v>
      </c>
      <c r="J21" s="9" t="n">
        <v>39640950</v>
      </c>
    </row>
    <row r="22" customFormat="false" ht="15.75" hidden="false" customHeight="false" outlineLevel="0" collapsed="false">
      <c r="A22" s="7" t="s">
        <v>30</v>
      </c>
      <c r="B22" s="7" t="n">
        <v>3</v>
      </c>
      <c r="C22" s="9" t="n">
        <v>20</v>
      </c>
      <c r="D22" s="9" t="n">
        <v>5492720</v>
      </c>
      <c r="E22" s="9" t="n">
        <v>100</v>
      </c>
      <c r="F22" s="9" t="n">
        <v>20250560</v>
      </c>
      <c r="G22" s="9" t="n">
        <v>0</v>
      </c>
      <c r="H22" s="9" t="n">
        <v>0</v>
      </c>
      <c r="I22" s="9" t="n">
        <v>120</v>
      </c>
      <c r="J22" s="9" t="n">
        <v>25743280</v>
      </c>
    </row>
    <row r="23" customFormat="false" ht="15.75" hidden="false" customHeight="false" outlineLevel="0" collapsed="false">
      <c r="A23" s="7" t="s">
        <v>31</v>
      </c>
      <c r="B23" s="7" t="n">
        <v>3</v>
      </c>
      <c r="C23" s="9" t="n">
        <v>0</v>
      </c>
      <c r="D23" s="9" t="n">
        <v>0</v>
      </c>
      <c r="E23" s="9" t="n">
        <v>0</v>
      </c>
      <c r="F23" s="9" t="n">
        <v>0</v>
      </c>
      <c r="G23" s="9" t="n">
        <v>0</v>
      </c>
      <c r="H23" s="9" t="n">
        <v>0</v>
      </c>
      <c r="I23" s="9" t="n">
        <v>0</v>
      </c>
      <c r="J23" s="9" t="n">
        <v>0</v>
      </c>
    </row>
    <row r="24" customFormat="false" ht="15.75" hidden="false" customHeight="false" outlineLevel="0" collapsed="false">
      <c r="A24" s="7" t="s">
        <v>32</v>
      </c>
      <c r="B24" s="7" t="n">
        <v>3</v>
      </c>
      <c r="C24" s="9" t="n">
        <v>0</v>
      </c>
      <c r="D24" s="9" t="n">
        <v>0</v>
      </c>
      <c r="E24" s="9" t="n">
        <v>0</v>
      </c>
      <c r="F24" s="9" t="n">
        <v>0</v>
      </c>
      <c r="G24" s="9" t="n">
        <v>0</v>
      </c>
      <c r="H24" s="9" t="n">
        <v>0</v>
      </c>
      <c r="I24" s="9" t="n">
        <v>0</v>
      </c>
      <c r="J24" s="9" t="n">
        <v>0</v>
      </c>
    </row>
    <row r="25" customFormat="false" ht="15.75" hidden="false" customHeight="false" outlineLevel="0" collapsed="false">
      <c r="A25" s="7" t="s">
        <v>33</v>
      </c>
      <c r="B25" s="7" t="n">
        <v>3</v>
      </c>
      <c r="C25" s="9" t="n">
        <v>36</v>
      </c>
      <c r="D25" s="9" t="n">
        <v>0</v>
      </c>
      <c r="E25" s="9" t="n">
        <v>0</v>
      </c>
      <c r="F25" s="9" t="n">
        <v>0</v>
      </c>
      <c r="G25" s="9" t="n">
        <v>0</v>
      </c>
      <c r="H25" s="9" t="n">
        <v>0</v>
      </c>
      <c r="I25" s="9" t="n">
        <v>36</v>
      </c>
      <c r="J25" s="9" t="n">
        <v>0</v>
      </c>
    </row>
    <row r="26" customFormat="false" ht="15.75" hidden="false" customHeight="false" outlineLevel="0" collapsed="false">
      <c r="A26" s="7" t="s">
        <v>34</v>
      </c>
      <c r="B26" s="7" t="n">
        <v>3</v>
      </c>
      <c r="C26" s="9" t="n">
        <v>0</v>
      </c>
      <c r="D26" s="9" t="n">
        <v>0</v>
      </c>
      <c r="E26" s="9" t="n">
        <v>0</v>
      </c>
      <c r="F26" s="9" t="n">
        <v>0</v>
      </c>
      <c r="G26" s="9" t="n">
        <v>0</v>
      </c>
      <c r="H26" s="9" t="n">
        <v>0</v>
      </c>
      <c r="I26" s="9" t="n">
        <v>0</v>
      </c>
      <c r="J26" s="9" t="n">
        <v>0</v>
      </c>
    </row>
    <row r="27" customFormat="false" ht="15.75" hidden="false" customHeight="false" outlineLevel="0" collapsed="false">
      <c r="A27" s="7" t="s">
        <v>35</v>
      </c>
      <c r="B27" s="7" t="n">
        <v>3</v>
      </c>
      <c r="C27" s="9" t="n">
        <v>0</v>
      </c>
      <c r="D27" s="9" t="n">
        <v>0</v>
      </c>
      <c r="E27" s="9" t="n">
        <v>0</v>
      </c>
      <c r="F27" s="9" t="n">
        <v>0</v>
      </c>
      <c r="G27" s="9" t="n">
        <v>0</v>
      </c>
      <c r="H27" s="9" t="n">
        <v>0</v>
      </c>
      <c r="I27" s="9" t="n">
        <v>0</v>
      </c>
      <c r="J27" s="9" t="n">
        <v>0</v>
      </c>
    </row>
    <row r="28" customFormat="false" ht="15.75" hidden="false" customHeight="false" outlineLevel="0" collapsed="false">
      <c r="A28" s="7" t="s">
        <v>36</v>
      </c>
      <c r="B28" s="7" t="n">
        <v>3</v>
      </c>
      <c r="C28" s="9" t="n">
        <v>20</v>
      </c>
      <c r="D28" s="9" t="n">
        <v>909100</v>
      </c>
      <c r="E28" s="9" t="n">
        <v>0</v>
      </c>
      <c r="F28" s="9" t="n">
        <v>0</v>
      </c>
      <c r="G28" s="9" t="n">
        <v>0</v>
      </c>
      <c r="H28" s="9" t="n">
        <v>0</v>
      </c>
      <c r="I28" s="9" t="n">
        <v>20</v>
      </c>
      <c r="J28" s="9" t="n">
        <v>909100</v>
      </c>
    </row>
    <row r="29" customFormat="false" ht="15.75" hidden="false" customHeight="false" outlineLevel="0" collapsed="false">
      <c r="A29" s="7" t="s">
        <v>37</v>
      </c>
      <c r="B29" s="7" t="n">
        <v>3</v>
      </c>
      <c r="C29" s="9" t="n">
        <v>8631</v>
      </c>
      <c r="D29" s="9" t="n">
        <v>462669998</v>
      </c>
      <c r="E29" s="9" t="n">
        <v>5760</v>
      </c>
      <c r="F29" s="9" t="n">
        <v>305228160</v>
      </c>
      <c r="G29" s="9" t="n">
        <v>4832</v>
      </c>
      <c r="H29" s="9" t="n">
        <v>257833639</v>
      </c>
      <c r="I29" s="9" t="n">
        <v>9559</v>
      </c>
      <c r="J29" s="9" t="n">
        <v>510064519</v>
      </c>
    </row>
    <row r="30" customFormat="false" ht="15.75" hidden="false" customHeight="false" outlineLevel="0" collapsed="false">
      <c r="A30" s="7" t="s">
        <v>38</v>
      </c>
      <c r="B30" s="7" t="n">
        <v>3</v>
      </c>
      <c r="C30" s="9" t="n">
        <v>281301</v>
      </c>
      <c r="D30" s="9" t="n">
        <v>477074241</v>
      </c>
      <c r="E30" s="9" t="n">
        <v>9720</v>
      </c>
      <c r="F30" s="9" t="n">
        <v>287984160</v>
      </c>
      <c r="G30" s="9" t="n">
        <v>6408</v>
      </c>
      <c r="H30" s="9" t="n">
        <v>191172293</v>
      </c>
      <c r="I30" s="9" t="n">
        <v>284613</v>
      </c>
      <c r="J30" s="9" t="n">
        <v>573886108</v>
      </c>
    </row>
    <row r="31" customFormat="false" ht="15.75" hidden="false" customHeight="false" outlineLevel="0" collapsed="false">
      <c r="A31" s="7" t="s">
        <v>39</v>
      </c>
      <c r="B31" s="7" t="n">
        <v>3</v>
      </c>
      <c r="C31" s="9" t="n">
        <v>28710</v>
      </c>
      <c r="D31" s="9" t="n">
        <v>144997018</v>
      </c>
      <c r="E31" s="9" t="n">
        <v>2400</v>
      </c>
      <c r="F31" s="9" t="n">
        <v>80829600</v>
      </c>
      <c r="G31" s="9" t="n">
        <v>540</v>
      </c>
      <c r="H31" s="9" t="n">
        <v>18211958</v>
      </c>
      <c r="I31" s="9" t="n">
        <v>30570</v>
      </c>
      <c r="J31" s="9" t="n">
        <v>207614660</v>
      </c>
    </row>
    <row r="32" customFormat="false" ht="15.75" hidden="false" customHeight="false" outlineLevel="0" collapsed="false">
      <c r="A32" s="7" t="s">
        <v>40</v>
      </c>
      <c r="B32" s="7" t="n">
        <v>3</v>
      </c>
      <c r="C32" s="9" t="n">
        <v>0</v>
      </c>
      <c r="D32" s="9" t="n">
        <v>0</v>
      </c>
      <c r="E32" s="9" t="n">
        <v>150</v>
      </c>
      <c r="F32" s="9" t="n">
        <v>6675000</v>
      </c>
      <c r="G32" s="9" t="n">
        <v>150</v>
      </c>
      <c r="H32" s="9" t="n">
        <v>6675000</v>
      </c>
      <c r="I32" s="9" t="n">
        <v>0</v>
      </c>
      <c r="J32" s="9" t="n">
        <v>0</v>
      </c>
    </row>
    <row r="33" customFormat="false" ht="15.75" hidden="false" customHeight="false" outlineLevel="0" collapsed="false">
      <c r="A33" s="7" t="s">
        <v>41</v>
      </c>
      <c r="B33" s="7" t="n">
        <v>3</v>
      </c>
      <c r="C33" s="9" t="n">
        <v>90</v>
      </c>
      <c r="D33" s="9" t="n">
        <v>3031110</v>
      </c>
      <c r="E33" s="9" t="n">
        <v>0</v>
      </c>
      <c r="F33" s="9" t="n">
        <v>0</v>
      </c>
      <c r="G33" s="9" t="n">
        <v>0</v>
      </c>
      <c r="H33" s="9" t="n">
        <v>0</v>
      </c>
      <c r="I33" s="9" t="n">
        <v>90</v>
      </c>
      <c r="J33" s="9" t="n">
        <v>3031110</v>
      </c>
    </row>
    <row r="34" customFormat="false" ht="15.75" hidden="false" customHeight="false" outlineLevel="0" collapsed="false">
      <c r="A34" s="7" t="s">
        <v>42</v>
      </c>
      <c r="B34" s="7" t="n">
        <v>3</v>
      </c>
      <c r="C34" s="9" t="n">
        <v>32</v>
      </c>
      <c r="D34" s="9" t="n">
        <v>1531840</v>
      </c>
      <c r="E34" s="9" t="n">
        <v>32</v>
      </c>
      <c r="F34" s="9" t="n">
        <v>1531840</v>
      </c>
      <c r="G34" s="9" t="n">
        <v>0</v>
      </c>
      <c r="H34" s="9" t="n">
        <v>0</v>
      </c>
      <c r="I34" s="9" t="n">
        <v>64</v>
      </c>
      <c r="J34" s="9" t="n">
        <v>3063680</v>
      </c>
    </row>
    <row r="35" customFormat="false" ht="15.75" hidden="false" customHeight="false" outlineLevel="0" collapsed="false">
      <c r="A35" s="7" t="s">
        <v>43</v>
      </c>
      <c r="B35" s="7" t="n">
        <v>3</v>
      </c>
      <c r="C35" s="9" t="n">
        <v>0</v>
      </c>
      <c r="D35" s="9" t="n">
        <v>0</v>
      </c>
      <c r="E35" s="9" t="n">
        <v>0</v>
      </c>
      <c r="F35" s="9" t="n">
        <v>0</v>
      </c>
      <c r="G35" s="9" t="n">
        <v>0</v>
      </c>
      <c r="H35" s="9" t="n">
        <v>0</v>
      </c>
      <c r="I35" s="9" t="n">
        <v>0</v>
      </c>
      <c r="J35" s="9" t="n">
        <v>0</v>
      </c>
    </row>
    <row r="36" customFormat="false" ht="15.75" hidden="false" customHeight="false" outlineLevel="0" collapsed="false">
      <c r="A36" s="7" t="s">
        <v>44</v>
      </c>
      <c r="B36" s="7" t="n">
        <v>3</v>
      </c>
      <c r="C36" s="9" t="n">
        <v>10055</v>
      </c>
      <c r="D36" s="9" t="n">
        <v>51173472</v>
      </c>
      <c r="E36" s="9" t="n">
        <v>675</v>
      </c>
      <c r="F36" s="9" t="n">
        <v>22733325</v>
      </c>
      <c r="G36" s="9" t="n">
        <v>330</v>
      </c>
      <c r="H36" s="9" t="n">
        <v>11114048</v>
      </c>
      <c r="I36" s="9" t="n">
        <v>10400</v>
      </c>
      <c r="J36" s="9" t="n">
        <v>62792749</v>
      </c>
    </row>
    <row r="37" customFormat="false" ht="15.75" hidden="false" customHeight="false" outlineLevel="0" collapsed="false">
      <c r="A37" s="7" t="s">
        <v>45</v>
      </c>
      <c r="B37" s="7" t="n">
        <v>3</v>
      </c>
      <c r="C37" s="9" t="n">
        <v>1257</v>
      </c>
      <c r="D37" s="9" t="n">
        <v>42332426</v>
      </c>
      <c r="E37" s="9" t="n">
        <v>450</v>
      </c>
      <c r="F37" s="9" t="n">
        <v>15155550</v>
      </c>
      <c r="G37" s="9" t="n">
        <v>210</v>
      </c>
      <c r="H37" s="9" t="n">
        <v>7072334</v>
      </c>
      <c r="I37" s="9" t="n">
        <v>1497</v>
      </c>
      <c r="J37" s="9" t="n">
        <v>50415642</v>
      </c>
    </row>
    <row r="38" customFormat="false" ht="15.75" hidden="false" customHeight="false" outlineLevel="0" collapsed="false">
      <c r="A38" s="7" t="s">
        <v>46</v>
      </c>
      <c r="B38" s="7" t="n">
        <v>3</v>
      </c>
      <c r="C38" s="9" t="n">
        <v>75</v>
      </c>
      <c r="D38" s="9" t="n">
        <v>2525925</v>
      </c>
      <c r="E38" s="9" t="n">
        <v>90</v>
      </c>
      <c r="F38" s="9" t="n">
        <v>3031110</v>
      </c>
      <c r="G38" s="9" t="n">
        <v>0</v>
      </c>
      <c r="H38" s="9" t="n">
        <v>0</v>
      </c>
      <c r="I38" s="9" t="n">
        <v>165</v>
      </c>
      <c r="J38" s="9" t="n">
        <v>5557035</v>
      </c>
    </row>
    <row r="39" customFormat="false" ht="15.75" hidden="false" customHeight="false" outlineLevel="0" collapsed="false">
      <c r="A39" s="7" t="s">
        <v>47</v>
      </c>
      <c r="B39" s="7" t="n">
        <v>3</v>
      </c>
      <c r="C39" s="9" t="n">
        <v>1750</v>
      </c>
      <c r="D39" s="9" t="n">
        <v>7953750</v>
      </c>
      <c r="E39" s="9" t="n">
        <v>0</v>
      </c>
      <c r="F39" s="9" t="n">
        <v>0</v>
      </c>
      <c r="G39" s="9" t="n">
        <v>150</v>
      </c>
      <c r="H39" s="9" t="n">
        <v>681750</v>
      </c>
      <c r="I39" s="9" t="n">
        <v>1600</v>
      </c>
      <c r="J39" s="9" t="n">
        <v>7272000</v>
      </c>
    </row>
    <row r="40" customFormat="false" ht="15.75" hidden="false" customHeight="false" outlineLevel="0" collapsed="false">
      <c r="A40" s="7" t="s">
        <v>48</v>
      </c>
      <c r="B40" s="7" t="n">
        <v>3</v>
      </c>
      <c r="C40" s="9" t="n">
        <v>0</v>
      </c>
      <c r="D40" s="9" t="n">
        <v>0</v>
      </c>
      <c r="E40" s="9" t="n">
        <v>0</v>
      </c>
      <c r="F40" s="9" t="n">
        <v>0</v>
      </c>
      <c r="G40" s="9" t="n">
        <v>0</v>
      </c>
      <c r="H40" s="9" t="n">
        <v>0</v>
      </c>
      <c r="I40" s="9" t="n">
        <v>0</v>
      </c>
      <c r="J40" s="9" t="n">
        <v>0</v>
      </c>
    </row>
    <row r="41" customFormat="false" ht="15.75" hidden="false" customHeight="false" outlineLevel="0" collapsed="false">
      <c r="A41" s="7" t="s">
        <v>49</v>
      </c>
      <c r="B41" s="7" t="n">
        <v>3</v>
      </c>
      <c r="C41" s="9" t="n">
        <v>1680</v>
      </c>
      <c r="D41" s="9" t="n">
        <v>7941360</v>
      </c>
      <c r="E41" s="9" t="n">
        <v>1800</v>
      </c>
      <c r="F41" s="9" t="n">
        <v>8508600</v>
      </c>
      <c r="G41" s="9" t="n">
        <v>150</v>
      </c>
      <c r="H41" s="9" t="n">
        <v>709050</v>
      </c>
      <c r="I41" s="9" t="n">
        <v>3330</v>
      </c>
      <c r="J41" s="9" t="n">
        <v>15740910</v>
      </c>
    </row>
    <row r="42" customFormat="false" ht="15.75" hidden="false" customHeight="false" outlineLevel="0" collapsed="false">
      <c r="A42" s="7" t="s">
        <v>50</v>
      </c>
      <c r="B42" s="7" t="n">
        <v>3</v>
      </c>
      <c r="C42" s="9" t="n">
        <v>500</v>
      </c>
      <c r="D42" s="9" t="n">
        <v>1591000</v>
      </c>
      <c r="E42" s="9" t="n">
        <v>500</v>
      </c>
      <c r="F42" s="9" t="n">
        <v>1591000</v>
      </c>
      <c r="G42" s="9" t="n">
        <v>0</v>
      </c>
      <c r="H42" s="9" t="n">
        <v>0</v>
      </c>
      <c r="I42" s="9" t="n">
        <v>1000</v>
      </c>
      <c r="J42" s="9" t="n">
        <v>3182000</v>
      </c>
    </row>
    <row r="43" customFormat="false" ht="15.75" hidden="false" customHeight="false" outlineLevel="0" collapsed="false">
      <c r="A43" s="7" t="s">
        <v>51</v>
      </c>
      <c r="B43" s="7" t="n">
        <v>3</v>
      </c>
      <c r="C43" s="9" t="n">
        <v>850</v>
      </c>
      <c r="D43" s="9" t="n">
        <v>3090600</v>
      </c>
      <c r="E43" s="9" t="n">
        <v>500</v>
      </c>
      <c r="F43" s="9" t="n">
        <v>1818000</v>
      </c>
      <c r="G43" s="9" t="n">
        <v>0</v>
      </c>
      <c r="H43" s="9" t="n">
        <v>0</v>
      </c>
      <c r="I43" s="9" t="n">
        <v>1350</v>
      </c>
      <c r="J43" s="9" t="n">
        <v>4908600</v>
      </c>
    </row>
    <row r="44" customFormat="false" ht="15.75" hidden="false" customHeight="false" outlineLevel="0" collapsed="false">
      <c r="A44" s="7" t="s">
        <v>52</v>
      </c>
      <c r="B44" s="7" t="n">
        <v>3</v>
      </c>
      <c r="C44" s="9" t="n">
        <v>96</v>
      </c>
      <c r="D44" s="9" t="n">
        <v>2181792</v>
      </c>
      <c r="E44" s="9" t="n">
        <v>384</v>
      </c>
      <c r="F44" s="9" t="n">
        <v>8727168</v>
      </c>
      <c r="G44" s="9" t="n">
        <v>0</v>
      </c>
      <c r="H44" s="9" t="n">
        <v>0</v>
      </c>
      <c r="I44" s="9" t="n">
        <v>480</v>
      </c>
      <c r="J44" s="9" t="n">
        <v>10908960</v>
      </c>
    </row>
    <row r="45" customFormat="false" ht="15.75" hidden="false" customHeight="false" outlineLevel="0" collapsed="false">
      <c r="A45" s="7" t="s">
        <v>53</v>
      </c>
      <c r="B45" s="7" t="n">
        <v>3</v>
      </c>
      <c r="C45" s="9" t="n">
        <v>0</v>
      </c>
      <c r="D45" s="9" t="n">
        <v>0</v>
      </c>
      <c r="E45" s="9" t="n">
        <v>0</v>
      </c>
      <c r="F45" s="9" t="n">
        <v>0</v>
      </c>
      <c r="G45" s="9" t="n">
        <v>0</v>
      </c>
      <c r="H45" s="9" t="n">
        <v>0</v>
      </c>
      <c r="I45" s="9" t="n">
        <v>0</v>
      </c>
      <c r="J45" s="9" t="n">
        <v>0</v>
      </c>
    </row>
    <row r="46" customFormat="false" ht="15.75" hidden="false" customHeight="false" outlineLevel="0" collapsed="false">
      <c r="A46" s="7" t="s">
        <v>54</v>
      </c>
      <c r="B46" s="7" t="n">
        <v>3</v>
      </c>
      <c r="C46" s="9" t="n">
        <v>4560</v>
      </c>
      <c r="D46" s="9" t="n">
        <v>62225883</v>
      </c>
      <c r="E46" s="9" t="n">
        <v>6478</v>
      </c>
      <c r="F46" s="9" t="n">
        <v>85088640</v>
      </c>
      <c r="G46" s="9" t="n">
        <v>5976</v>
      </c>
      <c r="H46" s="9" t="n">
        <v>79756440</v>
      </c>
      <c r="I46" s="9" t="n">
        <v>5062</v>
      </c>
      <c r="J46" s="9" t="n">
        <v>67558083</v>
      </c>
    </row>
    <row r="47" customFormat="false" ht="15.75" hidden="false" customHeight="false" outlineLevel="0" collapsed="false">
      <c r="A47" s="7" t="s">
        <v>55</v>
      </c>
      <c r="B47" s="7" t="n">
        <v>3</v>
      </c>
      <c r="C47" s="9" t="n">
        <v>0</v>
      </c>
      <c r="D47" s="9" t="n">
        <v>0</v>
      </c>
      <c r="E47" s="9" t="n">
        <v>0</v>
      </c>
      <c r="F47" s="9" t="n">
        <v>0</v>
      </c>
      <c r="G47" s="9" t="n">
        <v>0</v>
      </c>
      <c r="H47" s="9" t="n">
        <v>0</v>
      </c>
      <c r="I47" s="9" t="n">
        <v>0</v>
      </c>
      <c r="J47" s="9" t="n">
        <v>0</v>
      </c>
    </row>
    <row r="48" customFormat="false" ht="15.75" hidden="false" customHeight="false" outlineLevel="0" collapsed="false">
      <c r="A48" s="7" t="s">
        <v>56</v>
      </c>
      <c r="B48" s="7" t="n">
        <v>3</v>
      </c>
      <c r="C48" s="9" t="n">
        <v>0</v>
      </c>
      <c r="D48" s="9" t="n">
        <v>0</v>
      </c>
      <c r="E48" s="9" t="n">
        <v>0</v>
      </c>
      <c r="F48" s="9" t="n">
        <v>0</v>
      </c>
      <c r="G48" s="9" t="n">
        <v>0</v>
      </c>
      <c r="H48" s="9" t="n">
        <v>0</v>
      </c>
      <c r="I48" s="9" t="n">
        <v>0</v>
      </c>
      <c r="J48" s="9" t="n">
        <v>0</v>
      </c>
    </row>
    <row r="49" customFormat="false" ht="15.75" hidden="false" customHeight="false" outlineLevel="0" collapsed="false">
      <c r="A49" s="7" t="s">
        <v>57</v>
      </c>
      <c r="B49" s="7" t="n">
        <v>3</v>
      </c>
      <c r="C49" s="9" t="n">
        <v>360</v>
      </c>
      <c r="D49" s="9" t="n">
        <v>5727240</v>
      </c>
      <c r="E49" s="9" t="n">
        <v>0</v>
      </c>
      <c r="F49" s="9" t="n">
        <v>0</v>
      </c>
      <c r="G49" s="9" t="n">
        <v>0</v>
      </c>
      <c r="H49" s="9" t="n">
        <v>0</v>
      </c>
      <c r="I49" s="9" t="n">
        <v>360</v>
      </c>
      <c r="J49" s="9" t="n">
        <v>5727240</v>
      </c>
    </row>
    <row r="50" customFormat="false" ht="15.75" hidden="false" customHeight="false" outlineLevel="0" collapsed="false">
      <c r="A50" s="7" t="s">
        <v>58</v>
      </c>
      <c r="B50" s="7" t="n">
        <v>3</v>
      </c>
      <c r="C50" s="9" t="n">
        <v>0</v>
      </c>
      <c r="D50" s="9" t="n">
        <v>0</v>
      </c>
      <c r="E50" s="9" t="n">
        <v>720</v>
      </c>
      <c r="F50" s="9" t="n">
        <v>5563440</v>
      </c>
      <c r="G50" s="9" t="n">
        <v>0</v>
      </c>
      <c r="H50" s="9" t="n">
        <v>0</v>
      </c>
      <c r="I50" s="9" t="n">
        <v>720</v>
      </c>
      <c r="J50" s="9" t="n">
        <v>5563440</v>
      </c>
    </row>
    <row r="51" customFormat="false" ht="15.75" hidden="false" customHeight="false" outlineLevel="0" collapsed="false">
      <c r="A51" s="7" t="s">
        <v>59</v>
      </c>
      <c r="B51" s="7" t="n">
        <v>3</v>
      </c>
      <c r="C51" s="9" t="n">
        <v>2880</v>
      </c>
      <c r="D51" s="9" t="n">
        <v>41845226</v>
      </c>
      <c r="E51" s="9" t="n">
        <v>2121</v>
      </c>
      <c r="F51" s="9" t="n">
        <v>26181000</v>
      </c>
      <c r="G51" s="9" t="n">
        <v>1992</v>
      </c>
      <c r="H51" s="9" t="n">
        <v>27096229</v>
      </c>
      <c r="I51" s="9" t="n">
        <v>3009</v>
      </c>
      <c r="J51" s="9" t="n">
        <v>40929997</v>
      </c>
    </row>
    <row r="52" customFormat="false" ht="15.75" hidden="false" customHeight="false" outlineLevel="0" collapsed="false">
      <c r="A52" s="7" t="s">
        <v>60</v>
      </c>
      <c r="B52" s="7" t="n">
        <v>3</v>
      </c>
      <c r="C52" s="9" t="n">
        <v>420</v>
      </c>
      <c r="D52" s="9" t="n">
        <v>13363560</v>
      </c>
      <c r="E52" s="9" t="n">
        <v>1023</v>
      </c>
      <c r="F52" s="9" t="n">
        <v>32454360</v>
      </c>
      <c r="G52" s="9" t="n">
        <v>0</v>
      </c>
      <c r="H52" s="9" t="n">
        <v>0</v>
      </c>
      <c r="I52" s="9" t="n">
        <v>1443</v>
      </c>
      <c r="J52" s="9" t="n">
        <v>45817920</v>
      </c>
    </row>
    <row r="53" customFormat="false" ht="15.75" hidden="false" customHeight="false" outlineLevel="0" collapsed="false">
      <c r="A53" s="7" t="s">
        <v>61</v>
      </c>
      <c r="B53" s="7" t="n">
        <v>3</v>
      </c>
      <c r="C53" s="9" t="n">
        <v>0</v>
      </c>
      <c r="D53" s="9" t="n">
        <v>0</v>
      </c>
      <c r="E53" s="9" t="n">
        <v>0</v>
      </c>
      <c r="F53" s="9" t="n">
        <v>0</v>
      </c>
      <c r="G53" s="9" t="n">
        <v>0</v>
      </c>
      <c r="H53" s="9" t="n">
        <v>0</v>
      </c>
      <c r="I53" s="9" t="n">
        <v>0</v>
      </c>
      <c r="J53" s="9" t="n">
        <v>0</v>
      </c>
    </row>
    <row r="54" customFormat="false" ht="15.75" hidden="false" customHeight="false" outlineLevel="0" collapsed="false">
      <c r="A54" s="7" t="s">
        <v>62</v>
      </c>
      <c r="B54" s="7" t="n">
        <v>3</v>
      </c>
      <c r="C54" s="9" t="n">
        <v>2760</v>
      </c>
      <c r="D54" s="9" t="n">
        <v>13046520</v>
      </c>
      <c r="E54" s="9" t="n">
        <v>1801</v>
      </c>
      <c r="F54" s="9" t="n">
        <v>8508600</v>
      </c>
      <c r="G54" s="9" t="n">
        <v>1350</v>
      </c>
      <c r="H54" s="9" t="n">
        <v>6380051</v>
      </c>
      <c r="I54" s="9" t="n">
        <v>3211</v>
      </c>
      <c r="J54" s="9" t="n">
        <v>15175069</v>
      </c>
    </row>
    <row r="55" customFormat="false" ht="15.75" hidden="false" customHeight="false" outlineLevel="0" collapsed="false">
      <c r="A55" s="7" t="s">
        <v>63</v>
      </c>
      <c r="B55" s="7" t="n">
        <v>3</v>
      </c>
      <c r="C55" s="9" t="n">
        <v>0</v>
      </c>
      <c r="D55" s="9" t="n">
        <v>0</v>
      </c>
      <c r="E55" s="9" t="n">
        <v>0</v>
      </c>
      <c r="F55" s="9" t="n">
        <v>0</v>
      </c>
      <c r="G55" s="9" t="n">
        <v>0</v>
      </c>
      <c r="H55" s="9" t="n">
        <v>0</v>
      </c>
      <c r="I55" s="9" t="n">
        <v>0</v>
      </c>
      <c r="J55" s="9" t="n">
        <v>0</v>
      </c>
    </row>
    <row r="56" customFormat="false" ht="15.75" hidden="false" customHeight="false" outlineLevel="0" collapsed="false">
      <c r="A56" s="7" t="s">
        <v>64</v>
      </c>
      <c r="B56" s="7" t="n">
        <v>3</v>
      </c>
      <c r="C56" s="9" t="n">
        <v>0</v>
      </c>
      <c r="D56" s="9" t="n">
        <v>0</v>
      </c>
      <c r="E56" s="9" t="n">
        <v>0</v>
      </c>
      <c r="F56" s="9" t="n">
        <v>0</v>
      </c>
      <c r="G56" s="9" t="n">
        <v>0</v>
      </c>
      <c r="H56" s="9" t="n">
        <v>0</v>
      </c>
      <c r="I56" s="9" t="n">
        <v>0</v>
      </c>
      <c r="J56" s="9" t="n">
        <v>0</v>
      </c>
    </row>
    <row r="57" customFormat="false" ht="15.75" hidden="false" customHeight="false" outlineLevel="0" collapsed="false">
      <c r="A57" s="7" t="s">
        <v>65</v>
      </c>
      <c r="B57" s="7" t="n">
        <v>3</v>
      </c>
      <c r="C57" s="9" t="n">
        <v>0</v>
      </c>
      <c r="D57" s="9" t="n">
        <v>0</v>
      </c>
      <c r="E57" s="9" t="n">
        <v>0</v>
      </c>
      <c r="F57" s="9" t="n">
        <v>0</v>
      </c>
      <c r="G57" s="9" t="n">
        <v>0</v>
      </c>
      <c r="H57" s="9" t="n">
        <v>0</v>
      </c>
      <c r="I57" s="9" t="n">
        <v>0</v>
      </c>
      <c r="J57" s="9" t="n">
        <v>0</v>
      </c>
    </row>
    <row r="58" customFormat="false" ht="15.75" hidden="false" customHeight="false" outlineLevel="0" collapsed="false">
      <c r="A58" s="7" t="s">
        <v>66</v>
      </c>
      <c r="B58" s="7" t="n">
        <v>3</v>
      </c>
      <c r="C58" s="9" t="n">
        <v>1980</v>
      </c>
      <c r="D58" s="9" t="n">
        <v>28764978</v>
      </c>
      <c r="E58" s="9" t="n">
        <v>1536</v>
      </c>
      <c r="F58" s="9" t="n">
        <v>20944800</v>
      </c>
      <c r="G58" s="9" t="n">
        <v>1908</v>
      </c>
      <c r="H58" s="9" t="n">
        <v>26975613</v>
      </c>
      <c r="I58" s="9" t="n">
        <v>1608</v>
      </c>
      <c r="J58" s="9" t="n">
        <v>22734165</v>
      </c>
    </row>
    <row r="59" customFormat="false" ht="15.75" hidden="false" customHeight="false" outlineLevel="0" collapsed="false">
      <c r="A59" s="7" t="s">
        <v>67</v>
      </c>
      <c r="B59" s="7" t="n">
        <v>3</v>
      </c>
      <c r="C59" s="9" t="n">
        <v>120</v>
      </c>
      <c r="D59" s="9" t="n">
        <v>1854600</v>
      </c>
      <c r="E59" s="9" t="n">
        <v>64</v>
      </c>
      <c r="F59" s="9" t="n">
        <v>0</v>
      </c>
      <c r="G59" s="9" t="n">
        <v>0</v>
      </c>
      <c r="H59" s="9" t="n">
        <v>0</v>
      </c>
      <c r="I59" s="9" t="n">
        <v>184</v>
      </c>
      <c r="J59" s="9" t="n">
        <v>1854600</v>
      </c>
    </row>
    <row r="60" customFormat="false" ht="15.75" hidden="false" customHeight="false" outlineLevel="0" collapsed="false">
      <c r="A60" s="7" t="s">
        <v>68</v>
      </c>
      <c r="B60" s="7" t="n">
        <v>3</v>
      </c>
      <c r="C60" s="9" t="n">
        <v>60</v>
      </c>
      <c r="D60" s="9" t="n">
        <v>2618160</v>
      </c>
      <c r="E60" s="9" t="n">
        <v>60</v>
      </c>
      <c r="F60" s="9" t="n">
        <v>2618160</v>
      </c>
      <c r="G60" s="9" t="n">
        <v>0</v>
      </c>
      <c r="H60" s="9" t="n">
        <v>0</v>
      </c>
      <c r="I60" s="9" t="n">
        <v>120</v>
      </c>
      <c r="J60" s="9" t="n">
        <v>5236320</v>
      </c>
    </row>
    <row r="61" customFormat="false" ht="15.75" hidden="false" customHeight="false" outlineLevel="0" collapsed="false">
      <c r="A61" s="7" t="s">
        <v>69</v>
      </c>
      <c r="B61" s="7" t="n">
        <v>3</v>
      </c>
      <c r="C61" s="9" t="n">
        <v>0</v>
      </c>
      <c r="D61" s="9" t="n">
        <v>0</v>
      </c>
      <c r="E61" s="9" t="n">
        <v>0</v>
      </c>
      <c r="F61" s="9" t="n">
        <v>0</v>
      </c>
      <c r="G61" s="9" t="n">
        <v>0</v>
      </c>
      <c r="H61" s="9" t="n">
        <v>0</v>
      </c>
      <c r="I61" s="9" t="n">
        <v>0</v>
      </c>
      <c r="J61" s="9" t="n">
        <v>0</v>
      </c>
    </row>
    <row r="62" customFormat="false" ht="15.75" hidden="false" customHeight="false" outlineLevel="0" collapsed="false">
      <c r="A62" s="7" t="s">
        <v>70</v>
      </c>
      <c r="B62" s="7" t="n">
        <v>3</v>
      </c>
      <c r="C62" s="9" t="n">
        <v>0</v>
      </c>
      <c r="D62" s="9" t="n">
        <v>0</v>
      </c>
      <c r="E62" s="9" t="n">
        <v>0</v>
      </c>
      <c r="F62" s="9" t="n">
        <v>0</v>
      </c>
      <c r="G62" s="9" t="n">
        <v>0</v>
      </c>
      <c r="H62" s="9" t="n">
        <v>0</v>
      </c>
      <c r="I62" s="9" t="n">
        <v>0</v>
      </c>
      <c r="J62" s="9" t="n">
        <v>0</v>
      </c>
    </row>
    <row r="63" customFormat="false" ht="15.75" hidden="false" customHeight="false" outlineLevel="0" collapsed="false">
      <c r="A63" s="7" t="s">
        <v>71</v>
      </c>
      <c r="B63" s="7" t="n">
        <v>3</v>
      </c>
      <c r="C63" s="9" t="n">
        <v>240</v>
      </c>
      <c r="D63" s="9" t="n">
        <v>3490800</v>
      </c>
      <c r="E63" s="9" t="n">
        <v>240</v>
      </c>
      <c r="F63" s="9" t="n">
        <v>3490800</v>
      </c>
      <c r="G63" s="9" t="n">
        <v>0</v>
      </c>
      <c r="H63" s="9" t="n">
        <v>0</v>
      </c>
      <c r="I63" s="9" t="n">
        <v>480</v>
      </c>
      <c r="J63" s="9" t="n">
        <v>6981600</v>
      </c>
    </row>
    <row r="64" customFormat="false" ht="15.75" hidden="false" customHeight="false" outlineLevel="0" collapsed="false">
      <c r="A64" s="7" t="s">
        <v>72</v>
      </c>
      <c r="B64" s="7" t="n">
        <v>3</v>
      </c>
      <c r="C64" s="9" t="n">
        <v>1560</v>
      </c>
      <c r="D64" s="9" t="n">
        <v>31866593</v>
      </c>
      <c r="E64" s="9" t="n">
        <v>2836</v>
      </c>
      <c r="F64" s="9" t="n">
        <v>55767024</v>
      </c>
      <c r="G64" s="9" t="n">
        <v>2220</v>
      </c>
      <c r="H64" s="9" t="n">
        <v>44255375</v>
      </c>
      <c r="I64" s="9" t="n">
        <v>2176</v>
      </c>
      <c r="J64" s="9" t="n">
        <v>43378242</v>
      </c>
    </row>
    <row r="65" customFormat="false" ht="15.75" hidden="false" customHeight="false" outlineLevel="0" collapsed="false">
      <c r="A65" s="7" t="s">
        <v>73</v>
      </c>
      <c r="B65" s="7" t="n">
        <v>3</v>
      </c>
      <c r="C65" s="9" t="n">
        <v>1560</v>
      </c>
      <c r="D65" s="9" t="n">
        <v>48218040</v>
      </c>
      <c r="E65" s="9" t="n">
        <v>3840</v>
      </c>
      <c r="F65" s="9" t="n">
        <v>118690560</v>
      </c>
      <c r="G65" s="9" t="n">
        <v>2796</v>
      </c>
      <c r="H65" s="9" t="n">
        <v>86421564</v>
      </c>
      <c r="I65" s="9" t="n">
        <v>2604</v>
      </c>
      <c r="J65" s="9" t="n">
        <v>80487036</v>
      </c>
    </row>
    <row r="66" customFormat="false" ht="15.75" hidden="false" customHeight="false" outlineLevel="0" collapsed="false">
      <c r="A66" s="7" t="s">
        <v>74</v>
      </c>
      <c r="B66" s="7" t="n">
        <v>3</v>
      </c>
      <c r="C66" s="9" t="n">
        <v>3240</v>
      </c>
      <c r="D66" s="9" t="n">
        <v>42614856</v>
      </c>
      <c r="E66" s="9" t="n">
        <v>1440</v>
      </c>
      <c r="F66" s="9" t="n">
        <v>19635840</v>
      </c>
      <c r="G66" s="9" t="n">
        <v>4644</v>
      </c>
      <c r="H66" s="9" t="n">
        <v>61771844</v>
      </c>
      <c r="I66" s="9" t="n">
        <v>36</v>
      </c>
      <c r="J66" s="9" t="n">
        <v>478852</v>
      </c>
    </row>
    <row r="67" customFormat="false" ht="15.75" hidden="false" customHeight="false" outlineLevel="0" collapsed="false">
      <c r="A67" s="7" t="s">
        <v>75</v>
      </c>
      <c r="B67" s="7" t="n">
        <v>3</v>
      </c>
      <c r="C67" s="9" t="n">
        <v>1600</v>
      </c>
      <c r="D67" s="9" t="n">
        <v>537600</v>
      </c>
      <c r="E67" s="9" t="n">
        <v>1600</v>
      </c>
      <c r="F67" s="9" t="n">
        <v>537600</v>
      </c>
      <c r="G67" s="9" t="n">
        <v>240</v>
      </c>
      <c r="H67" s="9" t="n">
        <v>80640</v>
      </c>
      <c r="I67" s="9" t="n">
        <v>2960</v>
      </c>
      <c r="J67" s="9" t="n">
        <v>994560</v>
      </c>
    </row>
    <row r="68" customFormat="false" ht="15.75" hidden="false" customHeight="false" outlineLevel="0" collapsed="false">
      <c r="A68" s="7" t="s">
        <v>76</v>
      </c>
      <c r="B68" s="7" t="n">
        <v>3</v>
      </c>
      <c r="C68" s="9" t="n">
        <v>0</v>
      </c>
      <c r="D68" s="9" t="n">
        <v>0</v>
      </c>
      <c r="E68" s="9" t="n">
        <v>0</v>
      </c>
      <c r="F68" s="9" t="n">
        <v>0</v>
      </c>
      <c r="G68" s="9" t="n">
        <v>0</v>
      </c>
      <c r="H68" s="9" t="n">
        <v>0</v>
      </c>
      <c r="I68" s="9" t="n">
        <v>0</v>
      </c>
      <c r="J68" s="9" t="n">
        <v>0</v>
      </c>
    </row>
    <row r="69" customFormat="false" ht="15.75" hidden="false" customHeight="false" outlineLevel="0" collapsed="false">
      <c r="A69" s="7" t="s">
        <v>77</v>
      </c>
      <c r="B69" s="7" t="n">
        <v>3</v>
      </c>
      <c r="C69" s="9" t="n">
        <v>0</v>
      </c>
      <c r="D69" s="9" t="n">
        <v>0</v>
      </c>
      <c r="E69" s="9" t="n">
        <v>0</v>
      </c>
      <c r="F69" s="9" t="n">
        <v>0</v>
      </c>
      <c r="G69" s="9" t="n">
        <v>0</v>
      </c>
      <c r="H69" s="9" t="n">
        <v>0</v>
      </c>
      <c r="I69" s="9" t="n">
        <v>0</v>
      </c>
      <c r="J69" s="9" t="n">
        <v>0</v>
      </c>
    </row>
    <row r="70" customFormat="false" ht="15.75" hidden="false" customHeight="false" outlineLevel="0" collapsed="false">
      <c r="A70" s="7" t="s">
        <v>78</v>
      </c>
      <c r="B70" s="7" t="n">
        <v>3</v>
      </c>
      <c r="C70" s="9" t="n">
        <v>1896</v>
      </c>
      <c r="D70" s="9" t="n">
        <v>18918299</v>
      </c>
      <c r="E70" s="9" t="n">
        <v>1922</v>
      </c>
      <c r="F70" s="9" t="n">
        <v>2400000</v>
      </c>
      <c r="G70" s="9" t="n">
        <v>792</v>
      </c>
      <c r="H70" s="9" t="n">
        <v>4422235</v>
      </c>
      <c r="I70" s="9" t="n">
        <v>3026</v>
      </c>
      <c r="J70" s="9" t="n">
        <v>16896064</v>
      </c>
    </row>
    <row r="71" customFormat="false" ht="15.75" hidden="false" customHeight="false" outlineLevel="0" collapsed="false">
      <c r="A71" s="7" t="s">
        <v>79</v>
      </c>
      <c r="B71" s="7" t="n">
        <v>3</v>
      </c>
      <c r="C71" s="9" t="n">
        <v>0</v>
      </c>
      <c r="D71" s="9" t="n">
        <v>0</v>
      </c>
      <c r="E71" s="9" t="n">
        <v>331</v>
      </c>
      <c r="F71" s="9" t="n">
        <v>5863500</v>
      </c>
      <c r="G71" s="9" t="n">
        <v>0</v>
      </c>
      <c r="H71" s="9" t="n">
        <v>0</v>
      </c>
      <c r="I71" s="9" t="n">
        <v>331</v>
      </c>
      <c r="J71" s="9" t="n">
        <v>5863500</v>
      </c>
    </row>
    <row r="72" customFormat="false" ht="15.75" hidden="false" customHeight="false" outlineLevel="0" collapsed="false">
      <c r="A72" s="7" t="s">
        <v>80</v>
      </c>
      <c r="B72" s="7" t="n">
        <v>3</v>
      </c>
      <c r="C72" s="9" t="n">
        <v>108</v>
      </c>
      <c r="D72" s="9" t="n">
        <v>1288138</v>
      </c>
      <c r="E72" s="9" t="n">
        <v>108</v>
      </c>
      <c r="F72" s="9" t="n">
        <v>1472688</v>
      </c>
      <c r="G72" s="9" t="n">
        <v>0</v>
      </c>
      <c r="H72" s="9" t="n">
        <v>0</v>
      </c>
      <c r="I72" s="9" t="n">
        <v>216</v>
      </c>
      <c r="J72" s="9" t="n">
        <v>2760826</v>
      </c>
    </row>
    <row r="73" customFormat="false" ht="15.75" hidden="false" customHeight="false" outlineLevel="0" collapsed="false">
      <c r="A73" s="7" t="s">
        <v>81</v>
      </c>
      <c r="B73" s="7" t="n">
        <v>3</v>
      </c>
      <c r="C73" s="9" t="n">
        <v>720</v>
      </c>
      <c r="D73" s="9" t="n">
        <v>10472400</v>
      </c>
      <c r="E73" s="9" t="n">
        <v>180</v>
      </c>
      <c r="F73" s="9" t="n">
        <v>2618100</v>
      </c>
      <c r="G73" s="9" t="n">
        <v>0</v>
      </c>
      <c r="H73" s="9" t="n">
        <v>0</v>
      </c>
      <c r="I73" s="9" t="n">
        <v>900</v>
      </c>
      <c r="J73" s="9" t="n">
        <v>13090500</v>
      </c>
    </row>
    <row r="74" customFormat="false" ht="15.75" hidden="false" customHeight="false" outlineLevel="0" collapsed="false">
      <c r="A74" s="7" t="s">
        <v>82</v>
      </c>
      <c r="B74" s="7" t="n">
        <v>3</v>
      </c>
      <c r="C74" s="9" t="n">
        <v>2160</v>
      </c>
      <c r="D74" s="9" t="n">
        <v>15316560</v>
      </c>
      <c r="E74" s="9" t="n">
        <v>360</v>
      </c>
      <c r="F74" s="9" t="n">
        <v>2552760</v>
      </c>
      <c r="G74" s="9" t="n">
        <v>720</v>
      </c>
      <c r="H74" s="9" t="n">
        <v>5105520</v>
      </c>
      <c r="I74" s="9" t="n">
        <v>1800</v>
      </c>
      <c r="J74" s="9" t="n">
        <v>12763800</v>
      </c>
    </row>
    <row r="75" customFormat="false" ht="15.75" hidden="false" customHeight="false" outlineLevel="0" collapsed="false">
      <c r="A75" s="7" t="s">
        <v>83</v>
      </c>
      <c r="B75" s="7" t="n">
        <v>3</v>
      </c>
      <c r="C75" s="9" t="n">
        <v>1584</v>
      </c>
      <c r="D75" s="9" t="n">
        <v>11520432</v>
      </c>
      <c r="E75" s="9" t="n">
        <v>0</v>
      </c>
      <c r="F75" s="9" t="n">
        <v>0</v>
      </c>
      <c r="G75" s="9" t="n">
        <v>0</v>
      </c>
      <c r="H75" s="9" t="n">
        <v>0</v>
      </c>
      <c r="I75" s="9" t="n">
        <v>1584</v>
      </c>
      <c r="J75" s="9" t="n">
        <v>11520432</v>
      </c>
    </row>
    <row r="76" customFormat="false" ht="15.75" hidden="false" customHeight="false" outlineLevel="0" collapsed="false">
      <c r="A76" s="7" t="s">
        <v>84</v>
      </c>
      <c r="B76" s="7" t="n">
        <v>3</v>
      </c>
      <c r="C76" s="9" t="n">
        <v>8640</v>
      </c>
      <c r="D76" s="9" t="n">
        <v>247630355</v>
      </c>
      <c r="E76" s="9" t="n">
        <v>6952</v>
      </c>
      <c r="F76" s="9" t="n">
        <v>193121184</v>
      </c>
      <c r="G76" s="9" t="n">
        <v>5856</v>
      </c>
      <c r="H76" s="9" t="n">
        <v>165536237</v>
      </c>
      <c r="I76" s="9" t="n">
        <v>9736</v>
      </c>
      <c r="J76" s="9" t="n">
        <v>275215302</v>
      </c>
    </row>
    <row r="77" customFormat="false" ht="15.75" hidden="false" customHeight="false" outlineLevel="0" collapsed="false">
      <c r="A77" s="7" t="s">
        <v>85</v>
      </c>
      <c r="B77" s="7" t="n">
        <v>3</v>
      </c>
      <c r="C77" s="9" t="n">
        <v>9720</v>
      </c>
      <c r="D77" s="9" t="n">
        <v>85710960</v>
      </c>
      <c r="E77" s="9" t="n">
        <v>9716</v>
      </c>
      <c r="F77" s="9" t="n">
        <v>82536480</v>
      </c>
      <c r="G77" s="9" t="n">
        <v>8844</v>
      </c>
      <c r="H77" s="9" t="n">
        <v>76557952</v>
      </c>
      <c r="I77" s="9" t="n">
        <v>10592</v>
      </c>
      <c r="J77" s="9" t="n">
        <v>91689488</v>
      </c>
    </row>
    <row r="78" customFormat="false" ht="15.75" hidden="false" customHeight="false" outlineLevel="0" collapsed="false">
      <c r="A78" s="7" t="s">
        <v>86</v>
      </c>
      <c r="B78" s="7" t="n">
        <v>3</v>
      </c>
      <c r="C78" s="9" t="n">
        <v>28080</v>
      </c>
      <c r="D78" s="9" t="n">
        <v>199562387</v>
      </c>
      <c r="E78" s="9" t="n">
        <v>22683</v>
      </c>
      <c r="F78" s="9" t="n">
        <v>151633944</v>
      </c>
      <c r="G78" s="9" t="n">
        <v>19080</v>
      </c>
      <c r="H78" s="9" t="n">
        <v>132002167</v>
      </c>
      <c r="I78" s="9" t="n">
        <v>31683</v>
      </c>
      <c r="J78" s="9" t="n">
        <v>219194164</v>
      </c>
    </row>
    <row r="79" customFormat="false" ht="15.75" hidden="false" customHeight="false" outlineLevel="0" collapsed="false">
      <c r="A79" s="7" t="s">
        <v>87</v>
      </c>
      <c r="B79" s="7" t="n">
        <v>3</v>
      </c>
      <c r="C79" s="9" t="n">
        <v>3240</v>
      </c>
      <c r="D79" s="9" t="n">
        <v>54486834</v>
      </c>
      <c r="E79" s="9" t="n">
        <v>4800</v>
      </c>
      <c r="F79" s="9" t="n">
        <v>78708240</v>
      </c>
      <c r="G79" s="9" t="n">
        <v>5400</v>
      </c>
      <c r="H79" s="9" t="n">
        <v>89459378</v>
      </c>
      <c r="I79" s="9" t="n">
        <v>2640</v>
      </c>
      <c r="J79" s="9" t="n">
        <v>43735696</v>
      </c>
    </row>
    <row r="80" customFormat="false" ht="15.75" hidden="false" customHeight="false" outlineLevel="0" collapsed="false">
      <c r="A80" s="7" t="s">
        <v>88</v>
      </c>
      <c r="B80" s="7" t="n">
        <v>3</v>
      </c>
      <c r="C80" s="9" t="n">
        <v>0</v>
      </c>
      <c r="D80" s="9" t="n">
        <v>0</v>
      </c>
      <c r="E80" s="9" t="n">
        <v>0</v>
      </c>
      <c r="F80" s="9" t="n">
        <v>0</v>
      </c>
      <c r="G80" s="9" t="n">
        <v>0</v>
      </c>
      <c r="H80" s="9" t="n">
        <v>0</v>
      </c>
      <c r="I80" s="9" t="n">
        <v>0</v>
      </c>
      <c r="J80" s="9" t="n">
        <v>0</v>
      </c>
    </row>
    <row r="81" customFormat="false" ht="15.75" hidden="false" customHeight="false" outlineLevel="0" collapsed="false">
      <c r="A81" s="7" t="s">
        <v>89</v>
      </c>
      <c r="B81" s="7" t="n">
        <v>3</v>
      </c>
      <c r="C81" s="9" t="n">
        <v>300</v>
      </c>
      <c r="D81" s="9" t="n">
        <v>6818100</v>
      </c>
      <c r="E81" s="9" t="n">
        <v>180</v>
      </c>
      <c r="F81" s="9" t="n">
        <v>4090860</v>
      </c>
      <c r="G81" s="9" t="n">
        <v>0</v>
      </c>
      <c r="H81" s="9" t="n">
        <v>0</v>
      </c>
      <c r="I81" s="9" t="n">
        <v>480</v>
      </c>
      <c r="J81" s="9" t="n">
        <v>10908960</v>
      </c>
    </row>
    <row r="82" customFormat="false" ht="15.75" hidden="false" customHeight="false" outlineLevel="0" collapsed="false">
      <c r="A82" s="7" t="s">
        <v>90</v>
      </c>
      <c r="B82" s="7" t="n">
        <v>3</v>
      </c>
      <c r="C82" s="9" t="n">
        <v>2760</v>
      </c>
      <c r="D82" s="9" t="n">
        <v>137695215</v>
      </c>
      <c r="E82" s="9" t="n">
        <v>1500</v>
      </c>
      <c r="F82" s="9" t="n">
        <v>75000000</v>
      </c>
      <c r="G82" s="9" t="n">
        <v>2706</v>
      </c>
      <c r="H82" s="9" t="n">
        <v>135106398</v>
      </c>
      <c r="I82" s="9" t="n">
        <v>1554</v>
      </c>
      <c r="J82" s="9" t="n">
        <v>77588817</v>
      </c>
    </row>
    <row r="83" customFormat="false" ht="15.75" hidden="false" customHeight="false" outlineLevel="0" collapsed="false">
      <c r="A83" s="7" t="s">
        <v>91</v>
      </c>
      <c r="B83" s="7" t="n">
        <v>3</v>
      </c>
      <c r="C83" s="9" t="n">
        <v>3120</v>
      </c>
      <c r="D83" s="9" t="n">
        <v>27535434</v>
      </c>
      <c r="E83" s="9" t="n">
        <v>3320</v>
      </c>
      <c r="F83" s="9" t="n">
        <v>21163200</v>
      </c>
      <c r="G83" s="9" t="n">
        <v>3048</v>
      </c>
      <c r="H83" s="9" t="n">
        <v>23048670</v>
      </c>
      <c r="I83" s="9" t="n">
        <v>3392</v>
      </c>
      <c r="J83" s="9" t="n">
        <v>25649964</v>
      </c>
    </row>
    <row r="84" customFormat="false" ht="15.75" hidden="false" customHeight="false" outlineLevel="0" collapsed="false">
      <c r="A84" s="7" t="s">
        <v>92</v>
      </c>
      <c r="B84" s="7" t="n">
        <v>3</v>
      </c>
      <c r="C84" s="9" t="n">
        <v>24000</v>
      </c>
      <c r="D84" s="9" t="n">
        <v>11568000</v>
      </c>
      <c r="E84" s="9" t="n">
        <v>16000</v>
      </c>
      <c r="F84" s="9" t="n">
        <v>7712000</v>
      </c>
      <c r="G84" s="9" t="n">
        <v>20800</v>
      </c>
      <c r="H84" s="9" t="n">
        <v>10025600</v>
      </c>
      <c r="I84" s="9" t="n">
        <v>19200</v>
      </c>
      <c r="J84" s="9" t="n">
        <v>9254400</v>
      </c>
    </row>
    <row r="85" customFormat="false" ht="15.75" hidden="false" customHeight="false" outlineLevel="0" collapsed="false">
      <c r="A85" s="7" t="s">
        <v>93</v>
      </c>
      <c r="B85" s="7" t="n">
        <v>3</v>
      </c>
      <c r="C85" s="9" t="n">
        <v>150</v>
      </c>
      <c r="D85" s="9" t="n">
        <v>7500000</v>
      </c>
      <c r="E85" s="9" t="n">
        <v>30</v>
      </c>
      <c r="F85" s="9" t="n">
        <v>1500000</v>
      </c>
      <c r="G85" s="9" t="n">
        <v>0</v>
      </c>
      <c r="H85" s="9" t="n">
        <v>0</v>
      </c>
      <c r="I85" s="9" t="n">
        <v>180</v>
      </c>
      <c r="J85" s="9" t="n">
        <v>9000000</v>
      </c>
    </row>
    <row r="86" customFormat="false" ht="15.75" hidden="false" customHeight="false" outlineLevel="0" collapsed="false">
      <c r="A86" s="7" t="s">
        <v>94</v>
      </c>
      <c r="B86" s="7" t="n">
        <v>3</v>
      </c>
      <c r="C86" s="9" t="n">
        <v>0</v>
      </c>
      <c r="D86" s="9" t="n">
        <v>0</v>
      </c>
      <c r="E86" s="9" t="n">
        <v>72</v>
      </c>
      <c r="F86" s="9" t="n">
        <v>634896</v>
      </c>
      <c r="G86" s="9" t="n">
        <v>0</v>
      </c>
      <c r="H86" s="9" t="n">
        <v>0</v>
      </c>
      <c r="I86" s="9" t="n">
        <v>72</v>
      </c>
      <c r="J86" s="9" t="n">
        <v>634896</v>
      </c>
    </row>
    <row r="87" customFormat="false" ht="15.75" hidden="false" customHeight="false" outlineLevel="0" collapsed="false">
      <c r="A87" s="7" t="s">
        <v>95</v>
      </c>
      <c r="B87" s="7" t="n">
        <v>3</v>
      </c>
      <c r="C87" s="9" t="n">
        <v>540</v>
      </c>
      <c r="D87" s="9" t="n">
        <v>4320000</v>
      </c>
      <c r="E87" s="9" t="n">
        <v>180</v>
      </c>
      <c r="F87" s="9" t="n">
        <v>1440000</v>
      </c>
      <c r="G87" s="9" t="n">
        <v>0</v>
      </c>
      <c r="H87" s="9" t="n">
        <v>0</v>
      </c>
      <c r="I87" s="9" t="n">
        <v>720</v>
      </c>
      <c r="J87" s="9" t="n">
        <v>5760000</v>
      </c>
    </row>
    <row r="88" customFormat="false" ht="15.75" hidden="false" customHeight="false" outlineLevel="0" collapsed="false">
      <c r="A88" s="7" t="s">
        <v>96</v>
      </c>
      <c r="B88" s="7" t="n">
        <v>3</v>
      </c>
      <c r="C88" s="9" t="n">
        <v>150</v>
      </c>
      <c r="D88" s="9" t="n">
        <v>16024694</v>
      </c>
      <c r="E88" s="9" t="n">
        <v>105</v>
      </c>
      <c r="F88" s="9" t="n">
        <v>11263665</v>
      </c>
      <c r="G88" s="9" t="n">
        <v>0</v>
      </c>
      <c r="H88" s="9" t="n">
        <v>0</v>
      </c>
      <c r="I88" s="9" t="n">
        <v>255</v>
      </c>
      <c r="J88" s="9" t="n">
        <v>27288359</v>
      </c>
    </row>
    <row r="89" customFormat="false" ht="15.75" hidden="false" customHeight="false" outlineLevel="0" collapsed="false">
      <c r="A89" s="7" t="s">
        <v>97</v>
      </c>
      <c r="B89" s="7" t="n">
        <v>3</v>
      </c>
      <c r="C89" s="9" t="n">
        <v>19200</v>
      </c>
      <c r="D89" s="9" t="n">
        <v>9254400</v>
      </c>
      <c r="E89" s="9" t="n">
        <v>16000</v>
      </c>
      <c r="F89" s="9" t="n">
        <v>7712000</v>
      </c>
      <c r="G89" s="9" t="n">
        <v>11200</v>
      </c>
      <c r="H89" s="9" t="n">
        <v>5398400</v>
      </c>
      <c r="I89" s="9" t="n">
        <v>24000</v>
      </c>
      <c r="J89" s="9" t="n">
        <v>11568000</v>
      </c>
    </row>
    <row r="90" customFormat="false" ht="15.75" hidden="false" customHeight="false" outlineLevel="0" collapsed="false">
      <c r="A90" s="7" t="s">
        <v>98</v>
      </c>
      <c r="B90" s="7" t="n">
        <v>3</v>
      </c>
      <c r="C90" s="9" t="n">
        <v>1680</v>
      </c>
      <c r="D90" s="9" t="n">
        <v>16341360</v>
      </c>
      <c r="E90" s="9" t="n">
        <v>240</v>
      </c>
      <c r="F90" s="9" t="n">
        <v>2334480</v>
      </c>
      <c r="G90" s="9" t="n">
        <v>0</v>
      </c>
      <c r="H90" s="9" t="n">
        <v>0</v>
      </c>
      <c r="I90" s="9" t="n">
        <v>1920</v>
      </c>
      <c r="J90" s="9" t="n">
        <v>18675840</v>
      </c>
    </row>
    <row r="91" customFormat="false" ht="15.75" hidden="false" customHeight="false" outlineLevel="0" collapsed="false">
      <c r="A91" s="7" t="s">
        <v>99</v>
      </c>
      <c r="B91" s="7" t="n">
        <v>3</v>
      </c>
      <c r="C91" s="9" t="n">
        <v>0</v>
      </c>
      <c r="D91" s="9" t="n">
        <v>0</v>
      </c>
      <c r="E91" s="9" t="n">
        <v>0</v>
      </c>
      <c r="F91" s="9" t="n">
        <v>0</v>
      </c>
      <c r="G91" s="9" t="n">
        <v>0</v>
      </c>
      <c r="H91" s="9" t="n">
        <v>0</v>
      </c>
      <c r="I91" s="9" t="n">
        <v>0</v>
      </c>
      <c r="J91" s="9" t="n">
        <v>0</v>
      </c>
    </row>
    <row r="92" customFormat="false" ht="15.75" hidden="false" customHeight="false" outlineLevel="0" collapsed="false">
      <c r="A92" s="7" t="s">
        <v>100</v>
      </c>
      <c r="B92" s="7" t="n">
        <v>3</v>
      </c>
      <c r="C92" s="9" t="n">
        <v>2400</v>
      </c>
      <c r="D92" s="9" t="n">
        <v>118960817</v>
      </c>
      <c r="E92" s="9" t="n">
        <v>1770</v>
      </c>
      <c r="F92" s="9" t="n">
        <v>77290200</v>
      </c>
      <c r="G92" s="9" t="n">
        <v>2286</v>
      </c>
      <c r="H92" s="9" t="n">
        <v>107585090</v>
      </c>
      <c r="I92" s="9" t="n">
        <v>1884</v>
      </c>
      <c r="J92" s="9" t="n">
        <v>88665927</v>
      </c>
    </row>
    <row r="93" customFormat="false" ht="15.75" hidden="false" customHeight="false" outlineLevel="0" collapsed="false">
      <c r="A93" s="7" t="s">
        <v>101</v>
      </c>
      <c r="B93" s="7" t="n">
        <v>3</v>
      </c>
      <c r="C93" s="9" t="n">
        <v>2736</v>
      </c>
      <c r="D93" s="9" t="n">
        <v>24149396</v>
      </c>
      <c r="E93" s="9" t="n">
        <v>8620</v>
      </c>
      <c r="F93" s="9" t="n">
        <v>42326400</v>
      </c>
      <c r="G93" s="9" t="n">
        <v>4500</v>
      </c>
      <c r="H93" s="9" t="n">
        <v>26342117</v>
      </c>
      <c r="I93" s="9" t="n">
        <v>6856</v>
      </c>
      <c r="J93" s="9" t="n">
        <v>40133679</v>
      </c>
    </row>
    <row r="94" customFormat="false" ht="15.75" hidden="false" customHeight="false" outlineLevel="0" collapsed="false">
      <c r="A94" s="7" t="s">
        <v>102</v>
      </c>
      <c r="B94" s="7" t="n">
        <v>3</v>
      </c>
      <c r="C94" s="9" t="n">
        <v>1056</v>
      </c>
      <c r="D94" s="9" t="n">
        <v>24001317</v>
      </c>
      <c r="E94" s="9" t="n">
        <v>480</v>
      </c>
      <c r="F94" s="9" t="n">
        <v>10908960</v>
      </c>
      <c r="G94" s="9" t="n">
        <v>240</v>
      </c>
      <c r="H94" s="9" t="n">
        <v>5454731</v>
      </c>
      <c r="I94" s="9" t="n">
        <v>1296</v>
      </c>
      <c r="J94" s="9" t="n">
        <v>29455546</v>
      </c>
    </row>
    <row r="95" customFormat="false" ht="15.75" hidden="false" customHeight="false" outlineLevel="0" collapsed="false">
      <c r="A95" s="7" t="s">
        <v>103</v>
      </c>
      <c r="B95" s="7" t="n">
        <v>3</v>
      </c>
      <c r="C95" s="9" t="n">
        <v>0</v>
      </c>
      <c r="D95" s="9" t="n">
        <v>0</v>
      </c>
      <c r="E95" s="9" t="n">
        <v>1680</v>
      </c>
      <c r="F95" s="9" t="n">
        <v>21687120</v>
      </c>
      <c r="G95" s="9" t="n">
        <v>0</v>
      </c>
      <c r="H95" s="9" t="n">
        <v>0</v>
      </c>
      <c r="I95" s="9" t="n">
        <v>1680</v>
      </c>
      <c r="J95" s="9" t="n">
        <v>21687120</v>
      </c>
    </row>
    <row r="96" customFormat="false" ht="15.75" hidden="false" customHeight="false" outlineLevel="0" collapsed="false">
      <c r="A96" s="7" t="s">
        <v>104</v>
      </c>
      <c r="B96" s="7" t="n">
        <v>3</v>
      </c>
      <c r="C96" s="9" t="n">
        <v>192</v>
      </c>
      <c r="D96" s="9" t="n">
        <v>3490944</v>
      </c>
      <c r="E96" s="9" t="n">
        <v>48</v>
      </c>
      <c r="F96" s="9" t="n">
        <v>872736</v>
      </c>
      <c r="G96" s="9" t="n">
        <v>0</v>
      </c>
      <c r="H96" s="9" t="n">
        <v>0</v>
      </c>
      <c r="I96" s="9" t="n">
        <v>240</v>
      </c>
      <c r="J96" s="9" t="n">
        <v>4363680</v>
      </c>
    </row>
    <row r="97" customFormat="false" ht="15.75" hidden="false" customHeight="false" outlineLevel="0" collapsed="false">
      <c r="A97" s="7" t="s">
        <v>105</v>
      </c>
      <c r="B97" s="7" t="n">
        <v>3</v>
      </c>
      <c r="C97" s="9" t="n">
        <v>120</v>
      </c>
      <c r="D97" s="9" t="n">
        <v>5961180</v>
      </c>
      <c r="E97" s="9" t="n">
        <v>120</v>
      </c>
      <c r="F97" s="9" t="n">
        <v>6000000</v>
      </c>
      <c r="G97" s="9" t="n">
        <v>0</v>
      </c>
      <c r="H97" s="9" t="n">
        <v>0</v>
      </c>
      <c r="I97" s="9" t="n">
        <v>240</v>
      </c>
      <c r="J97" s="9" t="n">
        <v>11961180</v>
      </c>
    </row>
    <row r="98" customFormat="false" ht="15.75" hidden="false" customHeight="false" outlineLevel="0" collapsed="false">
      <c r="A98" s="7" t="s">
        <v>106</v>
      </c>
      <c r="B98" s="7" t="n">
        <v>3</v>
      </c>
      <c r="C98" s="9" t="n">
        <v>360</v>
      </c>
      <c r="D98" s="9" t="n">
        <v>3174480</v>
      </c>
      <c r="E98" s="9" t="n">
        <v>120</v>
      </c>
      <c r="F98" s="9" t="n">
        <v>1058160</v>
      </c>
      <c r="G98" s="9" t="n">
        <v>0</v>
      </c>
      <c r="H98" s="9" t="n">
        <v>0</v>
      </c>
      <c r="I98" s="9" t="n">
        <v>480</v>
      </c>
      <c r="J98" s="9" t="n">
        <v>4232640</v>
      </c>
    </row>
    <row r="99" customFormat="false" ht="15.75" hidden="false" customHeight="false" outlineLevel="0" collapsed="false">
      <c r="A99" s="7" t="s">
        <v>107</v>
      </c>
      <c r="B99" s="7" t="n">
        <v>3</v>
      </c>
      <c r="C99" s="9" t="n">
        <v>180</v>
      </c>
      <c r="D99" s="9" t="n">
        <v>1341900</v>
      </c>
      <c r="E99" s="9" t="n">
        <v>160</v>
      </c>
      <c r="F99" s="9" t="n">
        <v>0</v>
      </c>
      <c r="G99" s="9" t="n">
        <v>0</v>
      </c>
      <c r="H99" s="9" t="n">
        <v>0</v>
      </c>
      <c r="I99" s="9" t="n">
        <v>340</v>
      </c>
      <c r="J99" s="9" t="n">
        <v>1341900</v>
      </c>
    </row>
    <row r="100" customFormat="false" ht="15.75" hidden="false" customHeight="false" outlineLevel="0" collapsed="false">
      <c r="A100" s="7" t="s">
        <v>108</v>
      </c>
      <c r="B100" s="7" t="n">
        <v>3</v>
      </c>
      <c r="C100" s="9" t="n">
        <v>12060</v>
      </c>
      <c r="D100" s="9" t="n">
        <v>79045077</v>
      </c>
      <c r="E100" s="9" t="n">
        <v>5400</v>
      </c>
      <c r="F100" s="9" t="n">
        <v>35343000</v>
      </c>
      <c r="G100" s="9" t="n">
        <v>5529</v>
      </c>
      <c r="H100" s="9" t="n">
        <v>36222891</v>
      </c>
      <c r="I100" s="9" t="n">
        <v>11931</v>
      </c>
      <c r="J100" s="9" t="n">
        <v>78165186</v>
      </c>
    </row>
    <row r="101" customFormat="false" ht="15.75" hidden="false" customHeight="false" outlineLevel="0" collapsed="false">
      <c r="A101" s="7" t="s">
        <v>109</v>
      </c>
      <c r="B101" s="7" t="n">
        <v>3</v>
      </c>
      <c r="C101" s="9" t="n">
        <v>0</v>
      </c>
      <c r="D101" s="9" t="n">
        <v>0</v>
      </c>
      <c r="E101" s="9" t="n">
        <v>0</v>
      </c>
      <c r="F101" s="9" t="n">
        <v>0</v>
      </c>
      <c r="G101" s="9" t="n">
        <v>0</v>
      </c>
      <c r="H101" s="9" t="n">
        <v>0</v>
      </c>
      <c r="I101" s="9" t="n">
        <v>0</v>
      </c>
      <c r="J101" s="9" t="n">
        <v>0</v>
      </c>
    </row>
    <row r="102" customFormat="false" ht="15.75" hidden="false" customHeight="false" outlineLevel="0" collapsed="false">
      <c r="A102" s="7" t="s">
        <v>110</v>
      </c>
      <c r="B102" s="7" t="n">
        <v>3</v>
      </c>
      <c r="C102" s="9" t="n">
        <v>828</v>
      </c>
      <c r="D102" s="9" t="n">
        <v>13798640</v>
      </c>
      <c r="E102" s="9" t="n">
        <v>360</v>
      </c>
      <c r="F102" s="9" t="n">
        <v>6054480</v>
      </c>
      <c r="G102" s="9" t="n">
        <v>0</v>
      </c>
      <c r="H102" s="9" t="n">
        <v>0</v>
      </c>
      <c r="I102" s="9" t="n">
        <v>1188</v>
      </c>
      <c r="J102" s="9" t="n">
        <v>19853120</v>
      </c>
    </row>
    <row r="103" customFormat="false" ht="15.75" hidden="false" customHeight="false" outlineLevel="0" collapsed="false">
      <c r="A103" s="7" t="s">
        <v>111</v>
      </c>
      <c r="B103" s="7" t="n">
        <v>3</v>
      </c>
      <c r="C103" s="9" t="n">
        <v>2760</v>
      </c>
      <c r="D103" s="9" t="n">
        <v>21577680</v>
      </c>
      <c r="E103" s="9" t="n">
        <v>3650</v>
      </c>
      <c r="F103" s="9" t="n">
        <v>28144800</v>
      </c>
      <c r="G103" s="9" t="n">
        <v>2500</v>
      </c>
      <c r="H103" s="9" t="n">
        <v>19392543</v>
      </c>
      <c r="I103" s="9" t="n">
        <v>3910</v>
      </c>
      <c r="J103" s="9" t="n">
        <v>30329937</v>
      </c>
    </row>
    <row r="104" customFormat="false" ht="15.75" hidden="false" customHeight="false" outlineLevel="0" collapsed="false">
      <c r="A104" s="7" t="s">
        <v>112</v>
      </c>
      <c r="B104" s="7" t="n">
        <v>3</v>
      </c>
      <c r="C104" s="9" t="n">
        <v>1080</v>
      </c>
      <c r="D104" s="9" t="n">
        <v>8443440</v>
      </c>
      <c r="E104" s="9" t="n">
        <v>600</v>
      </c>
      <c r="F104" s="9" t="n">
        <v>4690800</v>
      </c>
      <c r="G104" s="9" t="n">
        <v>600</v>
      </c>
      <c r="H104" s="9" t="n">
        <v>4690800</v>
      </c>
      <c r="I104" s="9" t="n">
        <v>1080</v>
      </c>
      <c r="J104" s="9" t="n">
        <v>8443440</v>
      </c>
    </row>
    <row r="105" customFormat="false" ht="15.75" hidden="false" customHeight="false" outlineLevel="0" collapsed="false">
      <c r="A105" s="7" t="s">
        <v>113</v>
      </c>
      <c r="B105" s="7" t="n">
        <v>3</v>
      </c>
      <c r="C105" s="9" t="n">
        <v>0</v>
      </c>
      <c r="D105" s="9" t="n">
        <v>0</v>
      </c>
      <c r="E105" s="9" t="n">
        <v>48</v>
      </c>
      <c r="F105" s="9" t="n">
        <v>741840</v>
      </c>
      <c r="G105" s="9" t="n">
        <v>0</v>
      </c>
      <c r="H105" s="9" t="n">
        <v>0</v>
      </c>
      <c r="I105" s="9" t="n">
        <v>48</v>
      </c>
      <c r="J105" s="9" t="n">
        <v>741840</v>
      </c>
    </row>
    <row r="106" customFormat="false" ht="15.75" hidden="false" customHeight="false" outlineLevel="0" collapsed="false">
      <c r="A106" s="7" t="s">
        <v>114</v>
      </c>
      <c r="B106" s="7" t="n">
        <v>3</v>
      </c>
      <c r="C106" s="9" t="n">
        <v>120</v>
      </c>
      <c r="D106" s="9" t="n">
        <v>2181840</v>
      </c>
      <c r="E106" s="9" t="n">
        <v>0</v>
      </c>
      <c r="F106" s="9" t="n">
        <v>0</v>
      </c>
      <c r="G106" s="9" t="n">
        <v>0</v>
      </c>
      <c r="H106" s="9" t="n">
        <v>0</v>
      </c>
      <c r="I106" s="9" t="n">
        <v>120</v>
      </c>
      <c r="J106" s="9" t="n">
        <v>2181840</v>
      </c>
    </row>
    <row r="107" customFormat="false" ht="15.75" hidden="false" customHeight="false" outlineLevel="0" collapsed="false">
      <c r="A107" s="7" t="s">
        <v>115</v>
      </c>
      <c r="B107" s="7" t="n">
        <v>3</v>
      </c>
      <c r="C107" s="9" t="n">
        <v>0</v>
      </c>
      <c r="D107" s="9" t="n">
        <v>0</v>
      </c>
      <c r="E107" s="9" t="n">
        <v>0</v>
      </c>
      <c r="F107" s="9" t="n">
        <v>0</v>
      </c>
      <c r="G107" s="9" t="n">
        <v>0</v>
      </c>
      <c r="H107" s="9" t="n">
        <v>0</v>
      </c>
      <c r="I107" s="9" t="n">
        <v>0</v>
      </c>
      <c r="J107" s="9" t="n">
        <v>0</v>
      </c>
    </row>
    <row r="108" customFormat="false" ht="15.75" hidden="false" customHeight="false" outlineLevel="0" collapsed="false">
      <c r="A108" s="7" t="s">
        <v>116</v>
      </c>
      <c r="B108" s="7" t="n">
        <v>3</v>
      </c>
      <c r="C108" s="9" t="n">
        <v>0</v>
      </c>
      <c r="D108" s="9" t="n">
        <v>0</v>
      </c>
      <c r="E108" s="9" t="n">
        <v>0</v>
      </c>
      <c r="F108" s="9" t="n">
        <v>0</v>
      </c>
      <c r="G108" s="9" t="n">
        <v>0</v>
      </c>
      <c r="H108" s="9" t="n">
        <v>0</v>
      </c>
      <c r="I108" s="9" t="n">
        <v>0</v>
      </c>
      <c r="J108" s="9" t="n">
        <v>0</v>
      </c>
    </row>
    <row r="109" customFormat="false" ht="15.75" hidden="false" customHeight="false" outlineLevel="0" collapsed="false">
      <c r="A109" s="7" t="s">
        <v>117</v>
      </c>
      <c r="B109" s="7" t="n">
        <v>3</v>
      </c>
      <c r="C109" s="9" t="n">
        <v>72</v>
      </c>
      <c r="D109" s="9" t="n">
        <v>1178208</v>
      </c>
      <c r="E109" s="9" t="n">
        <v>0</v>
      </c>
      <c r="F109" s="9" t="n">
        <v>0</v>
      </c>
      <c r="G109" s="9" t="n">
        <v>0</v>
      </c>
      <c r="H109" s="9" t="n">
        <v>0</v>
      </c>
      <c r="I109" s="9" t="n">
        <v>72</v>
      </c>
      <c r="J109" s="9" t="n">
        <v>1178208</v>
      </c>
    </row>
    <row r="110" customFormat="false" ht="15.75" hidden="false" customHeight="false" outlineLevel="0" collapsed="false">
      <c r="A110" s="7" t="s">
        <v>118</v>
      </c>
      <c r="B110" s="7" t="n">
        <v>3</v>
      </c>
      <c r="C110" s="9" t="n">
        <v>180</v>
      </c>
      <c r="D110" s="9" t="n">
        <v>7118100</v>
      </c>
      <c r="E110" s="9" t="n">
        <v>0</v>
      </c>
      <c r="F110" s="9" t="n">
        <v>0</v>
      </c>
      <c r="G110" s="9" t="n">
        <v>0</v>
      </c>
      <c r="H110" s="9" t="n">
        <v>0</v>
      </c>
      <c r="I110" s="9" t="n">
        <v>180</v>
      </c>
      <c r="J110" s="9" t="n">
        <v>7118100</v>
      </c>
    </row>
    <row r="111" customFormat="false" ht="15.75" hidden="false" customHeight="false" outlineLevel="0" collapsed="false">
      <c r="A111" s="7" t="s">
        <v>119</v>
      </c>
      <c r="B111" s="7" t="n">
        <v>3</v>
      </c>
      <c r="C111" s="9" t="n">
        <v>0</v>
      </c>
      <c r="D111" s="9" t="n">
        <v>0</v>
      </c>
      <c r="E111" s="9" t="n">
        <v>40</v>
      </c>
      <c r="F111" s="9" t="n">
        <v>909080</v>
      </c>
      <c r="G111" s="9" t="n">
        <v>0</v>
      </c>
      <c r="H111" s="9" t="n">
        <v>0</v>
      </c>
      <c r="I111" s="9" t="n">
        <v>40</v>
      </c>
      <c r="J111" s="9" t="n">
        <v>909080</v>
      </c>
    </row>
    <row r="112" customFormat="false" ht="15.75" hidden="false" customHeight="false" outlineLevel="0" collapsed="false">
      <c r="A112" s="7" t="s">
        <v>120</v>
      </c>
      <c r="B112" s="7" t="n">
        <v>3</v>
      </c>
      <c r="C112" s="9" t="n">
        <v>0</v>
      </c>
      <c r="D112" s="9" t="n">
        <v>0</v>
      </c>
      <c r="E112" s="9" t="n">
        <v>40</v>
      </c>
      <c r="F112" s="9" t="n">
        <v>872720</v>
      </c>
      <c r="G112" s="9" t="n">
        <v>0</v>
      </c>
      <c r="H112" s="9" t="n">
        <v>0</v>
      </c>
      <c r="I112" s="9" t="n">
        <v>40</v>
      </c>
      <c r="J112" s="9" t="n">
        <v>872720</v>
      </c>
    </row>
    <row r="113" customFormat="false" ht="15.75" hidden="false" customHeight="false" outlineLevel="0" collapsed="false">
      <c r="A113" s="7" t="s">
        <v>121</v>
      </c>
      <c r="B113" s="7" t="n">
        <v>3</v>
      </c>
      <c r="C113" s="9" t="n">
        <v>1800</v>
      </c>
      <c r="D113" s="9" t="n">
        <v>19612002</v>
      </c>
      <c r="E113" s="9" t="n">
        <v>2314</v>
      </c>
      <c r="F113" s="9" t="n">
        <v>23563440</v>
      </c>
      <c r="G113" s="9" t="n">
        <v>1824</v>
      </c>
      <c r="H113" s="9" t="n">
        <v>19142442</v>
      </c>
      <c r="I113" s="9" t="n">
        <v>2290</v>
      </c>
      <c r="J113" s="9" t="n">
        <v>24033000</v>
      </c>
    </row>
    <row r="114" customFormat="false" ht="15.75" hidden="false" customHeight="false" outlineLevel="0" collapsed="false">
      <c r="A114" s="7" t="s">
        <v>122</v>
      </c>
      <c r="B114" s="7" t="n">
        <v>3</v>
      </c>
      <c r="C114" s="9" t="n">
        <v>0</v>
      </c>
      <c r="D114" s="9" t="n">
        <v>0</v>
      </c>
      <c r="E114" s="9" t="n">
        <v>0</v>
      </c>
      <c r="F114" s="9" t="n">
        <v>0</v>
      </c>
      <c r="G114" s="9" t="n">
        <v>0</v>
      </c>
      <c r="H114" s="9" t="n">
        <v>0</v>
      </c>
      <c r="I114" s="9" t="n">
        <v>0</v>
      </c>
      <c r="J114" s="9" t="n">
        <v>0</v>
      </c>
    </row>
    <row r="115" customFormat="false" ht="15.75" hidden="false" customHeight="false" outlineLevel="0" collapsed="false">
      <c r="A115" s="7" t="s">
        <v>123</v>
      </c>
      <c r="B115" s="7" t="n">
        <v>3</v>
      </c>
      <c r="C115" s="9" t="n">
        <v>144</v>
      </c>
      <c r="D115" s="9" t="n">
        <v>2421792</v>
      </c>
      <c r="E115" s="9" t="n">
        <v>0</v>
      </c>
      <c r="F115" s="9" t="n">
        <v>0</v>
      </c>
      <c r="G115" s="9" t="n">
        <v>0</v>
      </c>
      <c r="H115" s="9" t="n">
        <v>0</v>
      </c>
      <c r="I115" s="9" t="n">
        <v>144</v>
      </c>
      <c r="J115" s="9" t="n">
        <v>2421792</v>
      </c>
    </row>
    <row r="116" customFormat="false" ht="15.75" hidden="false" customHeight="false" outlineLevel="0" collapsed="false">
      <c r="A116" s="7" t="s">
        <v>124</v>
      </c>
      <c r="B116" s="7" t="n">
        <v>3</v>
      </c>
      <c r="C116" s="9" t="n">
        <v>0</v>
      </c>
      <c r="D116" s="9" t="n">
        <v>0</v>
      </c>
      <c r="E116" s="9" t="n">
        <v>0</v>
      </c>
      <c r="F116" s="9" t="n">
        <v>0</v>
      </c>
      <c r="G116" s="9" t="n">
        <v>0</v>
      </c>
      <c r="H116" s="9" t="n">
        <v>0</v>
      </c>
      <c r="I116" s="9" t="n">
        <v>0</v>
      </c>
      <c r="J116" s="9" t="n">
        <v>0</v>
      </c>
    </row>
    <row r="117" customFormat="false" ht="15.75" hidden="false" customHeight="false" outlineLevel="0" collapsed="false">
      <c r="A117" s="7" t="s">
        <v>125</v>
      </c>
      <c r="B117" s="7" t="n">
        <v>3</v>
      </c>
      <c r="C117" s="9" t="n">
        <v>612</v>
      </c>
      <c r="D117" s="9" t="n">
        <v>25537774</v>
      </c>
      <c r="E117" s="9" t="n">
        <v>480</v>
      </c>
      <c r="F117" s="9" t="n">
        <v>20072640</v>
      </c>
      <c r="G117" s="9" t="n">
        <v>0</v>
      </c>
      <c r="H117" s="9" t="n">
        <v>0</v>
      </c>
      <c r="I117" s="9" t="n">
        <v>1092</v>
      </c>
      <c r="J117" s="9" t="n">
        <v>45610414</v>
      </c>
    </row>
    <row r="118" customFormat="false" ht="15.75" hidden="false" customHeight="false" outlineLevel="0" collapsed="false">
      <c r="A118" s="7" t="s">
        <v>126</v>
      </c>
      <c r="B118" s="7" t="n">
        <v>3</v>
      </c>
      <c r="C118" s="9" t="n">
        <v>7100</v>
      </c>
      <c r="D118" s="9" t="n">
        <v>40973832</v>
      </c>
      <c r="E118" s="9" t="n">
        <v>24177</v>
      </c>
      <c r="F118" s="9" t="n">
        <v>137448000</v>
      </c>
      <c r="G118" s="9" t="n">
        <v>17640</v>
      </c>
      <c r="H118" s="9" t="n">
        <v>100628613</v>
      </c>
      <c r="I118" s="9" t="n">
        <v>13637</v>
      </c>
      <c r="J118" s="9" t="n">
        <v>77793219</v>
      </c>
    </row>
    <row r="119" customFormat="false" ht="15.75" hidden="false" customHeight="false" outlineLevel="0" collapsed="false">
      <c r="A119" s="7" t="s">
        <v>127</v>
      </c>
      <c r="B119" s="7" t="n">
        <v>3</v>
      </c>
      <c r="C119" s="9" t="n">
        <v>1560</v>
      </c>
      <c r="D119" s="9" t="n">
        <v>8934120</v>
      </c>
      <c r="E119" s="9" t="n">
        <v>1328</v>
      </c>
      <c r="F119" s="9" t="n">
        <v>6872400</v>
      </c>
      <c r="G119" s="9" t="n">
        <v>0</v>
      </c>
      <c r="H119" s="9" t="n">
        <v>0</v>
      </c>
      <c r="I119" s="9" t="n">
        <v>2888</v>
      </c>
      <c r="J119" s="9" t="n">
        <v>15806520</v>
      </c>
    </row>
    <row r="120" customFormat="false" ht="15.75" hidden="false" customHeight="false" outlineLevel="0" collapsed="false">
      <c r="A120" s="7" t="s">
        <v>128</v>
      </c>
      <c r="B120" s="7" t="n">
        <v>3</v>
      </c>
      <c r="C120" s="9" t="n">
        <v>200</v>
      </c>
      <c r="D120" s="9" t="n">
        <v>3000000</v>
      </c>
      <c r="E120" s="9" t="n">
        <v>300</v>
      </c>
      <c r="F120" s="9" t="n">
        <v>4500000</v>
      </c>
      <c r="G120" s="9" t="n">
        <v>0</v>
      </c>
      <c r="H120" s="9" t="n">
        <v>0</v>
      </c>
      <c r="I120" s="9" t="n">
        <v>500</v>
      </c>
      <c r="J120" s="9" t="n">
        <v>7500000</v>
      </c>
    </row>
    <row r="121" customFormat="false" ht="15.75" hidden="false" customHeight="false" outlineLevel="0" collapsed="false">
      <c r="A121" s="7" t="s">
        <v>129</v>
      </c>
      <c r="B121" s="7" t="n">
        <v>3</v>
      </c>
      <c r="C121" s="9" t="n">
        <v>0</v>
      </c>
      <c r="D121" s="9" t="n">
        <v>0</v>
      </c>
      <c r="E121" s="9" t="n">
        <v>0</v>
      </c>
      <c r="F121" s="9" t="n">
        <v>0</v>
      </c>
      <c r="G121" s="9" t="n">
        <v>0</v>
      </c>
      <c r="H121" s="9" t="n">
        <v>0</v>
      </c>
      <c r="I121" s="9" t="n">
        <v>0</v>
      </c>
      <c r="J121" s="9" t="n">
        <v>0</v>
      </c>
    </row>
    <row r="122" customFormat="false" ht="15.75" hidden="false" customHeight="false" outlineLevel="0" collapsed="false">
      <c r="A122" s="7" t="s">
        <v>130</v>
      </c>
      <c r="B122" s="7" t="n">
        <v>3</v>
      </c>
      <c r="C122" s="9" t="n">
        <v>54</v>
      </c>
      <c r="D122" s="9" t="n">
        <v>2528172</v>
      </c>
      <c r="E122" s="9" t="n">
        <v>0</v>
      </c>
      <c r="F122" s="9" t="n">
        <v>0</v>
      </c>
      <c r="G122" s="9" t="n">
        <v>0</v>
      </c>
      <c r="H122" s="9" t="n">
        <v>0</v>
      </c>
      <c r="I122" s="9" t="n">
        <v>54</v>
      </c>
      <c r="J122" s="9" t="n">
        <v>2528172</v>
      </c>
    </row>
    <row r="123" customFormat="false" ht="15.75" hidden="false" customHeight="false" outlineLevel="0" collapsed="false">
      <c r="A123" s="7" t="s">
        <v>131</v>
      </c>
      <c r="B123" s="7" t="n">
        <v>3</v>
      </c>
      <c r="C123" s="9" t="n">
        <v>49</v>
      </c>
      <c r="D123" s="9" t="n">
        <v>2405459</v>
      </c>
      <c r="E123" s="9" t="n">
        <v>10</v>
      </c>
      <c r="F123" s="9" t="n">
        <v>490910</v>
      </c>
      <c r="G123" s="9" t="n">
        <v>0</v>
      </c>
      <c r="H123" s="9" t="n">
        <v>0</v>
      </c>
      <c r="I123" s="9" t="n">
        <v>59</v>
      </c>
      <c r="J123" s="9" t="n">
        <v>2896369</v>
      </c>
    </row>
    <row r="124" customFormat="false" ht="15.75" hidden="false" customHeight="false" outlineLevel="0" collapsed="false">
      <c r="A124" s="7" t="s">
        <v>132</v>
      </c>
      <c r="B124" s="7" t="n">
        <v>3</v>
      </c>
      <c r="C124" s="9" t="n">
        <v>260</v>
      </c>
      <c r="D124" s="9" t="n">
        <v>11345360</v>
      </c>
      <c r="E124" s="9" t="n">
        <v>220</v>
      </c>
      <c r="F124" s="9" t="n">
        <v>9599920</v>
      </c>
      <c r="G124" s="9" t="n">
        <v>335</v>
      </c>
      <c r="H124" s="9" t="n">
        <v>14618060</v>
      </c>
      <c r="I124" s="9" t="n">
        <v>145</v>
      </c>
      <c r="J124" s="9" t="n">
        <v>6327220</v>
      </c>
    </row>
    <row r="125" customFormat="false" ht="15.75" hidden="false" customHeight="false" outlineLevel="0" collapsed="false">
      <c r="A125" s="7" t="s">
        <v>133</v>
      </c>
      <c r="B125" s="7" t="n">
        <v>3</v>
      </c>
      <c r="C125" s="9" t="n">
        <v>101</v>
      </c>
      <c r="D125" s="9" t="n">
        <v>3764573</v>
      </c>
      <c r="E125" s="9" t="n">
        <v>35</v>
      </c>
      <c r="F125" s="9" t="n">
        <v>1304555</v>
      </c>
      <c r="G125" s="9" t="n">
        <v>0</v>
      </c>
      <c r="H125" s="9" t="n">
        <v>0</v>
      </c>
      <c r="I125" s="9" t="n">
        <v>136</v>
      </c>
      <c r="J125" s="9" t="n">
        <v>5069128</v>
      </c>
    </row>
    <row r="126" customFormat="false" ht="15.75" hidden="false" customHeight="false" outlineLevel="0" collapsed="false">
      <c r="A126" s="7" t="s">
        <v>134</v>
      </c>
      <c r="B126" s="7" t="n">
        <v>3</v>
      </c>
      <c r="C126" s="9" t="n">
        <v>23</v>
      </c>
      <c r="D126" s="9" t="n">
        <v>658628</v>
      </c>
      <c r="E126" s="9" t="n">
        <v>0</v>
      </c>
      <c r="F126" s="9" t="n">
        <v>0</v>
      </c>
      <c r="G126" s="9" t="n">
        <v>0</v>
      </c>
      <c r="H126" s="9" t="n">
        <v>0</v>
      </c>
      <c r="I126" s="9" t="n">
        <v>23</v>
      </c>
      <c r="J126" s="9" t="n">
        <v>658628</v>
      </c>
    </row>
    <row r="127" customFormat="false" ht="15.75" hidden="false" customHeight="false" outlineLevel="0" collapsed="false">
      <c r="A127" s="7" t="s">
        <v>135</v>
      </c>
      <c r="B127" s="7" t="n">
        <v>3</v>
      </c>
      <c r="C127" s="9" t="n">
        <v>930</v>
      </c>
      <c r="D127" s="9" t="n">
        <v>170681845</v>
      </c>
      <c r="E127" s="9" t="n">
        <v>150</v>
      </c>
      <c r="F127" s="9" t="n">
        <v>27557700</v>
      </c>
      <c r="G127" s="9" t="n">
        <v>115</v>
      </c>
      <c r="H127" s="9" t="n">
        <v>21108840</v>
      </c>
      <c r="I127" s="9" t="n">
        <v>965</v>
      </c>
      <c r="J127" s="9" t="n">
        <v>177130705</v>
      </c>
    </row>
    <row r="128" customFormat="false" ht="15.75" hidden="false" customHeight="false" outlineLevel="0" collapsed="false">
      <c r="A128" s="7" t="s">
        <v>136</v>
      </c>
      <c r="B128" s="7" t="n">
        <v>3</v>
      </c>
      <c r="C128" s="9" t="n">
        <v>2808</v>
      </c>
      <c r="D128" s="9" t="n">
        <v>40684369</v>
      </c>
      <c r="E128" s="9" t="n">
        <v>3500</v>
      </c>
      <c r="F128" s="9" t="n">
        <v>48871200</v>
      </c>
      <c r="G128" s="9" t="n">
        <v>3120</v>
      </c>
      <c r="H128" s="9" t="n">
        <v>44295082</v>
      </c>
      <c r="I128" s="9" t="n">
        <v>3188</v>
      </c>
      <c r="J128" s="9" t="n">
        <v>45260487</v>
      </c>
    </row>
    <row r="129" customFormat="false" ht="15.75" hidden="false" customHeight="false" outlineLevel="0" collapsed="false">
      <c r="A129" s="7" t="s">
        <v>137</v>
      </c>
      <c r="B129" s="7" t="n">
        <v>3</v>
      </c>
      <c r="C129" s="9" t="n">
        <v>0</v>
      </c>
      <c r="D129" s="9" t="n">
        <v>0</v>
      </c>
      <c r="E129" s="9" t="n">
        <v>0</v>
      </c>
      <c r="F129" s="9" t="n">
        <v>0</v>
      </c>
      <c r="G129" s="9" t="n">
        <v>0</v>
      </c>
      <c r="H129" s="9" t="n">
        <v>0</v>
      </c>
      <c r="I129" s="9" t="n">
        <v>0</v>
      </c>
      <c r="J129" s="9" t="n">
        <v>0</v>
      </c>
    </row>
    <row r="130" customFormat="false" ht="15.75" hidden="false" customHeight="false" outlineLevel="0" collapsed="false">
      <c r="A130" s="7" t="s">
        <v>138</v>
      </c>
      <c r="B130" s="7" t="n">
        <v>3</v>
      </c>
      <c r="C130" s="9" t="n">
        <v>0</v>
      </c>
      <c r="D130" s="9" t="n">
        <v>0</v>
      </c>
      <c r="E130" s="9" t="n">
        <v>0</v>
      </c>
      <c r="F130" s="9" t="n">
        <v>0</v>
      </c>
      <c r="G130" s="9" t="n">
        <v>0</v>
      </c>
      <c r="H130" s="9" t="n">
        <v>0</v>
      </c>
      <c r="I130" s="9" t="n">
        <v>0</v>
      </c>
      <c r="J130" s="9" t="n">
        <v>0</v>
      </c>
    </row>
    <row r="131" customFormat="false" ht="15.75" hidden="false" customHeight="false" outlineLevel="0" collapsed="false">
      <c r="A131" s="7" t="s">
        <v>139</v>
      </c>
      <c r="B131" s="7" t="n">
        <v>3</v>
      </c>
      <c r="C131" s="9" t="n">
        <v>792</v>
      </c>
      <c r="D131" s="9" t="n">
        <v>143814757</v>
      </c>
      <c r="E131" s="9" t="n">
        <v>0</v>
      </c>
      <c r="F131" s="9" t="n">
        <v>0</v>
      </c>
      <c r="G131" s="9" t="n">
        <v>604</v>
      </c>
      <c r="H131" s="9" t="n">
        <v>109676911</v>
      </c>
      <c r="I131" s="9" t="n">
        <v>188</v>
      </c>
      <c r="J131" s="9" t="n">
        <v>34137846</v>
      </c>
    </row>
    <row r="132" customFormat="false" ht="15.75" hidden="false" customHeight="false" outlineLevel="0" collapsed="false">
      <c r="A132" s="7" t="s">
        <v>140</v>
      </c>
      <c r="B132" s="7" t="n">
        <v>3</v>
      </c>
      <c r="C132" s="9" t="n">
        <v>6436</v>
      </c>
      <c r="D132" s="9" t="n">
        <v>1182907837</v>
      </c>
      <c r="E132" s="9" t="n">
        <v>1930</v>
      </c>
      <c r="F132" s="9" t="n">
        <v>356032890</v>
      </c>
      <c r="G132" s="9" t="n">
        <v>190</v>
      </c>
      <c r="H132" s="9" t="n">
        <v>34950841</v>
      </c>
      <c r="I132" s="9" t="n">
        <v>8176</v>
      </c>
      <c r="J132" s="9" t="n">
        <v>1503989886</v>
      </c>
    </row>
    <row r="133" customFormat="false" ht="15.75" hidden="false" customHeight="false" outlineLevel="0" collapsed="false">
      <c r="A133" s="7" t="s">
        <v>141</v>
      </c>
      <c r="B133" s="7" t="n">
        <v>3</v>
      </c>
      <c r="C133" s="9" t="n">
        <v>3129</v>
      </c>
      <c r="D133" s="9" t="n">
        <v>575338843</v>
      </c>
      <c r="E133" s="9" t="n">
        <v>3530</v>
      </c>
      <c r="F133" s="9" t="n">
        <v>651189690</v>
      </c>
      <c r="G133" s="9" t="n">
        <v>80</v>
      </c>
      <c r="H133" s="9" t="n">
        <v>14735288</v>
      </c>
      <c r="I133" s="9" t="n">
        <v>6579</v>
      </c>
      <c r="J133" s="9" t="n">
        <v>1211793245</v>
      </c>
    </row>
    <row r="134" customFormat="false" ht="15.75" hidden="false" customHeight="false" outlineLevel="0" collapsed="false">
      <c r="A134" s="7" t="s">
        <v>142</v>
      </c>
      <c r="B134" s="7" t="n">
        <v>3</v>
      </c>
      <c r="C134" s="9" t="n">
        <v>1150</v>
      </c>
      <c r="D134" s="9" t="n">
        <v>211217050</v>
      </c>
      <c r="E134" s="9" t="n">
        <v>0</v>
      </c>
      <c r="F134" s="9" t="n">
        <v>0</v>
      </c>
      <c r="G134" s="9" t="n">
        <v>0</v>
      </c>
      <c r="H134" s="9" t="n">
        <v>0</v>
      </c>
      <c r="I134" s="9" t="n">
        <v>1150</v>
      </c>
      <c r="J134" s="9" t="n">
        <v>211217050</v>
      </c>
    </row>
    <row r="135" customFormat="false" ht="15.75" hidden="false" customHeight="false" outlineLevel="0" collapsed="false">
      <c r="A135" s="7" t="s">
        <v>143</v>
      </c>
      <c r="B135" s="7" t="n">
        <v>3</v>
      </c>
      <c r="C135" s="9" t="n">
        <v>1271</v>
      </c>
      <c r="D135" s="9" t="n">
        <v>233222947</v>
      </c>
      <c r="E135" s="9" t="n">
        <v>49</v>
      </c>
      <c r="F135" s="9" t="n">
        <v>8991286</v>
      </c>
      <c r="G135" s="9" t="n">
        <v>1320</v>
      </c>
      <c r="H135" s="9" t="n">
        <v>242214233</v>
      </c>
      <c r="I135" s="9" t="n">
        <v>0</v>
      </c>
      <c r="J135" s="9" t="n">
        <v>0</v>
      </c>
    </row>
    <row r="136" customFormat="false" ht="15.75" hidden="false" customHeight="false" outlineLevel="0" collapsed="false">
      <c r="A136" s="7" t="s">
        <v>144</v>
      </c>
      <c r="B136" s="7" t="n">
        <v>3</v>
      </c>
      <c r="C136" s="9" t="n">
        <v>1470</v>
      </c>
      <c r="D136" s="9" t="n">
        <v>267866303</v>
      </c>
      <c r="E136" s="9" t="n">
        <v>400</v>
      </c>
      <c r="F136" s="9" t="n">
        <v>72960000</v>
      </c>
      <c r="G136" s="9" t="n">
        <v>0</v>
      </c>
      <c r="H136" s="9" t="n">
        <v>0</v>
      </c>
      <c r="I136" s="9" t="n">
        <v>1870</v>
      </c>
      <c r="J136" s="9" t="n">
        <v>340826303</v>
      </c>
    </row>
    <row r="137" customFormat="false" ht="15.75" hidden="false" customHeight="false" outlineLevel="0" collapsed="false">
      <c r="A137" s="7" t="s">
        <v>145</v>
      </c>
      <c r="B137" s="7" t="n">
        <v>3</v>
      </c>
      <c r="C137" s="9" t="n">
        <v>563</v>
      </c>
      <c r="D137" s="9" t="n">
        <v>100626281</v>
      </c>
      <c r="E137" s="9" t="n">
        <v>0</v>
      </c>
      <c r="F137" s="9" t="n">
        <v>0</v>
      </c>
      <c r="G137" s="9" t="n">
        <v>40</v>
      </c>
      <c r="H137" s="9" t="n">
        <v>7149292</v>
      </c>
      <c r="I137" s="9" t="n">
        <v>523</v>
      </c>
      <c r="J137" s="9" t="n">
        <v>93476989</v>
      </c>
    </row>
    <row r="138" customFormat="false" ht="15.75" hidden="false" customHeight="false" outlineLevel="0" collapsed="false">
      <c r="A138" s="7" t="s">
        <v>146</v>
      </c>
      <c r="B138" s="7" t="n">
        <v>3</v>
      </c>
      <c r="C138" s="9" t="n">
        <v>2410</v>
      </c>
      <c r="D138" s="9" t="n">
        <v>457310050</v>
      </c>
      <c r="E138" s="9" t="n">
        <v>1412</v>
      </c>
      <c r="F138" s="9" t="n">
        <v>220948075</v>
      </c>
      <c r="G138" s="9" t="n">
        <v>1615</v>
      </c>
      <c r="H138" s="9" t="n">
        <v>286600437</v>
      </c>
      <c r="I138" s="9" t="n">
        <v>2207</v>
      </c>
      <c r="J138" s="9" t="n">
        <v>391657688</v>
      </c>
    </row>
    <row r="139" customFormat="false" ht="15.75" hidden="false" customHeight="false" outlineLevel="0" collapsed="false">
      <c r="A139" s="7" t="s">
        <v>147</v>
      </c>
      <c r="B139" s="7" t="n">
        <v>3</v>
      </c>
      <c r="C139" s="9" t="n">
        <v>0</v>
      </c>
      <c r="D139" s="9" t="n">
        <v>0</v>
      </c>
      <c r="E139" s="9" t="n">
        <v>260</v>
      </c>
      <c r="F139" s="9" t="n">
        <v>27463600</v>
      </c>
      <c r="G139" s="9" t="n">
        <v>0</v>
      </c>
      <c r="H139" s="9" t="n">
        <v>0</v>
      </c>
      <c r="I139" s="9" t="n">
        <v>260</v>
      </c>
      <c r="J139" s="9" t="n">
        <v>27463600</v>
      </c>
    </row>
    <row r="140" customFormat="false" ht="15.75" hidden="false" customHeight="false" outlineLevel="0" collapsed="false">
      <c r="A140" s="7" t="s">
        <v>148</v>
      </c>
      <c r="B140" s="7" t="n">
        <v>3</v>
      </c>
      <c r="C140" s="9" t="n">
        <v>1034</v>
      </c>
      <c r="D140" s="9" t="n">
        <v>117780960</v>
      </c>
      <c r="E140" s="9" t="n">
        <v>0</v>
      </c>
      <c r="F140" s="9" t="n">
        <v>0</v>
      </c>
      <c r="G140" s="9" t="n">
        <v>0</v>
      </c>
      <c r="H140" s="9" t="n">
        <v>0</v>
      </c>
      <c r="I140" s="9" t="n">
        <v>1034</v>
      </c>
      <c r="J140" s="9" t="n">
        <v>117780960</v>
      </c>
    </row>
    <row r="141" customFormat="false" ht="15.75" hidden="false" customHeight="false" outlineLevel="0" collapsed="false">
      <c r="A141" s="7" t="s">
        <v>149</v>
      </c>
      <c r="B141" s="7" t="n">
        <v>3</v>
      </c>
      <c r="C141" s="9" t="n">
        <v>5979</v>
      </c>
      <c r="D141" s="9" t="n">
        <v>1135500363</v>
      </c>
      <c r="E141" s="9" t="n">
        <v>120</v>
      </c>
      <c r="F141" s="9" t="n">
        <v>22758600</v>
      </c>
      <c r="G141" s="9" t="n">
        <v>690</v>
      </c>
      <c r="H141" s="9" t="n">
        <v>131037659</v>
      </c>
      <c r="I141" s="9" t="n">
        <v>5409</v>
      </c>
      <c r="J141" s="9" t="n">
        <v>1027221304</v>
      </c>
    </row>
    <row r="142" customFormat="false" ht="15.75" hidden="false" customHeight="false" outlineLevel="0" collapsed="false">
      <c r="A142" s="7" t="s">
        <v>150</v>
      </c>
      <c r="B142" s="7" t="n">
        <v>3</v>
      </c>
      <c r="C142" s="9" t="n">
        <v>0</v>
      </c>
      <c r="D142" s="9" t="n">
        <v>0</v>
      </c>
      <c r="E142" s="9" t="n">
        <v>151</v>
      </c>
      <c r="F142" s="9" t="n">
        <v>31408000</v>
      </c>
      <c r="G142" s="9" t="n">
        <v>151</v>
      </c>
      <c r="H142" s="9" t="n">
        <v>31408000</v>
      </c>
      <c r="I142" s="9" t="n">
        <v>0</v>
      </c>
      <c r="J142" s="9" t="n">
        <v>0</v>
      </c>
    </row>
    <row r="143" customFormat="false" ht="15.75" hidden="false" customHeight="false" outlineLevel="0" collapsed="false">
      <c r="A143" s="7" t="s">
        <v>151</v>
      </c>
      <c r="B143" s="7" t="n">
        <v>3</v>
      </c>
      <c r="C143" s="9" t="n">
        <v>239</v>
      </c>
      <c r="D143" s="9" t="n">
        <v>45410000</v>
      </c>
      <c r="E143" s="9" t="n">
        <v>0</v>
      </c>
      <c r="F143" s="9" t="n">
        <v>0</v>
      </c>
      <c r="G143" s="9" t="n">
        <v>0</v>
      </c>
      <c r="H143" s="9" t="n">
        <v>0</v>
      </c>
      <c r="I143" s="9" t="n">
        <v>239</v>
      </c>
      <c r="J143" s="9" t="n">
        <v>45410000</v>
      </c>
    </row>
    <row r="144" customFormat="false" ht="15.75" hidden="false" customHeight="false" outlineLevel="0" collapsed="false">
      <c r="A144" s="7" t="s">
        <v>152</v>
      </c>
      <c r="B144" s="7" t="n">
        <v>3</v>
      </c>
      <c r="C144" s="9" t="n">
        <v>0</v>
      </c>
      <c r="D144" s="9" t="n">
        <v>0</v>
      </c>
      <c r="E144" s="9" t="n">
        <v>0</v>
      </c>
      <c r="F144" s="9" t="n">
        <v>0</v>
      </c>
      <c r="G144" s="9" t="n">
        <v>0</v>
      </c>
      <c r="H144" s="9" t="n">
        <v>0</v>
      </c>
      <c r="I144" s="9" t="n">
        <v>0</v>
      </c>
      <c r="J144" s="9" t="n">
        <v>0</v>
      </c>
    </row>
    <row r="145" customFormat="false" ht="15.75" hidden="false" customHeight="false" outlineLevel="0" collapsed="false">
      <c r="A145" s="7" t="s">
        <v>153</v>
      </c>
      <c r="B145" s="7" t="n">
        <v>3</v>
      </c>
      <c r="C145" s="9" t="n">
        <v>0</v>
      </c>
      <c r="D145" s="9" t="n">
        <v>0</v>
      </c>
      <c r="E145" s="9" t="n">
        <v>0</v>
      </c>
      <c r="F145" s="9" t="n">
        <v>0</v>
      </c>
      <c r="G145" s="9" t="n">
        <v>0</v>
      </c>
      <c r="H145" s="9" t="n">
        <v>0</v>
      </c>
      <c r="I145" s="9" t="n">
        <v>0</v>
      </c>
      <c r="J145" s="9" t="n">
        <v>0</v>
      </c>
    </row>
    <row r="146" customFormat="false" ht="15.75" hidden="false" customHeight="false" outlineLevel="0" collapsed="false">
      <c r="A146" s="7" t="s">
        <v>154</v>
      </c>
      <c r="B146" s="7" t="n">
        <v>3</v>
      </c>
      <c r="C146" s="9" t="n">
        <v>0</v>
      </c>
      <c r="D146" s="9" t="n">
        <v>0</v>
      </c>
      <c r="E146" s="9" t="n">
        <v>0</v>
      </c>
      <c r="F146" s="9" t="n">
        <v>0</v>
      </c>
      <c r="G146" s="9" t="n">
        <v>0</v>
      </c>
      <c r="H146" s="9" t="n">
        <v>0</v>
      </c>
      <c r="I146" s="9" t="n">
        <v>0</v>
      </c>
      <c r="J146" s="9" t="n">
        <v>0</v>
      </c>
    </row>
    <row r="147" customFormat="false" ht="15.75" hidden="false" customHeight="false" outlineLevel="0" collapsed="false">
      <c r="A147" s="7" t="s">
        <v>155</v>
      </c>
      <c r="B147" s="7" t="n">
        <v>3</v>
      </c>
      <c r="C147" s="9" t="n">
        <v>204</v>
      </c>
      <c r="D147" s="9" t="n">
        <v>59148248</v>
      </c>
      <c r="E147" s="9" t="n">
        <v>0</v>
      </c>
      <c r="F147" s="9" t="n">
        <v>0</v>
      </c>
      <c r="G147" s="9" t="n">
        <v>0</v>
      </c>
      <c r="H147" s="9" t="n">
        <v>0</v>
      </c>
      <c r="I147" s="9" t="n">
        <v>204</v>
      </c>
      <c r="J147" s="9" t="n">
        <v>59148248</v>
      </c>
    </row>
    <row r="148" customFormat="false" ht="15.75" hidden="false" customHeight="false" outlineLevel="0" collapsed="false">
      <c r="A148" s="7" t="s">
        <v>156</v>
      </c>
      <c r="B148" s="7" t="n">
        <v>3</v>
      </c>
      <c r="C148" s="9" t="n">
        <v>0</v>
      </c>
      <c r="D148" s="9" t="n">
        <v>0</v>
      </c>
      <c r="E148" s="9" t="n">
        <v>0</v>
      </c>
      <c r="F148" s="9" t="n">
        <v>0</v>
      </c>
      <c r="G148" s="9" t="n">
        <v>0</v>
      </c>
      <c r="H148" s="9" t="n">
        <v>0</v>
      </c>
      <c r="I148" s="9" t="n">
        <v>0</v>
      </c>
      <c r="J148" s="9" t="n">
        <v>0</v>
      </c>
    </row>
    <row r="149" customFormat="false" ht="15.75" hidden="false" customHeight="false" outlineLevel="0" collapsed="false">
      <c r="A149" s="7" t="s">
        <v>157</v>
      </c>
      <c r="B149" s="7" t="n">
        <v>3</v>
      </c>
      <c r="C149" s="9" t="n">
        <v>0</v>
      </c>
      <c r="D149" s="9" t="n">
        <v>0</v>
      </c>
      <c r="E149" s="9" t="n">
        <v>0</v>
      </c>
      <c r="F149" s="9" t="n">
        <v>0</v>
      </c>
      <c r="G149" s="9" t="n">
        <v>0</v>
      </c>
      <c r="H149" s="9" t="n">
        <v>0</v>
      </c>
      <c r="I149" s="9" t="n">
        <v>0</v>
      </c>
      <c r="J149" s="9" t="n">
        <v>0</v>
      </c>
    </row>
    <row r="150" customFormat="false" ht="15.75" hidden="false" customHeight="false" outlineLevel="0" collapsed="false">
      <c r="A150" s="7" t="s">
        <v>158</v>
      </c>
      <c r="B150" s="7" t="n">
        <v>3</v>
      </c>
      <c r="C150" s="9" t="n">
        <v>163</v>
      </c>
      <c r="D150" s="9" t="n">
        <v>34833360</v>
      </c>
      <c r="E150" s="9" t="n">
        <v>0</v>
      </c>
      <c r="F150" s="9" t="n">
        <v>0</v>
      </c>
      <c r="G150" s="9" t="n">
        <v>30</v>
      </c>
      <c r="H150" s="9" t="n">
        <v>6411048</v>
      </c>
      <c r="I150" s="9" t="n">
        <v>133</v>
      </c>
      <c r="J150" s="9" t="n">
        <v>28422312</v>
      </c>
    </row>
    <row r="151" customFormat="false" ht="15.75" hidden="false" customHeight="false" outlineLevel="0" collapsed="false">
      <c r="A151" s="7" t="s">
        <v>159</v>
      </c>
      <c r="B151" s="7" t="n">
        <v>3</v>
      </c>
      <c r="C151" s="9" t="n">
        <v>94</v>
      </c>
      <c r="D151" s="9" t="n">
        <v>20691192</v>
      </c>
      <c r="E151" s="9" t="n">
        <v>0</v>
      </c>
      <c r="F151" s="9" t="n">
        <v>0</v>
      </c>
      <c r="G151" s="9" t="n">
        <v>0</v>
      </c>
      <c r="H151" s="9" t="n">
        <v>0</v>
      </c>
      <c r="I151" s="9" t="n">
        <v>94</v>
      </c>
      <c r="J151" s="9" t="n">
        <v>20691192</v>
      </c>
    </row>
    <row r="152" customFormat="false" ht="15.75" hidden="false" customHeight="false" outlineLevel="0" collapsed="false">
      <c r="A152" s="7" t="s">
        <v>160</v>
      </c>
      <c r="B152" s="7" t="n">
        <v>3</v>
      </c>
      <c r="C152" s="9" t="n">
        <v>65</v>
      </c>
      <c r="D152" s="9" t="n">
        <v>17179851</v>
      </c>
      <c r="E152" s="9" t="n">
        <v>0</v>
      </c>
      <c r="F152" s="9" t="n">
        <v>0</v>
      </c>
      <c r="G152" s="9" t="n">
        <v>0</v>
      </c>
      <c r="H152" s="9" t="n">
        <v>0</v>
      </c>
      <c r="I152" s="9" t="n">
        <v>65</v>
      </c>
      <c r="J152" s="9" t="n">
        <v>17179851</v>
      </c>
    </row>
    <row r="153" customFormat="false" ht="15.75" hidden="false" customHeight="false" outlineLevel="0" collapsed="false">
      <c r="A153" s="7" t="s">
        <v>161</v>
      </c>
      <c r="B153" s="7" t="n">
        <v>3</v>
      </c>
      <c r="C153" s="9" t="n">
        <v>0</v>
      </c>
      <c r="D153" s="9" t="n">
        <v>0</v>
      </c>
      <c r="E153" s="9" t="n">
        <v>180</v>
      </c>
      <c r="F153" s="9" t="n">
        <v>38070000</v>
      </c>
      <c r="G153" s="9" t="n">
        <v>180</v>
      </c>
      <c r="H153" s="9" t="n">
        <v>38070000</v>
      </c>
      <c r="I153" s="9" t="n">
        <v>0</v>
      </c>
      <c r="J153" s="9" t="n">
        <v>0</v>
      </c>
    </row>
    <row r="154" customFormat="false" ht="15.75" hidden="false" customHeight="false" outlineLevel="0" collapsed="false">
      <c r="A154" s="7" t="s">
        <v>162</v>
      </c>
      <c r="B154" s="7" t="n">
        <v>3</v>
      </c>
      <c r="C154" s="9" t="n">
        <v>255</v>
      </c>
      <c r="D154" s="9" t="n">
        <v>80603205</v>
      </c>
      <c r="E154" s="9" t="n">
        <v>56</v>
      </c>
      <c r="F154" s="9" t="n">
        <v>17701096</v>
      </c>
      <c r="G154" s="9" t="n">
        <v>0</v>
      </c>
      <c r="H154" s="9" t="n">
        <v>0</v>
      </c>
      <c r="I154" s="9" t="n">
        <v>311</v>
      </c>
      <c r="J154" s="9" t="n">
        <v>98304301</v>
      </c>
    </row>
    <row r="155" customFormat="false" ht="15.75" hidden="false" customHeight="false" outlineLevel="0" collapsed="false">
      <c r="A155" s="7" t="s">
        <v>163</v>
      </c>
      <c r="B155" s="7" t="n">
        <v>3</v>
      </c>
      <c r="C155" s="9" t="n">
        <v>0</v>
      </c>
      <c r="D155" s="9" t="n">
        <v>0</v>
      </c>
      <c r="E155" s="9" t="n">
        <v>0</v>
      </c>
      <c r="F155" s="9" t="n">
        <v>0</v>
      </c>
      <c r="G155" s="9" t="n">
        <v>0</v>
      </c>
      <c r="H155" s="9" t="n">
        <v>0</v>
      </c>
      <c r="I155" s="9" t="n">
        <v>0</v>
      </c>
      <c r="J155" s="9" t="n">
        <v>0</v>
      </c>
    </row>
    <row r="156" customFormat="false" ht="15.75" hidden="false" customHeight="false" outlineLevel="0" collapsed="false">
      <c r="A156" s="7" t="s">
        <v>164</v>
      </c>
      <c r="B156" s="7" t="n">
        <v>3</v>
      </c>
      <c r="C156" s="9" t="n">
        <v>95</v>
      </c>
      <c r="D156" s="9" t="n">
        <v>13696836</v>
      </c>
      <c r="E156" s="9" t="n">
        <v>0</v>
      </c>
      <c r="F156" s="9" t="n">
        <v>0</v>
      </c>
      <c r="G156" s="9" t="n">
        <v>0</v>
      </c>
      <c r="H156" s="9" t="n">
        <v>0</v>
      </c>
      <c r="I156" s="9" t="n">
        <v>95</v>
      </c>
      <c r="J156" s="9" t="n">
        <v>13696836</v>
      </c>
    </row>
    <row r="157" customFormat="false" ht="15.75" hidden="false" customHeight="false" outlineLevel="0" collapsed="false">
      <c r="A157" s="7" t="s">
        <v>165</v>
      </c>
      <c r="B157" s="7" t="n">
        <v>3</v>
      </c>
      <c r="C157" s="9" t="n">
        <v>150</v>
      </c>
      <c r="D157" s="9" t="n">
        <v>22187410</v>
      </c>
      <c r="E157" s="9" t="n">
        <v>30</v>
      </c>
      <c r="F157" s="9" t="n">
        <v>4756920</v>
      </c>
      <c r="G157" s="9" t="n">
        <v>0</v>
      </c>
      <c r="H157" s="9" t="n">
        <v>0</v>
      </c>
      <c r="I157" s="9" t="n">
        <v>180</v>
      </c>
      <c r="J157" s="9" t="n">
        <v>26944330</v>
      </c>
    </row>
    <row r="158" customFormat="false" ht="15.75" hidden="false" customHeight="false" outlineLevel="0" collapsed="false">
      <c r="A158" s="7" t="s">
        <v>166</v>
      </c>
      <c r="B158" s="7" t="n">
        <v>3</v>
      </c>
      <c r="C158" s="9" t="n">
        <v>0</v>
      </c>
      <c r="D158" s="9" t="n">
        <v>0</v>
      </c>
      <c r="E158" s="9" t="n">
        <v>0</v>
      </c>
      <c r="F158" s="9" t="n">
        <v>0</v>
      </c>
      <c r="G158" s="9" t="n">
        <v>0</v>
      </c>
      <c r="H158" s="9" t="n">
        <v>0</v>
      </c>
      <c r="I158" s="9" t="n">
        <v>0</v>
      </c>
      <c r="J158" s="9" t="n">
        <v>0</v>
      </c>
    </row>
    <row r="159" customFormat="false" ht="15.75" hidden="false" customHeight="false" outlineLevel="0" collapsed="false">
      <c r="A159" s="7" t="s">
        <v>167</v>
      </c>
      <c r="B159" s="7" t="n">
        <v>3</v>
      </c>
      <c r="C159" s="9" t="n">
        <v>1076</v>
      </c>
      <c r="D159" s="9" t="n">
        <v>199774481</v>
      </c>
      <c r="E159" s="9" t="n">
        <v>254</v>
      </c>
      <c r="F159" s="9" t="n">
        <v>47158660</v>
      </c>
      <c r="G159" s="9" t="n">
        <v>1330</v>
      </c>
      <c r="H159" s="9" t="n">
        <v>246933141</v>
      </c>
      <c r="I159" s="9" t="n">
        <v>0</v>
      </c>
      <c r="J159" s="9" t="n">
        <v>0</v>
      </c>
    </row>
    <row r="160" customFormat="false" ht="15.75" hidden="false" customHeight="false" outlineLevel="0" collapsed="false">
      <c r="A160" s="7" t="s">
        <v>168</v>
      </c>
      <c r="B160" s="7" t="n">
        <v>3</v>
      </c>
      <c r="C160" s="9" t="n">
        <v>10</v>
      </c>
      <c r="D160" s="9" t="n">
        <v>1820830</v>
      </c>
      <c r="E160" s="9" t="n">
        <v>130</v>
      </c>
      <c r="F160" s="9" t="n">
        <v>23712000</v>
      </c>
      <c r="G160" s="9" t="n">
        <v>0</v>
      </c>
      <c r="H160" s="9" t="n">
        <v>0</v>
      </c>
      <c r="I160" s="9" t="n">
        <v>140</v>
      </c>
      <c r="J160" s="9" t="n">
        <v>25532830</v>
      </c>
    </row>
    <row r="161" customFormat="false" ht="15.75" hidden="false" customHeight="false" outlineLevel="0" collapsed="false">
      <c r="A161" s="7" t="s">
        <v>169</v>
      </c>
      <c r="B161" s="7" t="n">
        <v>3</v>
      </c>
      <c r="C161" s="9" t="n">
        <v>1004</v>
      </c>
      <c r="D161" s="9" t="n">
        <v>177797220</v>
      </c>
      <c r="E161" s="9" t="n">
        <v>0</v>
      </c>
      <c r="F161" s="9" t="n">
        <v>0</v>
      </c>
      <c r="G161" s="9" t="n">
        <v>30</v>
      </c>
      <c r="H161" s="9" t="n">
        <v>5312666</v>
      </c>
      <c r="I161" s="9" t="n">
        <v>974</v>
      </c>
      <c r="J161" s="9" t="n">
        <v>172484554</v>
      </c>
    </row>
    <row r="162" customFormat="false" ht="15.75" hidden="false" customHeight="false" outlineLevel="0" collapsed="false">
      <c r="A162" s="7" t="s">
        <v>170</v>
      </c>
      <c r="B162" s="7" t="n">
        <v>3</v>
      </c>
      <c r="C162" s="9" t="n">
        <v>77</v>
      </c>
      <c r="D162" s="9" t="n">
        <v>21146972</v>
      </c>
      <c r="E162" s="9" t="n">
        <v>0</v>
      </c>
      <c r="F162" s="9" t="n">
        <v>0</v>
      </c>
      <c r="G162" s="9" t="n">
        <v>0</v>
      </c>
      <c r="H162" s="9" t="n">
        <v>0</v>
      </c>
      <c r="I162" s="9" t="n">
        <v>77</v>
      </c>
      <c r="J162" s="9" t="n">
        <v>21146972</v>
      </c>
    </row>
    <row r="163" customFormat="false" ht="15.75" hidden="false" customHeight="false" outlineLevel="0" collapsed="false">
      <c r="A163" s="7" t="s">
        <v>171</v>
      </c>
      <c r="B163" s="7" t="n">
        <v>3</v>
      </c>
      <c r="C163" s="9" t="n">
        <v>0</v>
      </c>
      <c r="D163" s="9" t="n">
        <v>0</v>
      </c>
      <c r="E163" s="9" t="n">
        <v>35</v>
      </c>
      <c r="F163" s="9" t="n">
        <v>9660000</v>
      </c>
      <c r="G163" s="9" t="n">
        <v>35</v>
      </c>
      <c r="H163" s="9" t="n">
        <v>9660000</v>
      </c>
      <c r="I163" s="9" t="n">
        <v>0</v>
      </c>
      <c r="J163" s="9" t="n">
        <v>0</v>
      </c>
    </row>
    <row r="164" customFormat="false" ht="15.75" hidden="false" customHeight="false" outlineLevel="0" collapsed="false">
      <c r="A164" s="7" t="s">
        <v>172</v>
      </c>
      <c r="B164" s="7" t="n">
        <v>3</v>
      </c>
      <c r="C164" s="9" t="n">
        <v>0</v>
      </c>
      <c r="D164" s="9" t="n">
        <v>0</v>
      </c>
      <c r="E164" s="9" t="n">
        <v>0</v>
      </c>
      <c r="F164" s="9" t="n">
        <v>0</v>
      </c>
      <c r="G164" s="9" t="n">
        <v>0</v>
      </c>
      <c r="H164" s="9" t="n">
        <v>0</v>
      </c>
      <c r="I164" s="9" t="n">
        <v>0</v>
      </c>
      <c r="J164" s="9" t="n">
        <v>0</v>
      </c>
    </row>
    <row r="165" customFormat="false" ht="15.75" hidden="false" customHeight="false" outlineLevel="0" collapsed="false">
      <c r="A165" s="7" t="s">
        <v>173</v>
      </c>
      <c r="B165" s="7" t="n">
        <v>3</v>
      </c>
      <c r="C165" s="9" t="n">
        <v>0</v>
      </c>
      <c r="D165" s="9" t="n">
        <v>0</v>
      </c>
      <c r="E165" s="9" t="n">
        <v>0</v>
      </c>
      <c r="F165" s="9" t="n">
        <v>0</v>
      </c>
      <c r="G165" s="9" t="n">
        <v>0</v>
      </c>
      <c r="H165" s="9" t="n">
        <v>0</v>
      </c>
      <c r="I165" s="9" t="n">
        <v>0</v>
      </c>
      <c r="J165" s="9" t="n">
        <v>0</v>
      </c>
    </row>
    <row r="166" customFormat="false" ht="15.75" hidden="false" customHeight="false" outlineLevel="0" collapsed="false">
      <c r="A166" s="7" t="s">
        <v>174</v>
      </c>
      <c r="B166" s="7" t="n">
        <v>3</v>
      </c>
      <c r="C166" s="9" t="n">
        <v>60</v>
      </c>
      <c r="D166" s="9" t="n">
        <v>16472400</v>
      </c>
      <c r="E166" s="9" t="n">
        <v>20</v>
      </c>
      <c r="F166" s="9" t="n">
        <v>5492720</v>
      </c>
      <c r="G166" s="9" t="n">
        <v>0</v>
      </c>
      <c r="H166" s="9" t="n">
        <v>0</v>
      </c>
      <c r="I166" s="9" t="n">
        <v>80</v>
      </c>
      <c r="J166" s="9" t="n">
        <v>21965120</v>
      </c>
    </row>
    <row r="167" customFormat="false" ht="15.75" hidden="false" customHeight="false" outlineLevel="0" collapsed="false">
      <c r="A167" s="7" t="s">
        <v>175</v>
      </c>
      <c r="B167" s="7" t="n">
        <v>3</v>
      </c>
      <c r="C167" s="9" t="n">
        <v>0</v>
      </c>
      <c r="D167" s="9" t="n">
        <v>0</v>
      </c>
      <c r="E167" s="9" t="n">
        <v>0</v>
      </c>
      <c r="F167" s="9" t="n">
        <v>0</v>
      </c>
      <c r="G167" s="9" t="n">
        <v>0</v>
      </c>
      <c r="H167" s="9" t="n">
        <v>0</v>
      </c>
      <c r="I167" s="9" t="n">
        <v>0</v>
      </c>
      <c r="J167" s="9" t="n">
        <v>0</v>
      </c>
    </row>
    <row r="168" customFormat="false" ht="15.75" hidden="false" customHeight="false" outlineLevel="0" collapsed="false">
      <c r="A168" s="7" t="s">
        <v>176</v>
      </c>
      <c r="B168" s="7" t="n">
        <v>3</v>
      </c>
      <c r="C168" s="9" t="n">
        <v>0</v>
      </c>
      <c r="D168" s="9" t="n">
        <v>0</v>
      </c>
      <c r="E168" s="9" t="n">
        <v>30</v>
      </c>
      <c r="F168" s="9" t="n">
        <v>5492730</v>
      </c>
      <c r="G168" s="9" t="n">
        <v>30</v>
      </c>
      <c r="H168" s="9" t="n">
        <v>5492730</v>
      </c>
      <c r="I168" s="9" t="n">
        <v>0</v>
      </c>
      <c r="J168" s="9" t="n">
        <v>0</v>
      </c>
    </row>
    <row r="169" customFormat="false" ht="15.75" hidden="false" customHeight="false" outlineLevel="0" collapsed="false">
      <c r="A169" s="7" t="s">
        <v>177</v>
      </c>
      <c r="B169" s="7" t="n">
        <v>3</v>
      </c>
      <c r="C169" s="9" t="n">
        <v>0</v>
      </c>
      <c r="D169" s="9" t="n">
        <v>0</v>
      </c>
      <c r="E169" s="9" t="n">
        <v>0</v>
      </c>
      <c r="F169" s="9" t="n">
        <v>0</v>
      </c>
      <c r="G169" s="9" t="n">
        <v>0</v>
      </c>
      <c r="H169" s="9" t="n">
        <v>0</v>
      </c>
      <c r="I169" s="9" t="n">
        <v>0</v>
      </c>
      <c r="J169" s="9" t="n">
        <v>0</v>
      </c>
    </row>
    <row r="170" customFormat="false" ht="15.75" hidden="false" customHeight="false" outlineLevel="0" collapsed="false">
      <c r="A170" s="7" t="s">
        <v>178</v>
      </c>
      <c r="B170" s="7" t="n">
        <v>3</v>
      </c>
      <c r="C170" s="9" t="n">
        <v>0</v>
      </c>
      <c r="D170" s="9" t="n">
        <v>0</v>
      </c>
      <c r="E170" s="9" t="n">
        <v>0</v>
      </c>
      <c r="F170" s="9" t="n">
        <v>0</v>
      </c>
      <c r="G170" s="9" t="n">
        <v>0</v>
      </c>
      <c r="H170" s="9" t="n">
        <v>0</v>
      </c>
      <c r="I170" s="9" t="n">
        <v>0</v>
      </c>
      <c r="J170" s="9" t="n">
        <v>0</v>
      </c>
    </row>
    <row r="171" customFormat="false" ht="15.75" hidden="false" customHeight="false" outlineLevel="0" collapsed="false">
      <c r="A171" s="7" t="s">
        <v>179</v>
      </c>
      <c r="B171" s="7" t="n">
        <v>3</v>
      </c>
      <c r="C171" s="9" t="n">
        <v>11184</v>
      </c>
      <c r="D171" s="9" t="n">
        <v>61163050</v>
      </c>
      <c r="E171" s="9" t="n">
        <v>15133</v>
      </c>
      <c r="F171" s="9" t="n">
        <v>72006000</v>
      </c>
      <c r="G171" s="9" t="n">
        <v>10632</v>
      </c>
      <c r="H171" s="9" t="n">
        <v>53799952</v>
      </c>
      <c r="I171" s="9" t="n">
        <v>15685</v>
      </c>
      <c r="J171" s="9" t="n">
        <v>79369098</v>
      </c>
    </row>
    <row r="172" customFormat="false" ht="15.75" hidden="false" customHeight="false" outlineLevel="0" collapsed="false">
      <c r="A172" s="7" t="s">
        <v>180</v>
      </c>
      <c r="B172" s="7" t="n">
        <v>3</v>
      </c>
      <c r="C172" s="9" t="n">
        <v>0</v>
      </c>
      <c r="D172" s="9" t="n">
        <v>0</v>
      </c>
      <c r="E172" s="9" t="n">
        <v>0</v>
      </c>
      <c r="F172" s="9" t="n">
        <v>0</v>
      </c>
      <c r="G172" s="9" t="n">
        <v>0</v>
      </c>
      <c r="H172" s="9" t="n">
        <v>0</v>
      </c>
      <c r="I172" s="9" t="n">
        <v>0</v>
      </c>
      <c r="J172" s="9" t="n">
        <v>0</v>
      </c>
    </row>
    <row r="173" customFormat="false" ht="15.75" hidden="false" customHeight="false" outlineLevel="0" collapsed="false">
      <c r="A173" s="7" t="s">
        <v>181</v>
      </c>
      <c r="B173" s="7" t="n">
        <v>3</v>
      </c>
      <c r="C173" s="9" t="n">
        <v>1200</v>
      </c>
      <c r="D173" s="9" t="n">
        <v>57720821</v>
      </c>
      <c r="E173" s="9" t="n">
        <v>450</v>
      </c>
      <c r="F173" s="9" t="n">
        <v>21621150</v>
      </c>
      <c r="G173" s="9" t="n">
        <v>405</v>
      </c>
      <c r="H173" s="9" t="n">
        <v>19474847</v>
      </c>
      <c r="I173" s="9" t="n">
        <v>1245</v>
      </c>
      <c r="J173" s="9" t="n">
        <v>59867124</v>
      </c>
    </row>
    <row r="174" customFormat="false" ht="15.75" hidden="false" customHeight="false" outlineLevel="0" collapsed="false">
      <c r="A174" s="7" t="s">
        <v>182</v>
      </c>
      <c r="B174" s="7" t="n">
        <v>3</v>
      </c>
      <c r="C174" s="9" t="n">
        <v>0</v>
      </c>
      <c r="D174" s="9" t="n">
        <v>0</v>
      </c>
      <c r="E174" s="9" t="n">
        <v>0</v>
      </c>
      <c r="F174" s="9" t="n">
        <v>0</v>
      </c>
      <c r="G174" s="9" t="n">
        <v>0</v>
      </c>
      <c r="H174" s="9" t="n">
        <v>0</v>
      </c>
      <c r="I174" s="9" t="n">
        <v>0</v>
      </c>
      <c r="J174" s="9" t="n">
        <v>0</v>
      </c>
    </row>
    <row r="175" customFormat="false" ht="15.75" hidden="false" customHeight="false" outlineLevel="0" collapsed="false">
      <c r="A175" s="7" t="s">
        <v>183</v>
      </c>
      <c r="B175" s="7" t="n">
        <v>3</v>
      </c>
      <c r="C175" s="9" t="n">
        <v>2440</v>
      </c>
      <c r="D175" s="9" t="n">
        <v>132620903</v>
      </c>
      <c r="E175" s="9" t="n">
        <v>200</v>
      </c>
      <c r="F175" s="9" t="n">
        <v>10880000</v>
      </c>
      <c r="G175" s="9" t="n">
        <v>50</v>
      </c>
      <c r="H175" s="9" t="n">
        <v>2717820</v>
      </c>
      <c r="I175" s="9" t="n">
        <v>2590</v>
      </c>
      <c r="J175" s="9" t="n">
        <v>140783083</v>
      </c>
    </row>
    <row r="176" customFormat="false" ht="15.75" hidden="false" customHeight="false" outlineLevel="0" collapsed="false">
      <c r="A176" s="7" t="s">
        <v>184</v>
      </c>
      <c r="B176" s="7" t="n">
        <v>3</v>
      </c>
      <c r="C176" s="9" t="n">
        <v>2563</v>
      </c>
      <c r="D176" s="9" t="n">
        <v>140005451</v>
      </c>
      <c r="E176" s="9" t="n">
        <v>300</v>
      </c>
      <c r="F176" s="9" t="n">
        <v>16320000</v>
      </c>
      <c r="G176" s="9" t="n">
        <v>30</v>
      </c>
      <c r="H176" s="9" t="n">
        <v>1638059</v>
      </c>
      <c r="I176" s="9" t="n">
        <v>2833</v>
      </c>
      <c r="J176" s="9" t="n">
        <v>154687392</v>
      </c>
    </row>
    <row r="177" customFormat="false" ht="15.75" hidden="false" customHeight="false" outlineLevel="0" collapsed="false">
      <c r="A177" s="7" t="s">
        <v>185</v>
      </c>
      <c r="B177" s="7" t="n">
        <v>3</v>
      </c>
      <c r="C177" s="9" t="n">
        <v>200</v>
      </c>
      <c r="D177" s="9" t="n">
        <v>36046800</v>
      </c>
      <c r="E177" s="9" t="n">
        <v>200</v>
      </c>
      <c r="F177" s="9" t="n">
        <v>36046800</v>
      </c>
      <c r="G177" s="9" t="n">
        <v>360</v>
      </c>
      <c r="H177" s="9" t="n">
        <v>64884240</v>
      </c>
      <c r="I177" s="9" t="n">
        <v>40</v>
      </c>
      <c r="J177" s="9" t="n">
        <v>7209360</v>
      </c>
    </row>
    <row r="178" customFormat="false" ht="15.75" hidden="false" customHeight="false" outlineLevel="0" collapsed="false">
      <c r="A178" s="7" t="s">
        <v>186</v>
      </c>
      <c r="B178" s="7" t="n">
        <v>3</v>
      </c>
      <c r="C178" s="9" t="n">
        <v>1110</v>
      </c>
      <c r="D178" s="9" t="n">
        <v>48502734</v>
      </c>
      <c r="E178" s="9" t="n">
        <v>6300</v>
      </c>
      <c r="F178" s="9" t="n">
        <v>274206272</v>
      </c>
      <c r="G178" s="9" t="n">
        <v>7300</v>
      </c>
      <c r="H178" s="9" t="n">
        <v>317918454</v>
      </c>
      <c r="I178" s="9" t="n">
        <v>110</v>
      </c>
      <c r="J178" s="9" t="n">
        <v>4790552</v>
      </c>
    </row>
    <row r="179" customFormat="false" ht="15.75" hidden="false" customHeight="false" outlineLevel="0" collapsed="false">
      <c r="A179" s="7" t="s">
        <v>187</v>
      </c>
      <c r="B179" s="7" t="n">
        <v>3</v>
      </c>
      <c r="C179" s="9" t="n">
        <v>1050</v>
      </c>
      <c r="D179" s="9" t="n">
        <v>39103105</v>
      </c>
      <c r="E179" s="9" t="n">
        <v>1050</v>
      </c>
      <c r="F179" s="9" t="n">
        <v>37107000</v>
      </c>
      <c r="G179" s="9" t="n">
        <v>210</v>
      </c>
      <c r="H179" s="9" t="n">
        <v>7621011</v>
      </c>
      <c r="I179" s="9" t="n">
        <v>1890</v>
      </c>
      <c r="J179" s="9" t="n">
        <v>68589094</v>
      </c>
    </row>
    <row r="180" customFormat="false" ht="15.75" hidden="false" customHeight="false" outlineLevel="0" collapsed="false">
      <c r="A180" s="7" t="s">
        <v>188</v>
      </c>
      <c r="B180" s="7" t="n">
        <v>3</v>
      </c>
      <c r="C180" s="9" t="n">
        <v>5775</v>
      </c>
      <c r="D180" s="9" t="n">
        <v>1087206304</v>
      </c>
      <c r="E180" s="9" t="n">
        <v>4050</v>
      </c>
      <c r="F180" s="9" t="n">
        <v>725353500</v>
      </c>
      <c r="G180" s="9" t="n">
        <v>5070</v>
      </c>
      <c r="H180" s="9" t="n">
        <v>935336204</v>
      </c>
      <c r="I180" s="9" t="n">
        <v>4755</v>
      </c>
      <c r="J180" s="9" t="n">
        <v>877223600</v>
      </c>
    </row>
    <row r="181" customFormat="false" ht="15.75" hidden="false" customHeight="false" outlineLevel="0" collapsed="false">
      <c r="A181" s="7" t="s">
        <v>189</v>
      </c>
      <c r="B181" s="7" t="n">
        <v>3</v>
      </c>
      <c r="C181" s="9" t="n">
        <v>350</v>
      </c>
      <c r="D181" s="9" t="n">
        <v>15850846</v>
      </c>
      <c r="E181" s="9" t="n">
        <v>0</v>
      </c>
      <c r="F181" s="9" t="n">
        <v>0</v>
      </c>
      <c r="G181" s="9" t="n">
        <v>350</v>
      </c>
      <c r="H181" s="9" t="n">
        <v>15850846</v>
      </c>
      <c r="I181" s="9" t="n">
        <v>0</v>
      </c>
      <c r="J181" s="9" t="n">
        <v>0</v>
      </c>
    </row>
    <row r="182" customFormat="false" ht="15.75" hidden="false" customHeight="false" outlineLevel="0" collapsed="false">
      <c r="A182" s="7" t="s">
        <v>190</v>
      </c>
      <c r="B182" s="7" t="n">
        <v>3</v>
      </c>
      <c r="C182" s="9" t="n">
        <v>8400</v>
      </c>
      <c r="D182" s="9" t="n">
        <v>253881190</v>
      </c>
      <c r="E182" s="9" t="n">
        <v>2100</v>
      </c>
      <c r="F182" s="9" t="n">
        <v>59371200</v>
      </c>
      <c r="G182" s="9" t="n">
        <v>9450</v>
      </c>
      <c r="H182" s="9" t="n">
        <v>281927151</v>
      </c>
      <c r="I182" s="9" t="n">
        <v>1050</v>
      </c>
      <c r="J182" s="9" t="n">
        <v>31325239</v>
      </c>
    </row>
    <row r="183" customFormat="false" ht="15.75" hidden="false" customHeight="false" outlineLevel="0" collapsed="false">
      <c r="A183" s="7" t="s">
        <v>191</v>
      </c>
      <c r="B183" s="7" t="n">
        <v>3</v>
      </c>
      <c r="C183" s="9" t="n">
        <v>35740</v>
      </c>
      <c r="D183" s="9" t="n">
        <v>958952464</v>
      </c>
      <c r="E183" s="9" t="n">
        <v>33750</v>
      </c>
      <c r="F183" s="9" t="n">
        <v>938277000</v>
      </c>
      <c r="G183" s="9" t="n">
        <v>42225</v>
      </c>
      <c r="H183" s="9" t="n">
        <v>1215162125</v>
      </c>
      <c r="I183" s="9" t="n">
        <v>27265</v>
      </c>
      <c r="J183" s="9" t="n">
        <v>682067339</v>
      </c>
    </row>
    <row r="184" customFormat="false" ht="15.75" hidden="false" customHeight="false" outlineLevel="0" collapsed="false">
      <c r="A184" s="7" t="s">
        <v>192</v>
      </c>
      <c r="B184" s="7" t="n">
        <v>3</v>
      </c>
      <c r="C184" s="9" t="n">
        <v>8400</v>
      </c>
      <c r="D184" s="9" t="n">
        <v>61260392</v>
      </c>
      <c r="E184" s="9" t="n">
        <v>1500</v>
      </c>
      <c r="F184" s="9" t="n">
        <v>10602000</v>
      </c>
      <c r="G184" s="9" t="n">
        <v>9900</v>
      </c>
      <c r="H184" s="9" t="n">
        <v>71862392</v>
      </c>
      <c r="I184" s="9" t="n">
        <v>0</v>
      </c>
      <c r="J184" s="9" t="n">
        <v>0</v>
      </c>
    </row>
    <row r="185" customFormat="false" ht="15.75" hidden="false" customHeight="false" outlineLevel="0" collapsed="false">
      <c r="A185" s="7" t="s">
        <v>193</v>
      </c>
      <c r="B185" s="7" t="n">
        <v>3</v>
      </c>
      <c r="C185" s="9" t="n">
        <v>100</v>
      </c>
      <c r="D185" s="9" t="n">
        <v>22624798</v>
      </c>
      <c r="E185" s="9" t="n">
        <v>0</v>
      </c>
      <c r="F185" s="9" t="n">
        <v>0</v>
      </c>
      <c r="G185" s="9" t="n">
        <v>65</v>
      </c>
      <c r="H185" s="9" t="n">
        <v>14706119</v>
      </c>
      <c r="I185" s="9" t="n">
        <v>35</v>
      </c>
      <c r="J185" s="9" t="n">
        <v>7918679</v>
      </c>
    </row>
    <row r="186" customFormat="false" ht="15.75" hidden="false" customHeight="false" outlineLevel="0" collapsed="false">
      <c r="A186" s="7" t="s">
        <v>194</v>
      </c>
      <c r="B186" s="7" t="n">
        <v>3</v>
      </c>
      <c r="C186" s="9" t="n">
        <v>96070</v>
      </c>
      <c r="D186" s="9" t="n">
        <v>661186047</v>
      </c>
      <c r="E186" s="9" t="n">
        <v>198000</v>
      </c>
      <c r="F186" s="9" t="n">
        <v>1399464000</v>
      </c>
      <c r="G186" s="9" t="n">
        <v>164460</v>
      </c>
      <c r="H186" s="9" t="n">
        <v>1214859386</v>
      </c>
      <c r="I186" s="9" t="n">
        <v>129610</v>
      </c>
      <c r="J186" s="9" t="n">
        <v>845790661</v>
      </c>
    </row>
    <row r="187" customFormat="false" ht="15.75" hidden="false" customHeight="false" outlineLevel="0" collapsed="false">
      <c r="A187" s="7" t="s">
        <v>195</v>
      </c>
      <c r="B187" s="7" t="n">
        <v>3</v>
      </c>
      <c r="C187" s="9" t="n">
        <v>0</v>
      </c>
      <c r="D187" s="9" t="n">
        <v>0</v>
      </c>
      <c r="E187" s="9" t="n">
        <v>1675</v>
      </c>
      <c r="F187" s="9" t="n">
        <v>384644584</v>
      </c>
      <c r="G187" s="9" t="n">
        <v>1675</v>
      </c>
      <c r="H187" s="9" t="n">
        <v>384644584</v>
      </c>
      <c r="I187" s="9" t="n">
        <v>0</v>
      </c>
      <c r="J187" s="9" t="n">
        <v>0</v>
      </c>
    </row>
    <row r="188" customFormat="false" ht="15.75" hidden="false" customHeight="false" outlineLevel="0" collapsed="false">
      <c r="A188" s="7" t="s">
        <v>196</v>
      </c>
      <c r="B188" s="7" t="n">
        <v>3</v>
      </c>
      <c r="C188" s="9" t="n">
        <v>280</v>
      </c>
      <c r="D188" s="9" t="n">
        <v>46651031</v>
      </c>
      <c r="E188" s="9" t="n">
        <v>0</v>
      </c>
      <c r="F188" s="9" t="n">
        <v>0</v>
      </c>
      <c r="G188" s="9" t="n">
        <v>0</v>
      </c>
      <c r="H188" s="9" t="n">
        <v>0</v>
      </c>
      <c r="I188" s="9" t="n">
        <v>280</v>
      </c>
      <c r="J188" s="9" t="n">
        <v>46651031</v>
      </c>
    </row>
    <row r="189" customFormat="false" ht="15.75" hidden="false" customHeight="false" outlineLevel="0" collapsed="false">
      <c r="A189" s="7" t="s">
        <v>197</v>
      </c>
      <c r="B189" s="7" t="n">
        <v>3</v>
      </c>
      <c r="C189" s="9" t="n">
        <v>1200</v>
      </c>
      <c r="D189" s="9" t="n">
        <v>8579070</v>
      </c>
      <c r="E189" s="9" t="n">
        <v>0</v>
      </c>
      <c r="F189" s="9" t="n">
        <v>0</v>
      </c>
      <c r="G189" s="9" t="n">
        <v>240</v>
      </c>
      <c r="H189" s="9" t="n">
        <v>1715814</v>
      </c>
      <c r="I189" s="9" t="n">
        <v>960</v>
      </c>
      <c r="J189" s="9" t="n">
        <v>6863256</v>
      </c>
    </row>
    <row r="190" customFormat="false" ht="15.75" hidden="false" customHeight="false" outlineLevel="0" collapsed="false">
      <c r="A190" s="7" t="s">
        <v>198</v>
      </c>
      <c r="B190" s="7" t="n">
        <v>3</v>
      </c>
      <c r="C190" s="9" t="n">
        <v>0</v>
      </c>
      <c r="D190" s="9" t="n">
        <v>0</v>
      </c>
      <c r="E190" s="9" t="n">
        <v>0</v>
      </c>
      <c r="F190" s="9" t="n">
        <v>0</v>
      </c>
      <c r="G190" s="9" t="n">
        <v>0</v>
      </c>
      <c r="H190" s="9" t="n">
        <v>0</v>
      </c>
      <c r="I190" s="9" t="n">
        <v>0</v>
      </c>
      <c r="J190" s="9" t="n">
        <v>0</v>
      </c>
    </row>
    <row r="191" customFormat="false" ht="15.75" hidden="false" customHeight="false" outlineLevel="0" collapsed="false">
      <c r="A191" s="7" t="s">
        <v>199</v>
      </c>
      <c r="B191" s="7" t="n">
        <v>3</v>
      </c>
      <c r="C191" s="9" t="n">
        <v>77660</v>
      </c>
      <c r="D191" s="9" t="n">
        <v>0</v>
      </c>
      <c r="E191" s="9" t="n">
        <v>0</v>
      </c>
      <c r="F191" s="9" t="n">
        <v>0</v>
      </c>
      <c r="G191" s="9" t="n">
        <v>0</v>
      </c>
      <c r="H191" s="9" t="n">
        <v>0</v>
      </c>
      <c r="I191" s="9" t="n">
        <v>77660</v>
      </c>
      <c r="J191" s="9" t="n">
        <v>0</v>
      </c>
    </row>
    <row r="192" customFormat="false" ht="15.75" hidden="false" customHeight="false" outlineLevel="0" collapsed="false">
      <c r="A192" s="7" t="s">
        <v>200</v>
      </c>
      <c r="B192" s="7" t="n">
        <v>3</v>
      </c>
      <c r="C192" s="9" t="n">
        <v>72</v>
      </c>
      <c r="D192" s="9" t="n">
        <v>504000</v>
      </c>
      <c r="E192" s="9" t="n">
        <v>0</v>
      </c>
      <c r="F192" s="9" t="n">
        <v>0</v>
      </c>
      <c r="G192" s="9" t="n">
        <v>0</v>
      </c>
      <c r="H192" s="9" t="n">
        <v>0</v>
      </c>
      <c r="I192" s="9" t="n">
        <v>72</v>
      </c>
      <c r="J192" s="9" t="n">
        <v>504000</v>
      </c>
    </row>
    <row r="193" customFormat="false" ht="15.75" hidden="false" customHeight="false" outlineLevel="0" collapsed="false">
      <c r="A193" s="7" t="s">
        <v>201</v>
      </c>
      <c r="B193" s="7" t="n">
        <v>3</v>
      </c>
      <c r="C193" s="9" t="n">
        <v>480</v>
      </c>
      <c r="D193" s="9" t="n">
        <v>7137059</v>
      </c>
      <c r="E193" s="9" t="n">
        <v>360</v>
      </c>
      <c r="F193" s="9" t="n">
        <v>5400000</v>
      </c>
      <c r="G193" s="9" t="n">
        <v>0</v>
      </c>
      <c r="H193" s="9" t="n">
        <v>0</v>
      </c>
      <c r="I193" s="9" t="n">
        <v>840</v>
      </c>
      <c r="J193" s="9" t="n">
        <v>12537059</v>
      </c>
    </row>
    <row r="194" customFormat="false" ht="15.75" hidden="false" customHeight="false" outlineLevel="0" collapsed="false">
      <c r="A194" s="7" t="s">
        <v>202</v>
      </c>
      <c r="B194" s="7" t="n">
        <v>3</v>
      </c>
      <c r="C194" s="9" t="n">
        <v>0</v>
      </c>
      <c r="D194" s="9" t="n">
        <v>0</v>
      </c>
      <c r="E194" s="9" t="n">
        <v>50</v>
      </c>
      <c r="F194" s="9" t="n">
        <v>1150000</v>
      </c>
      <c r="G194" s="9" t="n">
        <v>50</v>
      </c>
      <c r="H194" s="9" t="n">
        <v>1150000</v>
      </c>
      <c r="I194" s="9" t="n">
        <v>0</v>
      </c>
      <c r="J194" s="9" t="n">
        <v>0</v>
      </c>
    </row>
    <row r="195" customFormat="false" ht="15.75" hidden="false" customHeight="false" outlineLevel="0" collapsed="false">
      <c r="A195" s="7" t="s">
        <v>203</v>
      </c>
      <c r="B195" s="7" t="n">
        <v>3</v>
      </c>
      <c r="C195" s="9" t="n">
        <v>720</v>
      </c>
      <c r="D195" s="9" t="n">
        <v>8450640</v>
      </c>
      <c r="E195" s="9" t="n">
        <v>1440</v>
      </c>
      <c r="F195" s="9" t="n">
        <v>16901280</v>
      </c>
      <c r="G195" s="9" t="n">
        <v>10</v>
      </c>
      <c r="H195" s="9" t="n">
        <v>117370</v>
      </c>
      <c r="I195" s="9" t="n">
        <v>2150</v>
      </c>
      <c r="J195" s="9" t="n">
        <v>25234550</v>
      </c>
    </row>
    <row r="196" customFormat="false" ht="15.75" hidden="false" customHeight="false" outlineLevel="0" collapsed="false">
      <c r="A196" s="7" t="s">
        <v>204</v>
      </c>
      <c r="B196" s="7" t="n">
        <v>3</v>
      </c>
      <c r="C196" s="9" t="n">
        <v>4255</v>
      </c>
      <c r="D196" s="9" t="n">
        <v>122561330</v>
      </c>
      <c r="E196" s="9" t="n">
        <v>1759</v>
      </c>
      <c r="F196" s="9" t="n">
        <v>43999200</v>
      </c>
      <c r="G196" s="9" t="n">
        <v>1026</v>
      </c>
      <c r="H196" s="9" t="n">
        <v>28415548</v>
      </c>
      <c r="I196" s="9" t="n">
        <v>4988</v>
      </c>
      <c r="J196" s="9" t="n">
        <v>138144982</v>
      </c>
    </row>
    <row r="197" customFormat="false" ht="15.75" hidden="false" customHeight="false" outlineLevel="0" collapsed="false">
      <c r="A197" s="7" t="s">
        <v>205</v>
      </c>
      <c r="B197" s="7" t="n">
        <v>3</v>
      </c>
      <c r="C197" s="9" t="n">
        <v>720</v>
      </c>
      <c r="D197" s="9" t="n">
        <v>48329280</v>
      </c>
      <c r="E197" s="9" t="n">
        <v>0</v>
      </c>
      <c r="F197" s="9" t="n">
        <v>0</v>
      </c>
      <c r="G197" s="9" t="n">
        <v>0</v>
      </c>
      <c r="H197" s="9" t="n">
        <v>0</v>
      </c>
      <c r="I197" s="9" t="n">
        <v>720</v>
      </c>
      <c r="J197" s="9" t="n">
        <v>48329280</v>
      </c>
    </row>
    <row r="198" customFormat="false" ht="15.75" hidden="false" customHeight="false" outlineLevel="0" collapsed="false">
      <c r="A198" s="7" t="s">
        <v>206</v>
      </c>
      <c r="B198" s="7" t="n">
        <v>3</v>
      </c>
      <c r="C198" s="9" t="n">
        <v>384</v>
      </c>
      <c r="D198" s="9" t="n">
        <v>10785736</v>
      </c>
      <c r="E198" s="9" t="n">
        <v>0</v>
      </c>
      <c r="F198" s="9" t="n">
        <v>0</v>
      </c>
      <c r="G198" s="9" t="n">
        <v>30</v>
      </c>
      <c r="H198" s="9" t="n">
        <v>842636</v>
      </c>
      <c r="I198" s="9" t="n">
        <v>354</v>
      </c>
      <c r="J198" s="9" t="n">
        <v>9943100</v>
      </c>
    </row>
    <row r="199" customFormat="false" ht="15.75" hidden="false" customHeight="false" outlineLevel="0" collapsed="false">
      <c r="A199" s="7" t="s">
        <v>207</v>
      </c>
      <c r="B199" s="7" t="n">
        <v>3</v>
      </c>
      <c r="C199" s="9" t="n">
        <v>0</v>
      </c>
      <c r="D199" s="9" t="n">
        <v>0</v>
      </c>
      <c r="E199" s="9" t="n">
        <v>0</v>
      </c>
      <c r="F199" s="9" t="n">
        <v>0</v>
      </c>
      <c r="G199" s="9" t="n">
        <v>0</v>
      </c>
      <c r="H199" s="9" t="n">
        <v>0</v>
      </c>
      <c r="I199" s="9" t="n">
        <v>0</v>
      </c>
      <c r="J199" s="9" t="n">
        <v>0</v>
      </c>
    </row>
    <row r="200" customFormat="false" ht="15.75" hidden="false" customHeight="false" outlineLevel="0" collapsed="false">
      <c r="A200" s="7" t="s">
        <v>208</v>
      </c>
      <c r="B200" s="7" t="n">
        <v>3</v>
      </c>
      <c r="C200" s="9" t="n">
        <v>288</v>
      </c>
      <c r="D200" s="9" t="n">
        <v>0</v>
      </c>
      <c r="E200" s="9" t="n">
        <v>0</v>
      </c>
      <c r="F200" s="9" t="n">
        <v>0</v>
      </c>
      <c r="G200" s="9" t="n">
        <v>0</v>
      </c>
      <c r="H200" s="9" t="n">
        <v>0</v>
      </c>
      <c r="I200" s="9" t="n">
        <v>288</v>
      </c>
      <c r="J200" s="9" t="n">
        <v>0</v>
      </c>
    </row>
    <row r="201" customFormat="false" ht="15.75" hidden="false" customHeight="false" outlineLevel="0" collapsed="false">
      <c r="A201" s="7" t="s">
        <v>209</v>
      </c>
      <c r="B201" s="7" t="n">
        <v>3</v>
      </c>
      <c r="C201" s="9" t="n">
        <v>64</v>
      </c>
      <c r="D201" s="9" t="n">
        <v>3738240</v>
      </c>
      <c r="E201" s="9" t="n">
        <v>188</v>
      </c>
      <c r="F201" s="9" t="n">
        <v>10981080</v>
      </c>
      <c r="G201" s="9" t="n">
        <v>252</v>
      </c>
      <c r="H201" s="9" t="n">
        <v>14719320</v>
      </c>
      <c r="I201" s="9" t="n">
        <v>0</v>
      </c>
      <c r="J201" s="9" t="n">
        <v>0</v>
      </c>
    </row>
    <row r="202" customFormat="false" ht="15.75" hidden="false" customHeight="false" outlineLevel="0" collapsed="false">
      <c r="A202" s="7" t="s">
        <v>210</v>
      </c>
      <c r="B202" s="7" t="n">
        <v>3</v>
      </c>
      <c r="C202" s="9" t="n">
        <v>240</v>
      </c>
      <c r="D202" s="9" t="n">
        <v>3156480</v>
      </c>
      <c r="E202" s="9" t="n">
        <v>45</v>
      </c>
      <c r="F202" s="9" t="n">
        <v>0</v>
      </c>
      <c r="G202" s="9" t="n">
        <v>6</v>
      </c>
      <c r="H202" s="9" t="n">
        <v>66452</v>
      </c>
      <c r="I202" s="9" t="n">
        <v>279</v>
      </c>
      <c r="J202" s="9" t="n">
        <v>3090028</v>
      </c>
    </row>
    <row r="203" customFormat="false" ht="15.75" hidden="false" customHeight="false" outlineLevel="0" collapsed="false">
      <c r="A203" s="7" t="s">
        <v>211</v>
      </c>
      <c r="B203" s="7" t="n">
        <v>3</v>
      </c>
      <c r="C203" s="9" t="n">
        <v>0</v>
      </c>
      <c r="D203" s="9" t="n">
        <v>0</v>
      </c>
      <c r="E203" s="9" t="n">
        <v>0</v>
      </c>
      <c r="F203" s="9" t="n">
        <v>0</v>
      </c>
      <c r="G203" s="9" t="n">
        <v>0</v>
      </c>
      <c r="H203" s="9" t="n">
        <v>0</v>
      </c>
      <c r="I203" s="9" t="n">
        <v>0</v>
      </c>
      <c r="J203" s="9" t="n">
        <v>0</v>
      </c>
    </row>
    <row r="204" customFormat="false" ht="15.75" hidden="false" customHeight="false" outlineLevel="0" collapsed="false">
      <c r="A204" s="7" t="s">
        <v>212</v>
      </c>
      <c r="B204" s="7" t="n">
        <v>3</v>
      </c>
      <c r="C204" s="9" t="n">
        <v>5663</v>
      </c>
      <c r="D204" s="9" t="n">
        <v>70311623</v>
      </c>
      <c r="E204" s="9" t="n">
        <v>1800</v>
      </c>
      <c r="F204" s="9" t="n">
        <v>22348800</v>
      </c>
      <c r="G204" s="9" t="n">
        <v>2040</v>
      </c>
      <c r="H204" s="9" t="n">
        <v>25328589</v>
      </c>
      <c r="I204" s="9" t="n">
        <v>5423</v>
      </c>
      <c r="J204" s="9" t="n">
        <v>67331834</v>
      </c>
    </row>
    <row r="205" customFormat="false" ht="15.75" hidden="false" customHeight="false" outlineLevel="0" collapsed="false">
      <c r="A205" s="7" t="s">
        <v>213</v>
      </c>
      <c r="B205" s="7" t="n">
        <v>3</v>
      </c>
      <c r="C205" s="9" t="n">
        <v>720</v>
      </c>
      <c r="D205" s="9" t="n">
        <v>15294960</v>
      </c>
      <c r="E205" s="9" t="n">
        <v>1440</v>
      </c>
      <c r="F205" s="9" t="n">
        <v>30589920</v>
      </c>
      <c r="G205" s="9" t="n">
        <v>0</v>
      </c>
      <c r="H205" s="9" t="n">
        <v>0</v>
      </c>
      <c r="I205" s="9" t="n">
        <v>2160</v>
      </c>
      <c r="J205" s="9" t="n">
        <v>45884880</v>
      </c>
    </row>
    <row r="206" customFormat="false" ht="15.75" hidden="false" customHeight="false" outlineLevel="0" collapsed="false">
      <c r="A206" s="7" t="s">
        <v>214</v>
      </c>
      <c r="B206" s="7" t="n">
        <v>3</v>
      </c>
      <c r="C206" s="9" t="n">
        <v>4907</v>
      </c>
      <c r="D206" s="9" t="n">
        <v>113222312</v>
      </c>
      <c r="E206" s="9" t="n">
        <v>682</v>
      </c>
      <c r="F206" s="9" t="n">
        <v>8869680</v>
      </c>
      <c r="G206" s="9" t="n">
        <v>1650</v>
      </c>
      <c r="H206" s="9" t="n">
        <v>36044335</v>
      </c>
      <c r="I206" s="9" t="n">
        <v>3939</v>
      </c>
      <c r="J206" s="9" t="n">
        <v>86047657</v>
      </c>
    </row>
    <row r="207" customFormat="false" ht="15.75" hidden="false" customHeight="false" outlineLevel="0" collapsed="false">
      <c r="A207" s="7" t="s">
        <v>215</v>
      </c>
      <c r="B207" s="7" t="n">
        <v>3</v>
      </c>
      <c r="C207" s="9" t="n">
        <v>688</v>
      </c>
      <c r="D207" s="9" t="n">
        <v>29363840</v>
      </c>
      <c r="E207" s="9" t="n">
        <v>480</v>
      </c>
      <c r="F207" s="9" t="n">
        <v>20486400</v>
      </c>
      <c r="G207" s="9" t="n">
        <v>0</v>
      </c>
      <c r="H207" s="9" t="n">
        <v>0</v>
      </c>
      <c r="I207" s="9" t="n">
        <v>1168</v>
      </c>
      <c r="J207" s="9" t="n">
        <v>49850240</v>
      </c>
    </row>
    <row r="208" customFormat="false" ht="15.75" hidden="false" customHeight="false" outlineLevel="0" collapsed="false">
      <c r="A208" s="7" t="s">
        <v>216</v>
      </c>
      <c r="B208" s="7" t="n">
        <v>3</v>
      </c>
      <c r="C208" s="9" t="n">
        <v>0</v>
      </c>
      <c r="D208" s="9" t="n">
        <v>0</v>
      </c>
      <c r="E208" s="9" t="n">
        <v>0</v>
      </c>
      <c r="F208" s="9" t="n">
        <v>0</v>
      </c>
      <c r="G208" s="9" t="n">
        <v>0</v>
      </c>
      <c r="H208" s="9" t="n">
        <v>0</v>
      </c>
      <c r="I208" s="9" t="n">
        <v>0</v>
      </c>
      <c r="J208" s="9" t="n">
        <v>0</v>
      </c>
    </row>
    <row r="209" customFormat="false" ht="15.75" hidden="false" customHeight="false" outlineLevel="0" collapsed="false">
      <c r="A209" s="7" t="s">
        <v>217</v>
      </c>
      <c r="B209" s="7" t="n">
        <v>3</v>
      </c>
      <c r="C209" s="9" t="n">
        <v>40</v>
      </c>
      <c r="D209" s="9" t="n">
        <v>7100011</v>
      </c>
      <c r="E209" s="9" t="n">
        <v>0</v>
      </c>
      <c r="F209" s="9" t="n">
        <v>0</v>
      </c>
      <c r="G209" s="9" t="n">
        <v>30</v>
      </c>
      <c r="H209" s="9" t="n">
        <v>5325008</v>
      </c>
      <c r="I209" s="9" t="n">
        <v>10</v>
      </c>
      <c r="J209" s="9" t="n">
        <v>1775003</v>
      </c>
    </row>
    <row r="210" customFormat="false" ht="15.75" hidden="false" customHeight="false" outlineLevel="0" collapsed="false">
      <c r="A210" s="7" t="s">
        <v>218</v>
      </c>
      <c r="B210" s="7" t="n">
        <v>3</v>
      </c>
      <c r="C210" s="9" t="n">
        <v>40</v>
      </c>
      <c r="D210" s="9" t="n">
        <v>9274417</v>
      </c>
      <c r="E210" s="9" t="n">
        <v>0</v>
      </c>
      <c r="F210" s="9" t="n">
        <v>0</v>
      </c>
      <c r="G210" s="9" t="n">
        <v>40</v>
      </c>
      <c r="H210" s="9" t="n">
        <v>9274417</v>
      </c>
      <c r="I210" s="9" t="n">
        <v>0</v>
      </c>
      <c r="J210" s="9" t="n">
        <v>0</v>
      </c>
    </row>
    <row r="211" customFormat="false" ht="15.75" hidden="false" customHeight="false" outlineLevel="0" collapsed="false">
      <c r="A211" s="7" t="s">
        <v>219</v>
      </c>
      <c r="B211" s="7" t="n">
        <v>3</v>
      </c>
      <c r="C211" s="9" t="n">
        <v>0</v>
      </c>
      <c r="D211" s="9" t="n">
        <v>0</v>
      </c>
      <c r="E211" s="9" t="n">
        <v>30</v>
      </c>
      <c r="F211" s="9" t="n">
        <v>7125000</v>
      </c>
      <c r="G211" s="9" t="n">
        <v>30</v>
      </c>
      <c r="H211" s="9" t="n">
        <v>7125000</v>
      </c>
      <c r="I211" s="9" t="n">
        <v>0</v>
      </c>
      <c r="J211" s="9" t="n">
        <v>0</v>
      </c>
    </row>
    <row r="212" customFormat="false" ht="15.75" hidden="false" customHeight="false" outlineLevel="0" collapsed="false">
      <c r="A212" s="7" t="s">
        <v>220</v>
      </c>
      <c r="B212" s="7" t="n">
        <v>3</v>
      </c>
      <c r="C212" s="9" t="n">
        <v>0</v>
      </c>
      <c r="D212" s="9" t="n">
        <v>0</v>
      </c>
      <c r="E212" s="9" t="n">
        <v>0</v>
      </c>
      <c r="F212" s="9" t="n">
        <v>0</v>
      </c>
      <c r="G212" s="9" t="n">
        <v>0</v>
      </c>
      <c r="H212" s="9" t="n">
        <v>0</v>
      </c>
      <c r="I212" s="9" t="n">
        <v>0</v>
      </c>
      <c r="J212" s="9" t="n">
        <v>0</v>
      </c>
    </row>
    <row r="213" customFormat="false" ht="15.75" hidden="false" customHeight="false" outlineLevel="0" collapsed="false">
      <c r="A213" s="7" t="s">
        <v>221</v>
      </c>
      <c r="B213" s="7" t="n">
        <v>3</v>
      </c>
      <c r="C213" s="9" t="n">
        <v>3066</v>
      </c>
      <c r="D213" s="9" t="n">
        <v>60555944</v>
      </c>
      <c r="E213" s="9" t="n">
        <v>1440</v>
      </c>
      <c r="F213" s="9" t="n">
        <v>28355040</v>
      </c>
      <c r="G213" s="9" t="n">
        <v>220</v>
      </c>
      <c r="H213" s="9" t="n">
        <v>4340971</v>
      </c>
      <c r="I213" s="9" t="n">
        <v>4286</v>
      </c>
      <c r="J213" s="9" t="n">
        <v>84570013</v>
      </c>
    </row>
    <row r="214" customFormat="false" ht="15.75" hidden="false" customHeight="false" outlineLevel="0" collapsed="false">
      <c r="A214" s="7" t="s">
        <v>222</v>
      </c>
      <c r="B214" s="7" t="n">
        <v>3</v>
      </c>
      <c r="C214" s="9" t="n">
        <v>776</v>
      </c>
      <c r="D214" s="9" t="n">
        <v>15796172</v>
      </c>
      <c r="E214" s="9" t="n">
        <v>75</v>
      </c>
      <c r="F214" s="9" t="n">
        <v>0</v>
      </c>
      <c r="G214" s="9" t="n">
        <v>250</v>
      </c>
      <c r="H214" s="9" t="n">
        <v>4640474</v>
      </c>
      <c r="I214" s="9" t="n">
        <v>601</v>
      </c>
      <c r="J214" s="9" t="n">
        <v>11155698</v>
      </c>
    </row>
    <row r="215" customFormat="false" ht="15.75" hidden="false" customHeight="false" outlineLevel="0" collapsed="false">
      <c r="A215" s="7" t="s">
        <v>223</v>
      </c>
      <c r="B215" s="7" t="n">
        <v>3</v>
      </c>
      <c r="C215" s="9" t="n">
        <v>865</v>
      </c>
      <c r="D215" s="9" t="n">
        <v>37407424</v>
      </c>
      <c r="E215" s="9" t="n">
        <v>0</v>
      </c>
      <c r="F215" s="9" t="n">
        <v>0</v>
      </c>
      <c r="G215" s="9" t="n">
        <v>0</v>
      </c>
      <c r="H215" s="9" t="n">
        <v>0</v>
      </c>
      <c r="I215" s="9" t="n">
        <v>865</v>
      </c>
      <c r="J215" s="9" t="n">
        <v>37407424</v>
      </c>
    </row>
    <row r="216" customFormat="false" ht="15.75" hidden="false" customHeight="false" outlineLevel="0" collapsed="false">
      <c r="A216" s="7" t="s">
        <v>224</v>
      </c>
      <c r="B216" s="7" t="n">
        <v>3</v>
      </c>
      <c r="C216" s="9" t="n">
        <v>336</v>
      </c>
      <c r="D216" s="9" t="n">
        <v>6713952</v>
      </c>
      <c r="E216" s="9" t="n">
        <v>0</v>
      </c>
      <c r="F216" s="9" t="n">
        <v>0</v>
      </c>
      <c r="G216" s="9" t="n">
        <v>0</v>
      </c>
      <c r="H216" s="9" t="n">
        <v>0</v>
      </c>
      <c r="I216" s="9" t="n">
        <v>336</v>
      </c>
      <c r="J216" s="9" t="n">
        <v>6713952</v>
      </c>
    </row>
    <row r="217" customFormat="false" ht="15.75" hidden="false" customHeight="false" outlineLevel="0" collapsed="false">
      <c r="A217" s="7" t="s">
        <v>225</v>
      </c>
      <c r="B217" s="7" t="n">
        <v>3</v>
      </c>
      <c r="C217" s="9" t="n">
        <v>0</v>
      </c>
      <c r="D217" s="9" t="n">
        <v>0</v>
      </c>
      <c r="E217" s="9" t="n">
        <v>0</v>
      </c>
      <c r="F217" s="9" t="n">
        <v>0</v>
      </c>
      <c r="G217" s="9" t="n">
        <v>0</v>
      </c>
      <c r="H217" s="9" t="n">
        <v>0</v>
      </c>
      <c r="I217" s="9" t="n">
        <v>0</v>
      </c>
      <c r="J217" s="9" t="n">
        <v>0</v>
      </c>
    </row>
    <row r="218" customFormat="false" ht="15.75" hidden="false" customHeight="false" outlineLevel="0" collapsed="false">
      <c r="A218" s="7" t="s">
        <v>226</v>
      </c>
      <c r="B218" s="7" t="n">
        <v>3</v>
      </c>
      <c r="C218" s="9" t="n">
        <v>0</v>
      </c>
      <c r="D218" s="9" t="n">
        <v>0</v>
      </c>
      <c r="E218" s="9" t="n">
        <v>0</v>
      </c>
      <c r="F218" s="9" t="n">
        <v>0</v>
      </c>
      <c r="G218" s="9" t="n">
        <v>0</v>
      </c>
      <c r="H218" s="9" t="n">
        <v>0</v>
      </c>
      <c r="I218" s="9" t="n">
        <v>0</v>
      </c>
      <c r="J218" s="9" t="n">
        <v>0</v>
      </c>
    </row>
    <row r="219" customFormat="false" ht="15.75" hidden="false" customHeight="false" outlineLevel="0" collapsed="false">
      <c r="A219" s="7" t="s">
        <v>227</v>
      </c>
      <c r="B219" s="7" t="n">
        <v>3</v>
      </c>
      <c r="C219" s="9" t="n">
        <v>0</v>
      </c>
      <c r="D219" s="9" t="n">
        <v>0</v>
      </c>
      <c r="E219" s="9" t="n">
        <v>83</v>
      </c>
      <c r="F219" s="9" t="n">
        <v>0</v>
      </c>
      <c r="G219" s="9" t="n">
        <v>8</v>
      </c>
      <c r="H219" s="9" t="n">
        <v>0</v>
      </c>
      <c r="I219" s="9" t="n">
        <v>75</v>
      </c>
      <c r="J219" s="9" t="n">
        <v>0</v>
      </c>
    </row>
    <row r="220" customFormat="false" ht="15.75" hidden="false" customHeight="false" outlineLevel="0" collapsed="false">
      <c r="A220" s="7" t="s">
        <v>228</v>
      </c>
      <c r="B220" s="7" t="n">
        <v>3</v>
      </c>
      <c r="C220" s="9" t="n">
        <v>1072</v>
      </c>
      <c r="D220" s="9" t="n">
        <v>95364514</v>
      </c>
      <c r="E220" s="9" t="n">
        <v>80</v>
      </c>
      <c r="F220" s="9" t="n">
        <v>7024640</v>
      </c>
      <c r="G220" s="9" t="n">
        <v>0</v>
      </c>
      <c r="H220" s="9" t="n">
        <v>0</v>
      </c>
      <c r="I220" s="9" t="n">
        <v>1152</v>
      </c>
      <c r="J220" s="9" t="n">
        <v>102389154</v>
      </c>
    </row>
    <row r="221" customFormat="false" ht="15.75" hidden="false" customHeight="false" outlineLevel="0" collapsed="false">
      <c r="A221" s="7" t="s">
        <v>229</v>
      </c>
      <c r="B221" s="7" t="n">
        <v>3</v>
      </c>
      <c r="C221" s="9" t="n">
        <v>1190</v>
      </c>
      <c r="D221" s="9" t="n">
        <v>110303797</v>
      </c>
      <c r="E221" s="9" t="n">
        <v>281</v>
      </c>
      <c r="F221" s="9" t="n">
        <v>26150320</v>
      </c>
      <c r="G221" s="9" t="n">
        <v>28</v>
      </c>
      <c r="H221" s="9" t="n">
        <v>2597359</v>
      </c>
      <c r="I221" s="9" t="n">
        <v>1443</v>
      </c>
      <c r="J221" s="9" t="n">
        <v>133856758</v>
      </c>
    </row>
    <row r="222" customFormat="false" ht="15.75" hidden="false" customHeight="false" outlineLevel="0" collapsed="false">
      <c r="A222" s="7" t="s">
        <v>230</v>
      </c>
      <c r="B222" s="7" t="n">
        <v>3</v>
      </c>
      <c r="C222" s="9" t="n">
        <v>0</v>
      </c>
      <c r="D222" s="9" t="n">
        <v>0</v>
      </c>
      <c r="E222" s="9" t="n">
        <v>0</v>
      </c>
      <c r="F222" s="9" t="n">
        <v>0</v>
      </c>
      <c r="G222" s="9" t="n">
        <v>0</v>
      </c>
      <c r="H222" s="9" t="n">
        <v>0</v>
      </c>
      <c r="I222" s="9" t="n">
        <v>0</v>
      </c>
      <c r="J222" s="9" t="n">
        <v>0</v>
      </c>
    </row>
    <row r="223" customFormat="false" ht="15.75" hidden="false" customHeight="false" outlineLevel="0" collapsed="false">
      <c r="A223" s="7" t="s">
        <v>231</v>
      </c>
      <c r="B223" s="7" t="n">
        <v>3</v>
      </c>
      <c r="C223" s="9" t="n">
        <v>0</v>
      </c>
      <c r="D223" s="9" t="n">
        <v>0</v>
      </c>
      <c r="E223" s="9" t="n">
        <v>435</v>
      </c>
      <c r="F223" s="9" t="n">
        <v>13920000</v>
      </c>
      <c r="G223" s="9" t="n">
        <v>435</v>
      </c>
      <c r="H223" s="9" t="n">
        <v>13920000</v>
      </c>
      <c r="I223" s="9" t="n">
        <v>0</v>
      </c>
      <c r="J223" s="9" t="n">
        <v>0</v>
      </c>
    </row>
    <row r="224" customFormat="false" ht="15.75" hidden="false" customHeight="false" outlineLevel="0" collapsed="false">
      <c r="A224" s="7" t="s">
        <v>232</v>
      </c>
      <c r="B224" s="7" t="n">
        <v>3</v>
      </c>
      <c r="C224" s="9" t="n">
        <v>2128</v>
      </c>
      <c r="D224" s="9" t="n">
        <v>135167794</v>
      </c>
      <c r="E224" s="9" t="n">
        <v>498</v>
      </c>
      <c r="F224" s="9" t="n">
        <v>30488976</v>
      </c>
      <c r="G224" s="9" t="n">
        <v>152</v>
      </c>
      <c r="H224" s="9" t="n">
        <v>9588663</v>
      </c>
      <c r="I224" s="9" t="n">
        <v>2474</v>
      </c>
      <c r="J224" s="9" t="n">
        <v>156068107</v>
      </c>
    </row>
    <row r="225" customFormat="false" ht="15.75" hidden="false" customHeight="false" outlineLevel="0" collapsed="false">
      <c r="A225" s="7" t="s">
        <v>233</v>
      </c>
      <c r="B225" s="7" t="n">
        <v>3</v>
      </c>
      <c r="C225" s="9" t="n">
        <v>5252</v>
      </c>
      <c r="D225" s="9" t="n">
        <v>328736837</v>
      </c>
      <c r="E225" s="9" t="n">
        <v>3074</v>
      </c>
      <c r="F225" s="9" t="n">
        <v>188160000</v>
      </c>
      <c r="G225" s="9" t="n">
        <v>1030</v>
      </c>
      <c r="H225" s="9" t="n">
        <v>63944720</v>
      </c>
      <c r="I225" s="9" t="n">
        <v>7296</v>
      </c>
      <c r="J225" s="9" t="n">
        <v>452952117</v>
      </c>
    </row>
    <row r="226" customFormat="false" ht="15.75" hidden="false" customHeight="false" outlineLevel="0" collapsed="false">
      <c r="A226" s="7" t="s">
        <v>234</v>
      </c>
      <c r="B226" s="7" t="n">
        <v>3</v>
      </c>
      <c r="C226" s="9" t="n">
        <v>16944</v>
      </c>
      <c r="D226" s="9" t="n">
        <v>979456598</v>
      </c>
      <c r="E226" s="9" t="n">
        <v>12336</v>
      </c>
      <c r="F226" s="9" t="n">
        <v>702815232</v>
      </c>
      <c r="G226" s="9" t="n">
        <v>5693</v>
      </c>
      <c r="H226" s="9" t="n">
        <v>327089260</v>
      </c>
      <c r="I226" s="9" t="n">
        <v>23587</v>
      </c>
      <c r="J226" s="9" t="n">
        <v>1355182570</v>
      </c>
    </row>
    <row r="227" customFormat="false" ht="15.75" hidden="false" customHeight="false" outlineLevel="0" collapsed="false">
      <c r="A227" s="7" t="s">
        <v>235</v>
      </c>
      <c r="B227" s="7" t="n">
        <v>3</v>
      </c>
      <c r="C227" s="9" t="n">
        <v>1766</v>
      </c>
      <c r="D227" s="9" t="n">
        <v>122829998</v>
      </c>
      <c r="E227" s="9" t="n">
        <v>14</v>
      </c>
      <c r="F227" s="9" t="n">
        <v>0</v>
      </c>
      <c r="G227" s="9" t="n">
        <v>112</v>
      </c>
      <c r="H227" s="9" t="n">
        <v>7728629</v>
      </c>
      <c r="I227" s="9" t="n">
        <v>1668</v>
      </c>
      <c r="J227" s="9" t="n">
        <v>115101369</v>
      </c>
    </row>
    <row r="228" customFormat="false" ht="15.75" hidden="false" customHeight="false" outlineLevel="0" collapsed="false">
      <c r="A228" s="7" t="s">
        <v>236</v>
      </c>
      <c r="B228" s="7" t="n">
        <v>3</v>
      </c>
      <c r="C228" s="9" t="n">
        <v>0</v>
      </c>
      <c r="D228" s="9" t="n">
        <v>0</v>
      </c>
      <c r="E228" s="9" t="n">
        <v>0</v>
      </c>
      <c r="F228" s="9" t="n">
        <v>0</v>
      </c>
      <c r="G228" s="9" t="n">
        <v>0</v>
      </c>
      <c r="H228" s="9" t="n">
        <v>0</v>
      </c>
      <c r="I228" s="9" t="n">
        <v>0</v>
      </c>
      <c r="J228" s="9" t="n">
        <v>0</v>
      </c>
    </row>
    <row r="229" customFormat="false" ht="15.75" hidden="false" customHeight="false" outlineLevel="0" collapsed="false">
      <c r="A229" s="7" t="s">
        <v>237</v>
      </c>
      <c r="B229" s="7" t="n">
        <v>3</v>
      </c>
      <c r="C229" s="9" t="n">
        <v>238</v>
      </c>
      <c r="D229" s="9" t="n">
        <v>0</v>
      </c>
      <c r="E229" s="9" t="n">
        <v>38</v>
      </c>
      <c r="F229" s="9" t="n">
        <v>2253020</v>
      </c>
      <c r="G229" s="9" t="n">
        <v>0</v>
      </c>
      <c r="H229" s="9" t="n">
        <v>0</v>
      </c>
      <c r="I229" s="9" t="n">
        <v>276</v>
      </c>
      <c r="J229" s="9" t="n">
        <v>2253020</v>
      </c>
    </row>
    <row r="230" customFormat="false" ht="15.75" hidden="false" customHeight="false" outlineLevel="0" collapsed="false">
      <c r="A230" s="7" t="s">
        <v>238</v>
      </c>
      <c r="B230" s="7" t="n">
        <v>3</v>
      </c>
      <c r="C230" s="9" t="n">
        <v>77</v>
      </c>
      <c r="D230" s="9" t="n">
        <v>4042499</v>
      </c>
      <c r="E230" s="9" t="n">
        <v>303</v>
      </c>
      <c r="F230" s="9" t="n">
        <v>17786996</v>
      </c>
      <c r="G230" s="9" t="n">
        <v>47</v>
      </c>
      <c r="H230" s="9" t="n">
        <v>2699964</v>
      </c>
      <c r="I230" s="9" t="n">
        <v>333</v>
      </c>
      <c r="J230" s="9" t="n">
        <v>19129531</v>
      </c>
    </row>
    <row r="231" customFormat="false" ht="15.75" hidden="false" customHeight="false" outlineLevel="0" collapsed="false">
      <c r="A231" s="7" t="s">
        <v>239</v>
      </c>
      <c r="B231" s="7" t="n">
        <v>3</v>
      </c>
      <c r="C231" s="9" t="n">
        <v>0</v>
      </c>
      <c r="D231" s="9" t="n">
        <v>0</v>
      </c>
      <c r="E231" s="9" t="n">
        <v>0</v>
      </c>
      <c r="F231" s="9" t="n">
        <v>0</v>
      </c>
      <c r="G231" s="9" t="n">
        <v>0</v>
      </c>
      <c r="H231" s="9" t="n">
        <v>0</v>
      </c>
      <c r="I231" s="9" t="n">
        <v>0</v>
      </c>
      <c r="J231" s="9" t="n">
        <v>0</v>
      </c>
    </row>
    <row r="232" customFormat="false" ht="15.75" hidden="false" customHeight="false" outlineLevel="0" collapsed="false">
      <c r="A232" s="7" t="s">
        <v>240</v>
      </c>
      <c r="B232" s="7" t="n">
        <v>3</v>
      </c>
      <c r="C232" s="9" t="n">
        <v>3981</v>
      </c>
      <c r="D232" s="9" t="n">
        <v>376870707</v>
      </c>
      <c r="E232" s="9" t="n">
        <v>1785</v>
      </c>
      <c r="F232" s="9" t="n">
        <v>166883220</v>
      </c>
      <c r="G232" s="9" t="n">
        <v>2667</v>
      </c>
      <c r="H232" s="9" t="n">
        <v>251507410</v>
      </c>
      <c r="I232" s="9" t="n">
        <v>3099</v>
      </c>
      <c r="J232" s="9" t="n">
        <v>292246517</v>
      </c>
    </row>
    <row r="233" customFormat="false" ht="15.75" hidden="false" customHeight="false" outlineLevel="0" collapsed="false">
      <c r="A233" s="7" t="s">
        <v>241</v>
      </c>
      <c r="B233" s="7" t="n">
        <v>3</v>
      </c>
      <c r="C233" s="9" t="n">
        <v>0</v>
      </c>
      <c r="D233" s="9" t="n">
        <v>0</v>
      </c>
      <c r="E233" s="9" t="n">
        <v>166</v>
      </c>
      <c r="F233" s="9" t="n">
        <v>13772959</v>
      </c>
      <c r="G233" s="9" t="n">
        <v>0</v>
      </c>
      <c r="H233" s="9" t="n">
        <v>0</v>
      </c>
      <c r="I233" s="9" t="n">
        <v>166</v>
      </c>
      <c r="J233" s="9" t="n">
        <v>13772959</v>
      </c>
    </row>
    <row r="234" customFormat="false" ht="15.75" hidden="false" customHeight="false" outlineLevel="0" collapsed="false">
      <c r="A234" s="7" t="s">
        <v>242</v>
      </c>
      <c r="B234" s="7" t="n">
        <v>3</v>
      </c>
      <c r="C234" s="9" t="n">
        <v>1945</v>
      </c>
      <c r="D234" s="9" t="n">
        <v>132905386</v>
      </c>
      <c r="E234" s="9" t="n">
        <v>116</v>
      </c>
      <c r="F234" s="9" t="n">
        <v>8353422</v>
      </c>
      <c r="G234" s="9" t="n">
        <v>0</v>
      </c>
      <c r="H234" s="9" t="n">
        <v>0</v>
      </c>
      <c r="I234" s="9" t="n">
        <v>2061</v>
      </c>
      <c r="J234" s="9" t="n">
        <v>141258808</v>
      </c>
    </row>
    <row r="235" customFormat="false" ht="15.75" hidden="false" customHeight="false" outlineLevel="0" collapsed="false">
      <c r="A235" s="7" t="s">
        <v>243</v>
      </c>
      <c r="B235" s="7" t="n">
        <v>3</v>
      </c>
      <c r="C235" s="9" t="n">
        <v>924</v>
      </c>
      <c r="D235" s="9" t="n">
        <v>87457030</v>
      </c>
      <c r="E235" s="9" t="n">
        <v>70</v>
      </c>
      <c r="F235" s="9" t="n">
        <v>6537580</v>
      </c>
      <c r="G235" s="9" t="n">
        <v>0</v>
      </c>
      <c r="H235" s="9" t="n">
        <v>0</v>
      </c>
      <c r="I235" s="9" t="n">
        <v>994</v>
      </c>
      <c r="J235" s="9" t="n">
        <v>93994610</v>
      </c>
    </row>
    <row r="236" customFormat="false" ht="15.75" hidden="false" customHeight="false" outlineLevel="0" collapsed="false">
      <c r="A236" s="7" t="s">
        <v>244</v>
      </c>
      <c r="B236" s="7" t="n">
        <v>3</v>
      </c>
      <c r="C236" s="9" t="n">
        <v>0</v>
      </c>
      <c r="D236" s="9" t="n">
        <v>0</v>
      </c>
      <c r="E236" s="9" t="n">
        <v>40</v>
      </c>
      <c r="F236" s="9" t="n">
        <v>3584000</v>
      </c>
      <c r="G236" s="9" t="n">
        <v>40</v>
      </c>
      <c r="H236" s="9" t="n">
        <v>3584000</v>
      </c>
      <c r="I236" s="9" t="n">
        <v>0</v>
      </c>
      <c r="J236" s="9" t="n">
        <v>0</v>
      </c>
    </row>
    <row r="237" customFormat="false" ht="15.75" hidden="false" customHeight="false" outlineLevel="0" collapsed="false">
      <c r="A237" s="7" t="s">
        <v>245</v>
      </c>
      <c r="B237" s="7" t="n">
        <v>3</v>
      </c>
      <c r="C237" s="9" t="n">
        <v>92</v>
      </c>
      <c r="D237" s="9" t="n">
        <v>8695354</v>
      </c>
      <c r="E237" s="9" t="n">
        <v>180</v>
      </c>
      <c r="F237" s="9" t="n">
        <v>17012760</v>
      </c>
      <c r="G237" s="9" t="n">
        <v>272</v>
      </c>
      <c r="H237" s="9" t="n">
        <v>25708114</v>
      </c>
      <c r="I237" s="9" t="n">
        <v>0</v>
      </c>
      <c r="J237" s="9" t="n">
        <v>0</v>
      </c>
    </row>
    <row r="238" customFormat="false" ht="15.75" hidden="false" customHeight="false" outlineLevel="0" collapsed="false">
      <c r="A238" s="7" t="s">
        <v>246</v>
      </c>
      <c r="B238" s="7" t="n">
        <v>3</v>
      </c>
      <c r="C238" s="9" t="n">
        <v>0</v>
      </c>
      <c r="D238" s="9" t="n">
        <v>0</v>
      </c>
      <c r="E238" s="9" t="n">
        <v>672</v>
      </c>
      <c r="F238" s="9" t="n">
        <v>4789707</v>
      </c>
      <c r="G238" s="9" t="n">
        <v>0</v>
      </c>
      <c r="H238" s="9" t="n">
        <v>0</v>
      </c>
      <c r="I238" s="9" t="n">
        <v>672</v>
      </c>
      <c r="J238" s="9" t="n">
        <v>4789707</v>
      </c>
    </row>
    <row r="239" customFormat="false" ht="15.75" hidden="false" customHeight="false" outlineLevel="0" collapsed="false">
      <c r="A239" s="7" t="s">
        <v>247</v>
      </c>
      <c r="B239" s="7" t="n">
        <v>3</v>
      </c>
      <c r="C239" s="9" t="n">
        <v>5372</v>
      </c>
      <c r="D239" s="9" t="n">
        <v>38289144</v>
      </c>
      <c r="E239" s="9" t="n">
        <v>7463</v>
      </c>
      <c r="F239" s="9" t="n">
        <v>48923435</v>
      </c>
      <c r="G239" s="9" t="n">
        <v>64</v>
      </c>
      <c r="H239" s="9" t="n">
        <v>434874</v>
      </c>
      <c r="I239" s="9" t="n">
        <v>12771</v>
      </c>
      <c r="J239" s="9" t="n">
        <v>86777705</v>
      </c>
    </row>
    <row r="240" customFormat="false" ht="15.75" hidden="false" customHeight="false" outlineLevel="0" collapsed="false">
      <c r="A240" s="7" t="s">
        <v>248</v>
      </c>
      <c r="B240" s="7" t="n">
        <v>3</v>
      </c>
      <c r="C240" s="9" t="n">
        <v>0</v>
      </c>
      <c r="D240" s="9" t="n">
        <v>0</v>
      </c>
      <c r="E240" s="9" t="n">
        <v>0</v>
      </c>
      <c r="F240" s="9" t="n">
        <v>0</v>
      </c>
      <c r="G240" s="9" t="n">
        <v>0</v>
      </c>
      <c r="H240" s="9" t="n">
        <v>0</v>
      </c>
      <c r="I240" s="9" t="n">
        <v>0</v>
      </c>
      <c r="J240" s="9" t="n">
        <v>0</v>
      </c>
    </row>
    <row r="241" customFormat="false" ht="15.75" hidden="false" customHeight="false" outlineLevel="0" collapsed="false">
      <c r="A241" s="7" t="s">
        <v>249</v>
      </c>
      <c r="B241" s="7" t="n">
        <v>3</v>
      </c>
      <c r="C241" s="9" t="n">
        <v>0</v>
      </c>
      <c r="D241" s="9" t="n">
        <v>0</v>
      </c>
      <c r="E241" s="9" t="n">
        <v>96</v>
      </c>
      <c r="F241" s="9" t="n">
        <v>684244</v>
      </c>
      <c r="G241" s="9" t="n">
        <v>0</v>
      </c>
      <c r="H241" s="9" t="n">
        <v>0</v>
      </c>
      <c r="I241" s="9" t="n">
        <v>96</v>
      </c>
      <c r="J241" s="9" t="n">
        <v>684244</v>
      </c>
    </row>
    <row r="242" customFormat="false" ht="15.75" hidden="false" customHeight="false" outlineLevel="0" collapsed="false">
      <c r="A242" s="7" t="s">
        <v>250</v>
      </c>
      <c r="B242" s="7" t="n">
        <v>3</v>
      </c>
      <c r="C242" s="9" t="n">
        <v>1849</v>
      </c>
      <c r="D242" s="9" t="n">
        <v>67521484</v>
      </c>
      <c r="E242" s="9" t="n">
        <v>768</v>
      </c>
      <c r="F242" s="9" t="n">
        <v>5473951</v>
      </c>
      <c r="G242" s="9" t="n">
        <v>0</v>
      </c>
      <c r="H242" s="9" t="n">
        <v>0</v>
      </c>
      <c r="I242" s="9" t="n">
        <v>2617</v>
      </c>
      <c r="J242" s="9" t="n">
        <v>72995435</v>
      </c>
    </row>
    <row r="243" customFormat="false" ht="15.75" hidden="false" customHeight="false" outlineLevel="0" collapsed="false">
      <c r="A243" s="7" t="s">
        <v>251</v>
      </c>
      <c r="B243" s="7" t="n">
        <v>3</v>
      </c>
      <c r="C243" s="9" t="n">
        <v>0</v>
      </c>
      <c r="D243" s="9" t="n">
        <v>0</v>
      </c>
      <c r="E243" s="9" t="n">
        <v>0</v>
      </c>
      <c r="F243" s="9" t="n">
        <v>0</v>
      </c>
      <c r="G243" s="9" t="n">
        <v>0</v>
      </c>
      <c r="H243" s="9" t="n">
        <v>0</v>
      </c>
      <c r="I243" s="9" t="n">
        <v>0</v>
      </c>
      <c r="J243" s="9" t="n">
        <v>0</v>
      </c>
    </row>
    <row r="244" customFormat="false" ht="15.75" hidden="false" customHeight="false" outlineLevel="0" collapsed="false">
      <c r="A244" s="7" t="s">
        <v>252</v>
      </c>
      <c r="B244" s="7" t="n">
        <v>3</v>
      </c>
      <c r="C244" s="9" t="n">
        <v>0</v>
      </c>
      <c r="D244" s="9" t="n">
        <v>0</v>
      </c>
      <c r="E244" s="9" t="n">
        <v>0</v>
      </c>
      <c r="F244" s="9" t="n">
        <v>0</v>
      </c>
      <c r="G244" s="9" t="n">
        <v>0</v>
      </c>
      <c r="H244" s="9" t="n">
        <v>0</v>
      </c>
      <c r="I244" s="9" t="n">
        <v>0</v>
      </c>
      <c r="J244" s="9" t="n">
        <v>0</v>
      </c>
    </row>
    <row r="245" customFormat="false" ht="15.75" hidden="false" customHeight="false" outlineLevel="0" collapsed="false">
      <c r="A245" s="7" t="s">
        <v>253</v>
      </c>
      <c r="B245" s="7" t="n">
        <v>3</v>
      </c>
      <c r="C245" s="9" t="n">
        <v>0</v>
      </c>
      <c r="D245" s="9" t="n">
        <v>0</v>
      </c>
      <c r="E245" s="9" t="n">
        <v>5</v>
      </c>
      <c r="F245" s="9" t="n">
        <v>415000</v>
      </c>
      <c r="G245" s="9" t="n">
        <v>5</v>
      </c>
      <c r="H245" s="9" t="n">
        <v>415000</v>
      </c>
      <c r="I245" s="9" t="n">
        <v>0</v>
      </c>
      <c r="J245" s="9" t="n">
        <v>0</v>
      </c>
    </row>
    <row r="246" customFormat="false" ht="15.75" hidden="false" customHeight="false" outlineLevel="0" collapsed="false">
      <c r="A246" s="7" t="s">
        <v>254</v>
      </c>
      <c r="B246" s="7" t="n">
        <v>3</v>
      </c>
      <c r="C246" s="9" t="n">
        <v>245</v>
      </c>
      <c r="D246" s="9" t="n">
        <v>8236780</v>
      </c>
      <c r="E246" s="9" t="n">
        <v>132</v>
      </c>
      <c r="F246" s="9" t="n">
        <v>4374760</v>
      </c>
      <c r="G246" s="9" t="n">
        <v>180</v>
      </c>
      <c r="H246" s="9" t="n">
        <v>6021425</v>
      </c>
      <c r="I246" s="9" t="n">
        <v>197</v>
      </c>
      <c r="J246" s="9" t="n">
        <v>6590115</v>
      </c>
    </row>
    <row r="247" customFormat="false" ht="15.75" hidden="false" customHeight="false" outlineLevel="0" collapsed="false">
      <c r="A247" s="7" t="s">
        <v>255</v>
      </c>
      <c r="B247" s="7" t="n">
        <v>3</v>
      </c>
      <c r="C247" s="9" t="n">
        <v>0</v>
      </c>
      <c r="D247" s="9" t="n">
        <v>0</v>
      </c>
      <c r="E247" s="9" t="n">
        <v>0</v>
      </c>
      <c r="F247" s="9" t="n">
        <v>0</v>
      </c>
      <c r="G247" s="9" t="n">
        <v>0</v>
      </c>
      <c r="H247" s="9" t="n">
        <v>0</v>
      </c>
      <c r="I247" s="9" t="n">
        <v>0</v>
      </c>
      <c r="J247" s="9" t="n">
        <v>0</v>
      </c>
    </row>
    <row r="248" customFormat="false" ht="15.75" hidden="false" customHeight="false" outlineLevel="0" collapsed="false">
      <c r="A248" s="7" t="s">
        <v>256</v>
      </c>
      <c r="B248" s="7" t="n">
        <v>3</v>
      </c>
      <c r="C248" s="9" t="n">
        <v>123</v>
      </c>
      <c r="D248" s="9" t="n">
        <v>3055032</v>
      </c>
      <c r="E248" s="9" t="n">
        <v>25</v>
      </c>
      <c r="F248" s="9" t="n">
        <v>1068193</v>
      </c>
      <c r="G248" s="9" t="n">
        <v>20</v>
      </c>
      <c r="H248" s="9" t="n">
        <v>557193</v>
      </c>
      <c r="I248" s="9" t="n">
        <v>128</v>
      </c>
      <c r="J248" s="9" t="n">
        <v>3566032</v>
      </c>
    </row>
    <row r="249" customFormat="false" ht="15.75" hidden="false" customHeight="false" outlineLevel="0" collapsed="false">
      <c r="A249" s="7" t="s">
        <v>257</v>
      </c>
      <c r="B249" s="7" t="n">
        <v>3</v>
      </c>
      <c r="C249" s="9" t="n">
        <v>0</v>
      </c>
      <c r="D249" s="9" t="n">
        <v>0</v>
      </c>
      <c r="E249" s="9" t="n">
        <v>0</v>
      </c>
      <c r="F249" s="9" t="n">
        <v>0</v>
      </c>
      <c r="G249" s="9" t="n">
        <v>0</v>
      </c>
      <c r="H249" s="9" t="n">
        <v>0</v>
      </c>
      <c r="I249" s="9" t="n">
        <v>0</v>
      </c>
      <c r="J249" s="9" t="n">
        <v>0</v>
      </c>
    </row>
    <row r="250" customFormat="false" ht="15.75" hidden="false" customHeight="false" outlineLevel="0" collapsed="false">
      <c r="A250" s="7" t="s">
        <v>258</v>
      </c>
      <c r="B250" s="7" t="n">
        <v>3</v>
      </c>
      <c r="C250" s="9" t="n">
        <v>1430</v>
      </c>
      <c r="D250" s="9" t="n">
        <v>7510639</v>
      </c>
      <c r="E250" s="9" t="n">
        <v>190</v>
      </c>
      <c r="F250" s="9" t="n">
        <v>2850456</v>
      </c>
      <c r="G250" s="9" t="n">
        <v>370</v>
      </c>
      <c r="H250" s="9" t="n">
        <v>5565838</v>
      </c>
      <c r="I250" s="9" t="n">
        <v>1250</v>
      </c>
      <c r="J250" s="9" t="n">
        <v>4795257</v>
      </c>
    </row>
    <row r="251" customFormat="false" ht="15.75" hidden="false" customHeight="false" outlineLevel="0" collapsed="false">
      <c r="A251" s="7" t="s">
        <v>259</v>
      </c>
      <c r="B251" s="7" t="n">
        <v>3</v>
      </c>
      <c r="C251" s="9" t="n">
        <v>120</v>
      </c>
      <c r="D251" s="9" t="n">
        <v>2640884</v>
      </c>
      <c r="E251" s="9" t="n">
        <v>0</v>
      </c>
      <c r="F251" s="9" t="n">
        <v>0</v>
      </c>
      <c r="G251" s="9" t="n">
        <v>10</v>
      </c>
      <c r="H251" s="9" t="n">
        <v>220074</v>
      </c>
      <c r="I251" s="9" t="n">
        <v>110</v>
      </c>
      <c r="J251" s="9" t="n">
        <v>2420810</v>
      </c>
    </row>
    <row r="252" customFormat="false" ht="15.75" hidden="false" customHeight="false" outlineLevel="0" collapsed="false">
      <c r="A252" s="7" t="s">
        <v>260</v>
      </c>
      <c r="B252" s="7" t="n">
        <v>3</v>
      </c>
      <c r="C252" s="9" t="n">
        <v>2</v>
      </c>
      <c r="D252" s="9" t="n">
        <v>109792</v>
      </c>
      <c r="E252" s="9" t="n">
        <v>0</v>
      </c>
      <c r="F252" s="9" t="n">
        <v>0</v>
      </c>
      <c r="G252" s="9" t="n">
        <v>0</v>
      </c>
      <c r="H252" s="9" t="n">
        <v>0</v>
      </c>
      <c r="I252" s="9" t="n">
        <v>2</v>
      </c>
      <c r="J252" s="9" t="n">
        <v>109792</v>
      </c>
    </row>
    <row r="253" customFormat="false" ht="15.75" hidden="false" customHeight="false" outlineLevel="0" collapsed="false">
      <c r="A253" s="7" t="s">
        <v>261</v>
      </c>
      <c r="B253" s="7" t="n">
        <v>3</v>
      </c>
      <c r="C253" s="9" t="n">
        <v>0</v>
      </c>
      <c r="D253" s="9" t="n">
        <v>0</v>
      </c>
      <c r="E253" s="9" t="n">
        <v>5</v>
      </c>
      <c r="F253" s="9" t="n">
        <v>165000</v>
      </c>
      <c r="G253" s="9" t="n">
        <v>5</v>
      </c>
      <c r="H253" s="9" t="n">
        <v>165000</v>
      </c>
      <c r="I253" s="9" t="n">
        <v>0</v>
      </c>
      <c r="J253" s="9" t="n">
        <v>0</v>
      </c>
    </row>
    <row r="254" customFormat="false" ht="15.75" hidden="false" customHeight="false" outlineLevel="0" collapsed="false">
      <c r="A254" s="7" t="s">
        <v>262</v>
      </c>
      <c r="B254" s="7" t="n">
        <v>3</v>
      </c>
      <c r="C254" s="9" t="n">
        <v>0</v>
      </c>
      <c r="D254" s="9" t="n">
        <v>0</v>
      </c>
      <c r="E254" s="9" t="n">
        <v>0</v>
      </c>
      <c r="F254" s="9" t="n">
        <v>0</v>
      </c>
      <c r="G254" s="9" t="n">
        <v>0</v>
      </c>
      <c r="H254" s="9" t="n">
        <v>0</v>
      </c>
      <c r="I254" s="9" t="n">
        <v>0</v>
      </c>
      <c r="J254" s="9" t="n">
        <v>0</v>
      </c>
    </row>
    <row r="255" customFormat="false" ht="15.75" hidden="false" customHeight="false" outlineLevel="0" collapsed="false">
      <c r="A255" s="7" t="s">
        <v>263</v>
      </c>
      <c r="B255" s="7" t="n">
        <v>3</v>
      </c>
      <c r="C255" s="9" t="n">
        <v>3</v>
      </c>
      <c r="D255" s="9" t="n">
        <v>177660</v>
      </c>
      <c r="E255" s="9" t="n">
        <v>0</v>
      </c>
      <c r="F255" s="9" t="n">
        <v>0</v>
      </c>
      <c r="G255" s="9" t="n">
        <v>3</v>
      </c>
      <c r="H255" s="9" t="n">
        <v>177660</v>
      </c>
      <c r="I255" s="9" t="n">
        <v>0</v>
      </c>
      <c r="J255" s="9" t="n">
        <v>0</v>
      </c>
    </row>
    <row r="256" customFormat="false" ht="15.75" hidden="false" customHeight="false" outlineLevel="0" collapsed="false">
      <c r="A256" s="7" t="s">
        <v>264</v>
      </c>
      <c r="B256" s="7" t="n">
        <v>3</v>
      </c>
      <c r="C256" s="9" t="n">
        <v>1</v>
      </c>
      <c r="D256" s="9" t="n">
        <v>39000</v>
      </c>
      <c r="E256" s="9" t="n">
        <v>24</v>
      </c>
      <c r="F256" s="9" t="n">
        <v>936000</v>
      </c>
      <c r="G256" s="9" t="n">
        <v>25</v>
      </c>
      <c r="H256" s="9" t="n">
        <v>975000</v>
      </c>
      <c r="I256" s="9" t="n">
        <v>0</v>
      </c>
      <c r="J256" s="9" t="n">
        <v>0</v>
      </c>
    </row>
    <row r="257" customFormat="false" ht="15.75" hidden="false" customHeight="false" outlineLevel="0" collapsed="false">
      <c r="A257" s="7" t="s">
        <v>265</v>
      </c>
      <c r="B257" s="7" t="n">
        <v>3</v>
      </c>
      <c r="C257" s="9" t="n">
        <v>0</v>
      </c>
      <c r="D257" s="9" t="n">
        <v>0</v>
      </c>
      <c r="E257" s="9" t="n">
        <v>15</v>
      </c>
      <c r="F257" s="9" t="n">
        <v>970080</v>
      </c>
      <c r="G257" s="9" t="n">
        <v>15</v>
      </c>
      <c r="H257" s="9" t="n">
        <v>970080</v>
      </c>
      <c r="I257" s="9" t="n">
        <v>0</v>
      </c>
      <c r="J257" s="9" t="n">
        <v>0</v>
      </c>
    </row>
    <row r="258" customFormat="false" ht="15.75" hidden="false" customHeight="false" outlineLevel="0" collapsed="false">
      <c r="A258" s="7" t="s">
        <v>266</v>
      </c>
      <c r="B258" s="7" t="n">
        <v>3</v>
      </c>
      <c r="C258" s="9" t="n">
        <v>2</v>
      </c>
      <c r="D258" s="9" t="n">
        <v>129720</v>
      </c>
      <c r="E258" s="9" t="n">
        <v>18</v>
      </c>
      <c r="F258" s="9" t="n">
        <v>1167480</v>
      </c>
      <c r="G258" s="9" t="n">
        <v>20</v>
      </c>
      <c r="H258" s="9" t="n">
        <v>1297200</v>
      </c>
      <c r="I258" s="9" t="n">
        <v>0</v>
      </c>
      <c r="J258" s="9" t="n">
        <v>0</v>
      </c>
    </row>
    <row r="259" customFormat="false" ht="15.75" hidden="false" customHeight="false" outlineLevel="0" collapsed="false">
      <c r="A259" s="7" t="s">
        <v>267</v>
      </c>
      <c r="B259" s="7" t="n">
        <v>3</v>
      </c>
      <c r="C259" s="9" t="n">
        <v>1</v>
      </c>
      <c r="D259" s="9" t="n">
        <v>39000</v>
      </c>
      <c r="E259" s="9" t="n">
        <v>0</v>
      </c>
      <c r="F259" s="9" t="n">
        <v>0</v>
      </c>
      <c r="G259" s="9" t="n">
        <v>0</v>
      </c>
      <c r="H259" s="9" t="n">
        <v>0</v>
      </c>
      <c r="I259" s="9" t="n">
        <v>1</v>
      </c>
      <c r="J259" s="9" t="n">
        <v>39000</v>
      </c>
    </row>
    <row r="260" customFormat="false" ht="15.75" hidden="false" customHeight="false" outlineLevel="0" collapsed="false">
      <c r="A260" s="7" t="s">
        <v>268</v>
      </c>
      <c r="B260" s="7" t="n">
        <v>3</v>
      </c>
      <c r="C260" s="9" t="n">
        <v>0</v>
      </c>
      <c r="D260" s="9" t="n">
        <v>0</v>
      </c>
      <c r="E260" s="9" t="n">
        <v>0</v>
      </c>
      <c r="F260" s="9" t="n">
        <v>0</v>
      </c>
      <c r="G260" s="9" t="n">
        <v>0</v>
      </c>
      <c r="H260" s="9" t="n">
        <v>0</v>
      </c>
      <c r="I260" s="9" t="n">
        <v>0</v>
      </c>
      <c r="J260" s="9" t="n">
        <v>0</v>
      </c>
    </row>
    <row r="261" customFormat="false" ht="15.75" hidden="false" customHeight="false" outlineLevel="0" collapsed="false">
      <c r="A261" s="7" t="s">
        <v>269</v>
      </c>
      <c r="B261" s="7" t="n">
        <v>3</v>
      </c>
      <c r="C261" s="9" t="n">
        <v>0</v>
      </c>
      <c r="D261" s="9" t="n">
        <v>0</v>
      </c>
      <c r="E261" s="9" t="n">
        <v>0</v>
      </c>
      <c r="F261" s="9" t="n">
        <v>0</v>
      </c>
      <c r="G261" s="9" t="n">
        <v>0</v>
      </c>
      <c r="H261" s="9" t="n">
        <v>0</v>
      </c>
      <c r="I261" s="9" t="n">
        <v>0</v>
      </c>
      <c r="J261" s="9" t="n">
        <v>0</v>
      </c>
    </row>
    <row r="262" customFormat="false" ht="15.75" hidden="false" customHeight="false" outlineLevel="0" collapsed="false">
      <c r="A262" s="7" t="s">
        <v>270</v>
      </c>
      <c r="B262" s="7" t="n">
        <v>3</v>
      </c>
      <c r="C262" s="9" t="n">
        <v>0</v>
      </c>
      <c r="D262" s="9" t="n">
        <v>0</v>
      </c>
      <c r="E262" s="9" t="n">
        <v>0</v>
      </c>
      <c r="F262" s="9" t="n">
        <v>0</v>
      </c>
      <c r="G262" s="9" t="n">
        <v>0</v>
      </c>
      <c r="H262" s="9" t="n">
        <v>0</v>
      </c>
      <c r="I262" s="9" t="n">
        <v>0</v>
      </c>
      <c r="J262" s="9" t="n">
        <v>0</v>
      </c>
    </row>
    <row r="263" customFormat="false" ht="15.75" hidden="false" customHeight="false" outlineLevel="0" collapsed="false">
      <c r="A263" s="7" t="s">
        <v>271</v>
      </c>
      <c r="B263" s="7" t="n">
        <v>3</v>
      </c>
      <c r="C263" s="9" t="n">
        <v>0</v>
      </c>
      <c r="D263" s="9" t="n">
        <v>0</v>
      </c>
      <c r="E263" s="9" t="n">
        <v>0</v>
      </c>
      <c r="F263" s="9" t="n">
        <v>0</v>
      </c>
      <c r="G263" s="9" t="n">
        <v>0</v>
      </c>
      <c r="H263" s="9" t="n">
        <v>0</v>
      </c>
      <c r="I263" s="9" t="n">
        <v>0</v>
      </c>
      <c r="J263" s="9" t="n">
        <v>0</v>
      </c>
    </row>
    <row r="264" customFormat="false" ht="15.75" hidden="false" customHeight="false" outlineLevel="0" collapsed="false">
      <c r="A264" s="7" t="s">
        <v>272</v>
      </c>
      <c r="B264" s="7" t="n">
        <v>3</v>
      </c>
      <c r="C264" s="9" t="n">
        <v>0</v>
      </c>
      <c r="D264" s="9" t="n">
        <v>0</v>
      </c>
      <c r="E264" s="9" t="n">
        <v>6</v>
      </c>
      <c r="F264" s="9" t="n">
        <v>794727</v>
      </c>
      <c r="G264" s="9" t="n">
        <v>0</v>
      </c>
      <c r="H264" s="9" t="n">
        <v>0</v>
      </c>
      <c r="I264" s="9" t="n">
        <v>6</v>
      </c>
      <c r="J264" s="9" t="n">
        <v>794727</v>
      </c>
    </row>
    <row r="265" customFormat="false" ht="15.75" hidden="false" customHeight="false" outlineLevel="0" collapsed="false">
      <c r="A265" s="7" t="s">
        <v>273</v>
      </c>
      <c r="B265" s="7" t="n">
        <v>3</v>
      </c>
      <c r="C265" s="9" t="n">
        <v>0</v>
      </c>
      <c r="D265" s="9" t="n">
        <v>0</v>
      </c>
      <c r="E265" s="9" t="n">
        <v>0</v>
      </c>
      <c r="F265" s="9" t="n">
        <v>0</v>
      </c>
      <c r="G265" s="9" t="n">
        <v>0</v>
      </c>
      <c r="H265" s="9" t="n">
        <v>0</v>
      </c>
      <c r="I265" s="9" t="n">
        <v>0</v>
      </c>
      <c r="J265" s="9" t="n">
        <v>0</v>
      </c>
    </row>
    <row r="266" customFormat="false" ht="15.75" hidden="false" customHeight="false" outlineLevel="0" collapsed="false">
      <c r="A266" s="7" t="s">
        <v>274</v>
      </c>
      <c r="B266" s="7" t="n">
        <v>3</v>
      </c>
      <c r="C266" s="9" t="n">
        <v>0</v>
      </c>
      <c r="D266" s="9" t="n">
        <v>0</v>
      </c>
      <c r="E266" s="9" t="n">
        <v>0</v>
      </c>
      <c r="F266" s="9" t="n">
        <v>0</v>
      </c>
      <c r="G266" s="9" t="n">
        <v>0</v>
      </c>
      <c r="H266" s="9" t="n">
        <v>0</v>
      </c>
      <c r="I266" s="9" t="n">
        <v>0</v>
      </c>
      <c r="J266" s="9" t="n">
        <v>0</v>
      </c>
    </row>
    <row r="267" customFormat="false" ht="15.75" hidden="false" customHeight="false" outlineLevel="0" collapsed="false">
      <c r="A267" s="7" t="s">
        <v>275</v>
      </c>
      <c r="B267" s="7" t="n">
        <v>3</v>
      </c>
      <c r="C267" s="9" t="n">
        <v>0</v>
      </c>
      <c r="D267" s="9" t="n">
        <v>0</v>
      </c>
      <c r="E267" s="9" t="n">
        <v>0</v>
      </c>
      <c r="F267" s="9" t="n">
        <v>0</v>
      </c>
      <c r="G267" s="9" t="n">
        <v>0</v>
      </c>
      <c r="H267" s="9" t="n">
        <v>0</v>
      </c>
      <c r="I267" s="9" t="n">
        <v>0</v>
      </c>
      <c r="J267" s="9" t="n">
        <v>0</v>
      </c>
    </row>
    <row r="268" customFormat="false" ht="15.75" hidden="false" customHeight="false" outlineLevel="0" collapsed="false">
      <c r="A268" s="7" t="s">
        <v>276</v>
      </c>
      <c r="B268" s="7" t="n">
        <v>3</v>
      </c>
      <c r="C268" s="9" t="n">
        <v>0</v>
      </c>
      <c r="D268" s="9" t="n">
        <v>0</v>
      </c>
      <c r="E268" s="9" t="n">
        <v>0</v>
      </c>
      <c r="F268" s="9" t="n">
        <v>0</v>
      </c>
      <c r="G268" s="9" t="n">
        <v>0</v>
      </c>
      <c r="H268" s="9" t="n">
        <v>0</v>
      </c>
      <c r="I268" s="9" t="n">
        <v>0</v>
      </c>
      <c r="J268" s="9" t="n">
        <v>0</v>
      </c>
    </row>
    <row r="269" customFormat="false" ht="15.75" hidden="false" customHeight="false" outlineLevel="0" collapsed="false">
      <c r="A269" s="7" t="s">
        <v>277</v>
      </c>
      <c r="B269" s="7" t="n">
        <v>3</v>
      </c>
      <c r="C269" s="9" t="n">
        <v>0</v>
      </c>
      <c r="D269" s="9" t="n">
        <v>0</v>
      </c>
      <c r="E269" s="9" t="n">
        <v>0</v>
      </c>
      <c r="F269" s="9" t="n">
        <v>0</v>
      </c>
      <c r="G269" s="9" t="n">
        <v>0</v>
      </c>
      <c r="H269" s="9" t="n">
        <v>0</v>
      </c>
      <c r="I269" s="9" t="n">
        <v>0</v>
      </c>
      <c r="J269" s="9" t="n">
        <v>0</v>
      </c>
    </row>
    <row r="270" customFormat="false" ht="15.75" hidden="false" customHeight="false" outlineLevel="0" collapsed="false">
      <c r="A270" s="7" t="s">
        <v>278</v>
      </c>
      <c r="B270" s="7" t="n">
        <v>3</v>
      </c>
      <c r="C270" s="9" t="n">
        <v>0</v>
      </c>
      <c r="D270" s="9" t="n">
        <v>0</v>
      </c>
      <c r="E270" s="9" t="n">
        <v>0</v>
      </c>
      <c r="F270" s="9" t="n">
        <v>0</v>
      </c>
      <c r="G270" s="9" t="n">
        <v>0</v>
      </c>
      <c r="H270" s="9" t="n">
        <v>0</v>
      </c>
      <c r="I270" s="9" t="n">
        <v>0</v>
      </c>
      <c r="J270" s="9" t="n">
        <v>0</v>
      </c>
    </row>
    <row r="271" customFormat="false" ht="15.75" hidden="false" customHeight="false" outlineLevel="0" collapsed="false">
      <c r="A271" s="7" t="s">
        <v>279</v>
      </c>
      <c r="B271" s="7" t="n">
        <v>3</v>
      </c>
      <c r="C271" s="9" t="n">
        <v>0</v>
      </c>
      <c r="D271" s="9" t="n">
        <v>0</v>
      </c>
      <c r="E271" s="9" t="n">
        <v>0</v>
      </c>
      <c r="F271" s="9" t="n">
        <v>0</v>
      </c>
      <c r="G271" s="9" t="n">
        <v>0</v>
      </c>
      <c r="H271" s="9" t="n">
        <v>0</v>
      </c>
      <c r="I271" s="9" t="n">
        <v>0</v>
      </c>
      <c r="J271" s="9" t="n">
        <v>0</v>
      </c>
    </row>
    <row r="272" customFormat="false" ht="15.75" hidden="false" customHeight="false" outlineLevel="0" collapsed="false">
      <c r="A272" s="7" t="s">
        <v>280</v>
      </c>
      <c r="B272" s="7" t="n">
        <v>3</v>
      </c>
      <c r="C272" s="9" t="n">
        <v>0</v>
      </c>
      <c r="D272" s="9" t="n">
        <v>0</v>
      </c>
      <c r="E272" s="9" t="n">
        <v>2</v>
      </c>
      <c r="F272" s="9" t="n">
        <v>176000</v>
      </c>
      <c r="G272" s="9" t="n">
        <v>2</v>
      </c>
      <c r="H272" s="9" t="n">
        <v>176000</v>
      </c>
      <c r="I272" s="9" t="n">
        <v>0</v>
      </c>
      <c r="J272" s="9" t="n">
        <v>0</v>
      </c>
    </row>
    <row r="273" customFormat="false" ht="15.75" hidden="false" customHeight="false" outlineLevel="0" collapsed="false">
      <c r="A273" s="7" t="s">
        <v>281</v>
      </c>
      <c r="B273" s="7" t="n">
        <v>3</v>
      </c>
      <c r="C273" s="9" t="n">
        <v>148</v>
      </c>
      <c r="D273" s="9" t="n">
        <v>2507774</v>
      </c>
      <c r="E273" s="9" t="n">
        <v>112</v>
      </c>
      <c r="F273" s="9" t="n">
        <v>1899975</v>
      </c>
      <c r="G273" s="9" t="n">
        <v>140</v>
      </c>
      <c r="H273" s="9" t="n">
        <v>2373403</v>
      </c>
      <c r="I273" s="9" t="n">
        <v>120</v>
      </c>
      <c r="J273" s="9" t="n">
        <v>2034346</v>
      </c>
    </row>
    <row r="274" customFormat="false" ht="15.75" hidden="false" customHeight="false" outlineLevel="0" collapsed="false">
      <c r="A274" s="7" t="s">
        <v>282</v>
      </c>
      <c r="B274" s="7" t="n">
        <v>3</v>
      </c>
      <c r="C274" s="9" t="n">
        <v>28</v>
      </c>
      <c r="D274" s="9" t="n">
        <v>1899975</v>
      </c>
      <c r="E274" s="9" t="n">
        <v>3</v>
      </c>
      <c r="F274" s="9" t="n">
        <v>172725</v>
      </c>
      <c r="G274" s="9" t="n">
        <v>0</v>
      </c>
      <c r="H274" s="9" t="n">
        <v>0</v>
      </c>
      <c r="I274" s="9" t="n">
        <v>31</v>
      </c>
      <c r="J274" s="9" t="n">
        <v>2072700</v>
      </c>
    </row>
    <row r="275" customFormat="false" ht="15.75" hidden="false" customHeight="false" outlineLevel="0" collapsed="false">
      <c r="A275" s="7" t="s">
        <v>283</v>
      </c>
      <c r="B275" s="7" t="n">
        <v>3</v>
      </c>
      <c r="C275" s="9" t="n">
        <v>2415</v>
      </c>
      <c r="D275" s="9" t="n">
        <v>52263055</v>
      </c>
      <c r="E275" s="9" t="n">
        <v>776</v>
      </c>
      <c r="F275" s="9" t="n">
        <v>26402250</v>
      </c>
      <c r="G275" s="9" t="n">
        <v>1200</v>
      </c>
      <c r="H275" s="9" t="n">
        <v>41234943</v>
      </c>
      <c r="I275" s="9" t="n">
        <v>1991</v>
      </c>
      <c r="J275" s="9" t="n">
        <v>37430362</v>
      </c>
    </row>
    <row r="276" customFormat="false" ht="15.75" hidden="false" customHeight="false" outlineLevel="0" collapsed="false">
      <c r="A276" s="7" t="s">
        <v>284</v>
      </c>
      <c r="B276" s="7" t="n">
        <v>3</v>
      </c>
      <c r="C276" s="9" t="n">
        <v>210</v>
      </c>
      <c r="D276" s="9" t="n">
        <v>9302692</v>
      </c>
      <c r="E276" s="9" t="n">
        <v>50</v>
      </c>
      <c r="F276" s="9" t="n">
        <v>2253650</v>
      </c>
      <c r="G276" s="9" t="n">
        <v>50</v>
      </c>
      <c r="H276" s="9" t="n">
        <v>2222374</v>
      </c>
      <c r="I276" s="9" t="n">
        <v>210</v>
      </c>
      <c r="J276" s="9" t="n">
        <v>9333968</v>
      </c>
    </row>
    <row r="277" customFormat="false" ht="15.75" hidden="false" customHeight="false" outlineLevel="0" collapsed="false">
      <c r="A277" s="7" t="s">
        <v>285</v>
      </c>
      <c r="B277" s="7" t="n">
        <v>3</v>
      </c>
      <c r="C277" s="9" t="n">
        <v>0</v>
      </c>
      <c r="D277" s="9" t="n">
        <v>0</v>
      </c>
      <c r="E277" s="9" t="n">
        <v>5</v>
      </c>
      <c r="F277" s="9" t="n">
        <v>393396</v>
      </c>
      <c r="G277" s="9" t="n">
        <v>5</v>
      </c>
      <c r="H277" s="9" t="n">
        <v>393396</v>
      </c>
      <c r="I277" s="9" t="n">
        <v>0</v>
      </c>
      <c r="J277" s="9" t="n">
        <v>0</v>
      </c>
    </row>
    <row r="278" customFormat="false" ht="15.75" hidden="false" customHeight="false" outlineLevel="0" collapsed="false">
      <c r="A278" s="7" t="s">
        <v>286</v>
      </c>
      <c r="B278" s="7" t="n">
        <v>3</v>
      </c>
      <c r="C278" s="9" t="n">
        <v>0</v>
      </c>
      <c r="D278" s="9" t="n">
        <v>0</v>
      </c>
      <c r="E278" s="9" t="n">
        <v>0</v>
      </c>
      <c r="F278" s="9" t="n">
        <v>0</v>
      </c>
      <c r="G278" s="9" t="n">
        <v>0</v>
      </c>
      <c r="H278" s="9" t="n">
        <v>0</v>
      </c>
      <c r="I278" s="9" t="n">
        <v>0</v>
      </c>
      <c r="J278" s="9" t="n">
        <v>0</v>
      </c>
    </row>
    <row r="279" customFormat="false" ht="15.75" hidden="false" customHeight="false" outlineLevel="0" collapsed="false">
      <c r="A279" s="7" t="s">
        <v>287</v>
      </c>
      <c r="B279" s="7" t="n">
        <v>3</v>
      </c>
      <c r="C279" s="9" t="n">
        <v>0</v>
      </c>
      <c r="D279" s="9" t="n">
        <v>0</v>
      </c>
      <c r="E279" s="9" t="n">
        <v>0</v>
      </c>
      <c r="F279" s="9" t="n">
        <v>0</v>
      </c>
      <c r="G279" s="9" t="n">
        <v>0</v>
      </c>
      <c r="H279" s="9" t="n">
        <v>0</v>
      </c>
      <c r="I279" s="9" t="n">
        <v>0</v>
      </c>
      <c r="J279" s="9" t="n">
        <v>0</v>
      </c>
    </row>
    <row r="280" customFormat="false" ht="15.75" hidden="false" customHeight="false" outlineLevel="0" collapsed="false">
      <c r="A280" s="7" t="s">
        <v>288</v>
      </c>
      <c r="B280" s="7" t="n">
        <v>3</v>
      </c>
      <c r="C280" s="9" t="n">
        <v>0</v>
      </c>
      <c r="D280" s="9" t="n">
        <v>0</v>
      </c>
      <c r="E280" s="9" t="n">
        <v>0</v>
      </c>
      <c r="F280" s="9" t="n">
        <v>0</v>
      </c>
      <c r="G280" s="9" t="n">
        <v>0</v>
      </c>
      <c r="H280" s="9" t="n">
        <v>0</v>
      </c>
      <c r="I280" s="9" t="n">
        <v>0</v>
      </c>
      <c r="J280" s="9" t="n">
        <v>0</v>
      </c>
    </row>
    <row r="281" customFormat="false" ht="15.75" hidden="false" customHeight="false" outlineLevel="0" collapsed="false">
      <c r="A281" s="7" t="s">
        <v>289</v>
      </c>
      <c r="B281" s="7" t="n">
        <v>3</v>
      </c>
      <c r="C281" s="9" t="n">
        <v>2400</v>
      </c>
      <c r="D281" s="9" t="n">
        <v>18544800</v>
      </c>
      <c r="E281" s="9" t="n">
        <v>2841</v>
      </c>
      <c r="F281" s="9" t="n">
        <v>0</v>
      </c>
      <c r="G281" s="9" t="n">
        <v>0</v>
      </c>
      <c r="H281" s="9" t="n">
        <v>0</v>
      </c>
      <c r="I281" s="9" t="n">
        <v>5241</v>
      </c>
      <c r="J281" s="9" t="n">
        <v>18544800</v>
      </c>
    </row>
    <row r="282" customFormat="false" ht="15.75" hidden="false" customHeight="false" outlineLevel="0" collapsed="false">
      <c r="A282" s="7" t="s">
        <v>290</v>
      </c>
      <c r="B282" s="7" t="n">
        <v>3</v>
      </c>
      <c r="C282" s="9" t="n">
        <v>2120</v>
      </c>
      <c r="D282" s="9" t="n">
        <v>188663408</v>
      </c>
      <c r="E282" s="9" t="n">
        <v>792</v>
      </c>
      <c r="F282" s="9" t="n">
        <v>70475328</v>
      </c>
      <c r="G282" s="9" t="n">
        <v>648</v>
      </c>
      <c r="H282" s="9" t="n">
        <v>57665488</v>
      </c>
      <c r="I282" s="9" t="n">
        <v>2264</v>
      </c>
      <c r="J282" s="9" t="n">
        <v>201473248</v>
      </c>
    </row>
    <row r="283" customFormat="false" ht="15.75" hidden="false" customHeight="false" outlineLevel="0" collapsed="false">
      <c r="A283" s="7" t="s">
        <v>291</v>
      </c>
      <c r="B283" s="7" t="n">
        <v>3</v>
      </c>
      <c r="C283" s="9" t="n">
        <v>4586</v>
      </c>
      <c r="D283" s="9" t="n">
        <v>428219386</v>
      </c>
      <c r="E283" s="9" t="n">
        <v>1057</v>
      </c>
      <c r="F283" s="9" t="n">
        <v>98166600</v>
      </c>
      <c r="G283" s="9" t="n">
        <v>1946</v>
      </c>
      <c r="H283" s="9" t="n">
        <v>181525275</v>
      </c>
      <c r="I283" s="9" t="n">
        <v>3697</v>
      </c>
      <c r="J283" s="9" t="n">
        <v>344860711</v>
      </c>
    </row>
    <row r="284" customFormat="false" ht="15.75" hidden="false" customHeight="false" outlineLevel="0" collapsed="false">
      <c r="A284" s="7" t="s">
        <v>292</v>
      </c>
      <c r="B284" s="7" t="n">
        <v>3</v>
      </c>
      <c r="C284" s="9" t="n">
        <v>666</v>
      </c>
      <c r="D284" s="9" t="n">
        <v>51254784</v>
      </c>
      <c r="E284" s="9" t="n">
        <v>341</v>
      </c>
      <c r="F284" s="9" t="n">
        <v>25627392</v>
      </c>
      <c r="G284" s="9" t="n">
        <v>0</v>
      </c>
      <c r="H284" s="9" t="n">
        <v>0</v>
      </c>
      <c r="I284" s="9" t="n">
        <v>1007</v>
      </c>
      <c r="J284" s="9" t="n">
        <v>76882176</v>
      </c>
    </row>
    <row r="285" customFormat="false" ht="15.75" hidden="false" customHeight="false" outlineLevel="0" collapsed="false">
      <c r="A285" s="7"/>
      <c r="B285" s="7"/>
      <c r="C285" s="6"/>
      <c r="D285" s="6" t="n">
        <v>16022965628</v>
      </c>
      <c r="E285" s="6"/>
      <c r="F285" s="6" t="n">
        <v>9550427560</v>
      </c>
      <c r="G285" s="6"/>
      <c r="H285" s="6" t="n">
        <v>8812324506</v>
      </c>
      <c r="I285" s="6"/>
      <c r="J285" s="6" t="n">
        <v>16761068682</v>
      </c>
    </row>
  </sheetData>
  <mergeCells count="4">
    <mergeCell ref="C1:D1"/>
    <mergeCell ref="E1:F1"/>
    <mergeCell ref="G1:H1"/>
    <mergeCell ref="I1:J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W285"/>
  <sheetViews>
    <sheetView showFormulas="false" showGridLines="true" showRowColHeaders="true" showZeros="true" rightToLeft="false" tabSelected="false" showOutlineSymbols="true" defaultGridColor="true" view="normal" topLeftCell="A283" colorId="64" zoomScale="100" zoomScaleNormal="100" zoomScalePageLayoutView="100" workbookViewId="0">
      <selection pane="topLeft" activeCell="A283" activeCellId="0" sqref="A283"/>
    </sheetView>
  </sheetViews>
  <sheetFormatPr defaultColWidth="12.5703125" defaultRowHeight="15.75" customHeight="true" zeroHeight="false" outlineLevelRow="0" outlineLevelCol="0"/>
  <sheetData>
    <row r="1" customFormat="false" ht="15.75" hidden="false" customHeight="false" outlineLevel="0" collapsed="false">
      <c r="A1" s="4"/>
      <c r="B1" s="5"/>
      <c r="C1" s="12" t="s">
        <v>0</v>
      </c>
      <c r="D1" s="12"/>
      <c r="E1" s="12" t="s">
        <v>1</v>
      </c>
      <c r="F1" s="12"/>
      <c r="G1" s="12" t="s">
        <v>2</v>
      </c>
      <c r="H1" s="12"/>
      <c r="I1" s="12" t="s">
        <v>3</v>
      </c>
      <c r="J1" s="12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</row>
    <row r="2" customFormat="false" ht="15.75" hidden="false" customHeight="false" outlineLevel="0" collapsed="false">
      <c r="A2" s="4" t="s">
        <v>4</v>
      </c>
      <c r="B2" s="5" t="s">
        <v>5</v>
      </c>
      <c r="C2" s="6" t="s">
        <v>6</v>
      </c>
      <c r="D2" s="6" t="s">
        <v>7</v>
      </c>
      <c r="E2" s="6" t="s">
        <v>8</v>
      </c>
      <c r="F2" s="6" t="s">
        <v>9</v>
      </c>
      <c r="G2" s="6" t="s">
        <v>6</v>
      </c>
      <c r="H2" s="6" t="s">
        <v>10</v>
      </c>
      <c r="I2" s="6" t="s">
        <v>6</v>
      </c>
      <c r="J2" s="6" t="s">
        <v>9</v>
      </c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</row>
    <row r="3" customFormat="false" ht="15.75" hidden="false" customHeight="false" outlineLevel="0" collapsed="false">
      <c r="A3" s="7" t="s">
        <v>11</v>
      </c>
      <c r="B3" s="7" t="n">
        <v>4</v>
      </c>
      <c r="C3" s="9" t="n">
        <v>255</v>
      </c>
      <c r="D3" s="9" t="n">
        <v>6948849</v>
      </c>
      <c r="E3" s="9" t="n">
        <v>160</v>
      </c>
      <c r="F3" s="9" t="n">
        <v>4410140</v>
      </c>
      <c r="G3" s="9" t="n">
        <v>184</v>
      </c>
      <c r="H3" s="9" t="n">
        <v>5036275</v>
      </c>
      <c r="I3" s="9" t="n">
        <v>231</v>
      </c>
      <c r="J3" s="9" t="n">
        <v>6322714</v>
      </c>
    </row>
    <row r="4" customFormat="false" ht="15.75" hidden="false" customHeight="false" outlineLevel="0" collapsed="false">
      <c r="A4" s="7" t="s">
        <v>12</v>
      </c>
      <c r="B4" s="7" t="n">
        <v>4</v>
      </c>
      <c r="C4" s="9" t="n">
        <v>0</v>
      </c>
      <c r="D4" s="9" t="n">
        <v>0</v>
      </c>
      <c r="E4" s="9" t="n">
        <v>0</v>
      </c>
      <c r="F4" s="9" t="n">
        <v>0</v>
      </c>
      <c r="G4" s="9" t="n">
        <v>0</v>
      </c>
      <c r="H4" s="9" t="n">
        <v>0</v>
      </c>
      <c r="I4" s="9" t="n">
        <v>0</v>
      </c>
      <c r="J4" s="9" t="n">
        <v>0</v>
      </c>
    </row>
    <row r="5" customFormat="false" ht="15.75" hidden="false" customHeight="false" outlineLevel="0" collapsed="false">
      <c r="A5" s="7" t="s">
        <v>13</v>
      </c>
      <c r="B5" s="7" t="n">
        <v>4</v>
      </c>
      <c r="C5" s="9" t="n">
        <v>923</v>
      </c>
      <c r="D5" s="9" t="n">
        <v>30274687</v>
      </c>
      <c r="E5" s="9" t="n">
        <v>0</v>
      </c>
      <c r="F5" s="9" t="n">
        <v>0</v>
      </c>
      <c r="G5" s="9" t="n">
        <v>24</v>
      </c>
      <c r="H5" s="9" t="n">
        <v>787587</v>
      </c>
      <c r="I5" s="9" t="n">
        <v>899</v>
      </c>
      <c r="J5" s="9" t="n">
        <v>29487100</v>
      </c>
    </row>
    <row r="6" customFormat="false" ht="15.75" hidden="false" customHeight="false" outlineLevel="0" collapsed="false">
      <c r="A6" s="7" t="s">
        <v>14</v>
      </c>
      <c r="B6" s="7" t="n">
        <v>4</v>
      </c>
      <c r="C6" s="9" t="n">
        <v>120</v>
      </c>
      <c r="D6" s="9" t="n">
        <v>35752144</v>
      </c>
      <c r="E6" s="9" t="n">
        <v>0</v>
      </c>
      <c r="F6" s="9" t="n">
        <v>0</v>
      </c>
      <c r="G6" s="9" t="n">
        <v>0</v>
      </c>
      <c r="H6" s="9" t="n">
        <v>0</v>
      </c>
      <c r="I6" s="9" t="n">
        <v>120</v>
      </c>
      <c r="J6" s="9" t="n">
        <v>35752144</v>
      </c>
    </row>
    <row r="7" customFormat="false" ht="15.75" hidden="false" customHeight="false" outlineLevel="0" collapsed="false">
      <c r="A7" s="7" t="s">
        <v>15</v>
      </c>
      <c r="B7" s="7" t="n">
        <v>4</v>
      </c>
      <c r="C7" s="9" t="n">
        <v>510</v>
      </c>
      <c r="D7" s="9" t="n">
        <v>69373706</v>
      </c>
      <c r="E7" s="9" t="n">
        <v>0</v>
      </c>
      <c r="F7" s="9" t="n">
        <v>0</v>
      </c>
      <c r="G7" s="9" t="n">
        <v>0</v>
      </c>
      <c r="H7" s="9" t="n">
        <v>0</v>
      </c>
      <c r="I7" s="9" t="n">
        <v>510</v>
      </c>
      <c r="J7" s="9" t="n">
        <v>69373706</v>
      </c>
    </row>
    <row r="8" customFormat="false" ht="15.75" hidden="false" customHeight="false" outlineLevel="0" collapsed="false">
      <c r="A8" s="7" t="s">
        <v>16</v>
      </c>
      <c r="B8" s="7" t="n">
        <v>4</v>
      </c>
      <c r="C8" s="9" t="n">
        <v>344</v>
      </c>
      <c r="D8" s="9" t="n">
        <v>53839916</v>
      </c>
      <c r="E8" s="9" t="n">
        <v>0</v>
      </c>
      <c r="F8" s="9" t="n">
        <v>0</v>
      </c>
      <c r="G8" s="9" t="n">
        <v>0</v>
      </c>
      <c r="H8" s="9" t="n">
        <v>0</v>
      </c>
      <c r="I8" s="9" t="n">
        <v>344</v>
      </c>
      <c r="J8" s="9" t="n">
        <v>53839916</v>
      </c>
    </row>
    <row r="9" customFormat="false" ht="15.75" hidden="false" customHeight="false" outlineLevel="0" collapsed="false">
      <c r="A9" s="7" t="s">
        <v>17</v>
      </c>
      <c r="B9" s="7" t="n">
        <v>4</v>
      </c>
      <c r="C9" s="9" t="n">
        <v>159</v>
      </c>
      <c r="D9" s="9" t="n">
        <v>38049584</v>
      </c>
      <c r="E9" s="9" t="n">
        <v>0</v>
      </c>
      <c r="F9" s="9" t="n">
        <v>0</v>
      </c>
      <c r="G9" s="9" t="n">
        <v>0</v>
      </c>
      <c r="H9" s="9" t="n">
        <v>0</v>
      </c>
      <c r="I9" s="9" t="n">
        <v>159</v>
      </c>
      <c r="J9" s="9" t="n">
        <v>38049584</v>
      </c>
    </row>
    <row r="10" customFormat="false" ht="15.75" hidden="false" customHeight="false" outlineLevel="0" collapsed="false">
      <c r="A10" s="7" t="s">
        <v>18</v>
      </c>
      <c r="B10" s="7" t="n">
        <v>4</v>
      </c>
      <c r="C10" s="9" t="n">
        <v>734</v>
      </c>
      <c r="D10" s="9" t="n">
        <v>15983688</v>
      </c>
      <c r="E10" s="9" t="n">
        <v>0</v>
      </c>
      <c r="F10" s="9" t="n">
        <v>0</v>
      </c>
      <c r="G10" s="9" t="n">
        <v>0</v>
      </c>
      <c r="H10" s="9" t="n">
        <v>0</v>
      </c>
      <c r="I10" s="9" t="n">
        <v>734</v>
      </c>
      <c r="J10" s="9" t="n">
        <v>15983688</v>
      </c>
    </row>
    <row r="11" customFormat="false" ht="15.75" hidden="false" customHeight="false" outlineLevel="0" collapsed="false">
      <c r="A11" s="7" t="s">
        <v>19</v>
      </c>
      <c r="B11" s="7" t="n">
        <v>4</v>
      </c>
      <c r="C11" s="9" t="n">
        <v>180</v>
      </c>
      <c r="D11" s="9" t="n">
        <v>3904035</v>
      </c>
      <c r="E11" s="9" t="n">
        <v>0</v>
      </c>
      <c r="F11" s="9" t="n">
        <v>0</v>
      </c>
      <c r="G11" s="9" t="n">
        <v>0</v>
      </c>
      <c r="H11" s="9" t="n">
        <v>0</v>
      </c>
      <c r="I11" s="9" t="n">
        <v>180</v>
      </c>
      <c r="J11" s="9" t="n">
        <v>3904035</v>
      </c>
    </row>
    <row r="12" customFormat="false" ht="15.75" hidden="false" customHeight="false" outlineLevel="0" collapsed="false">
      <c r="A12" s="7" t="s">
        <v>20</v>
      </c>
      <c r="B12" s="7" t="n">
        <v>4</v>
      </c>
      <c r="C12" s="9" t="n">
        <v>295</v>
      </c>
      <c r="D12" s="9" t="n">
        <v>31404753</v>
      </c>
      <c r="E12" s="9" t="n">
        <v>0</v>
      </c>
      <c r="F12" s="9" t="n">
        <v>0</v>
      </c>
      <c r="G12" s="9" t="n">
        <v>0</v>
      </c>
      <c r="H12" s="9" t="n">
        <v>0</v>
      </c>
      <c r="I12" s="9" t="n">
        <v>295</v>
      </c>
      <c r="J12" s="9" t="n">
        <v>31404753</v>
      </c>
    </row>
    <row r="13" customFormat="false" ht="15.75" hidden="false" customHeight="false" outlineLevel="0" collapsed="false">
      <c r="A13" s="7" t="s">
        <v>21</v>
      </c>
      <c r="B13" s="7" t="n">
        <v>4</v>
      </c>
      <c r="C13" s="9" t="n">
        <v>170</v>
      </c>
      <c r="D13" s="9" t="n">
        <v>40681945</v>
      </c>
      <c r="E13" s="9" t="n">
        <v>0</v>
      </c>
      <c r="F13" s="9" t="n">
        <v>0</v>
      </c>
      <c r="G13" s="9" t="n">
        <v>0</v>
      </c>
      <c r="H13" s="9" t="n">
        <v>0</v>
      </c>
      <c r="I13" s="9" t="n">
        <v>170</v>
      </c>
      <c r="J13" s="9" t="n">
        <v>40681945</v>
      </c>
    </row>
    <row r="14" customFormat="false" ht="15.75" hidden="false" customHeight="false" outlineLevel="0" collapsed="false">
      <c r="A14" s="7" t="s">
        <v>22</v>
      </c>
      <c r="B14" s="7" t="n">
        <v>4</v>
      </c>
      <c r="C14" s="9" t="n">
        <v>18</v>
      </c>
      <c r="D14" s="9" t="n">
        <v>407934</v>
      </c>
      <c r="E14" s="9" t="n">
        <v>0</v>
      </c>
      <c r="F14" s="9" t="n">
        <v>0</v>
      </c>
      <c r="G14" s="9" t="n">
        <v>0</v>
      </c>
      <c r="H14" s="9" t="n">
        <v>0</v>
      </c>
      <c r="I14" s="9" t="n">
        <v>18</v>
      </c>
      <c r="J14" s="9" t="n">
        <v>407934</v>
      </c>
    </row>
    <row r="15" customFormat="false" ht="15.75" hidden="false" customHeight="false" outlineLevel="0" collapsed="false">
      <c r="A15" s="7" t="s">
        <v>23</v>
      </c>
      <c r="B15" s="7" t="n">
        <v>4</v>
      </c>
      <c r="C15" s="9" t="n">
        <v>0</v>
      </c>
      <c r="D15" s="9" t="n">
        <v>0</v>
      </c>
      <c r="E15" s="9" t="n">
        <v>0</v>
      </c>
      <c r="F15" s="9" t="n">
        <v>0</v>
      </c>
      <c r="G15" s="9" t="n">
        <v>0</v>
      </c>
      <c r="H15" s="9" t="n">
        <v>0</v>
      </c>
      <c r="I15" s="9" t="n">
        <v>0</v>
      </c>
      <c r="J15" s="9" t="n">
        <v>0</v>
      </c>
    </row>
    <row r="16" customFormat="false" ht="15.75" hidden="false" customHeight="false" outlineLevel="0" collapsed="false">
      <c r="A16" s="7" t="s">
        <v>24</v>
      </c>
      <c r="B16" s="7" t="n">
        <v>4</v>
      </c>
      <c r="C16" s="9" t="n">
        <v>0</v>
      </c>
      <c r="D16" s="9" t="n">
        <v>0</v>
      </c>
      <c r="E16" s="9" t="n">
        <v>0</v>
      </c>
      <c r="F16" s="9" t="n">
        <v>0</v>
      </c>
      <c r="G16" s="9" t="n">
        <v>0</v>
      </c>
      <c r="H16" s="9" t="n">
        <v>0</v>
      </c>
      <c r="I16" s="9" t="n">
        <v>0</v>
      </c>
      <c r="J16" s="9" t="n">
        <v>0</v>
      </c>
    </row>
    <row r="17" customFormat="false" ht="15.75" hidden="false" customHeight="false" outlineLevel="0" collapsed="false">
      <c r="A17" s="7" t="s">
        <v>25</v>
      </c>
      <c r="B17" s="7" t="n">
        <v>4</v>
      </c>
      <c r="C17" s="9" t="n">
        <v>142</v>
      </c>
      <c r="D17" s="9" t="n">
        <v>2969078</v>
      </c>
      <c r="E17" s="9" t="n">
        <v>60</v>
      </c>
      <c r="F17" s="9" t="n">
        <v>1254540</v>
      </c>
      <c r="G17" s="9" t="n">
        <v>162</v>
      </c>
      <c r="H17" s="9" t="n">
        <v>3387258</v>
      </c>
      <c r="I17" s="9" t="n">
        <v>40</v>
      </c>
      <c r="J17" s="9" t="n">
        <v>836360</v>
      </c>
    </row>
    <row r="18" customFormat="false" ht="15.75" hidden="false" customHeight="false" outlineLevel="0" collapsed="false">
      <c r="A18" s="7" t="s">
        <v>26</v>
      </c>
      <c r="B18" s="7" t="n">
        <v>4</v>
      </c>
      <c r="C18" s="9" t="n">
        <v>139</v>
      </c>
      <c r="D18" s="9" t="n">
        <v>3538245</v>
      </c>
      <c r="E18" s="9" t="n">
        <v>40</v>
      </c>
      <c r="F18" s="9" t="n">
        <v>1018200</v>
      </c>
      <c r="G18" s="9" t="n">
        <v>144</v>
      </c>
      <c r="H18" s="9" t="n">
        <v>3665520</v>
      </c>
      <c r="I18" s="9" t="n">
        <v>35</v>
      </c>
      <c r="J18" s="9" t="n">
        <v>890925</v>
      </c>
    </row>
    <row r="19" customFormat="false" ht="15.75" hidden="false" customHeight="false" outlineLevel="0" collapsed="false">
      <c r="A19" s="7" t="s">
        <v>27</v>
      </c>
      <c r="B19" s="7" t="n">
        <v>4</v>
      </c>
      <c r="C19" s="9" t="n">
        <v>0</v>
      </c>
      <c r="D19" s="9" t="n">
        <v>0</v>
      </c>
      <c r="E19" s="9" t="n">
        <v>0</v>
      </c>
      <c r="F19" s="9" t="n">
        <v>0</v>
      </c>
      <c r="G19" s="9" t="n">
        <v>0</v>
      </c>
      <c r="H19" s="9" t="n">
        <v>0</v>
      </c>
      <c r="I19" s="9" t="n">
        <v>0</v>
      </c>
      <c r="J19" s="9" t="n">
        <v>0</v>
      </c>
    </row>
    <row r="20" customFormat="false" ht="15.75" hidden="false" customHeight="false" outlineLevel="0" collapsed="false">
      <c r="A20" s="7" t="s">
        <v>28</v>
      </c>
      <c r="B20" s="7" t="n">
        <v>4</v>
      </c>
      <c r="C20" s="9" t="n">
        <v>0</v>
      </c>
      <c r="D20" s="9" t="n">
        <v>0</v>
      </c>
      <c r="E20" s="9" t="n">
        <v>0</v>
      </c>
      <c r="F20" s="9" t="n">
        <v>0</v>
      </c>
      <c r="G20" s="9" t="n">
        <v>0</v>
      </c>
      <c r="H20" s="9" t="n">
        <v>0</v>
      </c>
      <c r="I20" s="9" t="n">
        <v>0</v>
      </c>
      <c r="J20" s="9" t="n">
        <v>0</v>
      </c>
    </row>
    <row r="21" customFormat="false" ht="15.75" hidden="false" customHeight="false" outlineLevel="0" collapsed="false">
      <c r="A21" s="7" t="s">
        <v>29</v>
      </c>
      <c r="B21" s="7" t="n">
        <v>4</v>
      </c>
      <c r="C21" s="9" t="n">
        <v>150</v>
      </c>
      <c r="D21" s="9" t="n">
        <v>39640950</v>
      </c>
      <c r="E21" s="9" t="n">
        <v>10</v>
      </c>
      <c r="F21" s="9" t="n">
        <v>2642730</v>
      </c>
      <c r="G21" s="9" t="n">
        <v>0</v>
      </c>
      <c r="H21" s="9" t="n">
        <v>0</v>
      </c>
      <c r="I21" s="9" t="n">
        <v>160</v>
      </c>
      <c r="J21" s="9" t="n">
        <v>42283680</v>
      </c>
    </row>
    <row r="22" customFormat="false" ht="15.75" hidden="false" customHeight="false" outlineLevel="0" collapsed="false">
      <c r="A22" s="7" t="s">
        <v>30</v>
      </c>
      <c r="B22" s="7" t="n">
        <v>4</v>
      </c>
      <c r="C22" s="9" t="n">
        <v>120</v>
      </c>
      <c r="D22" s="9" t="n">
        <v>25743280</v>
      </c>
      <c r="E22" s="9" t="n">
        <v>85</v>
      </c>
      <c r="F22" s="9" t="n">
        <v>17892820</v>
      </c>
      <c r="G22" s="9" t="n">
        <v>101</v>
      </c>
      <c r="H22" s="9" t="n">
        <v>21498761</v>
      </c>
      <c r="I22" s="9" t="n">
        <v>104</v>
      </c>
      <c r="J22" s="9" t="n">
        <v>22137339</v>
      </c>
    </row>
    <row r="23" customFormat="false" ht="15.75" hidden="false" customHeight="false" outlineLevel="0" collapsed="false">
      <c r="A23" s="7" t="s">
        <v>31</v>
      </c>
      <c r="B23" s="7" t="n">
        <v>4</v>
      </c>
      <c r="C23" s="9" t="n">
        <v>0</v>
      </c>
      <c r="D23" s="9" t="n">
        <v>0</v>
      </c>
      <c r="E23" s="9" t="n">
        <v>0</v>
      </c>
      <c r="F23" s="9" t="n">
        <v>0</v>
      </c>
      <c r="G23" s="9" t="n">
        <v>0</v>
      </c>
      <c r="H23" s="9" t="n">
        <v>0</v>
      </c>
      <c r="I23" s="9" t="n">
        <v>0</v>
      </c>
      <c r="J23" s="9" t="n">
        <v>0</v>
      </c>
    </row>
    <row r="24" customFormat="false" ht="15.75" hidden="false" customHeight="false" outlineLevel="0" collapsed="false">
      <c r="A24" s="7" t="s">
        <v>32</v>
      </c>
      <c r="B24" s="7" t="n">
        <v>4</v>
      </c>
      <c r="C24" s="9" t="n">
        <v>0</v>
      </c>
      <c r="D24" s="9" t="n">
        <v>0</v>
      </c>
      <c r="E24" s="9" t="n">
        <v>0</v>
      </c>
      <c r="F24" s="9" t="n">
        <v>0</v>
      </c>
      <c r="G24" s="9" t="n">
        <v>0</v>
      </c>
      <c r="H24" s="9" t="n">
        <v>0</v>
      </c>
      <c r="I24" s="9" t="n">
        <v>0</v>
      </c>
      <c r="J24" s="9" t="n">
        <v>0</v>
      </c>
    </row>
    <row r="25" customFormat="false" ht="15.75" hidden="false" customHeight="false" outlineLevel="0" collapsed="false">
      <c r="A25" s="7" t="s">
        <v>33</v>
      </c>
      <c r="B25" s="7" t="n">
        <v>4</v>
      </c>
      <c r="C25" s="9" t="n">
        <v>36</v>
      </c>
      <c r="D25" s="9" t="n">
        <v>0</v>
      </c>
      <c r="E25" s="9" t="n">
        <v>20</v>
      </c>
      <c r="F25" s="9" t="n">
        <v>4642900</v>
      </c>
      <c r="G25" s="9" t="n">
        <v>0</v>
      </c>
      <c r="H25" s="9" t="n">
        <v>0</v>
      </c>
      <c r="I25" s="9" t="n">
        <v>56</v>
      </c>
      <c r="J25" s="9" t="n">
        <v>4642900</v>
      </c>
    </row>
    <row r="26" customFormat="false" ht="15.75" hidden="false" customHeight="false" outlineLevel="0" collapsed="false">
      <c r="A26" s="7" t="s">
        <v>34</v>
      </c>
      <c r="B26" s="7" t="n">
        <v>4</v>
      </c>
      <c r="C26" s="9" t="n">
        <v>0</v>
      </c>
      <c r="D26" s="9" t="n">
        <v>0</v>
      </c>
      <c r="E26" s="9" t="n">
        <v>20</v>
      </c>
      <c r="F26" s="9" t="n">
        <v>4642900</v>
      </c>
      <c r="G26" s="9" t="n">
        <v>0</v>
      </c>
      <c r="H26" s="9" t="n">
        <v>0</v>
      </c>
      <c r="I26" s="9" t="n">
        <v>20</v>
      </c>
      <c r="J26" s="9" t="n">
        <v>4642900</v>
      </c>
    </row>
    <row r="27" customFormat="false" ht="15.75" hidden="false" customHeight="false" outlineLevel="0" collapsed="false">
      <c r="A27" s="7" t="s">
        <v>35</v>
      </c>
      <c r="B27" s="7" t="n">
        <v>4</v>
      </c>
      <c r="C27" s="9" t="n">
        <v>0</v>
      </c>
      <c r="D27" s="9" t="n">
        <v>0</v>
      </c>
      <c r="E27" s="9" t="n">
        <v>0</v>
      </c>
      <c r="F27" s="9" t="n">
        <v>0</v>
      </c>
      <c r="G27" s="9" t="n">
        <v>0</v>
      </c>
      <c r="H27" s="9" t="n">
        <v>0</v>
      </c>
      <c r="I27" s="9" t="n">
        <v>0</v>
      </c>
      <c r="J27" s="9" t="n">
        <v>0</v>
      </c>
    </row>
    <row r="28" customFormat="false" ht="15.75" hidden="false" customHeight="false" outlineLevel="0" collapsed="false">
      <c r="A28" s="7" t="s">
        <v>36</v>
      </c>
      <c r="B28" s="7" t="n">
        <v>4</v>
      </c>
      <c r="C28" s="9" t="n">
        <v>20</v>
      </c>
      <c r="D28" s="9" t="n">
        <v>909100</v>
      </c>
      <c r="E28" s="9" t="n">
        <v>20</v>
      </c>
      <c r="F28" s="9" t="n">
        <v>909100</v>
      </c>
      <c r="G28" s="9" t="n">
        <v>0</v>
      </c>
      <c r="H28" s="9" t="n">
        <v>0</v>
      </c>
      <c r="I28" s="9" t="n">
        <v>40</v>
      </c>
      <c r="J28" s="9" t="n">
        <v>1818200</v>
      </c>
    </row>
    <row r="29" customFormat="false" ht="15.75" hidden="false" customHeight="false" outlineLevel="0" collapsed="false">
      <c r="A29" s="7" t="s">
        <v>37</v>
      </c>
      <c r="B29" s="7" t="n">
        <v>4</v>
      </c>
      <c r="C29" s="9" t="n">
        <v>9559</v>
      </c>
      <c r="D29" s="9" t="n">
        <v>510064519</v>
      </c>
      <c r="E29" s="9" t="n">
        <v>3840</v>
      </c>
      <c r="F29" s="9" t="n">
        <v>203485440</v>
      </c>
      <c r="G29" s="9" t="n">
        <v>10144</v>
      </c>
      <c r="H29" s="9" t="n">
        <v>540208283</v>
      </c>
      <c r="I29" s="9" t="n">
        <v>3255</v>
      </c>
      <c r="J29" s="9" t="n">
        <v>173341676</v>
      </c>
    </row>
    <row r="30" customFormat="false" ht="15.75" hidden="false" customHeight="false" outlineLevel="0" collapsed="false">
      <c r="A30" s="7" t="s">
        <v>38</v>
      </c>
      <c r="B30" s="7" t="n">
        <v>4</v>
      </c>
      <c r="C30" s="9" t="n">
        <v>284613</v>
      </c>
      <c r="D30" s="9" t="n">
        <v>573886108</v>
      </c>
      <c r="E30" s="9" t="n">
        <v>7200</v>
      </c>
      <c r="F30" s="9" t="n">
        <v>213321600</v>
      </c>
      <c r="G30" s="9" t="n">
        <v>16902</v>
      </c>
      <c r="H30" s="9" t="n">
        <v>502972033</v>
      </c>
      <c r="I30" s="9" t="n">
        <v>274911</v>
      </c>
      <c r="J30" s="9" t="n">
        <v>284235675</v>
      </c>
    </row>
    <row r="31" customFormat="false" ht="15.75" hidden="false" customHeight="false" outlineLevel="0" collapsed="false">
      <c r="A31" s="7" t="s">
        <v>39</v>
      </c>
      <c r="B31" s="7" t="n">
        <v>4</v>
      </c>
      <c r="C31" s="9" t="n">
        <v>30570</v>
      </c>
      <c r="D31" s="9" t="n">
        <v>207614660</v>
      </c>
      <c r="E31" s="9" t="n">
        <v>1800</v>
      </c>
      <c r="F31" s="9" t="n">
        <v>60622200</v>
      </c>
      <c r="G31" s="9" t="n">
        <v>3405</v>
      </c>
      <c r="H31" s="9" t="n">
        <v>114791153</v>
      </c>
      <c r="I31" s="9" t="n">
        <v>28965</v>
      </c>
      <c r="J31" s="9" t="n">
        <v>153445707</v>
      </c>
    </row>
    <row r="32" customFormat="false" ht="15.75" hidden="false" customHeight="false" outlineLevel="0" collapsed="false">
      <c r="A32" s="7" t="s">
        <v>40</v>
      </c>
      <c r="B32" s="7" t="n">
        <v>4</v>
      </c>
      <c r="C32" s="9" t="n">
        <v>0</v>
      </c>
      <c r="D32" s="9" t="n">
        <v>0</v>
      </c>
      <c r="E32" s="9" t="n">
        <v>345</v>
      </c>
      <c r="F32" s="9" t="n">
        <v>15352500</v>
      </c>
      <c r="G32" s="9" t="n">
        <v>345</v>
      </c>
      <c r="H32" s="9" t="n">
        <v>15352500</v>
      </c>
      <c r="I32" s="9" t="n">
        <v>0</v>
      </c>
      <c r="J32" s="9" t="n">
        <v>0</v>
      </c>
    </row>
    <row r="33" customFormat="false" ht="15.75" hidden="false" customHeight="false" outlineLevel="0" collapsed="false">
      <c r="A33" s="7" t="s">
        <v>41</v>
      </c>
      <c r="B33" s="7" t="n">
        <v>4</v>
      </c>
      <c r="C33" s="9" t="n">
        <v>90</v>
      </c>
      <c r="D33" s="9" t="n">
        <v>3031110</v>
      </c>
      <c r="E33" s="9" t="n">
        <v>0</v>
      </c>
      <c r="F33" s="9" t="n">
        <v>0</v>
      </c>
      <c r="G33" s="9" t="n">
        <v>0</v>
      </c>
      <c r="H33" s="9" t="n">
        <v>0</v>
      </c>
      <c r="I33" s="9" t="n">
        <v>90</v>
      </c>
      <c r="J33" s="9" t="n">
        <v>3031110</v>
      </c>
    </row>
    <row r="34" customFormat="false" ht="15.75" hidden="false" customHeight="false" outlineLevel="0" collapsed="false">
      <c r="A34" s="7" t="s">
        <v>42</v>
      </c>
      <c r="B34" s="7" t="n">
        <v>4</v>
      </c>
      <c r="C34" s="9" t="n">
        <v>64</v>
      </c>
      <c r="D34" s="9" t="n">
        <v>3063680</v>
      </c>
      <c r="E34" s="9" t="n">
        <v>0</v>
      </c>
      <c r="F34" s="9" t="n">
        <v>0</v>
      </c>
      <c r="G34" s="9" t="n">
        <v>0</v>
      </c>
      <c r="H34" s="9" t="n">
        <v>0</v>
      </c>
      <c r="I34" s="9" t="n">
        <v>64</v>
      </c>
      <c r="J34" s="9" t="n">
        <v>3063680</v>
      </c>
    </row>
    <row r="35" customFormat="false" ht="15.75" hidden="false" customHeight="false" outlineLevel="0" collapsed="false">
      <c r="A35" s="7" t="s">
        <v>43</v>
      </c>
      <c r="B35" s="7" t="n">
        <v>4</v>
      </c>
      <c r="C35" s="9" t="n">
        <v>0</v>
      </c>
      <c r="D35" s="9" t="n">
        <v>0</v>
      </c>
      <c r="E35" s="9" t="n">
        <v>0</v>
      </c>
      <c r="F35" s="9" t="n">
        <v>0</v>
      </c>
      <c r="G35" s="9" t="n">
        <v>0</v>
      </c>
      <c r="H35" s="9" t="n">
        <v>0</v>
      </c>
      <c r="I35" s="9" t="n">
        <v>0</v>
      </c>
      <c r="J35" s="9" t="n">
        <v>0</v>
      </c>
    </row>
    <row r="36" customFormat="false" ht="15.75" hidden="false" customHeight="false" outlineLevel="0" collapsed="false">
      <c r="A36" s="7" t="s">
        <v>44</v>
      </c>
      <c r="B36" s="7" t="n">
        <v>4</v>
      </c>
      <c r="C36" s="9" t="n">
        <v>10400</v>
      </c>
      <c r="D36" s="9" t="n">
        <v>62792749</v>
      </c>
      <c r="E36" s="9" t="n">
        <v>375</v>
      </c>
      <c r="F36" s="9" t="n">
        <v>12629625</v>
      </c>
      <c r="G36" s="9" t="n">
        <v>585</v>
      </c>
      <c r="H36" s="9" t="n">
        <v>19702183</v>
      </c>
      <c r="I36" s="9" t="n">
        <v>10190</v>
      </c>
      <c r="J36" s="9" t="n">
        <v>55720191</v>
      </c>
    </row>
    <row r="37" customFormat="false" ht="15.75" hidden="false" customHeight="false" outlineLevel="0" collapsed="false">
      <c r="A37" s="7" t="s">
        <v>45</v>
      </c>
      <c r="B37" s="7" t="n">
        <v>4</v>
      </c>
      <c r="C37" s="9" t="n">
        <v>1497</v>
      </c>
      <c r="D37" s="9" t="n">
        <v>50415642</v>
      </c>
      <c r="E37" s="9" t="n">
        <v>225</v>
      </c>
      <c r="F37" s="9" t="n">
        <v>7577775</v>
      </c>
      <c r="G37" s="9" t="n">
        <v>300</v>
      </c>
      <c r="H37" s="9" t="n">
        <v>10103383</v>
      </c>
      <c r="I37" s="9" t="n">
        <v>1422</v>
      </c>
      <c r="J37" s="9" t="n">
        <v>47890034</v>
      </c>
    </row>
    <row r="38" customFormat="false" ht="15.75" hidden="false" customHeight="false" outlineLevel="0" collapsed="false">
      <c r="A38" s="7" t="s">
        <v>46</v>
      </c>
      <c r="B38" s="7" t="n">
        <v>4</v>
      </c>
      <c r="C38" s="9" t="n">
        <v>165</v>
      </c>
      <c r="D38" s="9" t="n">
        <v>5557035</v>
      </c>
      <c r="E38" s="9" t="n">
        <v>0</v>
      </c>
      <c r="F38" s="9" t="n">
        <v>0</v>
      </c>
      <c r="G38" s="9" t="n">
        <v>0</v>
      </c>
      <c r="H38" s="9" t="n">
        <v>0</v>
      </c>
      <c r="I38" s="9" t="n">
        <v>165</v>
      </c>
      <c r="J38" s="9" t="n">
        <v>5557035</v>
      </c>
    </row>
    <row r="39" customFormat="false" ht="15.75" hidden="false" customHeight="false" outlineLevel="0" collapsed="false">
      <c r="A39" s="7" t="s">
        <v>47</v>
      </c>
      <c r="B39" s="7" t="n">
        <v>4</v>
      </c>
      <c r="C39" s="9" t="n">
        <v>1600</v>
      </c>
      <c r="D39" s="9" t="n">
        <v>7272000</v>
      </c>
      <c r="E39" s="9" t="n">
        <v>2500</v>
      </c>
      <c r="F39" s="9" t="n">
        <v>11362500</v>
      </c>
      <c r="G39" s="9" t="n">
        <v>0</v>
      </c>
      <c r="H39" s="9" t="n">
        <v>0</v>
      </c>
      <c r="I39" s="9" t="n">
        <v>4100</v>
      </c>
      <c r="J39" s="9" t="n">
        <v>18634500</v>
      </c>
    </row>
    <row r="40" customFormat="false" ht="15.75" hidden="false" customHeight="false" outlineLevel="0" collapsed="false">
      <c r="A40" s="7" t="s">
        <v>48</v>
      </c>
      <c r="B40" s="7" t="n">
        <v>4</v>
      </c>
      <c r="C40" s="9" t="n">
        <v>0</v>
      </c>
      <c r="D40" s="9" t="n">
        <v>0</v>
      </c>
      <c r="E40" s="9" t="n">
        <v>48</v>
      </c>
      <c r="F40" s="9" t="n">
        <v>1156368</v>
      </c>
      <c r="G40" s="9" t="n">
        <v>0</v>
      </c>
      <c r="H40" s="9" t="n">
        <v>0</v>
      </c>
      <c r="I40" s="9" t="n">
        <v>48</v>
      </c>
      <c r="J40" s="9" t="n">
        <v>1156368</v>
      </c>
    </row>
    <row r="41" customFormat="false" ht="15.75" hidden="false" customHeight="false" outlineLevel="0" collapsed="false">
      <c r="A41" s="7" t="s">
        <v>49</v>
      </c>
      <c r="B41" s="7" t="n">
        <v>4</v>
      </c>
      <c r="C41" s="9" t="n">
        <v>3330</v>
      </c>
      <c r="D41" s="9" t="n">
        <v>15740910</v>
      </c>
      <c r="E41" s="9" t="n">
        <v>3600</v>
      </c>
      <c r="F41" s="9" t="n">
        <v>17017200</v>
      </c>
      <c r="G41" s="9" t="n">
        <v>20</v>
      </c>
      <c r="H41" s="9" t="n">
        <v>94540</v>
      </c>
      <c r="I41" s="9" t="n">
        <v>6910</v>
      </c>
      <c r="J41" s="9" t="n">
        <v>32663570</v>
      </c>
    </row>
    <row r="42" customFormat="false" ht="15.75" hidden="false" customHeight="false" outlineLevel="0" collapsed="false">
      <c r="A42" s="7" t="s">
        <v>50</v>
      </c>
      <c r="B42" s="7" t="n">
        <v>4</v>
      </c>
      <c r="C42" s="9" t="n">
        <v>1000</v>
      </c>
      <c r="D42" s="9" t="n">
        <v>3182000</v>
      </c>
      <c r="E42" s="9" t="n">
        <v>500</v>
      </c>
      <c r="F42" s="9" t="n">
        <v>1591000</v>
      </c>
      <c r="G42" s="9" t="n">
        <v>0</v>
      </c>
      <c r="H42" s="9" t="n">
        <v>0</v>
      </c>
      <c r="I42" s="9" t="n">
        <v>1500</v>
      </c>
      <c r="J42" s="9" t="n">
        <v>4773000</v>
      </c>
    </row>
    <row r="43" customFormat="false" ht="15.75" hidden="false" customHeight="false" outlineLevel="0" collapsed="false">
      <c r="A43" s="7" t="s">
        <v>51</v>
      </c>
      <c r="B43" s="7" t="n">
        <v>4</v>
      </c>
      <c r="C43" s="9" t="n">
        <v>1350</v>
      </c>
      <c r="D43" s="9" t="n">
        <v>4908600</v>
      </c>
      <c r="E43" s="9" t="n">
        <v>1000</v>
      </c>
      <c r="F43" s="9" t="n">
        <v>3636000</v>
      </c>
      <c r="G43" s="9" t="n">
        <v>0</v>
      </c>
      <c r="H43" s="9" t="n">
        <v>0</v>
      </c>
      <c r="I43" s="9" t="n">
        <v>2350</v>
      </c>
      <c r="J43" s="9" t="n">
        <v>8544600</v>
      </c>
    </row>
    <row r="44" customFormat="false" ht="15.75" hidden="false" customHeight="false" outlineLevel="0" collapsed="false">
      <c r="A44" s="7" t="s">
        <v>52</v>
      </c>
      <c r="B44" s="7" t="n">
        <v>4</v>
      </c>
      <c r="C44" s="9" t="n">
        <v>480</v>
      </c>
      <c r="D44" s="9" t="n">
        <v>10908960</v>
      </c>
      <c r="E44" s="9" t="n">
        <v>96</v>
      </c>
      <c r="F44" s="9" t="n">
        <v>2181792</v>
      </c>
      <c r="G44" s="9" t="n">
        <v>0</v>
      </c>
      <c r="H44" s="9" t="n">
        <v>0</v>
      </c>
      <c r="I44" s="9" t="n">
        <v>576</v>
      </c>
      <c r="J44" s="9" t="n">
        <v>13090752</v>
      </c>
    </row>
    <row r="45" customFormat="false" ht="15.75" hidden="false" customHeight="false" outlineLevel="0" collapsed="false">
      <c r="A45" s="7" t="s">
        <v>53</v>
      </c>
      <c r="B45" s="7" t="n">
        <v>4</v>
      </c>
      <c r="C45" s="9" t="n">
        <v>0</v>
      </c>
      <c r="D45" s="9" t="n">
        <v>0</v>
      </c>
      <c r="E45" s="9" t="n">
        <v>0</v>
      </c>
      <c r="F45" s="9" t="n">
        <v>0</v>
      </c>
      <c r="G45" s="9" t="n">
        <v>0</v>
      </c>
      <c r="H45" s="9" t="n">
        <v>0</v>
      </c>
      <c r="I45" s="9" t="n">
        <v>0</v>
      </c>
      <c r="J45" s="9" t="n">
        <v>0</v>
      </c>
    </row>
    <row r="46" customFormat="false" ht="15.75" hidden="false" customHeight="false" outlineLevel="0" collapsed="false">
      <c r="A46" s="7" t="s">
        <v>54</v>
      </c>
      <c r="B46" s="7" t="n">
        <v>4</v>
      </c>
      <c r="C46" s="9" t="n">
        <v>5062</v>
      </c>
      <c r="D46" s="9" t="n">
        <v>67558083</v>
      </c>
      <c r="E46" s="9" t="n">
        <v>11280</v>
      </c>
      <c r="F46" s="9" t="n">
        <v>153814080</v>
      </c>
      <c r="G46" s="9" t="n">
        <v>5664</v>
      </c>
      <c r="H46" s="9" t="n">
        <v>76725733</v>
      </c>
      <c r="I46" s="9" t="n">
        <v>10678</v>
      </c>
      <c r="J46" s="9" t="n">
        <v>144646430</v>
      </c>
    </row>
    <row r="47" customFormat="false" ht="15.75" hidden="false" customHeight="false" outlineLevel="0" collapsed="false">
      <c r="A47" s="7" t="s">
        <v>55</v>
      </c>
      <c r="B47" s="7" t="n">
        <v>4</v>
      </c>
      <c r="C47" s="9" t="n">
        <v>0</v>
      </c>
      <c r="D47" s="9" t="n">
        <v>0</v>
      </c>
      <c r="E47" s="9" t="n">
        <v>0</v>
      </c>
      <c r="F47" s="9" t="n">
        <v>0</v>
      </c>
      <c r="G47" s="9" t="n">
        <v>0</v>
      </c>
      <c r="H47" s="9" t="n">
        <v>0</v>
      </c>
      <c r="I47" s="9" t="n">
        <v>0</v>
      </c>
      <c r="J47" s="9" t="n">
        <v>0</v>
      </c>
    </row>
    <row r="48" customFormat="false" ht="15.75" hidden="false" customHeight="false" outlineLevel="0" collapsed="false">
      <c r="A48" s="7" t="s">
        <v>56</v>
      </c>
      <c r="B48" s="7" t="n">
        <v>4</v>
      </c>
      <c r="C48" s="9" t="n">
        <v>0</v>
      </c>
      <c r="D48" s="9" t="n">
        <v>0</v>
      </c>
      <c r="E48" s="9" t="n">
        <v>0</v>
      </c>
      <c r="F48" s="9" t="n">
        <v>0</v>
      </c>
      <c r="G48" s="9" t="n">
        <v>0</v>
      </c>
      <c r="H48" s="9" t="n">
        <v>0</v>
      </c>
      <c r="I48" s="9" t="n">
        <v>0</v>
      </c>
      <c r="J48" s="9" t="n">
        <v>0</v>
      </c>
    </row>
    <row r="49" customFormat="false" ht="15.75" hidden="false" customHeight="false" outlineLevel="0" collapsed="false">
      <c r="A49" s="7" t="s">
        <v>57</v>
      </c>
      <c r="B49" s="7" t="n">
        <v>4</v>
      </c>
      <c r="C49" s="9" t="n">
        <v>360</v>
      </c>
      <c r="D49" s="9" t="n">
        <v>5727240</v>
      </c>
      <c r="E49" s="9" t="n">
        <v>120</v>
      </c>
      <c r="F49" s="9" t="n">
        <v>1909080</v>
      </c>
      <c r="G49" s="9" t="n">
        <v>0</v>
      </c>
      <c r="H49" s="9" t="n">
        <v>0</v>
      </c>
      <c r="I49" s="9" t="n">
        <v>480</v>
      </c>
      <c r="J49" s="9" t="n">
        <v>7636320</v>
      </c>
    </row>
    <row r="50" customFormat="false" ht="15.75" hidden="false" customHeight="false" outlineLevel="0" collapsed="false">
      <c r="A50" s="7" t="s">
        <v>58</v>
      </c>
      <c r="B50" s="7" t="n">
        <v>4</v>
      </c>
      <c r="C50" s="9" t="n">
        <v>720</v>
      </c>
      <c r="D50" s="9" t="n">
        <v>5563440</v>
      </c>
      <c r="E50" s="9" t="n">
        <v>1920</v>
      </c>
      <c r="F50" s="9" t="n">
        <v>14835840</v>
      </c>
      <c r="G50" s="9" t="n">
        <v>0</v>
      </c>
      <c r="H50" s="9" t="n">
        <v>0</v>
      </c>
      <c r="I50" s="9" t="n">
        <v>2640</v>
      </c>
      <c r="J50" s="9" t="n">
        <v>20399280</v>
      </c>
    </row>
    <row r="51" customFormat="false" ht="15.75" hidden="false" customHeight="false" outlineLevel="0" collapsed="false">
      <c r="A51" s="7" t="s">
        <v>59</v>
      </c>
      <c r="B51" s="7" t="n">
        <v>4</v>
      </c>
      <c r="C51" s="9" t="n">
        <v>3009</v>
      </c>
      <c r="D51" s="9" t="n">
        <v>40929997</v>
      </c>
      <c r="E51" s="9" t="n">
        <v>4800</v>
      </c>
      <c r="F51" s="9" t="n">
        <v>69816000</v>
      </c>
      <c r="G51" s="9" t="n">
        <v>1464</v>
      </c>
      <c r="H51" s="9" t="n">
        <v>20762215</v>
      </c>
      <c r="I51" s="9" t="n">
        <v>6345</v>
      </c>
      <c r="J51" s="9" t="n">
        <v>89983782</v>
      </c>
    </row>
    <row r="52" customFormat="false" ht="15.75" hidden="false" customHeight="false" outlineLevel="0" collapsed="false">
      <c r="A52" s="7" t="s">
        <v>60</v>
      </c>
      <c r="B52" s="7" t="n">
        <v>4</v>
      </c>
      <c r="C52" s="9" t="n">
        <v>1443</v>
      </c>
      <c r="D52" s="9" t="n">
        <v>45817920</v>
      </c>
      <c r="E52" s="9" t="n">
        <v>840</v>
      </c>
      <c r="F52" s="9" t="n">
        <v>26727120</v>
      </c>
      <c r="G52" s="9" t="n">
        <v>0</v>
      </c>
      <c r="H52" s="9" t="n">
        <v>0</v>
      </c>
      <c r="I52" s="9" t="n">
        <v>2283</v>
      </c>
      <c r="J52" s="9" t="n">
        <v>72545040</v>
      </c>
    </row>
    <row r="53" customFormat="false" ht="15.75" hidden="false" customHeight="false" outlineLevel="0" collapsed="false">
      <c r="A53" s="7" t="s">
        <v>61</v>
      </c>
      <c r="B53" s="7" t="n">
        <v>4</v>
      </c>
      <c r="C53" s="9" t="n">
        <v>0</v>
      </c>
      <c r="D53" s="9" t="n">
        <v>0</v>
      </c>
      <c r="E53" s="9" t="n">
        <v>0</v>
      </c>
      <c r="F53" s="9" t="n">
        <v>0</v>
      </c>
      <c r="G53" s="9" t="n">
        <v>0</v>
      </c>
      <c r="H53" s="9" t="n">
        <v>0</v>
      </c>
      <c r="I53" s="9" t="n">
        <v>0</v>
      </c>
      <c r="J53" s="9" t="n">
        <v>0</v>
      </c>
    </row>
    <row r="54" customFormat="false" ht="15.75" hidden="false" customHeight="false" outlineLevel="0" collapsed="false">
      <c r="A54" s="7" t="s">
        <v>62</v>
      </c>
      <c r="B54" s="7" t="n">
        <v>4</v>
      </c>
      <c r="C54" s="9" t="n">
        <v>3211</v>
      </c>
      <c r="D54" s="9" t="n">
        <v>15175069</v>
      </c>
      <c r="E54" s="9" t="n">
        <v>4800</v>
      </c>
      <c r="F54" s="9" t="n">
        <v>22689600</v>
      </c>
      <c r="G54" s="9" t="n">
        <v>20</v>
      </c>
      <c r="H54" s="9" t="n">
        <v>94532</v>
      </c>
      <c r="I54" s="9" t="n">
        <v>7991</v>
      </c>
      <c r="J54" s="9" t="n">
        <v>37770137</v>
      </c>
    </row>
    <row r="55" customFormat="false" ht="15.75" hidden="false" customHeight="false" outlineLevel="0" collapsed="false">
      <c r="A55" s="7" t="s">
        <v>63</v>
      </c>
      <c r="B55" s="7" t="n">
        <v>4</v>
      </c>
      <c r="C55" s="9" t="n">
        <v>0</v>
      </c>
      <c r="D55" s="9" t="n">
        <v>0</v>
      </c>
      <c r="E55" s="9" t="n">
        <v>0</v>
      </c>
      <c r="F55" s="9" t="n">
        <v>0</v>
      </c>
      <c r="G55" s="9" t="n">
        <v>0</v>
      </c>
      <c r="H55" s="9" t="n">
        <v>0</v>
      </c>
      <c r="I55" s="9" t="n">
        <v>0</v>
      </c>
      <c r="J55" s="9" t="n">
        <v>0</v>
      </c>
    </row>
    <row r="56" customFormat="false" ht="15.75" hidden="false" customHeight="false" outlineLevel="0" collapsed="false">
      <c r="A56" s="7" t="s">
        <v>64</v>
      </c>
      <c r="B56" s="7" t="n">
        <v>4</v>
      </c>
      <c r="C56" s="9" t="n">
        <v>0</v>
      </c>
      <c r="D56" s="9" t="n">
        <v>0</v>
      </c>
      <c r="E56" s="9" t="n">
        <v>0</v>
      </c>
      <c r="F56" s="9" t="n">
        <v>0</v>
      </c>
      <c r="G56" s="9" t="n">
        <v>0</v>
      </c>
      <c r="H56" s="9" t="n">
        <v>0</v>
      </c>
      <c r="I56" s="9" t="n">
        <v>0</v>
      </c>
      <c r="J56" s="9" t="n">
        <v>0</v>
      </c>
    </row>
    <row r="57" customFormat="false" ht="15.75" hidden="false" customHeight="false" outlineLevel="0" collapsed="false">
      <c r="A57" s="7" t="s">
        <v>65</v>
      </c>
      <c r="B57" s="7" t="n">
        <v>4</v>
      </c>
      <c r="C57" s="9" t="n">
        <v>0</v>
      </c>
      <c r="D57" s="9" t="n">
        <v>0</v>
      </c>
      <c r="E57" s="9" t="n">
        <v>0</v>
      </c>
      <c r="F57" s="9" t="n">
        <v>0</v>
      </c>
      <c r="G57" s="9" t="n">
        <v>0</v>
      </c>
      <c r="H57" s="9" t="n">
        <v>0</v>
      </c>
      <c r="I57" s="9" t="n">
        <v>0</v>
      </c>
      <c r="J57" s="9" t="n">
        <v>0</v>
      </c>
    </row>
    <row r="58" customFormat="false" ht="15.75" hidden="false" customHeight="false" outlineLevel="0" collapsed="false">
      <c r="A58" s="7" t="s">
        <v>66</v>
      </c>
      <c r="B58" s="7" t="n">
        <v>4</v>
      </c>
      <c r="C58" s="9" t="n">
        <v>1608</v>
      </c>
      <c r="D58" s="9" t="n">
        <v>22734165</v>
      </c>
      <c r="E58" s="9" t="n">
        <v>4212</v>
      </c>
      <c r="F58" s="9" t="n">
        <v>61263540</v>
      </c>
      <c r="G58" s="9" t="n">
        <v>396</v>
      </c>
      <c r="H58" s="9" t="n">
        <v>5715308</v>
      </c>
      <c r="I58" s="9" t="n">
        <v>5424</v>
      </c>
      <c r="J58" s="9" t="n">
        <v>78282397</v>
      </c>
    </row>
    <row r="59" customFormat="false" ht="15.75" hidden="false" customHeight="false" outlineLevel="0" collapsed="false">
      <c r="A59" s="7" t="s">
        <v>67</v>
      </c>
      <c r="B59" s="7" t="n">
        <v>4</v>
      </c>
      <c r="C59" s="9" t="n">
        <v>184</v>
      </c>
      <c r="D59" s="9" t="n">
        <v>1854600</v>
      </c>
      <c r="E59" s="9" t="n">
        <v>0</v>
      </c>
      <c r="F59" s="9" t="n">
        <v>0</v>
      </c>
      <c r="G59" s="9" t="n">
        <v>0</v>
      </c>
      <c r="H59" s="9" t="n">
        <v>0</v>
      </c>
      <c r="I59" s="9" t="n">
        <v>184</v>
      </c>
      <c r="J59" s="9" t="n">
        <v>1854600</v>
      </c>
    </row>
    <row r="60" customFormat="false" ht="15.75" hidden="false" customHeight="false" outlineLevel="0" collapsed="false">
      <c r="A60" s="7" t="s">
        <v>68</v>
      </c>
      <c r="B60" s="7" t="n">
        <v>4</v>
      </c>
      <c r="C60" s="9" t="n">
        <v>120</v>
      </c>
      <c r="D60" s="9" t="n">
        <v>5236320</v>
      </c>
      <c r="E60" s="9" t="n">
        <v>120</v>
      </c>
      <c r="F60" s="9" t="n">
        <v>5236320</v>
      </c>
      <c r="G60" s="9" t="n">
        <v>0</v>
      </c>
      <c r="H60" s="9" t="n">
        <v>0</v>
      </c>
      <c r="I60" s="9" t="n">
        <v>240</v>
      </c>
      <c r="J60" s="9" t="n">
        <v>10472640</v>
      </c>
    </row>
    <row r="61" customFormat="false" ht="15.75" hidden="false" customHeight="false" outlineLevel="0" collapsed="false">
      <c r="A61" s="7" t="s">
        <v>69</v>
      </c>
      <c r="B61" s="7" t="n">
        <v>4</v>
      </c>
      <c r="C61" s="9" t="n">
        <v>0</v>
      </c>
      <c r="D61" s="9" t="n">
        <v>0</v>
      </c>
      <c r="E61" s="9" t="n">
        <v>0</v>
      </c>
      <c r="F61" s="9" t="n">
        <v>0</v>
      </c>
      <c r="G61" s="9" t="n">
        <v>0</v>
      </c>
      <c r="H61" s="9" t="n">
        <v>0</v>
      </c>
      <c r="I61" s="9" t="n">
        <v>0</v>
      </c>
      <c r="J61" s="9" t="n">
        <v>0</v>
      </c>
    </row>
    <row r="62" customFormat="false" ht="15.75" hidden="false" customHeight="false" outlineLevel="0" collapsed="false">
      <c r="A62" s="7" t="s">
        <v>70</v>
      </c>
      <c r="B62" s="7" t="n">
        <v>4</v>
      </c>
      <c r="C62" s="9" t="n">
        <v>0</v>
      </c>
      <c r="D62" s="9" t="n">
        <v>0</v>
      </c>
      <c r="E62" s="9" t="n">
        <v>0</v>
      </c>
      <c r="F62" s="9" t="n">
        <v>0</v>
      </c>
      <c r="G62" s="9" t="n">
        <v>0</v>
      </c>
      <c r="H62" s="9" t="n">
        <v>0</v>
      </c>
      <c r="I62" s="9" t="n">
        <v>0</v>
      </c>
      <c r="J62" s="9" t="n">
        <v>0</v>
      </c>
    </row>
    <row r="63" customFormat="false" ht="15.75" hidden="false" customHeight="false" outlineLevel="0" collapsed="false">
      <c r="A63" s="7" t="s">
        <v>71</v>
      </c>
      <c r="B63" s="7" t="n">
        <v>4</v>
      </c>
      <c r="C63" s="9" t="n">
        <v>480</v>
      </c>
      <c r="D63" s="9" t="n">
        <v>6981600</v>
      </c>
      <c r="E63" s="9" t="n">
        <v>360</v>
      </c>
      <c r="F63" s="9" t="n">
        <v>5236200</v>
      </c>
      <c r="G63" s="9" t="n">
        <v>0</v>
      </c>
      <c r="H63" s="9" t="n">
        <v>0</v>
      </c>
      <c r="I63" s="9" t="n">
        <v>840</v>
      </c>
      <c r="J63" s="9" t="n">
        <v>12217800</v>
      </c>
    </row>
    <row r="64" customFormat="false" ht="15.75" hidden="false" customHeight="false" outlineLevel="0" collapsed="false">
      <c r="A64" s="7" t="s">
        <v>72</v>
      </c>
      <c r="B64" s="7" t="n">
        <v>4</v>
      </c>
      <c r="C64" s="9" t="n">
        <v>2176</v>
      </c>
      <c r="D64" s="9" t="n">
        <v>43378242</v>
      </c>
      <c r="E64" s="9" t="n">
        <v>6</v>
      </c>
      <c r="F64" s="9" t="n">
        <v>0</v>
      </c>
      <c r="G64" s="9" t="n">
        <v>240</v>
      </c>
      <c r="H64" s="9" t="n">
        <v>4771209</v>
      </c>
      <c r="I64" s="9" t="n">
        <v>1942</v>
      </c>
      <c r="J64" s="9" t="n">
        <v>38607033</v>
      </c>
    </row>
    <row r="65" customFormat="false" ht="15.75" hidden="false" customHeight="false" outlineLevel="0" collapsed="false">
      <c r="A65" s="7" t="s">
        <v>73</v>
      </c>
      <c r="B65" s="7" t="n">
        <v>4</v>
      </c>
      <c r="C65" s="9" t="n">
        <v>2604</v>
      </c>
      <c r="D65" s="9" t="n">
        <v>80487036</v>
      </c>
      <c r="E65" s="9" t="n">
        <v>0</v>
      </c>
      <c r="F65" s="9" t="n">
        <v>0</v>
      </c>
      <c r="G65" s="9" t="n">
        <v>120</v>
      </c>
      <c r="H65" s="9" t="n">
        <v>3709080</v>
      </c>
      <c r="I65" s="9" t="n">
        <v>2484</v>
      </c>
      <c r="J65" s="9" t="n">
        <v>76777956</v>
      </c>
    </row>
    <row r="66" customFormat="false" ht="15.75" hidden="false" customHeight="false" outlineLevel="0" collapsed="false">
      <c r="A66" s="7" t="s">
        <v>74</v>
      </c>
      <c r="B66" s="7" t="n">
        <v>4</v>
      </c>
      <c r="C66" s="9" t="n">
        <v>36</v>
      </c>
      <c r="D66" s="9" t="n">
        <v>478852</v>
      </c>
      <c r="E66" s="9" t="n">
        <v>1920</v>
      </c>
      <c r="F66" s="9" t="n">
        <v>26181120</v>
      </c>
      <c r="G66" s="9" t="n">
        <v>1680</v>
      </c>
      <c r="H66" s="9" t="n">
        <v>22898135</v>
      </c>
      <c r="I66" s="9" t="n">
        <v>276</v>
      </c>
      <c r="J66" s="9" t="n">
        <v>3761837</v>
      </c>
    </row>
    <row r="67" customFormat="false" ht="15.75" hidden="false" customHeight="false" outlineLevel="0" collapsed="false">
      <c r="A67" s="7" t="s">
        <v>75</v>
      </c>
      <c r="B67" s="7" t="n">
        <v>4</v>
      </c>
      <c r="C67" s="9" t="n">
        <v>2960</v>
      </c>
      <c r="D67" s="9" t="n">
        <v>994560</v>
      </c>
      <c r="E67" s="9" t="n">
        <v>1600</v>
      </c>
      <c r="F67" s="9" t="n">
        <v>537600</v>
      </c>
      <c r="G67" s="9" t="n">
        <v>0</v>
      </c>
      <c r="H67" s="9" t="n">
        <v>0</v>
      </c>
      <c r="I67" s="9" t="n">
        <v>4560</v>
      </c>
      <c r="J67" s="9" t="n">
        <v>1532160</v>
      </c>
    </row>
    <row r="68" customFormat="false" ht="15.75" hidden="false" customHeight="false" outlineLevel="0" collapsed="false">
      <c r="A68" s="7" t="s">
        <v>76</v>
      </c>
      <c r="B68" s="7" t="n">
        <v>4</v>
      </c>
      <c r="C68" s="9" t="n">
        <v>0</v>
      </c>
      <c r="D68" s="9" t="n">
        <v>0</v>
      </c>
      <c r="E68" s="9" t="n">
        <v>36</v>
      </c>
      <c r="F68" s="9" t="n">
        <v>1816380</v>
      </c>
      <c r="G68" s="9" t="n">
        <v>0</v>
      </c>
      <c r="H68" s="9" t="n">
        <v>0</v>
      </c>
      <c r="I68" s="9" t="n">
        <v>36</v>
      </c>
      <c r="J68" s="9" t="n">
        <v>1816380</v>
      </c>
    </row>
    <row r="69" customFormat="false" ht="15.75" hidden="false" customHeight="false" outlineLevel="0" collapsed="false">
      <c r="A69" s="7" t="s">
        <v>77</v>
      </c>
      <c r="B69" s="7" t="n">
        <v>4</v>
      </c>
      <c r="C69" s="9" t="n">
        <v>0</v>
      </c>
      <c r="D69" s="9" t="n">
        <v>0</v>
      </c>
      <c r="E69" s="9" t="n">
        <v>240</v>
      </c>
      <c r="F69" s="9" t="n">
        <v>1309200</v>
      </c>
      <c r="G69" s="9" t="n">
        <v>0</v>
      </c>
      <c r="H69" s="9" t="n">
        <v>0</v>
      </c>
      <c r="I69" s="9" t="n">
        <v>240</v>
      </c>
      <c r="J69" s="9" t="n">
        <v>1309200</v>
      </c>
    </row>
    <row r="70" customFormat="false" ht="15.75" hidden="false" customHeight="false" outlineLevel="0" collapsed="false">
      <c r="A70" s="7" t="s">
        <v>78</v>
      </c>
      <c r="B70" s="7" t="n">
        <v>4</v>
      </c>
      <c r="C70" s="9" t="n">
        <v>3026</v>
      </c>
      <c r="D70" s="9" t="n">
        <v>16896064</v>
      </c>
      <c r="E70" s="9" t="n">
        <v>1680</v>
      </c>
      <c r="F70" s="9" t="n">
        <v>16800000</v>
      </c>
      <c r="G70" s="9" t="n">
        <v>2904</v>
      </c>
      <c r="H70" s="9" t="n">
        <v>20793321</v>
      </c>
      <c r="I70" s="9" t="n">
        <v>1802</v>
      </c>
      <c r="J70" s="9" t="n">
        <v>12902743</v>
      </c>
    </row>
    <row r="71" customFormat="false" ht="15.75" hidden="false" customHeight="false" outlineLevel="0" collapsed="false">
      <c r="A71" s="7" t="s">
        <v>79</v>
      </c>
      <c r="B71" s="7" t="n">
        <v>4</v>
      </c>
      <c r="C71" s="9" t="n">
        <v>331</v>
      </c>
      <c r="D71" s="9" t="n">
        <v>5863500</v>
      </c>
      <c r="E71" s="9" t="n">
        <v>480</v>
      </c>
      <c r="F71" s="9" t="n">
        <v>9381600</v>
      </c>
      <c r="G71" s="9" t="n">
        <v>0</v>
      </c>
      <c r="H71" s="9" t="n">
        <v>0</v>
      </c>
      <c r="I71" s="9" t="n">
        <v>811</v>
      </c>
      <c r="J71" s="9" t="n">
        <v>15245100</v>
      </c>
    </row>
    <row r="72" customFormat="false" ht="15.75" hidden="false" customHeight="false" outlineLevel="0" collapsed="false">
      <c r="A72" s="7" t="s">
        <v>80</v>
      </c>
      <c r="B72" s="7" t="n">
        <v>4</v>
      </c>
      <c r="C72" s="9" t="n">
        <v>216</v>
      </c>
      <c r="D72" s="9" t="n">
        <v>2760826</v>
      </c>
      <c r="E72" s="9" t="n">
        <v>0</v>
      </c>
      <c r="F72" s="9" t="n">
        <v>0</v>
      </c>
      <c r="G72" s="9" t="n">
        <v>0</v>
      </c>
      <c r="H72" s="9" t="n">
        <v>0</v>
      </c>
      <c r="I72" s="9" t="n">
        <v>216</v>
      </c>
      <c r="J72" s="9" t="n">
        <v>2760826</v>
      </c>
    </row>
    <row r="73" customFormat="false" ht="15.75" hidden="false" customHeight="false" outlineLevel="0" collapsed="false">
      <c r="A73" s="7" t="s">
        <v>81</v>
      </c>
      <c r="B73" s="7" t="n">
        <v>4</v>
      </c>
      <c r="C73" s="9" t="n">
        <v>900</v>
      </c>
      <c r="D73" s="9" t="n">
        <v>13090500</v>
      </c>
      <c r="E73" s="9" t="n">
        <v>432</v>
      </c>
      <c r="F73" s="9" t="n">
        <v>6283440</v>
      </c>
      <c r="G73" s="9" t="n">
        <v>0</v>
      </c>
      <c r="H73" s="9" t="n">
        <v>0</v>
      </c>
      <c r="I73" s="9" t="n">
        <v>1332</v>
      </c>
      <c r="J73" s="9" t="n">
        <v>19373940</v>
      </c>
    </row>
    <row r="74" customFormat="false" ht="15.75" hidden="false" customHeight="false" outlineLevel="0" collapsed="false">
      <c r="A74" s="7" t="s">
        <v>82</v>
      </c>
      <c r="B74" s="7" t="n">
        <v>4</v>
      </c>
      <c r="C74" s="9" t="n">
        <v>1800</v>
      </c>
      <c r="D74" s="9" t="n">
        <v>12763800</v>
      </c>
      <c r="E74" s="9" t="n">
        <v>2160</v>
      </c>
      <c r="F74" s="9" t="n">
        <v>15316560</v>
      </c>
      <c r="G74" s="9" t="n">
        <v>0</v>
      </c>
      <c r="H74" s="9" t="n">
        <v>0</v>
      </c>
      <c r="I74" s="9" t="n">
        <v>3960</v>
      </c>
      <c r="J74" s="9" t="n">
        <v>28080360</v>
      </c>
    </row>
    <row r="75" customFormat="false" ht="15.75" hidden="false" customHeight="false" outlineLevel="0" collapsed="false">
      <c r="A75" s="7" t="s">
        <v>83</v>
      </c>
      <c r="B75" s="7" t="n">
        <v>4</v>
      </c>
      <c r="C75" s="9" t="n">
        <v>1584</v>
      </c>
      <c r="D75" s="9" t="n">
        <v>11520432</v>
      </c>
      <c r="E75" s="9" t="n">
        <v>0</v>
      </c>
      <c r="F75" s="9" t="n">
        <v>0</v>
      </c>
      <c r="G75" s="9" t="n">
        <v>0</v>
      </c>
      <c r="H75" s="9" t="n">
        <v>0</v>
      </c>
      <c r="I75" s="9" t="n">
        <v>1584</v>
      </c>
      <c r="J75" s="9" t="n">
        <v>11520432</v>
      </c>
    </row>
    <row r="76" customFormat="false" ht="15.75" hidden="false" customHeight="false" outlineLevel="0" collapsed="false">
      <c r="A76" s="7" t="s">
        <v>84</v>
      </c>
      <c r="B76" s="7" t="n">
        <v>4</v>
      </c>
      <c r="C76" s="9" t="n">
        <v>9736</v>
      </c>
      <c r="D76" s="9" t="n">
        <v>275215302</v>
      </c>
      <c r="E76" s="9" t="n">
        <v>14400</v>
      </c>
      <c r="F76" s="9" t="n">
        <v>412358400</v>
      </c>
      <c r="G76" s="9" t="n">
        <v>5592</v>
      </c>
      <c r="H76" s="9" t="n">
        <v>159301961</v>
      </c>
      <c r="I76" s="9" t="n">
        <v>18544</v>
      </c>
      <c r="J76" s="9" t="n">
        <v>528271741</v>
      </c>
    </row>
    <row r="77" customFormat="false" ht="15.75" hidden="false" customHeight="false" outlineLevel="0" collapsed="false">
      <c r="A77" s="7" t="s">
        <v>85</v>
      </c>
      <c r="B77" s="7" t="n">
        <v>4</v>
      </c>
      <c r="C77" s="9" t="n">
        <v>10592</v>
      </c>
      <c r="D77" s="9" t="n">
        <v>91689488</v>
      </c>
      <c r="E77" s="9" t="n">
        <v>18000</v>
      </c>
      <c r="F77" s="9" t="n">
        <v>158724000</v>
      </c>
      <c r="G77" s="9" t="n">
        <v>5112</v>
      </c>
      <c r="H77" s="9" t="n">
        <v>44771746</v>
      </c>
      <c r="I77" s="9" t="n">
        <v>23480</v>
      </c>
      <c r="J77" s="9" t="n">
        <v>205641742</v>
      </c>
    </row>
    <row r="78" customFormat="false" ht="15.75" hidden="false" customHeight="false" outlineLevel="0" collapsed="false">
      <c r="A78" s="7" t="s">
        <v>86</v>
      </c>
      <c r="B78" s="7" t="n">
        <v>4</v>
      </c>
      <c r="C78" s="9" t="n">
        <v>31683</v>
      </c>
      <c r="D78" s="9" t="n">
        <v>219194164</v>
      </c>
      <c r="E78" s="9" t="n">
        <v>28800</v>
      </c>
      <c r="F78" s="9" t="n">
        <v>204220800</v>
      </c>
      <c r="G78" s="9" t="n">
        <v>15017</v>
      </c>
      <c r="H78" s="9" t="n">
        <v>105127433</v>
      </c>
      <c r="I78" s="9" t="n">
        <v>45466</v>
      </c>
      <c r="J78" s="9" t="n">
        <v>318287531</v>
      </c>
    </row>
    <row r="79" customFormat="false" ht="15.75" hidden="false" customHeight="false" outlineLevel="0" collapsed="false">
      <c r="A79" s="7" t="s">
        <v>87</v>
      </c>
      <c r="B79" s="7" t="n">
        <v>4</v>
      </c>
      <c r="C79" s="9" t="n">
        <v>2640</v>
      </c>
      <c r="D79" s="9" t="n">
        <v>43735696</v>
      </c>
      <c r="E79" s="9" t="n">
        <v>8460</v>
      </c>
      <c r="F79" s="9" t="n">
        <v>142280280</v>
      </c>
      <c r="G79" s="9" t="n">
        <v>2016</v>
      </c>
      <c r="H79" s="9" t="n">
        <v>33784523</v>
      </c>
      <c r="I79" s="9" t="n">
        <v>9084</v>
      </c>
      <c r="J79" s="9" t="n">
        <v>152231453</v>
      </c>
    </row>
    <row r="80" customFormat="false" ht="15.75" hidden="false" customHeight="false" outlineLevel="0" collapsed="false">
      <c r="A80" s="7" t="s">
        <v>88</v>
      </c>
      <c r="B80" s="7" t="n">
        <v>4</v>
      </c>
      <c r="C80" s="9" t="n">
        <v>0</v>
      </c>
      <c r="D80" s="9" t="n">
        <v>0</v>
      </c>
      <c r="E80" s="9" t="n">
        <v>768</v>
      </c>
      <c r="F80" s="9" t="n">
        <v>16058112</v>
      </c>
      <c r="G80" s="9" t="n">
        <v>0</v>
      </c>
      <c r="H80" s="9" t="n">
        <v>0</v>
      </c>
      <c r="I80" s="9" t="n">
        <v>768</v>
      </c>
      <c r="J80" s="9" t="n">
        <v>16058112</v>
      </c>
    </row>
    <row r="81" customFormat="false" ht="15.75" hidden="false" customHeight="false" outlineLevel="0" collapsed="false">
      <c r="A81" s="7" t="s">
        <v>89</v>
      </c>
      <c r="B81" s="7" t="n">
        <v>4</v>
      </c>
      <c r="C81" s="9" t="n">
        <v>480</v>
      </c>
      <c r="D81" s="9" t="n">
        <v>10908960</v>
      </c>
      <c r="E81" s="9" t="n">
        <v>300</v>
      </c>
      <c r="F81" s="9" t="n">
        <v>6818100</v>
      </c>
      <c r="G81" s="9" t="n">
        <v>0</v>
      </c>
      <c r="H81" s="9" t="n">
        <v>0</v>
      </c>
      <c r="I81" s="9" t="n">
        <v>780</v>
      </c>
      <c r="J81" s="9" t="n">
        <v>17727060</v>
      </c>
    </row>
    <row r="82" customFormat="false" ht="15.75" hidden="false" customHeight="false" outlineLevel="0" collapsed="false">
      <c r="A82" s="7" t="s">
        <v>90</v>
      </c>
      <c r="B82" s="7" t="n">
        <v>4</v>
      </c>
      <c r="C82" s="9" t="n">
        <v>1554</v>
      </c>
      <c r="D82" s="9" t="n">
        <v>77588817</v>
      </c>
      <c r="E82" s="9" t="n">
        <v>2820</v>
      </c>
      <c r="F82" s="9" t="n">
        <v>141000000</v>
      </c>
      <c r="G82" s="9" t="n">
        <v>1092</v>
      </c>
      <c r="H82" s="9" t="n">
        <v>54572243</v>
      </c>
      <c r="I82" s="9" t="n">
        <v>3282</v>
      </c>
      <c r="J82" s="9" t="n">
        <v>164016574</v>
      </c>
    </row>
    <row r="83" customFormat="false" ht="15.75" hidden="false" customHeight="false" outlineLevel="0" collapsed="false">
      <c r="A83" s="7" t="s">
        <v>91</v>
      </c>
      <c r="B83" s="7" t="n">
        <v>4</v>
      </c>
      <c r="C83" s="9" t="n">
        <v>3392</v>
      </c>
      <c r="D83" s="9" t="n">
        <v>25649964</v>
      </c>
      <c r="E83" s="9" t="n">
        <v>8400</v>
      </c>
      <c r="F83" s="9" t="n">
        <v>74071200</v>
      </c>
      <c r="G83" s="9" t="n">
        <v>2208</v>
      </c>
      <c r="H83" s="9" t="n">
        <v>18672348</v>
      </c>
      <c r="I83" s="9" t="n">
        <v>9584</v>
      </c>
      <c r="J83" s="9" t="n">
        <v>81048816</v>
      </c>
    </row>
    <row r="84" customFormat="false" ht="15.75" hidden="false" customHeight="false" outlineLevel="0" collapsed="false">
      <c r="A84" s="7" t="s">
        <v>92</v>
      </c>
      <c r="B84" s="7" t="n">
        <v>4</v>
      </c>
      <c r="C84" s="9" t="n">
        <v>19200</v>
      </c>
      <c r="D84" s="9" t="n">
        <v>9254400</v>
      </c>
      <c r="E84" s="9" t="n">
        <v>12800</v>
      </c>
      <c r="F84" s="9" t="n">
        <v>6169600</v>
      </c>
      <c r="G84" s="9" t="n">
        <v>13600</v>
      </c>
      <c r="H84" s="9" t="n">
        <v>6555200</v>
      </c>
      <c r="I84" s="9" t="n">
        <v>18400</v>
      </c>
      <c r="J84" s="9" t="n">
        <v>8868800</v>
      </c>
    </row>
    <row r="85" customFormat="false" ht="15.75" hidden="false" customHeight="false" outlineLevel="0" collapsed="false">
      <c r="A85" s="7" t="s">
        <v>93</v>
      </c>
      <c r="B85" s="7" t="n">
        <v>4</v>
      </c>
      <c r="C85" s="9" t="n">
        <v>180</v>
      </c>
      <c r="D85" s="9" t="n">
        <v>9000000</v>
      </c>
      <c r="E85" s="9" t="n">
        <v>144</v>
      </c>
      <c r="F85" s="9" t="n">
        <v>7200000</v>
      </c>
      <c r="G85" s="9" t="n">
        <v>0</v>
      </c>
      <c r="H85" s="9" t="n">
        <v>0</v>
      </c>
      <c r="I85" s="9" t="n">
        <v>324</v>
      </c>
      <c r="J85" s="9" t="n">
        <v>16200000</v>
      </c>
    </row>
    <row r="86" customFormat="false" ht="15.75" hidden="false" customHeight="false" outlineLevel="0" collapsed="false">
      <c r="A86" s="7" t="s">
        <v>94</v>
      </c>
      <c r="B86" s="7" t="n">
        <v>4</v>
      </c>
      <c r="C86" s="9" t="n">
        <v>72</v>
      </c>
      <c r="D86" s="9" t="n">
        <v>634896</v>
      </c>
      <c r="E86" s="9" t="n">
        <v>144</v>
      </c>
      <c r="F86" s="9" t="n">
        <v>1269792</v>
      </c>
      <c r="G86" s="9" t="n">
        <v>0</v>
      </c>
      <c r="H86" s="9" t="n">
        <v>0</v>
      </c>
      <c r="I86" s="9" t="n">
        <v>216</v>
      </c>
      <c r="J86" s="9" t="n">
        <v>1904688</v>
      </c>
    </row>
    <row r="87" customFormat="false" ht="15.75" hidden="false" customHeight="false" outlineLevel="0" collapsed="false">
      <c r="A87" s="7" t="s">
        <v>95</v>
      </c>
      <c r="B87" s="7" t="n">
        <v>4</v>
      </c>
      <c r="C87" s="9" t="n">
        <v>720</v>
      </c>
      <c r="D87" s="9" t="n">
        <v>5760000</v>
      </c>
      <c r="E87" s="9" t="n">
        <v>288</v>
      </c>
      <c r="F87" s="9" t="n">
        <v>2304000</v>
      </c>
      <c r="G87" s="9" t="n">
        <v>0</v>
      </c>
      <c r="H87" s="9" t="n">
        <v>0</v>
      </c>
      <c r="I87" s="9" t="n">
        <v>1008</v>
      </c>
      <c r="J87" s="9" t="n">
        <v>8064000</v>
      </c>
    </row>
    <row r="88" customFormat="false" ht="15.75" hidden="false" customHeight="false" outlineLevel="0" collapsed="false">
      <c r="A88" s="7" t="s">
        <v>96</v>
      </c>
      <c r="B88" s="7" t="n">
        <v>4</v>
      </c>
      <c r="C88" s="9" t="n">
        <v>255</v>
      </c>
      <c r="D88" s="9" t="n">
        <v>27288359</v>
      </c>
      <c r="E88" s="9" t="n">
        <v>141</v>
      </c>
      <c r="F88" s="9" t="n">
        <v>15125493</v>
      </c>
      <c r="G88" s="9" t="n">
        <v>0</v>
      </c>
      <c r="H88" s="9" t="n">
        <v>0</v>
      </c>
      <c r="I88" s="9" t="n">
        <v>396</v>
      </c>
      <c r="J88" s="9" t="n">
        <v>42413852</v>
      </c>
    </row>
    <row r="89" customFormat="false" ht="15.75" hidden="false" customHeight="false" outlineLevel="0" collapsed="false">
      <c r="A89" s="7" t="s">
        <v>97</v>
      </c>
      <c r="B89" s="7" t="n">
        <v>4</v>
      </c>
      <c r="C89" s="9" t="n">
        <v>24000</v>
      </c>
      <c r="D89" s="9" t="n">
        <v>11568000</v>
      </c>
      <c r="E89" s="9" t="n">
        <v>12800</v>
      </c>
      <c r="F89" s="9" t="n">
        <v>6169600</v>
      </c>
      <c r="G89" s="9" t="n">
        <v>13600</v>
      </c>
      <c r="H89" s="9" t="n">
        <v>6555200</v>
      </c>
      <c r="I89" s="9" t="n">
        <v>23200</v>
      </c>
      <c r="J89" s="9" t="n">
        <v>11182400</v>
      </c>
    </row>
    <row r="90" customFormat="false" ht="15.75" hidden="false" customHeight="false" outlineLevel="0" collapsed="false">
      <c r="A90" s="7" t="s">
        <v>98</v>
      </c>
      <c r="B90" s="7" t="n">
        <v>4</v>
      </c>
      <c r="C90" s="9" t="n">
        <v>1920</v>
      </c>
      <c r="D90" s="9" t="n">
        <v>18675840</v>
      </c>
      <c r="E90" s="9" t="n">
        <v>1128</v>
      </c>
      <c r="F90" s="9" t="n">
        <v>10972056</v>
      </c>
      <c r="G90" s="9" t="n">
        <v>0</v>
      </c>
      <c r="H90" s="9" t="n">
        <v>0</v>
      </c>
      <c r="I90" s="9" t="n">
        <v>3048</v>
      </c>
      <c r="J90" s="9" t="n">
        <v>29647896</v>
      </c>
    </row>
    <row r="91" customFormat="false" ht="15.75" hidden="false" customHeight="false" outlineLevel="0" collapsed="false">
      <c r="A91" s="7" t="s">
        <v>99</v>
      </c>
      <c r="B91" s="7" t="n">
        <v>4</v>
      </c>
      <c r="C91" s="9" t="n">
        <v>0</v>
      </c>
      <c r="D91" s="9" t="n">
        <v>0</v>
      </c>
      <c r="E91" s="9" t="n">
        <v>0</v>
      </c>
      <c r="F91" s="9" t="n">
        <v>0</v>
      </c>
      <c r="G91" s="9" t="n">
        <v>0</v>
      </c>
      <c r="H91" s="9" t="n">
        <v>0</v>
      </c>
      <c r="I91" s="9" t="n">
        <v>0</v>
      </c>
      <c r="J91" s="9" t="n">
        <v>0</v>
      </c>
    </row>
    <row r="92" customFormat="false" ht="15.75" hidden="false" customHeight="false" outlineLevel="0" collapsed="false">
      <c r="A92" s="7" t="s">
        <v>100</v>
      </c>
      <c r="B92" s="7" t="n">
        <v>4</v>
      </c>
      <c r="C92" s="9" t="n">
        <v>1884</v>
      </c>
      <c r="D92" s="9" t="n">
        <v>88665927</v>
      </c>
      <c r="E92" s="9" t="n">
        <v>2580</v>
      </c>
      <c r="F92" s="9" t="n">
        <v>127826100</v>
      </c>
      <c r="G92" s="9" t="n">
        <v>1032</v>
      </c>
      <c r="H92" s="9" t="n">
        <v>50049232</v>
      </c>
      <c r="I92" s="9" t="n">
        <v>3432</v>
      </c>
      <c r="J92" s="9" t="n">
        <v>166442795</v>
      </c>
    </row>
    <row r="93" customFormat="false" ht="15.75" hidden="false" customHeight="false" outlineLevel="0" collapsed="false">
      <c r="A93" s="7" t="s">
        <v>101</v>
      </c>
      <c r="B93" s="7" t="n">
        <v>4</v>
      </c>
      <c r="C93" s="9" t="n">
        <v>6856</v>
      </c>
      <c r="D93" s="9" t="n">
        <v>40133679</v>
      </c>
      <c r="E93" s="9" t="n">
        <v>8424</v>
      </c>
      <c r="F93" s="9" t="n">
        <v>74300280</v>
      </c>
      <c r="G93" s="9" t="n">
        <v>9696</v>
      </c>
      <c r="H93" s="9" t="n">
        <v>72614638</v>
      </c>
      <c r="I93" s="9" t="n">
        <v>5584</v>
      </c>
      <c r="J93" s="9" t="n">
        <v>41819321</v>
      </c>
    </row>
    <row r="94" customFormat="false" ht="15.75" hidden="false" customHeight="false" outlineLevel="0" collapsed="false">
      <c r="A94" s="7" t="s">
        <v>102</v>
      </c>
      <c r="B94" s="7" t="n">
        <v>4</v>
      </c>
      <c r="C94" s="9" t="n">
        <v>1296</v>
      </c>
      <c r="D94" s="9" t="n">
        <v>29455546</v>
      </c>
      <c r="E94" s="9" t="n">
        <v>840</v>
      </c>
      <c r="F94" s="9" t="n">
        <v>19090680</v>
      </c>
      <c r="G94" s="9" t="n">
        <v>0</v>
      </c>
      <c r="H94" s="9" t="n">
        <v>0</v>
      </c>
      <c r="I94" s="9" t="n">
        <v>2136</v>
      </c>
      <c r="J94" s="9" t="n">
        <v>48546226</v>
      </c>
    </row>
    <row r="95" customFormat="false" ht="15.75" hidden="false" customHeight="false" outlineLevel="0" collapsed="false">
      <c r="A95" s="7" t="s">
        <v>103</v>
      </c>
      <c r="B95" s="7" t="n">
        <v>4</v>
      </c>
      <c r="C95" s="9" t="n">
        <v>1680</v>
      </c>
      <c r="D95" s="9" t="n">
        <v>21687120</v>
      </c>
      <c r="E95" s="9" t="n">
        <v>0</v>
      </c>
      <c r="F95" s="9" t="n">
        <v>0</v>
      </c>
      <c r="G95" s="9" t="n">
        <v>0</v>
      </c>
      <c r="H95" s="9" t="n">
        <v>0</v>
      </c>
      <c r="I95" s="9" t="n">
        <v>1680</v>
      </c>
      <c r="J95" s="9" t="n">
        <v>21687120</v>
      </c>
    </row>
    <row r="96" customFormat="false" ht="15.75" hidden="false" customHeight="false" outlineLevel="0" collapsed="false">
      <c r="A96" s="7" t="s">
        <v>104</v>
      </c>
      <c r="B96" s="7" t="n">
        <v>4</v>
      </c>
      <c r="C96" s="9" t="n">
        <v>240</v>
      </c>
      <c r="D96" s="9" t="n">
        <v>4363680</v>
      </c>
      <c r="E96" s="9" t="n">
        <v>120</v>
      </c>
      <c r="F96" s="9" t="n">
        <v>2181840</v>
      </c>
      <c r="G96" s="9" t="n">
        <v>0</v>
      </c>
      <c r="H96" s="9" t="n">
        <v>0</v>
      </c>
      <c r="I96" s="9" t="n">
        <v>360</v>
      </c>
      <c r="J96" s="9" t="n">
        <v>6545520</v>
      </c>
    </row>
    <row r="97" customFormat="false" ht="15.75" hidden="false" customHeight="false" outlineLevel="0" collapsed="false">
      <c r="A97" s="7" t="s">
        <v>105</v>
      </c>
      <c r="B97" s="7" t="n">
        <v>4</v>
      </c>
      <c r="C97" s="9" t="n">
        <v>240</v>
      </c>
      <c r="D97" s="9" t="n">
        <v>11961180</v>
      </c>
      <c r="E97" s="9" t="n">
        <v>120</v>
      </c>
      <c r="F97" s="9" t="n">
        <v>6000000</v>
      </c>
      <c r="G97" s="9" t="n">
        <v>0</v>
      </c>
      <c r="H97" s="9" t="n">
        <v>0</v>
      </c>
      <c r="I97" s="9" t="n">
        <v>360</v>
      </c>
      <c r="J97" s="9" t="n">
        <v>17961180</v>
      </c>
    </row>
    <row r="98" customFormat="false" ht="15.75" hidden="false" customHeight="false" outlineLevel="0" collapsed="false">
      <c r="A98" s="7" t="s">
        <v>106</v>
      </c>
      <c r="B98" s="7" t="n">
        <v>4</v>
      </c>
      <c r="C98" s="9" t="n">
        <v>480</v>
      </c>
      <c r="D98" s="9" t="n">
        <v>4232640</v>
      </c>
      <c r="E98" s="9" t="n">
        <v>360</v>
      </c>
      <c r="F98" s="9" t="n">
        <v>3174480</v>
      </c>
      <c r="G98" s="9" t="n">
        <v>0</v>
      </c>
      <c r="H98" s="9" t="n">
        <v>0</v>
      </c>
      <c r="I98" s="9" t="n">
        <v>840</v>
      </c>
      <c r="J98" s="9" t="n">
        <v>7407120</v>
      </c>
    </row>
    <row r="99" customFormat="false" ht="15.75" hidden="false" customHeight="false" outlineLevel="0" collapsed="false">
      <c r="A99" s="7" t="s">
        <v>107</v>
      </c>
      <c r="B99" s="7" t="n">
        <v>4</v>
      </c>
      <c r="C99" s="9" t="n">
        <v>340</v>
      </c>
      <c r="D99" s="9" t="n">
        <v>1341900</v>
      </c>
      <c r="E99" s="9" t="n">
        <v>0</v>
      </c>
      <c r="F99" s="9" t="n">
        <v>0</v>
      </c>
      <c r="G99" s="9" t="n">
        <v>0</v>
      </c>
      <c r="H99" s="9" t="n">
        <v>0</v>
      </c>
      <c r="I99" s="9" t="n">
        <v>340</v>
      </c>
      <c r="J99" s="9" t="n">
        <v>1341900</v>
      </c>
    </row>
    <row r="100" customFormat="false" ht="15.75" hidden="false" customHeight="false" outlineLevel="0" collapsed="false">
      <c r="A100" s="7" t="s">
        <v>108</v>
      </c>
      <c r="B100" s="7" t="n">
        <v>4</v>
      </c>
      <c r="C100" s="9" t="n">
        <v>11931</v>
      </c>
      <c r="D100" s="9" t="n">
        <v>78165186</v>
      </c>
      <c r="E100" s="9" t="n">
        <v>14040</v>
      </c>
      <c r="F100" s="9" t="n">
        <v>91891800</v>
      </c>
      <c r="G100" s="9" t="n">
        <v>6012</v>
      </c>
      <c r="H100" s="9" t="n">
        <v>39366316</v>
      </c>
      <c r="I100" s="9" t="n">
        <v>19959</v>
      </c>
      <c r="J100" s="9" t="n">
        <v>130690670</v>
      </c>
    </row>
    <row r="101" customFormat="false" ht="15.75" hidden="false" customHeight="false" outlineLevel="0" collapsed="false">
      <c r="A101" s="7" t="s">
        <v>109</v>
      </c>
      <c r="B101" s="7" t="n">
        <v>4</v>
      </c>
      <c r="C101" s="9" t="n">
        <v>0</v>
      </c>
      <c r="D101" s="9" t="n">
        <v>0</v>
      </c>
      <c r="E101" s="9" t="n">
        <v>0</v>
      </c>
      <c r="F101" s="9" t="n">
        <v>0</v>
      </c>
      <c r="G101" s="9" t="n">
        <v>0</v>
      </c>
      <c r="H101" s="9" t="n">
        <v>0</v>
      </c>
      <c r="I101" s="9" t="n">
        <v>0</v>
      </c>
      <c r="J101" s="9" t="n">
        <v>0</v>
      </c>
    </row>
    <row r="102" customFormat="false" ht="15.75" hidden="false" customHeight="false" outlineLevel="0" collapsed="false">
      <c r="A102" s="7" t="s">
        <v>110</v>
      </c>
      <c r="B102" s="7" t="n">
        <v>4</v>
      </c>
      <c r="C102" s="9" t="n">
        <v>1188</v>
      </c>
      <c r="D102" s="9" t="n">
        <v>19853120</v>
      </c>
      <c r="E102" s="9" t="n">
        <v>1080</v>
      </c>
      <c r="F102" s="9" t="n">
        <v>18163440</v>
      </c>
      <c r="G102" s="9" t="n">
        <v>0</v>
      </c>
      <c r="H102" s="9" t="n">
        <v>0</v>
      </c>
      <c r="I102" s="9" t="n">
        <v>2268</v>
      </c>
      <c r="J102" s="9" t="n">
        <v>38016560</v>
      </c>
    </row>
    <row r="103" customFormat="false" ht="15.75" hidden="false" customHeight="false" outlineLevel="0" collapsed="false">
      <c r="A103" s="7" t="s">
        <v>111</v>
      </c>
      <c r="B103" s="7" t="n">
        <v>4</v>
      </c>
      <c r="C103" s="9" t="n">
        <v>3910</v>
      </c>
      <c r="D103" s="9" t="n">
        <v>30329937</v>
      </c>
      <c r="E103" s="9" t="n">
        <v>9600</v>
      </c>
      <c r="F103" s="9" t="n">
        <v>75052800</v>
      </c>
      <c r="G103" s="9" t="n">
        <v>20</v>
      </c>
      <c r="H103" s="9" t="n">
        <v>156007</v>
      </c>
      <c r="I103" s="9" t="n">
        <v>13490</v>
      </c>
      <c r="J103" s="9" t="n">
        <v>105226730</v>
      </c>
    </row>
    <row r="104" customFormat="false" ht="15.75" hidden="false" customHeight="false" outlineLevel="0" collapsed="false">
      <c r="A104" s="7" t="s">
        <v>112</v>
      </c>
      <c r="B104" s="7" t="n">
        <v>4</v>
      </c>
      <c r="C104" s="9" t="n">
        <v>1080</v>
      </c>
      <c r="D104" s="9" t="n">
        <v>8443440</v>
      </c>
      <c r="E104" s="9" t="n">
        <v>1200</v>
      </c>
      <c r="F104" s="9" t="n">
        <v>9381600</v>
      </c>
      <c r="G104" s="9" t="n">
        <v>0</v>
      </c>
      <c r="H104" s="9" t="n">
        <v>0</v>
      </c>
      <c r="I104" s="9" t="n">
        <v>2280</v>
      </c>
      <c r="J104" s="9" t="n">
        <v>17825040</v>
      </c>
    </row>
    <row r="105" customFormat="false" ht="15.75" hidden="false" customHeight="false" outlineLevel="0" collapsed="false">
      <c r="A105" s="7" t="s">
        <v>113</v>
      </c>
      <c r="B105" s="7" t="n">
        <v>4</v>
      </c>
      <c r="C105" s="9" t="n">
        <v>48</v>
      </c>
      <c r="D105" s="9" t="n">
        <v>741840</v>
      </c>
      <c r="E105" s="9" t="n">
        <v>48</v>
      </c>
      <c r="F105" s="9" t="n">
        <v>741840</v>
      </c>
      <c r="G105" s="9" t="n">
        <v>0</v>
      </c>
      <c r="H105" s="9" t="n">
        <v>0</v>
      </c>
      <c r="I105" s="9" t="n">
        <v>96</v>
      </c>
      <c r="J105" s="9" t="n">
        <v>1483680</v>
      </c>
    </row>
    <row r="106" customFormat="false" ht="15.75" hidden="false" customHeight="false" outlineLevel="0" collapsed="false">
      <c r="A106" s="7" t="s">
        <v>114</v>
      </c>
      <c r="B106" s="7" t="n">
        <v>4</v>
      </c>
      <c r="C106" s="9" t="n">
        <v>120</v>
      </c>
      <c r="D106" s="9" t="n">
        <v>2181840</v>
      </c>
      <c r="E106" s="9" t="n">
        <v>120</v>
      </c>
      <c r="F106" s="9" t="n">
        <v>2181840</v>
      </c>
      <c r="G106" s="9" t="n">
        <v>0</v>
      </c>
      <c r="H106" s="9" t="n">
        <v>0</v>
      </c>
      <c r="I106" s="9" t="n">
        <v>240</v>
      </c>
      <c r="J106" s="9" t="n">
        <v>4363680</v>
      </c>
    </row>
    <row r="107" customFormat="false" ht="15.75" hidden="false" customHeight="false" outlineLevel="0" collapsed="false">
      <c r="A107" s="7" t="s">
        <v>115</v>
      </c>
      <c r="B107" s="7" t="n">
        <v>4</v>
      </c>
      <c r="C107" s="9" t="n">
        <v>0</v>
      </c>
      <c r="D107" s="9" t="n">
        <v>0</v>
      </c>
      <c r="E107" s="9" t="n">
        <v>0</v>
      </c>
      <c r="F107" s="9" t="n">
        <v>0</v>
      </c>
      <c r="G107" s="9" t="n">
        <v>0</v>
      </c>
      <c r="H107" s="9" t="n">
        <v>0</v>
      </c>
      <c r="I107" s="9" t="n">
        <v>0</v>
      </c>
      <c r="J107" s="9" t="n">
        <v>0</v>
      </c>
    </row>
    <row r="108" customFormat="false" ht="15.75" hidden="false" customHeight="false" outlineLevel="0" collapsed="false">
      <c r="A108" s="7" t="s">
        <v>116</v>
      </c>
      <c r="B108" s="7" t="n">
        <v>4</v>
      </c>
      <c r="C108" s="9" t="n">
        <v>0</v>
      </c>
      <c r="D108" s="9" t="n">
        <v>0</v>
      </c>
      <c r="E108" s="9" t="n">
        <v>0</v>
      </c>
      <c r="F108" s="9" t="n">
        <v>0</v>
      </c>
      <c r="G108" s="9" t="n">
        <v>0</v>
      </c>
      <c r="H108" s="9" t="n">
        <v>0</v>
      </c>
      <c r="I108" s="9" t="n">
        <v>0</v>
      </c>
      <c r="J108" s="9" t="n">
        <v>0</v>
      </c>
    </row>
    <row r="109" customFormat="false" ht="15.75" hidden="false" customHeight="false" outlineLevel="0" collapsed="false">
      <c r="A109" s="7" t="s">
        <v>117</v>
      </c>
      <c r="B109" s="7" t="n">
        <v>4</v>
      </c>
      <c r="C109" s="9" t="n">
        <v>72</v>
      </c>
      <c r="D109" s="9" t="n">
        <v>1178208</v>
      </c>
      <c r="E109" s="9" t="n">
        <v>0</v>
      </c>
      <c r="F109" s="9" t="n">
        <v>0</v>
      </c>
      <c r="G109" s="9" t="n">
        <v>0</v>
      </c>
      <c r="H109" s="9" t="n">
        <v>0</v>
      </c>
      <c r="I109" s="9" t="n">
        <v>72</v>
      </c>
      <c r="J109" s="9" t="n">
        <v>1178208</v>
      </c>
    </row>
    <row r="110" customFormat="false" ht="15.75" hidden="false" customHeight="false" outlineLevel="0" collapsed="false">
      <c r="A110" s="7" t="s">
        <v>118</v>
      </c>
      <c r="B110" s="7" t="n">
        <v>4</v>
      </c>
      <c r="C110" s="9" t="n">
        <v>180</v>
      </c>
      <c r="D110" s="9" t="n">
        <v>7118100</v>
      </c>
      <c r="E110" s="9" t="n">
        <v>168</v>
      </c>
      <c r="F110" s="9" t="n">
        <v>6643560</v>
      </c>
      <c r="G110" s="9" t="n">
        <v>0</v>
      </c>
      <c r="H110" s="9" t="n">
        <v>0</v>
      </c>
      <c r="I110" s="9" t="n">
        <v>348</v>
      </c>
      <c r="J110" s="9" t="n">
        <v>13761660</v>
      </c>
    </row>
    <row r="111" customFormat="false" ht="15.75" hidden="false" customHeight="false" outlineLevel="0" collapsed="false">
      <c r="A111" s="7" t="s">
        <v>119</v>
      </c>
      <c r="B111" s="7" t="n">
        <v>4</v>
      </c>
      <c r="C111" s="9" t="n">
        <v>40</v>
      </c>
      <c r="D111" s="9" t="n">
        <v>909080</v>
      </c>
      <c r="E111" s="9" t="n">
        <v>40</v>
      </c>
      <c r="F111" s="9" t="n">
        <v>909080</v>
      </c>
      <c r="G111" s="9" t="n">
        <v>0</v>
      </c>
      <c r="H111" s="9" t="n">
        <v>0</v>
      </c>
      <c r="I111" s="9" t="n">
        <v>80</v>
      </c>
      <c r="J111" s="9" t="n">
        <v>1818160</v>
      </c>
    </row>
    <row r="112" customFormat="false" ht="15.75" hidden="false" customHeight="false" outlineLevel="0" collapsed="false">
      <c r="A112" s="7" t="s">
        <v>120</v>
      </c>
      <c r="B112" s="7" t="n">
        <v>4</v>
      </c>
      <c r="C112" s="9" t="n">
        <v>40</v>
      </c>
      <c r="D112" s="9" t="n">
        <v>872720</v>
      </c>
      <c r="E112" s="9" t="n">
        <v>40</v>
      </c>
      <c r="F112" s="9" t="n">
        <v>872720</v>
      </c>
      <c r="G112" s="9" t="n">
        <v>0</v>
      </c>
      <c r="H112" s="9" t="n">
        <v>0</v>
      </c>
      <c r="I112" s="9" t="n">
        <v>80</v>
      </c>
      <c r="J112" s="9" t="n">
        <v>1745440</v>
      </c>
    </row>
    <row r="113" customFormat="false" ht="15.75" hidden="false" customHeight="false" outlineLevel="0" collapsed="false">
      <c r="A113" s="7" t="s">
        <v>121</v>
      </c>
      <c r="B113" s="7" t="n">
        <v>4</v>
      </c>
      <c r="C113" s="9" t="n">
        <v>2290</v>
      </c>
      <c r="D113" s="9" t="n">
        <v>24033000</v>
      </c>
      <c r="E113" s="9" t="n">
        <v>5616</v>
      </c>
      <c r="F113" s="9" t="n">
        <v>61264944</v>
      </c>
      <c r="G113" s="9" t="n">
        <v>1944</v>
      </c>
      <c r="H113" s="9" t="n">
        <v>20973843</v>
      </c>
      <c r="I113" s="9" t="n">
        <v>5962</v>
      </c>
      <c r="J113" s="9" t="n">
        <v>64324101</v>
      </c>
    </row>
    <row r="114" customFormat="false" ht="15.75" hidden="false" customHeight="false" outlineLevel="0" collapsed="false">
      <c r="A114" s="7" t="s">
        <v>122</v>
      </c>
      <c r="B114" s="7" t="n">
        <v>4</v>
      </c>
      <c r="C114" s="9" t="n">
        <v>0</v>
      </c>
      <c r="D114" s="9" t="n">
        <v>0</v>
      </c>
      <c r="E114" s="9" t="n">
        <v>0</v>
      </c>
      <c r="F114" s="9" t="n">
        <v>0</v>
      </c>
      <c r="G114" s="9" t="n">
        <v>0</v>
      </c>
      <c r="H114" s="9" t="n">
        <v>0</v>
      </c>
      <c r="I114" s="9" t="n">
        <v>0</v>
      </c>
      <c r="J114" s="9" t="n">
        <v>0</v>
      </c>
    </row>
    <row r="115" customFormat="false" ht="15.75" hidden="false" customHeight="false" outlineLevel="0" collapsed="false">
      <c r="A115" s="7" t="s">
        <v>123</v>
      </c>
      <c r="B115" s="7" t="n">
        <v>4</v>
      </c>
      <c r="C115" s="9" t="n">
        <v>144</v>
      </c>
      <c r="D115" s="9" t="n">
        <v>2421792</v>
      </c>
      <c r="E115" s="9" t="n">
        <v>0</v>
      </c>
      <c r="F115" s="9" t="n">
        <v>0</v>
      </c>
      <c r="G115" s="9" t="n">
        <v>0</v>
      </c>
      <c r="H115" s="9" t="n">
        <v>0</v>
      </c>
      <c r="I115" s="9" t="n">
        <v>144</v>
      </c>
      <c r="J115" s="9" t="n">
        <v>2421792</v>
      </c>
    </row>
    <row r="116" customFormat="false" ht="15.75" hidden="false" customHeight="false" outlineLevel="0" collapsed="false">
      <c r="A116" s="7" t="s">
        <v>124</v>
      </c>
      <c r="B116" s="7" t="n">
        <v>4</v>
      </c>
      <c r="C116" s="9" t="n">
        <v>0</v>
      </c>
      <c r="D116" s="9" t="n">
        <v>0</v>
      </c>
      <c r="E116" s="9" t="n">
        <v>0</v>
      </c>
      <c r="F116" s="9" t="n">
        <v>0</v>
      </c>
      <c r="G116" s="9" t="n">
        <v>0</v>
      </c>
      <c r="H116" s="9" t="n">
        <v>0</v>
      </c>
      <c r="I116" s="9" t="n">
        <v>0</v>
      </c>
      <c r="J116" s="9" t="n">
        <v>0</v>
      </c>
    </row>
    <row r="117" customFormat="false" ht="15.75" hidden="false" customHeight="false" outlineLevel="0" collapsed="false">
      <c r="A117" s="7" t="s">
        <v>125</v>
      </c>
      <c r="B117" s="7" t="n">
        <v>4</v>
      </c>
      <c r="C117" s="9" t="n">
        <v>1092</v>
      </c>
      <c r="D117" s="9" t="n">
        <v>45610414</v>
      </c>
      <c r="E117" s="9" t="n">
        <v>660</v>
      </c>
      <c r="F117" s="9" t="n">
        <v>27599880</v>
      </c>
      <c r="G117" s="9" t="n">
        <v>0</v>
      </c>
      <c r="H117" s="9" t="n">
        <v>0</v>
      </c>
      <c r="I117" s="9" t="n">
        <v>1752</v>
      </c>
      <c r="J117" s="9" t="n">
        <v>73210294</v>
      </c>
    </row>
    <row r="118" customFormat="false" ht="15.75" hidden="false" customHeight="false" outlineLevel="0" collapsed="false">
      <c r="A118" s="7" t="s">
        <v>126</v>
      </c>
      <c r="B118" s="7" t="n">
        <v>4</v>
      </c>
      <c r="C118" s="9" t="n">
        <v>13637</v>
      </c>
      <c r="D118" s="9" t="n">
        <v>77793219</v>
      </c>
      <c r="E118" s="9" t="n">
        <v>21600</v>
      </c>
      <c r="F118" s="9" t="n">
        <v>123703200</v>
      </c>
      <c r="G118" s="9" t="n">
        <v>9900</v>
      </c>
      <c r="H118" s="9" t="n">
        <v>56611362</v>
      </c>
      <c r="I118" s="9" t="n">
        <v>25337</v>
      </c>
      <c r="J118" s="9" t="n">
        <v>144885057</v>
      </c>
    </row>
    <row r="119" customFormat="false" ht="15.75" hidden="false" customHeight="false" outlineLevel="0" collapsed="false">
      <c r="A119" s="7" t="s">
        <v>127</v>
      </c>
      <c r="B119" s="7" t="n">
        <v>4</v>
      </c>
      <c r="C119" s="9" t="n">
        <v>2888</v>
      </c>
      <c r="D119" s="9" t="n">
        <v>15806520</v>
      </c>
      <c r="E119" s="9" t="n">
        <v>1200</v>
      </c>
      <c r="F119" s="9" t="n">
        <v>6872400</v>
      </c>
      <c r="G119" s="9" t="n">
        <v>0</v>
      </c>
      <c r="H119" s="9" t="n">
        <v>0</v>
      </c>
      <c r="I119" s="9" t="n">
        <v>4088</v>
      </c>
      <c r="J119" s="9" t="n">
        <v>22678920</v>
      </c>
    </row>
    <row r="120" customFormat="false" ht="15.75" hidden="false" customHeight="false" outlineLevel="0" collapsed="false">
      <c r="A120" s="7" t="s">
        <v>128</v>
      </c>
      <c r="B120" s="7" t="n">
        <v>4</v>
      </c>
      <c r="C120" s="9" t="n">
        <v>500</v>
      </c>
      <c r="D120" s="9" t="n">
        <v>7500000</v>
      </c>
      <c r="E120" s="9" t="n">
        <v>400</v>
      </c>
      <c r="F120" s="9" t="n">
        <v>6000000</v>
      </c>
      <c r="G120" s="9" t="n">
        <v>0</v>
      </c>
      <c r="H120" s="9" t="n">
        <v>0</v>
      </c>
      <c r="I120" s="9" t="n">
        <v>900</v>
      </c>
      <c r="J120" s="9" t="n">
        <v>13500000</v>
      </c>
    </row>
    <row r="121" customFormat="false" ht="15.75" hidden="false" customHeight="false" outlineLevel="0" collapsed="false">
      <c r="A121" s="7" t="s">
        <v>129</v>
      </c>
      <c r="B121" s="7" t="n">
        <v>4</v>
      </c>
      <c r="C121" s="9" t="n">
        <v>0</v>
      </c>
      <c r="D121" s="9" t="n">
        <v>0</v>
      </c>
      <c r="E121" s="9" t="n">
        <v>0</v>
      </c>
      <c r="F121" s="9" t="n">
        <v>0</v>
      </c>
      <c r="G121" s="9" t="n">
        <v>0</v>
      </c>
      <c r="H121" s="9" t="n">
        <v>0</v>
      </c>
      <c r="I121" s="9" t="n">
        <v>0</v>
      </c>
      <c r="J121" s="9" t="n">
        <v>0</v>
      </c>
    </row>
    <row r="122" customFormat="false" ht="15.75" hidden="false" customHeight="false" outlineLevel="0" collapsed="false">
      <c r="A122" s="7" t="s">
        <v>130</v>
      </c>
      <c r="B122" s="7" t="n">
        <v>4</v>
      </c>
      <c r="C122" s="9" t="n">
        <v>54</v>
      </c>
      <c r="D122" s="9" t="n">
        <v>2528172</v>
      </c>
      <c r="E122" s="9" t="n">
        <v>32</v>
      </c>
      <c r="F122" s="9" t="n">
        <v>1498176</v>
      </c>
      <c r="G122" s="9" t="n">
        <v>41</v>
      </c>
      <c r="H122" s="9" t="n">
        <v>1919538</v>
      </c>
      <c r="I122" s="9" t="n">
        <v>45</v>
      </c>
      <c r="J122" s="9" t="n">
        <v>2106810</v>
      </c>
    </row>
    <row r="123" customFormat="false" ht="15.75" hidden="false" customHeight="false" outlineLevel="0" collapsed="false">
      <c r="A123" s="7" t="s">
        <v>131</v>
      </c>
      <c r="B123" s="7" t="n">
        <v>4</v>
      </c>
      <c r="C123" s="9" t="n">
        <v>59</v>
      </c>
      <c r="D123" s="9" t="n">
        <v>2896369</v>
      </c>
      <c r="E123" s="9" t="n">
        <v>32</v>
      </c>
      <c r="F123" s="9" t="n">
        <v>1570912</v>
      </c>
      <c r="G123" s="9" t="n">
        <v>41</v>
      </c>
      <c r="H123" s="9" t="n">
        <v>2012731</v>
      </c>
      <c r="I123" s="9" t="n">
        <v>50</v>
      </c>
      <c r="J123" s="9" t="n">
        <v>2454550</v>
      </c>
    </row>
    <row r="124" customFormat="false" ht="15.75" hidden="false" customHeight="false" outlineLevel="0" collapsed="false">
      <c r="A124" s="7" t="s">
        <v>132</v>
      </c>
      <c r="B124" s="7" t="n">
        <v>4</v>
      </c>
      <c r="C124" s="9" t="n">
        <v>145</v>
      </c>
      <c r="D124" s="9" t="n">
        <v>6327220</v>
      </c>
      <c r="E124" s="9" t="n">
        <v>80</v>
      </c>
      <c r="F124" s="9" t="n">
        <v>3490880</v>
      </c>
      <c r="G124" s="9" t="n">
        <v>175</v>
      </c>
      <c r="H124" s="9" t="n">
        <v>7636300</v>
      </c>
      <c r="I124" s="9" t="n">
        <v>50</v>
      </c>
      <c r="J124" s="9" t="n">
        <v>2181800</v>
      </c>
    </row>
    <row r="125" customFormat="false" ht="15.75" hidden="false" customHeight="false" outlineLevel="0" collapsed="false">
      <c r="A125" s="7" t="s">
        <v>133</v>
      </c>
      <c r="B125" s="7" t="n">
        <v>4</v>
      </c>
      <c r="C125" s="9" t="n">
        <v>136</v>
      </c>
      <c r="D125" s="9" t="n">
        <v>5069128</v>
      </c>
      <c r="E125" s="9" t="n">
        <v>0</v>
      </c>
      <c r="F125" s="9" t="n">
        <v>0</v>
      </c>
      <c r="G125" s="9" t="n">
        <v>85</v>
      </c>
      <c r="H125" s="9" t="n">
        <v>3168205</v>
      </c>
      <c r="I125" s="9" t="n">
        <v>51</v>
      </c>
      <c r="J125" s="9" t="n">
        <v>1900923</v>
      </c>
    </row>
    <row r="126" customFormat="false" ht="15.75" hidden="false" customHeight="false" outlineLevel="0" collapsed="false">
      <c r="A126" s="7" t="s">
        <v>134</v>
      </c>
      <c r="B126" s="7" t="n">
        <v>4</v>
      </c>
      <c r="C126" s="9" t="n">
        <v>23</v>
      </c>
      <c r="D126" s="9" t="n">
        <v>658628</v>
      </c>
      <c r="E126" s="9" t="n">
        <v>0</v>
      </c>
      <c r="F126" s="9" t="n">
        <v>0</v>
      </c>
      <c r="G126" s="9" t="n">
        <v>0</v>
      </c>
      <c r="H126" s="9" t="n">
        <v>0</v>
      </c>
      <c r="I126" s="9" t="n">
        <v>23</v>
      </c>
      <c r="J126" s="9" t="n">
        <v>658628</v>
      </c>
    </row>
    <row r="127" customFormat="false" ht="15.75" hidden="false" customHeight="false" outlineLevel="0" collapsed="false">
      <c r="A127" s="7" t="s">
        <v>135</v>
      </c>
      <c r="B127" s="7" t="n">
        <v>4</v>
      </c>
      <c r="C127" s="9" t="n">
        <v>965</v>
      </c>
      <c r="D127" s="9" t="n">
        <v>177130705</v>
      </c>
      <c r="E127" s="9" t="n">
        <v>0</v>
      </c>
      <c r="F127" s="9" t="n">
        <v>0</v>
      </c>
      <c r="G127" s="9" t="n">
        <v>485</v>
      </c>
      <c r="H127" s="9" t="n">
        <v>89024240</v>
      </c>
      <c r="I127" s="9" t="n">
        <v>480</v>
      </c>
      <c r="J127" s="9" t="n">
        <v>88106465</v>
      </c>
    </row>
    <row r="128" customFormat="false" ht="15.75" hidden="false" customHeight="false" outlineLevel="0" collapsed="false">
      <c r="A128" s="7" t="s">
        <v>136</v>
      </c>
      <c r="B128" s="7" t="n">
        <v>4</v>
      </c>
      <c r="C128" s="9" t="n">
        <v>3188</v>
      </c>
      <c r="D128" s="9" t="n">
        <v>45260487</v>
      </c>
      <c r="E128" s="9" t="n">
        <v>7488</v>
      </c>
      <c r="F128" s="9" t="n">
        <v>108912960</v>
      </c>
      <c r="G128" s="9" t="n">
        <v>2952</v>
      </c>
      <c r="H128" s="9" t="n">
        <v>42630200</v>
      </c>
      <c r="I128" s="9" t="n">
        <v>7724</v>
      </c>
      <c r="J128" s="9" t="n">
        <v>111543247</v>
      </c>
    </row>
    <row r="129" customFormat="false" ht="15.75" hidden="false" customHeight="false" outlineLevel="0" collapsed="false">
      <c r="A129" s="7" t="s">
        <v>137</v>
      </c>
      <c r="B129" s="7" t="n">
        <v>4</v>
      </c>
      <c r="C129" s="9" t="n">
        <v>0</v>
      </c>
      <c r="D129" s="9" t="n">
        <v>0</v>
      </c>
      <c r="E129" s="9" t="n">
        <v>0</v>
      </c>
      <c r="F129" s="9" t="n">
        <v>0</v>
      </c>
      <c r="G129" s="9" t="n">
        <v>0</v>
      </c>
      <c r="H129" s="9" t="n">
        <v>0</v>
      </c>
      <c r="I129" s="9" t="n">
        <v>0</v>
      </c>
      <c r="J129" s="9" t="n">
        <v>0</v>
      </c>
    </row>
    <row r="130" customFormat="false" ht="15.75" hidden="false" customHeight="false" outlineLevel="0" collapsed="false">
      <c r="A130" s="7" t="s">
        <v>138</v>
      </c>
      <c r="B130" s="7" t="n">
        <v>4</v>
      </c>
      <c r="C130" s="9" t="n">
        <v>0</v>
      </c>
      <c r="D130" s="9" t="n">
        <v>0</v>
      </c>
      <c r="E130" s="9" t="n">
        <v>0</v>
      </c>
      <c r="F130" s="9" t="n">
        <v>0</v>
      </c>
      <c r="G130" s="9" t="n">
        <v>0</v>
      </c>
      <c r="H130" s="9" t="n">
        <v>0</v>
      </c>
      <c r="I130" s="9" t="n">
        <v>0</v>
      </c>
      <c r="J130" s="9" t="n">
        <v>0</v>
      </c>
    </row>
    <row r="131" customFormat="false" ht="15.75" hidden="false" customHeight="false" outlineLevel="0" collapsed="false">
      <c r="A131" s="7" t="s">
        <v>139</v>
      </c>
      <c r="B131" s="7" t="n">
        <v>4</v>
      </c>
      <c r="C131" s="9" t="n">
        <v>188</v>
      </c>
      <c r="D131" s="9" t="n">
        <v>34137846</v>
      </c>
      <c r="E131" s="9" t="n">
        <v>0</v>
      </c>
      <c r="F131" s="9" t="n">
        <v>0</v>
      </c>
      <c r="G131" s="9" t="n">
        <v>0</v>
      </c>
      <c r="H131" s="9" t="n">
        <v>0</v>
      </c>
      <c r="I131" s="9" t="n">
        <v>188</v>
      </c>
      <c r="J131" s="9" t="n">
        <v>34137846</v>
      </c>
    </row>
    <row r="132" customFormat="false" ht="15.75" hidden="false" customHeight="false" outlineLevel="0" collapsed="false">
      <c r="A132" s="7" t="s">
        <v>140</v>
      </c>
      <c r="B132" s="7" t="n">
        <v>4</v>
      </c>
      <c r="C132" s="9" t="n">
        <v>8176</v>
      </c>
      <c r="D132" s="9" t="n">
        <v>1503989886</v>
      </c>
      <c r="E132" s="9" t="n">
        <v>460</v>
      </c>
      <c r="F132" s="9" t="n">
        <v>84857580</v>
      </c>
      <c r="G132" s="9" t="n">
        <v>3765</v>
      </c>
      <c r="H132" s="9" t="n">
        <v>692683037</v>
      </c>
      <c r="I132" s="9" t="n">
        <v>4871</v>
      </c>
      <c r="J132" s="9" t="n">
        <v>896164429</v>
      </c>
    </row>
    <row r="133" customFormat="false" ht="15.75" hidden="false" customHeight="false" outlineLevel="0" collapsed="false">
      <c r="A133" s="7" t="s">
        <v>141</v>
      </c>
      <c r="B133" s="7" t="n">
        <v>4</v>
      </c>
      <c r="C133" s="9" t="n">
        <v>6579</v>
      </c>
      <c r="D133" s="9" t="n">
        <v>1211793245</v>
      </c>
      <c r="E133" s="9" t="n">
        <v>788</v>
      </c>
      <c r="F133" s="9" t="n">
        <v>136510020</v>
      </c>
      <c r="G133" s="9" t="n">
        <v>3920</v>
      </c>
      <c r="H133" s="9" t="n">
        <v>717435700</v>
      </c>
      <c r="I133" s="9" t="n">
        <v>3447</v>
      </c>
      <c r="J133" s="9" t="n">
        <v>630867565</v>
      </c>
    </row>
    <row r="134" customFormat="false" ht="15.75" hidden="false" customHeight="false" outlineLevel="0" collapsed="false">
      <c r="A134" s="7" t="s">
        <v>142</v>
      </c>
      <c r="B134" s="7" t="n">
        <v>4</v>
      </c>
      <c r="C134" s="9" t="n">
        <v>1150</v>
      </c>
      <c r="D134" s="9" t="n">
        <v>211217050</v>
      </c>
      <c r="E134" s="9" t="n">
        <v>0</v>
      </c>
      <c r="F134" s="9" t="n">
        <v>0</v>
      </c>
      <c r="G134" s="9" t="n">
        <v>0</v>
      </c>
      <c r="H134" s="9" t="n">
        <v>0</v>
      </c>
      <c r="I134" s="9" t="n">
        <v>1150</v>
      </c>
      <c r="J134" s="9" t="n">
        <v>211217050</v>
      </c>
    </row>
    <row r="135" customFormat="false" ht="15.75" hidden="false" customHeight="false" outlineLevel="0" collapsed="false">
      <c r="A135" s="7" t="s">
        <v>143</v>
      </c>
      <c r="B135" s="7" t="n">
        <v>4</v>
      </c>
      <c r="C135" s="9" t="n">
        <v>0</v>
      </c>
      <c r="D135" s="9" t="n">
        <v>0</v>
      </c>
      <c r="E135" s="9" t="n">
        <v>0</v>
      </c>
      <c r="F135" s="9" t="n">
        <v>0</v>
      </c>
      <c r="G135" s="9" t="n">
        <v>0</v>
      </c>
      <c r="H135" s="9" t="n">
        <v>0</v>
      </c>
      <c r="I135" s="9" t="n">
        <v>0</v>
      </c>
      <c r="J135" s="9" t="n">
        <v>0</v>
      </c>
    </row>
    <row r="136" customFormat="false" ht="15.75" hidden="false" customHeight="false" outlineLevel="0" collapsed="false">
      <c r="A136" s="7" t="s">
        <v>144</v>
      </c>
      <c r="B136" s="7" t="n">
        <v>4</v>
      </c>
      <c r="C136" s="9" t="n">
        <v>1870</v>
      </c>
      <c r="D136" s="9" t="n">
        <v>340826303</v>
      </c>
      <c r="E136" s="9" t="n">
        <v>108</v>
      </c>
      <c r="F136" s="9" t="n">
        <v>19699200</v>
      </c>
      <c r="G136" s="9" t="n">
        <v>0</v>
      </c>
      <c r="H136" s="9" t="n">
        <v>0</v>
      </c>
      <c r="I136" s="9" t="n">
        <v>1978</v>
      </c>
      <c r="J136" s="9" t="n">
        <v>360525503</v>
      </c>
    </row>
    <row r="137" customFormat="false" ht="15.75" hidden="false" customHeight="false" outlineLevel="0" collapsed="false">
      <c r="A137" s="7" t="s">
        <v>145</v>
      </c>
      <c r="B137" s="7" t="n">
        <v>4</v>
      </c>
      <c r="C137" s="9" t="n">
        <v>523</v>
      </c>
      <c r="D137" s="9" t="n">
        <v>93476989</v>
      </c>
      <c r="E137" s="9" t="n">
        <v>0</v>
      </c>
      <c r="F137" s="9" t="n">
        <v>0</v>
      </c>
      <c r="G137" s="9" t="n">
        <v>0</v>
      </c>
      <c r="H137" s="9" t="n">
        <v>0</v>
      </c>
      <c r="I137" s="9" t="n">
        <v>523</v>
      </c>
      <c r="J137" s="9" t="n">
        <v>93476989</v>
      </c>
    </row>
    <row r="138" customFormat="false" ht="15.75" hidden="false" customHeight="false" outlineLevel="0" collapsed="false">
      <c r="A138" s="7" t="s">
        <v>146</v>
      </c>
      <c r="B138" s="7" t="n">
        <v>4</v>
      </c>
      <c r="C138" s="9" t="n">
        <v>2207</v>
      </c>
      <c r="D138" s="9" t="n">
        <v>391657688</v>
      </c>
      <c r="E138" s="9" t="n">
        <v>2014</v>
      </c>
      <c r="F138" s="9" t="n">
        <v>351430715</v>
      </c>
      <c r="G138" s="9" t="n">
        <v>1575</v>
      </c>
      <c r="H138" s="9" t="n">
        <v>277271792</v>
      </c>
      <c r="I138" s="9" t="n">
        <v>2646</v>
      </c>
      <c r="J138" s="9" t="n">
        <v>465816611</v>
      </c>
    </row>
    <row r="139" customFormat="false" ht="15.75" hidden="false" customHeight="false" outlineLevel="0" collapsed="false">
      <c r="A139" s="7" t="s">
        <v>147</v>
      </c>
      <c r="B139" s="7" t="n">
        <v>4</v>
      </c>
      <c r="C139" s="9" t="n">
        <v>260</v>
      </c>
      <c r="D139" s="9" t="n">
        <v>27463600</v>
      </c>
      <c r="E139" s="9" t="n">
        <v>40</v>
      </c>
      <c r="F139" s="9" t="n">
        <v>0</v>
      </c>
      <c r="G139" s="9" t="n">
        <v>6</v>
      </c>
      <c r="H139" s="9" t="n">
        <v>588706</v>
      </c>
      <c r="I139" s="9" t="n">
        <v>294</v>
      </c>
      <c r="J139" s="9" t="n">
        <v>26874894</v>
      </c>
    </row>
    <row r="140" customFormat="false" ht="15.75" hidden="false" customHeight="false" outlineLevel="0" collapsed="false">
      <c r="A140" s="7" t="s">
        <v>148</v>
      </c>
      <c r="B140" s="7" t="n">
        <v>4</v>
      </c>
      <c r="C140" s="9" t="n">
        <v>1034</v>
      </c>
      <c r="D140" s="9" t="n">
        <v>117780960</v>
      </c>
      <c r="E140" s="9" t="n">
        <v>209</v>
      </c>
      <c r="F140" s="9" t="n">
        <v>23826000</v>
      </c>
      <c r="G140" s="9" t="n">
        <v>3</v>
      </c>
      <c r="H140" s="9" t="n">
        <v>341771</v>
      </c>
      <c r="I140" s="9" t="n">
        <v>1240</v>
      </c>
      <c r="J140" s="9" t="n">
        <v>141265189</v>
      </c>
    </row>
    <row r="141" customFormat="false" ht="15.75" hidden="false" customHeight="false" outlineLevel="0" collapsed="false">
      <c r="A141" s="7" t="s">
        <v>149</v>
      </c>
      <c r="B141" s="7" t="n">
        <v>4</v>
      </c>
      <c r="C141" s="9" t="n">
        <v>5409</v>
      </c>
      <c r="D141" s="9" t="n">
        <v>1027221304</v>
      </c>
      <c r="E141" s="9" t="n">
        <v>965</v>
      </c>
      <c r="F141" s="9" t="n">
        <v>183017075</v>
      </c>
      <c r="G141" s="9" t="n">
        <v>665</v>
      </c>
      <c r="H141" s="9" t="n">
        <v>126264280</v>
      </c>
      <c r="I141" s="9" t="n">
        <v>5709</v>
      </c>
      <c r="J141" s="9" t="n">
        <v>1083974099</v>
      </c>
    </row>
    <row r="142" customFormat="false" ht="15.75" hidden="false" customHeight="false" outlineLevel="0" collapsed="false">
      <c r="A142" s="7" t="s">
        <v>150</v>
      </c>
      <c r="B142" s="7" t="n">
        <v>4</v>
      </c>
      <c r="C142" s="9" t="n">
        <v>0</v>
      </c>
      <c r="D142" s="9" t="n">
        <v>0</v>
      </c>
      <c r="E142" s="9" t="n">
        <v>0</v>
      </c>
      <c r="F142" s="9" t="n">
        <v>0</v>
      </c>
      <c r="G142" s="9" t="n">
        <v>0</v>
      </c>
      <c r="H142" s="9" t="n">
        <v>0</v>
      </c>
      <c r="I142" s="9" t="n">
        <v>0</v>
      </c>
      <c r="J142" s="9" t="n">
        <v>0</v>
      </c>
    </row>
    <row r="143" customFormat="false" ht="15.75" hidden="false" customHeight="false" outlineLevel="0" collapsed="false">
      <c r="A143" s="7" t="s">
        <v>151</v>
      </c>
      <c r="B143" s="7" t="n">
        <v>4</v>
      </c>
      <c r="C143" s="9" t="n">
        <v>239</v>
      </c>
      <c r="D143" s="9" t="n">
        <v>45410000</v>
      </c>
      <c r="E143" s="9" t="n">
        <v>10</v>
      </c>
      <c r="F143" s="9" t="n">
        <v>1896550</v>
      </c>
      <c r="G143" s="9" t="n">
        <v>0</v>
      </c>
      <c r="H143" s="9" t="n">
        <v>0</v>
      </c>
      <c r="I143" s="9" t="n">
        <v>249</v>
      </c>
      <c r="J143" s="9" t="n">
        <v>47306550</v>
      </c>
    </row>
    <row r="144" customFormat="false" ht="15.75" hidden="false" customHeight="false" outlineLevel="0" collapsed="false">
      <c r="A144" s="7" t="s">
        <v>152</v>
      </c>
      <c r="B144" s="7" t="n">
        <v>4</v>
      </c>
      <c r="C144" s="9" t="n">
        <v>0</v>
      </c>
      <c r="D144" s="9" t="n">
        <v>0</v>
      </c>
      <c r="E144" s="9" t="n">
        <v>0</v>
      </c>
      <c r="F144" s="9" t="n">
        <v>0</v>
      </c>
      <c r="G144" s="9" t="n">
        <v>0</v>
      </c>
      <c r="H144" s="9" t="n">
        <v>0</v>
      </c>
      <c r="I144" s="9" t="n">
        <v>0</v>
      </c>
      <c r="J144" s="9" t="n">
        <v>0</v>
      </c>
    </row>
    <row r="145" customFormat="false" ht="15.75" hidden="false" customHeight="false" outlineLevel="0" collapsed="false">
      <c r="A145" s="7" t="s">
        <v>153</v>
      </c>
      <c r="B145" s="7" t="n">
        <v>4</v>
      </c>
      <c r="C145" s="9" t="n">
        <v>0</v>
      </c>
      <c r="D145" s="9" t="n">
        <v>0</v>
      </c>
      <c r="E145" s="9" t="n">
        <v>0</v>
      </c>
      <c r="F145" s="9" t="n">
        <v>0</v>
      </c>
      <c r="G145" s="9" t="n">
        <v>0</v>
      </c>
      <c r="H145" s="9" t="n">
        <v>0</v>
      </c>
      <c r="I145" s="9" t="n">
        <v>0</v>
      </c>
      <c r="J145" s="9" t="n">
        <v>0</v>
      </c>
    </row>
    <row r="146" customFormat="false" ht="15.75" hidden="false" customHeight="false" outlineLevel="0" collapsed="false">
      <c r="A146" s="7" t="s">
        <v>154</v>
      </c>
      <c r="B146" s="7" t="n">
        <v>4</v>
      </c>
      <c r="C146" s="9" t="n">
        <v>0</v>
      </c>
      <c r="D146" s="9" t="n">
        <v>0</v>
      </c>
      <c r="E146" s="9" t="n">
        <v>0</v>
      </c>
      <c r="F146" s="9" t="n">
        <v>0</v>
      </c>
      <c r="G146" s="9" t="n">
        <v>0</v>
      </c>
      <c r="H146" s="9" t="n">
        <v>0</v>
      </c>
      <c r="I146" s="9" t="n">
        <v>0</v>
      </c>
      <c r="J146" s="9" t="n">
        <v>0</v>
      </c>
    </row>
    <row r="147" customFormat="false" ht="15.75" hidden="false" customHeight="false" outlineLevel="0" collapsed="false">
      <c r="A147" s="7" t="s">
        <v>155</v>
      </c>
      <c r="B147" s="7" t="n">
        <v>4</v>
      </c>
      <c r="C147" s="9" t="n">
        <v>204</v>
      </c>
      <c r="D147" s="9" t="n">
        <v>59148248</v>
      </c>
      <c r="E147" s="9" t="n">
        <v>0</v>
      </c>
      <c r="F147" s="9" t="n">
        <v>0</v>
      </c>
      <c r="G147" s="9" t="n">
        <v>0</v>
      </c>
      <c r="H147" s="9" t="n">
        <v>0</v>
      </c>
      <c r="I147" s="9" t="n">
        <v>204</v>
      </c>
      <c r="J147" s="9" t="n">
        <v>59148248</v>
      </c>
    </row>
    <row r="148" customFormat="false" ht="15.75" hidden="false" customHeight="false" outlineLevel="0" collapsed="false">
      <c r="A148" s="7" t="s">
        <v>156</v>
      </c>
      <c r="B148" s="7" t="n">
        <v>4</v>
      </c>
      <c r="C148" s="9" t="n">
        <v>0</v>
      </c>
      <c r="D148" s="9" t="n">
        <v>0</v>
      </c>
      <c r="E148" s="9" t="n">
        <v>0</v>
      </c>
      <c r="F148" s="9" t="n">
        <v>0</v>
      </c>
      <c r="G148" s="9" t="n">
        <v>0</v>
      </c>
      <c r="H148" s="9" t="n">
        <v>0</v>
      </c>
      <c r="I148" s="9" t="n">
        <v>0</v>
      </c>
      <c r="J148" s="9" t="n">
        <v>0</v>
      </c>
    </row>
    <row r="149" customFormat="false" ht="15.75" hidden="false" customHeight="false" outlineLevel="0" collapsed="false">
      <c r="A149" s="7" t="s">
        <v>157</v>
      </c>
      <c r="B149" s="7" t="n">
        <v>4</v>
      </c>
      <c r="C149" s="9" t="n">
        <v>0</v>
      </c>
      <c r="D149" s="9" t="n">
        <v>0</v>
      </c>
      <c r="E149" s="9" t="n">
        <v>0</v>
      </c>
      <c r="F149" s="9" t="n">
        <v>0</v>
      </c>
      <c r="G149" s="9" t="n">
        <v>0</v>
      </c>
      <c r="H149" s="9" t="n">
        <v>0</v>
      </c>
      <c r="I149" s="9" t="n">
        <v>0</v>
      </c>
      <c r="J149" s="9" t="n">
        <v>0</v>
      </c>
    </row>
    <row r="150" customFormat="false" ht="15.75" hidden="false" customHeight="false" outlineLevel="0" collapsed="false">
      <c r="A150" s="7" t="s">
        <v>158</v>
      </c>
      <c r="B150" s="7" t="n">
        <v>4</v>
      </c>
      <c r="C150" s="9" t="n">
        <v>133</v>
      </c>
      <c r="D150" s="9" t="n">
        <v>28422312</v>
      </c>
      <c r="E150" s="9" t="n">
        <v>0</v>
      </c>
      <c r="F150" s="9" t="n">
        <v>0</v>
      </c>
      <c r="G150" s="9" t="n">
        <v>0</v>
      </c>
      <c r="H150" s="9" t="n">
        <v>0</v>
      </c>
      <c r="I150" s="9" t="n">
        <v>133</v>
      </c>
      <c r="J150" s="9" t="n">
        <v>28422312</v>
      </c>
    </row>
    <row r="151" customFormat="false" ht="15.75" hidden="false" customHeight="false" outlineLevel="0" collapsed="false">
      <c r="A151" s="7" t="s">
        <v>159</v>
      </c>
      <c r="B151" s="7" t="n">
        <v>4</v>
      </c>
      <c r="C151" s="9" t="n">
        <v>94</v>
      </c>
      <c r="D151" s="9" t="n">
        <v>20691192</v>
      </c>
      <c r="E151" s="9" t="n">
        <v>0</v>
      </c>
      <c r="F151" s="9" t="n">
        <v>0</v>
      </c>
      <c r="G151" s="9" t="n">
        <v>11</v>
      </c>
      <c r="H151" s="9" t="n">
        <v>2421329</v>
      </c>
      <c r="I151" s="9" t="n">
        <v>83</v>
      </c>
      <c r="J151" s="9" t="n">
        <v>18269863</v>
      </c>
    </row>
    <row r="152" customFormat="false" ht="15.75" hidden="false" customHeight="false" outlineLevel="0" collapsed="false">
      <c r="A152" s="7" t="s">
        <v>160</v>
      </c>
      <c r="B152" s="7" t="n">
        <v>4</v>
      </c>
      <c r="C152" s="9" t="n">
        <v>65</v>
      </c>
      <c r="D152" s="9" t="n">
        <v>17179851</v>
      </c>
      <c r="E152" s="9" t="n">
        <v>0</v>
      </c>
      <c r="F152" s="9" t="n">
        <v>0</v>
      </c>
      <c r="G152" s="9" t="n">
        <v>8</v>
      </c>
      <c r="H152" s="9" t="n">
        <v>2112955</v>
      </c>
      <c r="I152" s="9" t="n">
        <v>57</v>
      </c>
      <c r="J152" s="9" t="n">
        <v>15066896</v>
      </c>
    </row>
    <row r="153" customFormat="false" ht="15.75" hidden="false" customHeight="false" outlineLevel="0" collapsed="false">
      <c r="A153" s="7" t="s">
        <v>161</v>
      </c>
      <c r="B153" s="7" t="n">
        <v>4</v>
      </c>
      <c r="C153" s="9" t="n">
        <v>0</v>
      </c>
      <c r="D153" s="9" t="n">
        <v>0</v>
      </c>
      <c r="E153" s="9" t="n">
        <v>20</v>
      </c>
      <c r="F153" s="9" t="n">
        <v>4642900</v>
      </c>
      <c r="G153" s="9" t="n">
        <v>0</v>
      </c>
      <c r="H153" s="9" t="n">
        <v>0</v>
      </c>
      <c r="I153" s="9" t="n">
        <v>20</v>
      </c>
      <c r="J153" s="9" t="n">
        <v>4642900</v>
      </c>
    </row>
    <row r="154" customFormat="false" ht="15.75" hidden="false" customHeight="false" outlineLevel="0" collapsed="false">
      <c r="A154" s="7" t="s">
        <v>162</v>
      </c>
      <c r="B154" s="7" t="n">
        <v>4</v>
      </c>
      <c r="C154" s="9" t="n">
        <v>311</v>
      </c>
      <c r="D154" s="9" t="n">
        <v>98304301</v>
      </c>
      <c r="E154" s="9" t="n">
        <v>710</v>
      </c>
      <c r="F154" s="9" t="n">
        <v>224424610</v>
      </c>
      <c r="G154" s="9" t="n">
        <v>0</v>
      </c>
      <c r="H154" s="9" t="n">
        <v>0</v>
      </c>
      <c r="I154" s="9" t="n">
        <v>1021</v>
      </c>
      <c r="J154" s="9" t="n">
        <v>322728911</v>
      </c>
    </row>
    <row r="155" customFormat="false" ht="15.75" hidden="false" customHeight="false" outlineLevel="0" collapsed="false">
      <c r="A155" s="7" t="s">
        <v>163</v>
      </c>
      <c r="B155" s="7" t="n">
        <v>4</v>
      </c>
      <c r="C155" s="9" t="n">
        <v>0</v>
      </c>
      <c r="D155" s="9" t="n">
        <v>0</v>
      </c>
      <c r="E155" s="9" t="n">
        <v>0</v>
      </c>
      <c r="F155" s="9" t="n">
        <v>0</v>
      </c>
      <c r="G155" s="9" t="n">
        <v>0</v>
      </c>
      <c r="H155" s="9" t="n">
        <v>0</v>
      </c>
      <c r="I155" s="9" t="n">
        <v>0</v>
      </c>
      <c r="J155" s="9" t="n">
        <v>0</v>
      </c>
    </row>
    <row r="156" customFormat="false" ht="15.75" hidden="false" customHeight="false" outlineLevel="0" collapsed="false">
      <c r="A156" s="7" t="s">
        <v>164</v>
      </c>
      <c r="B156" s="7" t="n">
        <v>4</v>
      </c>
      <c r="C156" s="9" t="n">
        <v>95</v>
      </c>
      <c r="D156" s="9" t="n">
        <v>13696836</v>
      </c>
      <c r="E156" s="9" t="n">
        <v>0</v>
      </c>
      <c r="F156" s="9" t="n">
        <v>0</v>
      </c>
      <c r="G156" s="9" t="n">
        <v>0</v>
      </c>
      <c r="H156" s="9" t="n">
        <v>0</v>
      </c>
      <c r="I156" s="9" t="n">
        <v>95</v>
      </c>
      <c r="J156" s="9" t="n">
        <v>13696836</v>
      </c>
    </row>
    <row r="157" customFormat="false" ht="15.75" hidden="false" customHeight="false" outlineLevel="0" collapsed="false">
      <c r="A157" s="7" t="s">
        <v>165</v>
      </c>
      <c r="B157" s="7" t="n">
        <v>4</v>
      </c>
      <c r="C157" s="9" t="n">
        <v>180</v>
      </c>
      <c r="D157" s="9" t="n">
        <v>26944330</v>
      </c>
      <c r="E157" s="9" t="n">
        <v>23</v>
      </c>
      <c r="F157" s="9" t="n">
        <v>3646972</v>
      </c>
      <c r="G157" s="9" t="n">
        <v>0</v>
      </c>
      <c r="H157" s="9" t="n">
        <v>0</v>
      </c>
      <c r="I157" s="9" t="n">
        <v>203</v>
      </c>
      <c r="J157" s="9" t="n">
        <v>30591302</v>
      </c>
    </row>
    <row r="158" customFormat="false" ht="15.75" hidden="false" customHeight="false" outlineLevel="0" collapsed="false">
      <c r="A158" s="7" t="s">
        <v>166</v>
      </c>
      <c r="B158" s="7" t="n">
        <v>4</v>
      </c>
      <c r="C158" s="9" t="n">
        <v>0</v>
      </c>
      <c r="D158" s="9" t="n">
        <v>0</v>
      </c>
      <c r="E158" s="9" t="n">
        <v>0</v>
      </c>
      <c r="F158" s="9" t="n">
        <v>0</v>
      </c>
      <c r="G158" s="9" t="n">
        <v>0</v>
      </c>
      <c r="H158" s="9" t="n">
        <v>0</v>
      </c>
      <c r="I158" s="9" t="n">
        <v>0</v>
      </c>
      <c r="J158" s="9" t="n">
        <v>0</v>
      </c>
    </row>
    <row r="159" customFormat="false" ht="15.75" hidden="false" customHeight="false" outlineLevel="0" collapsed="false">
      <c r="A159" s="7" t="s">
        <v>167</v>
      </c>
      <c r="B159" s="7" t="n">
        <v>4</v>
      </c>
      <c r="C159" s="9" t="n">
        <v>0</v>
      </c>
      <c r="D159" s="9" t="n">
        <v>0</v>
      </c>
      <c r="E159" s="9" t="n">
        <v>0</v>
      </c>
      <c r="F159" s="9" t="n">
        <v>0</v>
      </c>
      <c r="G159" s="9" t="n">
        <v>0</v>
      </c>
      <c r="H159" s="9" t="n">
        <v>0</v>
      </c>
      <c r="I159" s="9" t="n">
        <v>0</v>
      </c>
      <c r="J159" s="9" t="n">
        <v>0</v>
      </c>
    </row>
    <row r="160" customFormat="false" ht="15.75" hidden="false" customHeight="false" outlineLevel="0" collapsed="false">
      <c r="A160" s="7" t="s">
        <v>168</v>
      </c>
      <c r="B160" s="7" t="n">
        <v>4</v>
      </c>
      <c r="C160" s="9" t="n">
        <v>140</v>
      </c>
      <c r="D160" s="9" t="n">
        <v>25532830</v>
      </c>
      <c r="E160" s="9" t="n">
        <v>286</v>
      </c>
      <c r="F160" s="9" t="n">
        <v>52166400</v>
      </c>
      <c r="G160" s="9" t="n">
        <v>0</v>
      </c>
      <c r="H160" s="9" t="n">
        <v>0</v>
      </c>
      <c r="I160" s="9" t="n">
        <v>426</v>
      </c>
      <c r="J160" s="9" t="n">
        <v>77699230</v>
      </c>
    </row>
    <row r="161" customFormat="false" ht="15.75" hidden="false" customHeight="false" outlineLevel="0" collapsed="false">
      <c r="A161" s="7" t="s">
        <v>169</v>
      </c>
      <c r="B161" s="7" t="n">
        <v>4</v>
      </c>
      <c r="C161" s="9" t="n">
        <v>974</v>
      </c>
      <c r="D161" s="9" t="n">
        <v>172484554</v>
      </c>
      <c r="E161" s="9" t="n">
        <v>0</v>
      </c>
      <c r="F161" s="9" t="n">
        <v>0</v>
      </c>
      <c r="G161" s="9" t="n">
        <v>0</v>
      </c>
      <c r="H161" s="9" t="n">
        <v>0</v>
      </c>
      <c r="I161" s="9" t="n">
        <v>974</v>
      </c>
      <c r="J161" s="9" t="n">
        <v>172484554</v>
      </c>
    </row>
    <row r="162" customFormat="false" ht="15.75" hidden="false" customHeight="false" outlineLevel="0" collapsed="false">
      <c r="A162" s="7" t="s">
        <v>170</v>
      </c>
      <c r="B162" s="7" t="n">
        <v>4</v>
      </c>
      <c r="C162" s="9" t="n">
        <v>77</v>
      </c>
      <c r="D162" s="9" t="n">
        <v>21146972</v>
      </c>
      <c r="E162" s="9" t="n">
        <v>47</v>
      </c>
      <c r="F162" s="9" t="n">
        <v>12907892</v>
      </c>
      <c r="G162" s="9" t="n">
        <v>0</v>
      </c>
      <c r="H162" s="9" t="n">
        <v>0</v>
      </c>
      <c r="I162" s="9" t="n">
        <v>124</v>
      </c>
      <c r="J162" s="9" t="n">
        <v>34054864</v>
      </c>
    </row>
    <row r="163" customFormat="false" ht="15.75" hidden="false" customHeight="false" outlineLevel="0" collapsed="false">
      <c r="A163" s="7" t="s">
        <v>171</v>
      </c>
      <c r="B163" s="7" t="n">
        <v>4</v>
      </c>
      <c r="C163" s="9" t="n">
        <v>0</v>
      </c>
      <c r="D163" s="9" t="n">
        <v>0</v>
      </c>
      <c r="E163" s="9" t="n">
        <v>0</v>
      </c>
      <c r="F163" s="9" t="n">
        <v>0</v>
      </c>
      <c r="G163" s="9" t="n">
        <v>0</v>
      </c>
      <c r="H163" s="9" t="n">
        <v>0</v>
      </c>
      <c r="I163" s="9" t="n">
        <v>0</v>
      </c>
      <c r="J163" s="9" t="n">
        <v>0</v>
      </c>
    </row>
    <row r="164" customFormat="false" ht="15.75" hidden="false" customHeight="false" outlineLevel="0" collapsed="false">
      <c r="A164" s="7" t="s">
        <v>172</v>
      </c>
      <c r="B164" s="7" t="n">
        <v>4</v>
      </c>
      <c r="C164" s="9" t="n">
        <v>0</v>
      </c>
      <c r="D164" s="9" t="n">
        <v>0</v>
      </c>
      <c r="E164" s="9" t="n">
        <v>0</v>
      </c>
      <c r="F164" s="9" t="n">
        <v>0</v>
      </c>
      <c r="G164" s="9" t="n">
        <v>0</v>
      </c>
      <c r="H164" s="9" t="n">
        <v>0</v>
      </c>
      <c r="I164" s="9" t="n">
        <v>0</v>
      </c>
      <c r="J164" s="9" t="n">
        <v>0</v>
      </c>
    </row>
    <row r="165" customFormat="false" ht="15.75" hidden="false" customHeight="false" outlineLevel="0" collapsed="false">
      <c r="A165" s="7" t="s">
        <v>173</v>
      </c>
      <c r="B165" s="7" t="n">
        <v>4</v>
      </c>
      <c r="C165" s="9" t="n">
        <v>0</v>
      </c>
      <c r="D165" s="9" t="n">
        <v>0</v>
      </c>
      <c r="E165" s="9" t="n">
        <v>0</v>
      </c>
      <c r="F165" s="9" t="n">
        <v>0</v>
      </c>
      <c r="G165" s="9" t="n">
        <v>0</v>
      </c>
      <c r="H165" s="9" t="n">
        <v>0</v>
      </c>
      <c r="I165" s="9" t="n">
        <v>0</v>
      </c>
      <c r="J165" s="9" t="n">
        <v>0</v>
      </c>
    </row>
    <row r="166" customFormat="false" ht="15.75" hidden="false" customHeight="false" outlineLevel="0" collapsed="false">
      <c r="A166" s="7" t="s">
        <v>174</v>
      </c>
      <c r="B166" s="7" t="n">
        <v>4</v>
      </c>
      <c r="C166" s="9" t="n">
        <v>80</v>
      </c>
      <c r="D166" s="9" t="n">
        <v>21965120</v>
      </c>
      <c r="E166" s="9" t="n">
        <v>20</v>
      </c>
      <c r="F166" s="9" t="n">
        <v>5492720</v>
      </c>
      <c r="G166" s="9" t="n">
        <v>0</v>
      </c>
      <c r="H166" s="9" t="n">
        <v>0</v>
      </c>
      <c r="I166" s="9" t="n">
        <v>100</v>
      </c>
      <c r="J166" s="9" t="n">
        <v>27457840</v>
      </c>
    </row>
    <row r="167" customFormat="false" ht="15.75" hidden="false" customHeight="false" outlineLevel="0" collapsed="false">
      <c r="A167" s="7" t="s">
        <v>175</v>
      </c>
      <c r="B167" s="7" t="n">
        <v>4</v>
      </c>
      <c r="C167" s="9" t="n">
        <v>0</v>
      </c>
      <c r="D167" s="9" t="n">
        <v>0</v>
      </c>
      <c r="E167" s="9" t="n">
        <v>25</v>
      </c>
      <c r="F167" s="9" t="n">
        <v>3958325</v>
      </c>
      <c r="G167" s="9" t="n">
        <v>25</v>
      </c>
      <c r="H167" s="9" t="n">
        <v>3958325</v>
      </c>
      <c r="I167" s="9" t="n">
        <v>0</v>
      </c>
      <c r="J167" s="9" t="n">
        <v>0</v>
      </c>
    </row>
    <row r="168" customFormat="false" ht="15.75" hidden="false" customHeight="false" outlineLevel="0" collapsed="false">
      <c r="A168" s="7" t="s">
        <v>176</v>
      </c>
      <c r="B168" s="7" t="n">
        <v>4</v>
      </c>
      <c r="C168" s="9" t="n">
        <v>0</v>
      </c>
      <c r="D168" s="9" t="n">
        <v>0</v>
      </c>
      <c r="E168" s="9" t="n">
        <v>9</v>
      </c>
      <c r="F168" s="9" t="n">
        <v>1583334</v>
      </c>
      <c r="G168" s="9" t="n">
        <v>9</v>
      </c>
      <c r="H168" s="9" t="n">
        <v>1583334</v>
      </c>
      <c r="I168" s="9" t="n">
        <v>0</v>
      </c>
      <c r="J168" s="9" t="n">
        <v>0</v>
      </c>
    </row>
    <row r="169" customFormat="false" ht="15.75" hidden="false" customHeight="false" outlineLevel="0" collapsed="false">
      <c r="A169" s="7" t="s">
        <v>177</v>
      </c>
      <c r="B169" s="7" t="n">
        <v>4</v>
      </c>
      <c r="C169" s="9" t="n">
        <v>0</v>
      </c>
      <c r="D169" s="9" t="n">
        <v>0</v>
      </c>
      <c r="E169" s="9" t="n">
        <v>0</v>
      </c>
      <c r="F169" s="9" t="n">
        <v>0</v>
      </c>
      <c r="G169" s="9" t="n">
        <v>0</v>
      </c>
      <c r="H169" s="9" t="n">
        <v>0</v>
      </c>
      <c r="I169" s="9" t="n">
        <v>0</v>
      </c>
      <c r="J169" s="9" t="n">
        <v>0</v>
      </c>
    </row>
    <row r="170" customFormat="false" ht="15.75" hidden="false" customHeight="false" outlineLevel="0" collapsed="false">
      <c r="A170" s="7" t="s">
        <v>178</v>
      </c>
      <c r="B170" s="7" t="n">
        <v>4</v>
      </c>
      <c r="C170" s="9" t="n">
        <v>0</v>
      </c>
      <c r="D170" s="9" t="n">
        <v>0</v>
      </c>
      <c r="E170" s="9" t="n">
        <v>0</v>
      </c>
      <c r="F170" s="9" t="n">
        <v>0</v>
      </c>
      <c r="G170" s="9" t="n">
        <v>0</v>
      </c>
      <c r="H170" s="9" t="n">
        <v>0</v>
      </c>
      <c r="I170" s="9" t="n">
        <v>0</v>
      </c>
      <c r="J170" s="9" t="n">
        <v>0</v>
      </c>
    </row>
    <row r="171" customFormat="false" ht="15.75" hidden="false" customHeight="false" outlineLevel="0" collapsed="false">
      <c r="A171" s="7" t="s">
        <v>179</v>
      </c>
      <c r="B171" s="7" t="n">
        <v>4</v>
      </c>
      <c r="C171" s="9" t="n">
        <v>15685</v>
      </c>
      <c r="D171" s="9" t="n">
        <v>79369098</v>
      </c>
      <c r="E171" s="9" t="n">
        <v>12204</v>
      </c>
      <c r="F171" s="9" t="n">
        <v>65460000</v>
      </c>
      <c r="G171" s="9" t="n">
        <v>8208</v>
      </c>
      <c r="H171" s="9" t="n">
        <v>42624592</v>
      </c>
      <c r="I171" s="9" t="n">
        <v>19681</v>
      </c>
      <c r="J171" s="9" t="n">
        <v>102204506</v>
      </c>
    </row>
    <row r="172" customFormat="false" ht="15.75" hidden="false" customHeight="false" outlineLevel="0" collapsed="false">
      <c r="A172" s="7" t="s">
        <v>180</v>
      </c>
      <c r="B172" s="7" t="n">
        <v>4</v>
      </c>
      <c r="C172" s="9" t="n">
        <v>0</v>
      </c>
      <c r="D172" s="9" t="n">
        <v>0</v>
      </c>
      <c r="E172" s="9" t="n">
        <v>0</v>
      </c>
      <c r="F172" s="9" t="n">
        <v>0</v>
      </c>
      <c r="G172" s="9" t="n">
        <v>0</v>
      </c>
      <c r="H172" s="9" t="n">
        <v>0</v>
      </c>
      <c r="I172" s="9" t="n">
        <v>0</v>
      </c>
      <c r="J172" s="9" t="n">
        <v>0</v>
      </c>
    </row>
    <row r="173" customFormat="false" ht="15.75" hidden="false" customHeight="false" outlineLevel="0" collapsed="false">
      <c r="A173" s="7" t="s">
        <v>181</v>
      </c>
      <c r="B173" s="7" t="n">
        <v>4</v>
      </c>
      <c r="C173" s="9" t="n">
        <v>1245</v>
      </c>
      <c r="D173" s="9" t="n">
        <v>59867124</v>
      </c>
      <c r="E173" s="9" t="n">
        <v>450</v>
      </c>
      <c r="F173" s="9" t="n">
        <v>21621150</v>
      </c>
      <c r="G173" s="9" t="n">
        <v>330</v>
      </c>
      <c r="H173" s="9" t="n">
        <v>15864974</v>
      </c>
      <c r="I173" s="9" t="n">
        <v>1365</v>
      </c>
      <c r="J173" s="9" t="n">
        <v>65623300</v>
      </c>
    </row>
    <row r="174" customFormat="false" ht="15.75" hidden="false" customHeight="false" outlineLevel="0" collapsed="false">
      <c r="A174" s="7" t="s">
        <v>182</v>
      </c>
      <c r="B174" s="7" t="n">
        <v>4</v>
      </c>
      <c r="C174" s="9" t="n">
        <v>0</v>
      </c>
      <c r="D174" s="9" t="n">
        <v>0</v>
      </c>
      <c r="E174" s="9" t="n">
        <v>20</v>
      </c>
      <c r="F174" s="9" t="n">
        <v>1190400</v>
      </c>
      <c r="G174" s="9" t="n">
        <v>0</v>
      </c>
      <c r="H174" s="9" t="n">
        <v>0</v>
      </c>
      <c r="I174" s="9" t="n">
        <v>20</v>
      </c>
      <c r="J174" s="9" t="n">
        <v>1190400</v>
      </c>
    </row>
    <row r="175" customFormat="false" ht="15.75" hidden="false" customHeight="false" outlineLevel="0" collapsed="false">
      <c r="A175" s="7" t="s">
        <v>183</v>
      </c>
      <c r="B175" s="7" t="n">
        <v>4</v>
      </c>
      <c r="C175" s="9" t="n">
        <v>2590</v>
      </c>
      <c r="D175" s="9" t="n">
        <v>140783083</v>
      </c>
      <c r="E175" s="9" t="n">
        <v>300</v>
      </c>
      <c r="F175" s="9" t="n">
        <v>16320000</v>
      </c>
      <c r="G175" s="9" t="n">
        <v>50</v>
      </c>
      <c r="H175" s="9" t="n">
        <v>2718046</v>
      </c>
      <c r="I175" s="9" t="n">
        <v>2840</v>
      </c>
      <c r="J175" s="9" t="n">
        <v>154385037</v>
      </c>
    </row>
    <row r="176" customFormat="false" ht="15.75" hidden="false" customHeight="false" outlineLevel="0" collapsed="false">
      <c r="A176" s="7" t="s">
        <v>184</v>
      </c>
      <c r="B176" s="7" t="n">
        <v>4</v>
      </c>
      <c r="C176" s="9" t="n">
        <v>2833</v>
      </c>
      <c r="D176" s="9" t="n">
        <v>154687392</v>
      </c>
      <c r="E176" s="9" t="n">
        <v>300</v>
      </c>
      <c r="F176" s="9" t="n">
        <v>16320000</v>
      </c>
      <c r="G176" s="9" t="n">
        <v>130</v>
      </c>
      <c r="H176" s="9" t="n">
        <v>7095742</v>
      </c>
      <c r="I176" s="9" t="n">
        <v>3003</v>
      </c>
      <c r="J176" s="9" t="n">
        <v>163911650</v>
      </c>
    </row>
    <row r="177" customFormat="false" ht="15.75" hidden="false" customHeight="false" outlineLevel="0" collapsed="false">
      <c r="A177" s="7" t="s">
        <v>185</v>
      </c>
      <c r="B177" s="7" t="n">
        <v>4</v>
      </c>
      <c r="C177" s="9" t="n">
        <v>40</v>
      </c>
      <c r="D177" s="9" t="n">
        <v>7209360</v>
      </c>
      <c r="E177" s="9" t="n">
        <v>135</v>
      </c>
      <c r="F177" s="9" t="n">
        <v>24881247</v>
      </c>
      <c r="G177" s="9" t="n">
        <v>175</v>
      </c>
      <c r="H177" s="9" t="n">
        <v>32090607</v>
      </c>
      <c r="I177" s="9" t="n">
        <v>0</v>
      </c>
      <c r="J177" s="9" t="n">
        <v>0</v>
      </c>
    </row>
    <row r="178" customFormat="false" ht="15.75" hidden="false" customHeight="false" outlineLevel="0" collapsed="false">
      <c r="A178" s="7" t="s">
        <v>186</v>
      </c>
      <c r="B178" s="7" t="n">
        <v>4</v>
      </c>
      <c r="C178" s="9" t="n">
        <v>110</v>
      </c>
      <c r="D178" s="9" t="n">
        <v>4790552</v>
      </c>
      <c r="E178" s="9" t="n">
        <v>4540</v>
      </c>
      <c r="F178" s="9" t="n">
        <v>206879168</v>
      </c>
      <c r="G178" s="9" t="n">
        <v>4650</v>
      </c>
      <c r="H178" s="9" t="n">
        <v>211669720</v>
      </c>
      <c r="I178" s="9" t="n">
        <v>0</v>
      </c>
      <c r="J178" s="9" t="n">
        <v>0</v>
      </c>
    </row>
    <row r="179" customFormat="false" ht="15.75" hidden="false" customHeight="false" outlineLevel="0" collapsed="false">
      <c r="A179" s="7" t="s">
        <v>187</v>
      </c>
      <c r="B179" s="7" t="n">
        <v>4</v>
      </c>
      <c r="C179" s="9" t="n">
        <v>1890</v>
      </c>
      <c r="D179" s="9" t="n">
        <v>68589094</v>
      </c>
      <c r="E179" s="9" t="n">
        <v>0</v>
      </c>
      <c r="F179" s="9" t="n">
        <v>0</v>
      </c>
      <c r="G179" s="9" t="n">
        <v>1890</v>
      </c>
      <c r="H179" s="9" t="n">
        <v>68589094</v>
      </c>
      <c r="I179" s="9" t="n">
        <v>0</v>
      </c>
      <c r="J179" s="9" t="n">
        <v>0</v>
      </c>
    </row>
    <row r="180" customFormat="false" ht="15.75" hidden="false" customHeight="false" outlineLevel="0" collapsed="false">
      <c r="A180" s="7" t="s">
        <v>188</v>
      </c>
      <c r="B180" s="7" t="n">
        <v>4</v>
      </c>
      <c r="C180" s="9" t="n">
        <v>4755</v>
      </c>
      <c r="D180" s="9" t="n">
        <v>877223600</v>
      </c>
      <c r="E180" s="9" t="n">
        <v>1722</v>
      </c>
      <c r="F180" s="9" t="n">
        <v>318022000</v>
      </c>
      <c r="G180" s="9" t="n">
        <v>2160</v>
      </c>
      <c r="H180" s="9" t="n">
        <v>398599737</v>
      </c>
      <c r="I180" s="9" t="n">
        <v>4317</v>
      </c>
      <c r="J180" s="9" t="n">
        <v>796645863</v>
      </c>
    </row>
    <row r="181" customFormat="false" ht="15.75" hidden="false" customHeight="false" outlineLevel="0" collapsed="false">
      <c r="A181" s="7" t="s">
        <v>189</v>
      </c>
      <c r="B181" s="7" t="n">
        <v>4</v>
      </c>
      <c r="C181" s="9" t="n">
        <v>0</v>
      </c>
      <c r="D181" s="9" t="n">
        <v>0</v>
      </c>
      <c r="E181" s="9" t="n">
        <v>105</v>
      </c>
      <c r="F181" s="9" t="n">
        <v>4663636</v>
      </c>
      <c r="G181" s="9" t="n">
        <v>0</v>
      </c>
      <c r="H181" s="9" t="n">
        <v>0</v>
      </c>
      <c r="I181" s="9" t="n">
        <v>105</v>
      </c>
      <c r="J181" s="9" t="n">
        <v>4663636</v>
      </c>
    </row>
    <row r="182" customFormat="false" ht="15.75" hidden="false" customHeight="false" outlineLevel="0" collapsed="false">
      <c r="A182" s="7" t="s">
        <v>190</v>
      </c>
      <c r="B182" s="7" t="n">
        <v>4</v>
      </c>
      <c r="C182" s="9" t="n">
        <v>1050</v>
      </c>
      <c r="D182" s="9" t="n">
        <v>31325239</v>
      </c>
      <c r="E182" s="9" t="n">
        <v>3969</v>
      </c>
      <c r="F182" s="9" t="n">
        <v>114912000</v>
      </c>
      <c r="G182" s="9" t="n">
        <v>1995</v>
      </c>
      <c r="H182" s="9" t="n">
        <v>58127773</v>
      </c>
      <c r="I182" s="9" t="n">
        <v>3024</v>
      </c>
      <c r="J182" s="9" t="n">
        <v>88109466</v>
      </c>
    </row>
    <row r="183" customFormat="false" ht="15.75" hidden="false" customHeight="false" outlineLevel="0" collapsed="false">
      <c r="A183" s="7" t="s">
        <v>191</v>
      </c>
      <c r="B183" s="7" t="n">
        <v>4</v>
      </c>
      <c r="C183" s="9" t="n">
        <v>27265</v>
      </c>
      <c r="D183" s="9" t="n">
        <v>682067339</v>
      </c>
      <c r="E183" s="9" t="n">
        <v>31340</v>
      </c>
      <c r="F183" s="9" t="n">
        <v>893889200</v>
      </c>
      <c r="G183" s="9" t="n">
        <v>23595</v>
      </c>
      <c r="H183" s="9" t="n">
        <v>676887009</v>
      </c>
      <c r="I183" s="9" t="n">
        <v>35010</v>
      </c>
      <c r="J183" s="9" t="n">
        <v>899069530</v>
      </c>
    </row>
    <row r="184" customFormat="false" ht="15.75" hidden="false" customHeight="false" outlineLevel="0" collapsed="false">
      <c r="A184" s="7" t="s">
        <v>192</v>
      </c>
      <c r="B184" s="7" t="n">
        <v>4</v>
      </c>
      <c r="C184" s="9" t="n">
        <v>0</v>
      </c>
      <c r="D184" s="9" t="n">
        <v>0</v>
      </c>
      <c r="E184" s="9" t="n">
        <v>5340</v>
      </c>
      <c r="F184" s="9" t="n">
        <v>38760000</v>
      </c>
      <c r="G184" s="9" t="n">
        <v>900</v>
      </c>
      <c r="H184" s="9" t="n">
        <v>6532584</v>
      </c>
      <c r="I184" s="9" t="n">
        <v>4440</v>
      </c>
      <c r="J184" s="9" t="n">
        <v>32227416</v>
      </c>
    </row>
    <row r="185" customFormat="false" ht="15.75" hidden="false" customHeight="false" outlineLevel="0" collapsed="false">
      <c r="A185" s="7" t="s">
        <v>193</v>
      </c>
      <c r="B185" s="7" t="n">
        <v>4</v>
      </c>
      <c r="C185" s="9" t="n">
        <v>35</v>
      </c>
      <c r="D185" s="9" t="n">
        <v>7918679</v>
      </c>
      <c r="E185" s="9" t="n">
        <v>0</v>
      </c>
      <c r="F185" s="9" t="n">
        <v>0</v>
      </c>
      <c r="G185" s="9" t="n">
        <v>35</v>
      </c>
      <c r="H185" s="9" t="n">
        <v>7918679</v>
      </c>
      <c r="I185" s="9" t="n">
        <v>0</v>
      </c>
      <c r="J185" s="9" t="n">
        <v>0</v>
      </c>
    </row>
    <row r="186" customFormat="false" ht="15.75" hidden="false" customHeight="false" outlineLevel="0" collapsed="false">
      <c r="A186" s="7" t="s">
        <v>194</v>
      </c>
      <c r="B186" s="7" t="n">
        <v>4</v>
      </c>
      <c r="C186" s="9" t="n">
        <v>129610</v>
      </c>
      <c r="D186" s="9" t="n">
        <v>845790661</v>
      </c>
      <c r="E186" s="9" t="n">
        <v>183960</v>
      </c>
      <c r="F186" s="9" t="n">
        <v>1331520000</v>
      </c>
      <c r="G186" s="9" t="n">
        <v>144600</v>
      </c>
      <c r="H186" s="9" t="n">
        <v>1056944500</v>
      </c>
      <c r="I186" s="9" t="n">
        <v>168970</v>
      </c>
      <c r="J186" s="9" t="n">
        <v>1120366161</v>
      </c>
    </row>
    <row r="187" customFormat="false" ht="15.75" hidden="false" customHeight="false" outlineLevel="0" collapsed="false">
      <c r="A187" s="7" t="s">
        <v>195</v>
      </c>
      <c r="B187" s="7" t="n">
        <v>4</v>
      </c>
      <c r="C187" s="9" t="n">
        <v>0</v>
      </c>
      <c r="D187" s="9" t="n">
        <v>0</v>
      </c>
      <c r="E187" s="9" t="n">
        <v>0</v>
      </c>
      <c r="F187" s="9" t="n">
        <v>0</v>
      </c>
      <c r="G187" s="9" t="n">
        <v>0</v>
      </c>
      <c r="H187" s="9" t="n">
        <v>0</v>
      </c>
      <c r="I187" s="9" t="n">
        <v>0</v>
      </c>
      <c r="J187" s="9" t="n">
        <v>0</v>
      </c>
    </row>
    <row r="188" customFormat="false" ht="15.75" hidden="false" customHeight="false" outlineLevel="0" collapsed="false">
      <c r="A188" s="7" t="s">
        <v>196</v>
      </c>
      <c r="B188" s="7" t="n">
        <v>4</v>
      </c>
      <c r="C188" s="9" t="n">
        <v>280</v>
      </c>
      <c r="D188" s="9" t="n">
        <v>46651031</v>
      </c>
      <c r="E188" s="9" t="n">
        <v>315</v>
      </c>
      <c r="F188" s="9" t="n">
        <v>53010000</v>
      </c>
      <c r="G188" s="9" t="n">
        <v>270</v>
      </c>
      <c r="H188" s="9" t="n">
        <v>45224333</v>
      </c>
      <c r="I188" s="9" t="n">
        <v>325</v>
      </c>
      <c r="J188" s="9" t="n">
        <v>54436698</v>
      </c>
    </row>
    <row r="189" customFormat="false" ht="15.75" hidden="false" customHeight="false" outlineLevel="0" collapsed="false">
      <c r="A189" s="7" t="s">
        <v>197</v>
      </c>
      <c r="B189" s="7" t="n">
        <v>4</v>
      </c>
      <c r="C189" s="9" t="n">
        <v>960</v>
      </c>
      <c r="D189" s="9" t="n">
        <v>6863256</v>
      </c>
      <c r="E189" s="9" t="n">
        <v>0</v>
      </c>
      <c r="F189" s="9" t="n">
        <v>0</v>
      </c>
      <c r="G189" s="9" t="n">
        <v>960</v>
      </c>
      <c r="H189" s="9" t="n">
        <v>6863256</v>
      </c>
      <c r="I189" s="9" t="n">
        <v>0</v>
      </c>
      <c r="J189" s="9" t="n">
        <v>0</v>
      </c>
    </row>
    <row r="190" customFormat="false" ht="15.75" hidden="false" customHeight="false" outlineLevel="0" collapsed="false">
      <c r="A190" s="7" t="s">
        <v>198</v>
      </c>
      <c r="B190" s="7" t="n">
        <v>4</v>
      </c>
      <c r="C190" s="9" t="n">
        <v>0</v>
      </c>
      <c r="D190" s="9" t="n">
        <v>0</v>
      </c>
      <c r="E190" s="9" t="n">
        <v>0</v>
      </c>
      <c r="F190" s="9" t="n">
        <v>0</v>
      </c>
      <c r="G190" s="9" t="n">
        <v>0</v>
      </c>
      <c r="H190" s="9" t="n">
        <v>0</v>
      </c>
      <c r="I190" s="9" t="n">
        <v>0</v>
      </c>
      <c r="J190" s="9" t="n">
        <v>0</v>
      </c>
    </row>
    <row r="191" customFormat="false" ht="15.75" hidden="false" customHeight="false" outlineLevel="0" collapsed="false">
      <c r="A191" s="7" t="s">
        <v>199</v>
      </c>
      <c r="B191" s="7" t="n">
        <v>4</v>
      </c>
      <c r="C191" s="9" t="n">
        <v>77660</v>
      </c>
      <c r="D191" s="9" t="n">
        <v>0</v>
      </c>
      <c r="E191" s="9" t="n">
        <v>0</v>
      </c>
      <c r="F191" s="9" t="n">
        <v>0</v>
      </c>
      <c r="G191" s="9" t="n">
        <v>0</v>
      </c>
      <c r="H191" s="9" t="n">
        <v>0</v>
      </c>
      <c r="I191" s="9" t="n">
        <v>77660</v>
      </c>
      <c r="J191" s="9" t="n">
        <v>0</v>
      </c>
    </row>
    <row r="192" customFormat="false" ht="15.75" hidden="false" customHeight="false" outlineLevel="0" collapsed="false">
      <c r="A192" s="7" t="s">
        <v>200</v>
      </c>
      <c r="B192" s="7" t="n">
        <v>4</v>
      </c>
      <c r="C192" s="9" t="n">
        <v>72</v>
      </c>
      <c r="D192" s="9" t="n">
        <v>504000</v>
      </c>
      <c r="E192" s="9" t="n">
        <v>0</v>
      </c>
      <c r="F192" s="9" t="n">
        <v>0</v>
      </c>
      <c r="G192" s="9" t="n">
        <v>0</v>
      </c>
      <c r="H192" s="9" t="n">
        <v>0</v>
      </c>
      <c r="I192" s="9" t="n">
        <v>72</v>
      </c>
      <c r="J192" s="9" t="n">
        <v>504000</v>
      </c>
    </row>
    <row r="193" customFormat="false" ht="15.75" hidden="false" customHeight="false" outlineLevel="0" collapsed="false">
      <c r="A193" s="7" t="s">
        <v>201</v>
      </c>
      <c r="B193" s="7" t="n">
        <v>4</v>
      </c>
      <c r="C193" s="9" t="n">
        <v>840</v>
      </c>
      <c r="D193" s="9" t="n">
        <v>12537059</v>
      </c>
      <c r="E193" s="9" t="n">
        <v>600</v>
      </c>
      <c r="F193" s="9" t="n">
        <v>9000000</v>
      </c>
      <c r="G193" s="9" t="n">
        <v>0</v>
      </c>
      <c r="H193" s="9" t="n">
        <v>0</v>
      </c>
      <c r="I193" s="9" t="n">
        <v>1440</v>
      </c>
      <c r="J193" s="9" t="n">
        <v>21537059</v>
      </c>
    </row>
    <row r="194" customFormat="false" ht="15.75" hidden="false" customHeight="false" outlineLevel="0" collapsed="false">
      <c r="A194" s="7" t="s">
        <v>202</v>
      </c>
      <c r="B194" s="7" t="n">
        <v>4</v>
      </c>
      <c r="C194" s="9" t="n">
        <v>0</v>
      </c>
      <c r="D194" s="9" t="n">
        <v>0</v>
      </c>
      <c r="E194" s="9" t="n">
        <v>0</v>
      </c>
      <c r="F194" s="9" t="n">
        <v>0</v>
      </c>
      <c r="G194" s="9" t="n">
        <v>0</v>
      </c>
      <c r="H194" s="9" t="n">
        <v>0</v>
      </c>
      <c r="I194" s="9" t="n">
        <v>0</v>
      </c>
      <c r="J194" s="9" t="n">
        <v>0</v>
      </c>
    </row>
    <row r="195" customFormat="false" ht="15.75" hidden="false" customHeight="false" outlineLevel="0" collapsed="false">
      <c r="A195" s="7" t="s">
        <v>203</v>
      </c>
      <c r="B195" s="7" t="n">
        <v>4</v>
      </c>
      <c r="C195" s="9" t="n">
        <v>2150</v>
      </c>
      <c r="D195" s="9" t="n">
        <v>25234550</v>
      </c>
      <c r="E195" s="9" t="n">
        <v>0</v>
      </c>
      <c r="F195" s="9" t="n">
        <v>0</v>
      </c>
      <c r="G195" s="9" t="n">
        <v>0</v>
      </c>
      <c r="H195" s="9" t="n">
        <v>0</v>
      </c>
      <c r="I195" s="9" t="n">
        <v>2150</v>
      </c>
      <c r="J195" s="9" t="n">
        <v>25234550</v>
      </c>
    </row>
    <row r="196" customFormat="false" ht="15.75" hidden="false" customHeight="false" outlineLevel="0" collapsed="false">
      <c r="A196" s="7" t="s">
        <v>204</v>
      </c>
      <c r="B196" s="7" t="n">
        <v>4</v>
      </c>
      <c r="C196" s="9" t="n">
        <v>4988</v>
      </c>
      <c r="D196" s="9" t="n">
        <v>138144982</v>
      </c>
      <c r="E196" s="9" t="n">
        <v>4500</v>
      </c>
      <c r="F196" s="9" t="n">
        <v>115236000</v>
      </c>
      <c r="G196" s="9" t="n">
        <v>3716</v>
      </c>
      <c r="H196" s="9" t="n">
        <v>99237324</v>
      </c>
      <c r="I196" s="9" t="n">
        <v>5772</v>
      </c>
      <c r="J196" s="9" t="n">
        <v>154143658</v>
      </c>
    </row>
    <row r="197" customFormat="false" ht="15.75" hidden="false" customHeight="false" outlineLevel="0" collapsed="false">
      <c r="A197" s="7" t="s">
        <v>205</v>
      </c>
      <c r="B197" s="7" t="n">
        <v>4</v>
      </c>
      <c r="C197" s="9" t="n">
        <v>720</v>
      </c>
      <c r="D197" s="9" t="n">
        <v>48329280</v>
      </c>
      <c r="E197" s="9" t="n">
        <v>1032</v>
      </c>
      <c r="F197" s="9" t="n">
        <v>64439040</v>
      </c>
      <c r="G197" s="9" t="n">
        <v>360</v>
      </c>
      <c r="H197" s="9" t="n">
        <v>23171573</v>
      </c>
      <c r="I197" s="9" t="n">
        <v>1392</v>
      </c>
      <c r="J197" s="9" t="n">
        <v>89596747</v>
      </c>
    </row>
    <row r="198" customFormat="false" ht="15.75" hidden="false" customHeight="false" outlineLevel="0" collapsed="false">
      <c r="A198" s="7" t="s">
        <v>206</v>
      </c>
      <c r="B198" s="7" t="n">
        <v>4</v>
      </c>
      <c r="C198" s="9" t="n">
        <v>354</v>
      </c>
      <c r="D198" s="9" t="n">
        <v>9943100</v>
      </c>
      <c r="E198" s="9" t="n">
        <v>240</v>
      </c>
      <c r="F198" s="9" t="n">
        <v>7887264</v>
      </c>
      <c r="G198" s="9" t="n">
        <v>40</v>
      </c>
      <c r="H198" s="9" t="n">
        <v>1200698</v>
      </c>
      <c r="I198" s="9" t="n">
        <v>554</v>
      </c>
      <c r="J198" s="9" t="n">
        <v>16629666</v>
      </c>
    </row>
    <row r="199" customFormat="false" ht="15.75" hidden="false" customHeight="false" outlineLevel="0" collapsed="false">
      <c r="A199" s="7" t="s">
        <v>207</v>
      </c>
      <c r="B199" s="7" t="n">
        <v>4</v>
      </c>
      <c r="C199" s="9" t="n">
        <v>0</v>
      </c>
      <c r="D199" s="9" t="n">
        <v>0</v>
      </c>
      <c r="E199" s="9" t="n">
        <v>0</v>
      </c>
      <c r="F199" s="9" t="n">
        <v>0</v>
      </c>
      <c r="G199" s="9" t="n">
        <v>0</v>
      </c>
      <c r="H199" s="9" t="n">
        <v>0</v>
      </c>
      <c r="I199" s="9" t="n">
        <v>0</v>
      </c>
      <c r="J199" s="9" t="n">
        <v>0</v>
      </c>
    </row>
    <row r="200" customFormat="false" ht="15.75" hidden="false" customHeight="false" outlineLevel="0" collapsed="false">
      <c r="A200" s="7" t="s">
        <v>208</v>
      </c>
      <c r="B200" s="7" t="n">
        <v>4</v>
      </c>
      <c r="C200" s="9" t="n">
        <v>288</v>
      </c>
      <c r="D200" s="9" t="n">
        <v>0</v>
      </c>
      <c r="E200" s="9" t="n">
        <v>2160</v>
      </c>
      <c r="F200" s="9" t="n">
        <v>22628160</v>
      </c>
      <c r="G200" s="9" t="n">
        <v>499</v>
      </c>
      <c r="H200" s="9" t="n">
        <v>4612521</v>
      </c>
      <c r="I200" s="9" t="n">
        <v>1949</v>
      </c>
      <c r="J200" s="9" t="n">
        <v>18015639</v>
      </c>
    </row>
    <row r="201" customFormat="false" ht="15.75" hidden="false" customHeight="false" outlineLevel="0" collapsed="false">
      <c r="A201" s="7" t="s">
        <v>209</v>
      </c>
      <c r="B201" s="7" t="n">
        <v>4</v>
      </c>
      <c r="C201" s="9" t="n">
        <v>0</v>
      </c>
      <c r="D201" s="9" t="n">
        <v>0</v>
      </c>
      <c r="E201" s="9" t="n">
        <v>0</v>
      </c>
      <c r="F201" s="9" t="n">
        <v>0</v>
      </c>
      <c r="G201" s="9" t="n">
        <v>0</v>
      </c>
      <c r="H201" s="9" t="n">
        <v>0</v>
      </c>
      <c r="I201" s="9" t="n">
        <v>0</v>
      </c>
      <c r="J201" s="9" t="n">
        <v>0</v>
      </c>
    </row>
    <row r="202" customFormat="false" ht="15.75" hidden="false" customHeight="false" outlineLevel="0" collapsed="false">
      <c r="A202" s="7" t="s">
        <v>210</v>
      </c>
      <c r="B202" s="7" t="n">
        <v>4</v>
      </c>
      <c r="C202" s="9" t="n">
        <v>279</v>
      </c>
      <c r="D202" s="9" t="n">
        <v>3090028</v>
      </c>
      <c r="E202" s="9" t="n">
        <v>351</v>
      </c>
      <c r="F202" s="9" t="n">
        <v>3896280</v>
      </c>
      <c r="G202" s="9" t="n">
        <v>5</v>
      </c>
      <c r="H202" s="9" t="n">
        <v>55447</v>
      </c>
      <c r="I202" s="9" t="n">
        <v>625</v>
      </c>
      <c r="J202" s="9" t="n">
        <v>6930861</v>
      </c>
    </row>
    <row r="203" customFormat="false" ht="15.75" hidden="false" customHeight="false" outlineLevel="0" collapsed="false">
      <c r="A203" s="7" t="s">
        <v>211</v>
      </c>
      <c r="B203" s="7" t="n">
        <v>4</v>
      </c>
      <c r="C203" s="9" t="n">
        <v>0</v>
      </c>
      <c r="D203" s="9" t="n">
        <v>0</v>
      </c>
      <c r="E203" s="9" t="n">
        <v>0</v>
      </c>
      <c r="F203" s="9" t="n">
        <v>0</v>
      </c>
      <c r="G203" s="9" t="n">
        <v>0</v>
      </c>
      <c r="H203" s="9" t="n">
        <v>0</v>
      </c>
      <c r="I203" s="9" t="n">
        <v>0</v>
      </c>
      <c r="J203" s="9" t="n">
        <v>0</v>
      </c>
    </row>
    <row r="204" customFormat="false" ht="15.75" hidden="false" customHeight="false" outlineLevel="0" collapsed="false">
      <c r="A204" s="7" t="s">
        <v>212</v>
      </c>
      <c r="B204" s="7" t="n">
        <v>4</v>
      </c>
      <c r="C204" s="9" t="n">
        <v>5423</v>
      </c>
      <c r="D204" s="9" t="n">
        <v>67331834</v>
      </c>
      <c r="E204" s="9" t="n">
        <v>12240</v>
      </c>
      <c r="F204" s="9" t="n">
        <v>151971840</v>
      </c>
      <c r="G204" s="9" t="n">
        <v>0</v>
      </c>
      <c r="H204" s="9" t="n">
        <v>0</v>
      </c>
      <c r="I204" s="9" t="n">
        <v>17663</v>
      </c>
      <c r="J204" s="9" t="n">
        <v>219303674</v>
      </c>
    </row>
    <row r="205" customFormat="false" ht="15.75" hidden="false" customHeight="false" outlineLevel="0" collapsed="false">
      <c r="A205" s="7" t="s">
        <v>213</v>
      </c>
      <c r="B205" s="7" t="n">
        <v>4</v>
      </c>
      <c r="C205" s="9" t="n">
        <v>2160</v>
      </c>
      <c r="D205" s="9" t="n">
        <v>45884880</v>
      </c>
      <c r="E205" s="9" t="n">
        <v>0</v>
      </c>
      <c r="F205" s="9" t="n">
        <v>0</v>
      </c>
      <c r="G205" s="9" t="n">
        <v>0</v>
      </c>
      <c r="H205" s="9" t="n">
        <v>0</v>
      </c>
      <c r="I205" s="9" t="n">
        <v>2160</v>
      </c>
      <c r="J205" s="9" t="n">
        <v>45884880</v>
      </c>
    </row>
    <row r="206" customFormat="false" ht="15.75" hidden="false" customHeight="false" outlineLevel="0" collapsed="false">
      <c r="A206" s="7" t="s">
        <v>214</v>
      </c>
      <c r="B206" s="7" t="n">
        <v>4</v>
      </c>
      <c r="C206" s="9" t="n">
        <v>3939</v>
      </c>
      <c r="D206" s="9" t="n">
        <v>86047657</v>
      </c>
      <c r="E206" s="9" t="n">
        <v>7596</v>
      </c>
      <c r="F206" s="9" t="n">
        <v>177393600</v>
      </c>
      <c r="G206" s="9" t="n">
        <v>1392</v>
      </c>
      <c r="H206" s="9" t="n">
        <v>31791091</v>
      </c>
      <c r="I206" s="9" t="n">
        <v>10143</v>
      </c>
      <c r="J206" s="9" t="n">
        <v>231650166</v>
      </c>
    </row>
    <row r="207" customFormat="false" ht="15.75" hidden="false" customHeight="false" outlineLevel="0" collapsed="false">
      <c r="A207" s="7" t="s">
        <v>215</v>
      </c>
      <c r="B207" s="7" t="n">
        <v>4</v>
      </c>
      <c r="C207" s="9" t="n">
        <v>1168</v>
      </c>
      <c r="D207" s="9" t="n">
        <v>49850240</v>
      </c>
      <c r="E207" s="9" t="n">
        <v>240</v>
      </c>
      <c r="F207" s="9" t="n">
        <v>10243200</v>
      </c>
      <c r="G207" s="9" t="n">
        <v>0</v>
      </c>
      <c r="H207" s="9" t="n">
        <v>0</v>
      </c>
      <c r="I207" s="9" t="n">
        <v>1408</v>
      </c>
      <c r="J207" s="9" t="n">
        <v>60093440</v>
      </c>
    </row>
    <row r="208" customFormat="false" ht="15.75" hidden="false" customHeight="false" outlineLevel="0" collapsed="false">
      <c r="A208" s="7" t="s">
        <v>216</v>
      </c>
      <c r="B208" s="7" t="n">
        <v>4</v>
      </c>
      <c r="C208" s="9" t="n">
        <v>0</v>
      </c>
      <c r="D208" s="9" t="n">
        <v>0</v>
      </c>
      <c r="E208" s="9" t="n">
        <v>0</v>
      </c>
      <c r="F208" s="9" t="n">
        <v>0</v>
      </c>
      <c r="G208" s="9" t="n">
        <v>0</v>
      </c>
      <c r="H208" s="9" t="n">
        <v>0</v>
      </c>
      <c r="I208" s="9" t="n">
        <v>0</v>
      </c>
      <c r="J208" s="9" t="n">
        <v>0</v>
      </c>
    </row>
    <row r="209" customFormat="false" ht="15.75" hidden="false" customHeight="false" outlineLevel="0" collapsed="false">
      <c r="A209" s="7" t="s">
        <v>217</v>
      </c>
      <c r="B209" s="7" t="n">
        <v>4</v>
      </c>
      <c r="C209" s="9" t="n">
        <v>10</v>
      </c>
      <c r="D209" s="9" t="n">
        <v>1775003</v>
      </c>
      <c r="E209" s="9" t="n">
        <v>0</v>
      </c>
      <c r="F209" s="9" t="n">
        <v>0</v>
      </c>
      <c r="G209" s="9" t="n">
        <v>0</v>
      </c>
      <c r="H209" s="9" t="n">
        <v>0</v>
      </c>
      <c r="I209" s="9" t="n">
        <v>10</v>
      </c>
      <c r="J209" s="9" t="n">
        <v>1775003</v>
      </c>
    </row>
    <row r="210" customFormat="false" ht="15.75" hidden="false" customHeight="false" outlineLevel="0" collapsed="false">
      <c r="A210" s="7" t="s">
        <v>218</v>
      </c>
      <c r="B210" s="7" t="n">
        <v>4</v>
      </c>
      <c r="C210" s="9" t="n">
        <v>0</v>
      </c>
      <c r="D210" s="9" t="n">
        <v>0</v>
      </c>
      <c r="E210" s="9" t="n">
        <v>0</v>
      </c>
      <c r="F210" s="9" t="n">
        <v>0</v>
      </c>
      <c r="G210" s="9" t="n">
        <v>0</v>
      </c>
      <c r="H210" s="9" t="n">
        <v>0</v>
      </c>
      <c r="I210" s="9" t="n">
        <v>0</v>
      </c>
      <c r="J210" s="9" t="n">
        <v>0</v>
      </c>
    </row>
    <row r="211" customFormat="false" ht="15.75" hidden="false" customHeight="false" outlineLevel="0" collapsed="false">
      <c r="A211" s="7" t="s">
        <v>219</v>
      </c>
      <c r="B211" s="7" t="n">
        <v>4</v>
      </c>
      <c r="C211" s="9" t="n">
        <v>0</v>
      </c>
      <c r="D211" s="9" t="n">
        <v>0</v>
      </c>
      <c r="E211" s="9" t="n">
        <v>0</v>
      </c>
      <c r="F211" s="9" t="n">
        <v>0</v>
      </c>
      <c r="G211" s="9" t="n">
        <v>0</v>
      </c>
      <c r="H211" s="9" t="n">
        <v>0</v>
      </c>
      <c r="I211" s="9" t="n">
        <v>0</v>
      </c>
      <c r="J211" s="9" t="n">
        <v>0</v>
      </c>
    </row>
    <row r="212" customFormat="false" ht="15.75" hidden="false" customHeight="false" outlineLevel="0" collapsed="false">
      <c r="A212" s="7" t="s">
        <v>220</v>
      </c>
      <c r="B212" s="7" t="n">
        <v>4</v>
      </c>
      <c r="C212" s="9" t="n">
        <v>0</v>
      </c>
      <c r="D212" s="9" t="n">
        <v>0</v>
      </c>
      <c r="E212" s="9" t="n">
        <v>0</v>
      </c>
      <c r="F212" s="9" t="n">
        <v>0</v>
      </c>
      <c r="G212" s="9" t="n">
        <v>0</v>
      </c>
      <c r="H212" s="9" t="n">
        <v>0</v>
      </c>
      <c r="I212" s="9" t="n">
        <v>0</v>
      </c>
      <c r="J212" s="9" t="n">
        <v>0</v>
      </c>
    </row>
    <row r="213" customFormat="false" ht="15.75" hidden="false" customHeight="false" outlineLevel="0" collapsed="false">
      <c r="A213" s="7" t="s">
        <v>221</v>
      </c>
      <c r="B213" s="7" t="n">
        <v>4</v>
      </c>
      <c r="C213" s="9" t="n">
        <v>4286</v>
      </c>
      <c r="D213" s="9" t="n">
        <v>84570013</v>
      </c>
      <c r="E213" s="9" t="n">
        <v>108</v>
      </c>
      <c r="F213" s="9" t="n">
        <v>0</v>
      </c>
      <c r="G213" s="9" t="n">
        <v>290</v>
      </c>
      <c r="H213" s="9" t="n">
        <v>5581544</v>
      </c>
      <c r="I213" s="9" t="n">
        <v>4104</v>
      </c>
      <c r="J213" s="9" t="n">
        <v>78988469</v>
      </c>
    </row>
    <row r="214" customFormat="false" ht="15.75" hidden="false" customHeight="false" outlineLevel="0" collapsed="false">
      <c r="A214" s="7" t="s">
        <v>222</v>
      </c>
      <c r="B214" s="7" t="n">
        <v>4</v>
      </c>
      <c r="C214" s="9" t="n">
        <v>601</v>
      </c>
      <c r="D214" s="9" t="n">
        <v>11155698</v>
      </c>
      <c r="E214" s="9" t="n">
        <v>0</v>
      </c>
      <c r="F214" s="9" t="n">
        <v>0</v>
      </c>
      <c r="G214" s="9" t="n">
        <v>0</v>
      </c>
      <c r="H214" s="9" t="n">
        <v>0</v>
      </c>
      <c r="I214" s="9" t="n">
        <v>601</v>
      </c>
      <c r="J214" s="9" t="n">
        <v>11155698</v>
      </c>
    </row>
    <row r="215" customFormat="false" ht="15.75" hidden="false" customHeight="false" outlineLevel="0" collapsed="false">
      <c r="A215" s="7" t="s">
        <v>223</v>
      </c>
      <c r="B215" s="7" t="n">
        <v>4</v>
      </c>
      <c r="C215" s="9" t="n">
        <v>865</v>
      </c>
      <c r="D215" s="9" t="n">
        <v>37407424</v>
      </c>
      <c r="E215" s="9" t="n">
        <v>0</v>
      </c>
      <c r="F215" s="9" t="n">
        <v>0</v>
      </c>
      <c r="G215" s="9" t="n">
        <v>0</v>
      </c>
      <c r="H215" s="9" t="n">
        <v>0</v>
      </c>
      <c r="I215" s="9" t="n">
        <v>865</v>
      </c>
      <c r="J215" s="9" t="n">
        <v>37407424</v>
      </c>
    </row>
    <row r="216" customFormat="false" ht="15.75" hidden="false" customHeight="false" outlineLevel="0" collapsed="false">
      <c r="A216" s="7" t="s">
        <v>224</v>
      </c>
      <c r="B216" s="7" t="n">
        <v>4</v>
      </c>
      <c r="C216" s="9" t="n">
        <v>336</v>
      </c>
      <c r="D216" s="9" t="n">
        <v>6713952</v>
      </c>
      <c r="E216" s="9" t="n">
        <v>0</v>
      </c>
      <c r="F216" s="9" t="n">
        <v>0</v>
      </c>
      <c r="G216" s="9" t="n">
        <v>0</v>
      </c>
      <c r="H216" s="9" t="n">
        <v>0</v>
      </c>
      <c r="I216" s="9" t="n">
        <v>336</v>
      </c>
      <c r="J216" s="9" t="n">
        <v>6713952</v>
      </c>
    </row>
    <row r="217" customFormat="false" ht="15.75" hidden="false" customHeight="false" outlineLevel="0" collapsed="false">
      <c r="A217" s="7" t="s">
        <v>225</v>
      </c>
      <c r="B217" s="7" t="n">
        <v>4</v>
      </c>
      <c r="C217" s="9" t="n">
        <v>0</v>
      </c>
      <c r="D217" s="9" t="n">
        <v>0</v>
      </c>
      <c r="E217" s="9" t="n">
        <v>0</v>
      </c>
      <c r="F217" s="9" t="n">
        <v>0</v>
      </c>
      <c r="G217" s="9" t="n">
        <v>0</v>
      </c>
      <c r="H217" s="9" t="n">
        <v>0</v>
      </c>
      <c r="I217" s="9" t="n">
        <v>0</v>
      </c>
      <c r="J217" s="9" t="n">
        <v>0</v>
      </c>
    </row>
    <row r="218" customFormat="false" ht="15.75" hidden="false" customHeight="false" outlineLevel="0" collapsed="false">
      <c r="A218" s="7" t="s">
        <v>226</v>
      </c>
      <c r="B218" s="7" t="n">
        <v>4</v>
      </c>
      <c r="C218" s="9" t="n">
        <v>0</v>
      </c>
      <c r="D218" s="9" t="n">
        <v>0</v>
      </c>
      <c r="E218" s="9" t="n">
        <v>0</v>
      </c>
      <c r="F218" s="9" t="n">
        <v>0</v>
      </c>
      <c r="G218" s="9" t="n">
        <v>0</v>
      </c>
      <c r="H218" s="9" t="n">
        <v>0</v>
      </c>
      <c r="I218" s="9" t="n">
        <v>0</v>
      </c>
      <c r="J218" s="9" t="n">
        <v>0</v>
      </c>
    </row>
    <row r="219" customFormat="false" ht="15.75" hidden="false" customHeight="false" outlineLevel="0" collapsed="false">
      <c r="A219" s="7" t="s">
        <v>227</v>
      </c>
      <c r="B219" s="7" t="n">
        <v>4</v>
      </c>
      <c r="C219" s="9" t="n">
        <v>75</v>
      </c>
      <c r="D219" s="9" t="n">
        <v>0</v>
      </c>
      <c r="E219" s="9" t="n">
        <v>416</v>
      </c>
      <c r="F219" s="9" t="n">
        <v>0</v>
      </c>
      <c r="G219" s="9" t="n">
        <v>0</v>
      </c>
      <c r="H219" s="9" t="n">
        <v>0</v>
      </c>
      <c r="I219" s="9" t="n">
        <v>491</v>
      </c>
      <c r="J219" s="9" t="n">
        <v>0</v>
      </c>
    </row>
    <row r="220" customFormat="false" ht="15.75" hidden="false" customHeight="false" outlineLevel="0" collapsed="false">
      <c r="A220" s="7" t="s">
        <v>228</v>
      </c>
      <c r="B220" s="7" t="n">
        <v>4</v>
      </c>
      <c r="C220" s="9" t="n">
        <v>1152</v>
      </c>
      <c r="D220" s="9" t="n">
        <v>102389154</v>
      </c>
      <c r="E220" s="9" t="n">
        <v>23</v>
      </c>
      <c r="F220" s="9" t="n">
        <v>1756160</v>
      </c>
      <c r="G220" s="9" t="n">
        <v>20</v>
      </c>
      <c r="H220" s="9" t="n">
        <v>1772686</v>
      </c>
      <c r="I220" s="9" t="n">
        <v>1155</v>
      </c>
      <c r="J220" s="9" t="n">
        <v>102372628</v>
      </c>
    </row>
    <row r="221" customFormat="false" ht="15.75" hidden="false" customHeight="false" outlineLevel="0" collapsed="false">
      <c r="A221" s="7" t="s">
        <v>229</v>
      </c>
      <c r="B221" s="7" t="n">
        <v>4</v>
      </c>
      <c r="C221" s="9" t="n">
        <v>1443</v>
      </c>
      <c r="D221" s="9" t="n">
        <v>133856758</v>
      </c>
      <c r="E221" s="9" t="n">
        <v>500</v>
      </c>
      <c r="F221" s="9" t="n">
        <v>43148028</v>
      </c>
      <c r="G221" s="9" t="n">
        <v>392</v>
      </c>
      <c r="H221" s="9" t="n">
        <v>35710693</v>
      </c>
      <c r="I221" s="9" t="n">
        <v>1551</v>
      </c>
      <c r="J221" s="9" t="n">
        <v>141294093</v>
      </c>
    </row>
    <row r="222" customFormat="false" ht="15.75" hidden="false" customHeight="false" outlineLevel="0" collapsed="false">
      <c r="A222" s="7" t="s">
        <v>230</v>
      </c>
      <c r="B222" s="7" t="n">
        <v>4</v>
      </c>
      <c r="C222" s="9" t="n">
        <v>0</v>
      </c>
      <c r="D222" s="9" t="n">
        <v>0</v>
      </c>
      <c r="E222" s="9" t="n">
        <v>0</v>
      </c>
      <c r="F222" s="9" t="n">
        <v>0</v>
      </c>
      <c r="G222" s="9" t="n">
        <v>0</v>
      </c>
      <c r="H222" s="9" t="n">
        <v>0</v>
      </c>
      <c r="I222" s="9" t="n">
        <v>0</v>
      </c>
      <c r="J222" s="9" t="n">
        <v>0</v>
      </c>
    </row>
    <row r="223" customFormat="false" ht="15.75" hidden="false" customHeight="false" outlineLevel="0" collapsed="false">
      <c r="A223" s="7" t="s">
        <v>231</v>
      </c>
      <c r="B223" s="7" t="n">
        <v>4</v>
      </c>
      <c r="C223" s="9" t="n">
        <v>0</v>
      </c>
      <c r="D223" s="9" t="n">
        <v>0</v>
      </c>
      <c r="E223" s="9" t="n">
        <v>0</v>
      </c>
      <c r="F223" s="9" t="n">
        <v>0</v>
      </c>
      <c r="G223" s="9" t="n">
        <v>0</v>
      </c>
      <c r="H223" s="9" t="n">
        <v>0</v>
      </c>
      <c r="I223" s="9" t="n">
        <v>0</v>
      </c>
      <c r="J223" s="9" t="n">
        <v>0</v>
      </c>
    </row>
    <row r="224" customFormat="false" ht="15.75" hidden="false" customHeight="false" outlineLevel="0" collapsed="false">
      <c r="A224" s="7" t="s">
        <v>232</v>
      </c>
      <c r="B224" s="7" t="n">
        <v>4</v>
      </c>
      <c r="C224" s="9" t="n">
        <v>2474</v>
      </c>
      <c r="D224" s="9" t="n">
        <v>156068107</v>
      </c>
      <c r="E224" s="9" t="n">
        <v>565</v>
      </c>
      <c r="F224" s="9" t="n">
        <v>33029724</v>
      </c>
      <c r="G224" s="9" t="n">
        <v>844</v>
      </c>
      <c r="H224" s="9" t="n">
        <v>52516805</v>
      </c>
      <c r="I224" s="9" t="n">
        <v>2195</v>
      </c>
      <c r="J224" s="9" t="n">
        <v>136581026</v>
      </c>
    </row>
    <row r="225" customFormat="false" ht="15.75" hidden="false" customHeight="false" outlineLevel="0" collapsed="false">
      <c r="A225" s="7" t="s">
        <v>233</v>
      </c>
      <c r="B225" s="7" t="n">
        <v>4</v>
      </c>
      <c r="C225" s="9" t="n">
        <v>7296</v>
      </c>
      <c r="D225" s="9" t="n">
        <v>452952117</v>
      </c>
      <c r="E225" s="9" t="n">
        <v>2633</v>
      </c>
      <c r="F225" s="9" t="n">
        <v>150528000</v>
      </c>
      <c r="G225" s="9" t="n">
        <v>3900</v>
      </c>
      <c r="H225" s="9" t="n">
        <v>237040231</v>
      </c>
      <c r="I225" s="9" t="n">
        <v>6029</v>
      </c>
      <c r="J225" s="9" t="n">
        <v>366439886</v>
      </c>
    </row>
    <row r="226" customFormat="false" ht="15.75" hidden="false" customHeight="false" outlineLevel="0" collapsed="false">
      <c r="A226" s="7" t="s">
        <v>234</v>
      </c>
      <c r="B226" s="7" t="n">
        <v>4</v>
      </c>
      <c r="C226" s="9" t="n">
        <v>23587</v>
      </c>
      <c r="D226" s="9" t="n">
        <v>1355182570</v>
      </c>
      <c r="E226" s="9" t="n">
        <v>13814</v>
      </c>
      <c r="F226" s="9" t="n">
        <v>752231928</v>
      </c>
      <c r="G226" s="9" t="n">
        <v>22081</v>
      </c>
      <c r="H226" s="9" t="n">
        <v>1244186507</v>
      </c>
      <c r="I226" s="9" t="n">
        <v>15320</v>
      </c>
      <c r="J226" s="9" t="n">
        <v>863227991</v>
      </c>
    </row>
    <row r="227" customFormat="false" ht="15.75" hidden="false" customHeight="false" outlineLevel="0" collapsed="false">
      <c r="A227" s="7" t="s">
        <v>235</v>
      </c>
      <c r="B227" s="7" t="n">
        <v>4</v>
      </c>
      <c r="C227" s="9" t="n">
        <v>1668</v>
      </c>
      <c r="D227" s="9" t="n">
        <v>115101369</v>
      </c>
      <c r="E227" s="9" t="n">
        <v>120</v>
      </c>
      <c r="F227" s="9" t="n">
        <v>8467200</v>
      </c>
      <c r="G227" s="9" t="n">
        <v>48</v>
      </c>
      <c r="H227" s="9" t="n">
        <v>3317277</v>
      </c>
      <c r="I227" s="9" t="n">
        <v>1740</v>
      </c>
      <c r="J227" s="9" t="n">
        <v>120251292</v>
      </c>
    </row>
    <row r="228" customFormat="false" ht="15.75" hidden="false" customHeight="false" outlineLevel="0" collapsed="false">
      <c r="A228" s="7" t="s">
        <v>236</v>
      </c>
      <c r="B228" s="7" t="n">
        <v>4</v>
      </c>
      <c r="C228" s="9" t="n">
        <v>0</v>
      </c>
      <c r="D228" s="9" t="n">
        <v>0</v>
      </c>
      <c r="E228" s="9" t="n">
        <v>0</v>
      </c>
      <c r="F228" s="9" t="n">
        <v>0</v>
      </c>
      <c r="G228" s="9" t="n">
        <v>0</v>
      </c>
      <c r="H228" s="9" t="n">
        <v>0</v>
      </c>
      <c r="I228" s="9" t="n">
        <v>0</v>
      </c>
      <c r="J228" s="9" t="n">
        <v>0</v>
      </c>
    </row>
    <row r="229" customFormat="false" ht="15.75" hidden="false" customHeight="false" outlineLevel="0" collapsed="false">
      <c r="A229" s="7" t="s">
        <v>237</v>
      </c>
      <c r="B229" s="7" t="n">
        <v>4</v>
      </c>
      <c r="C229" s="9" t="n">
        <v>276</v>
      </c>
      <c r="D229" s="9" t="n">
        <v>2253020</v>
      </c>
      <c r="E229" s="9" t="n">
        <v>0</v>
      </c>
      <c r="F229" s="9" t="n">
        <v>0</v>
      </c>
      <c r="G229" s="9" t="n">
        <v>0</v>
      </c>
      <c r="H229" s="9" t="n">
        <v>0</v>
      </c>
      <c r="I229" s="9" t="n">
        <v>276</v>
      </c>
      <c r="J229" s="9" t="n">
        <v>2253020</v>
      </c>
    </row>
    <row r="230" customFormat="false" ht="15.75" hidden="false" customHeight="false" outlineLevel="0" collapsed="false">
      <c r="A230" s="7" t="s">
        <v>238</v>
      </c>
      <c r="B230" s="7" t="n">
        <v>4</v>
      </c>
      <c r="C230" s="9" t="n">
        <v>333</v>
      </c>
      <c r="D230" s="9" t="n">
        <v>19129531</v>
      </c>
      <c r="E230" s="9" t="n">
        <v>574</v>
      </c>
      <c r="F230" s="9" t="n">
        <v>33687491</v>
      </c>
      <c r="G230" s="9" t="n">
        <v>15</v>
      </c>
      <c r="H230" s="9" t="n">
        <v>873490</v>
      </c>
      <c r="I230" s="9" t="n">
        <v>892</v>
      </c>
      <c r="J230" s="9" t="n">
        <v>51943532</v>
      </c>
    </row>
    <row r="231" customFormat="false" ht="15.75" hidden="false" customHeight="false" outlineLevel="0" collapsed="false">
      <c r="A231" s="7" t="s">
        <v>239</v>
      </c>
      <c r="B231" s="7" t="n">
        <v>4</v>
      </c>
      <c r="C231" s="9" t="n">
        <v>0</v>
      </c>
      <c r="D231" s="9" t="n">
        <v>0</v>
      </c>
      <c r="E231" s="9" t="n">
        <v>0</v>
      </c>
      <c r="F231" s="9" t="n">
        <v>0</v>
      </c>
      <c r="G231" s="9" t="n">
        <v>0</v>
      </c>
      <c r="H231" s="9" t="n">
        <v>0</v>
      </c>
      <c r="I231" s="9" t="n">
        <v>0</v>
      </c>
      <c r="J231" s="9" t="n">
        <v>0</v>
      </c>
    </row>
    <row r="232" customFormat="false" ht="15.75" hidden="false" customHeight="false" outlineLevel="0" collapsed="false">
      <c r="A232" s="7" t="s">
        <v>240</v>
      </c>
      <c r="B232" s="7" t="n">
        <v>4</v>
      </c>
      <c r="C232" s="9" t="n">
        <v>3099</v>
      </c>
      <c r="D232" s="9" t="n">
        <v>292246517</v>
      </c>
      <c r="E232" s="9" t="n">
        <v>1540</v>
      </c>
      <c r="F232" s="9" t="n">
        <v>143977680</v>
      </c>
      <c r="G232" s="9" t="n">
        <v>1036</v>
      </c>
      <c r="H232" s="9" t="n">
        <v>97419329</v>
      </c>
      <c r="I232" s="9" t="n">
        <v>3603</v>
      </c>
      <c r="J232" s="9" t="n">
        <v>338804868</v>
      </c>
    </row>
    <row r="233" customFormat="false" ht="15.75" hidden="false" customHeight="false" outlineLevel="0" collapsed="false">
      <c r="A233" s="7" t="s">
        <v>241</v>
      </c>
      <c r="B233" s="7" t="n">
        <v>4</v>
      </c>
      <c r="C233" s="9" t="n">
        <v>166</v>
      </c>
      <c r="D233" s="9" t="n">
        <v>13772959</v>
      </c>
      <c r="E233" s="9" t="n">
        <v>1626</v>
      </c>
      <c r="F233" s="9" t="n">
        <v>133466533</v>
      </c>
      <c r="G233" s="9" t="n">
        <v>0</v>
      </c>
      <c r="H233" s="9" t="n">
        <v>0</v>
      </c>
      <c r="I233" s="9" t="n">
        <v>1792</v>
      </c>
      <c r="J233" s="9" t="n">
        <v>147239492</v>
      </c>
    </row>
    <row r="234" customFormat="false" ht="15.75" hidden="false" customHeight="false" outlineLevel="0" collapsed="false">
      <c r="A234" s="7" t="s">
        <v>242</v>
      </c>
      <c r="B234" s="7" t="n">
        <v>4</v>
      </c>
      <c r="C234" s="9" t="n">
        <v>2061</v>
      </c>
      <c r="D234" s="9" t="n">
        <v>141258808</v>
      </c>
      <c r="E234" s="9" t="n">
        <v>21</v>
      </c>
      <c r="F234" s="9" t="n">
        <v>1518804</v>
      </c>
      <c r="G234" s="9" t="n">
        <v>0</v>
      </c>
      <c r="H234" s="9" t="n">
        <v>0</v>
      </c>
      <c r="I234" s="9" t="n">
        <v>2082</v>
      </c>
      <c r="J234" s="9" t="n">
        <v>142777612</v>
      </c>
    </row>
    <row r="235" customFormat="false" ht="15.75" hidden="false" customHeight="false" outlineLevel="0" collapsed="false">
      <c r="A235" s="7" t="s">
        <v>243</v>
      </c>
      <c r="B235" s="7" t="n">
        <v>4</v>
      </c>
      <c r="C235" s="9" t="n">
        <v>994</v>
      </c>
      <c r="D235" s="9" t="n">
        <v>93994610</v>
      </c>
      <c r="E235" s="9" t="n">
        <v>196</v>
      </c>
      <c r="F235" s="9" t="n">
        <v>17651466</v>
      </c>
      <c r="G235" s="9" t="n">
        <v>0</v>
      </c>
      <c r="H235" s="9" t="n">
        <v>0</v>
      </c>
      <c r="I235" s="9" t="n">
        <v>1190</v>
      </c>
      <c r="J235" s="9" t="n">
        <v>111646076</v>
      </c>
    </row>
    <row r="236" customFormat="false" ht="15.75" hidden="false" customHeight="false" outlineLevel="0" collapsed="false">
      <c r="A236" s="7" t="s">
        <v>244</v>
      </c>
      <c r="B236" s="7" t="n">
        <v>4</v>
      </c>
      <c r="C236" s="9" t="n">
        <v>0</v>
      </c>
      <c r="D236" s="9" t="n">
        <v>0</v>
      </c>
      <c r="E236" s="9" t="n">
        <v>0</v>
      </c>
      <c r="F236" s="9" t="n">
        <v>0</v>
      </c>
      <c r="G236" s="9" t="n">
        <v>0</v>
      </c>
      <c r="H236" s="9" t="n">
        <v>0</v>
      </c>
      <c r="I236" s="9" t="n">
        <v>0</v>
      </c>
      <c r="J236" s="9" t="n">
        <v>0</v>
      </c>
    </row>
    <row r="237" customFormat="false" ht="15.75" hidden="false" customHeight="false" outlineLevel="0" collapsed="false">
      <c r="A237" s="7" t="s">
        <v>245</v>
      </c>
      <c r="B237" s="7" t="n">
        <v>4</v>
      </c>
      <c r="C237" s="9" t="n">
        <v>0</v>
      </c>
      <c r="D237" s="9" t="n">
        <v>0</v>
      </c>
      <c r="E237" s="9" t="n">
        <v>0</v>
      </c>
      <c r="F237" s="9" t="n">
        <v>0</v>
      </c>
      <c r="G237" s="9" t="n">
        <v>0</v>
      </c>
      <c r="H237" s="9" t="n">
        <v>0</v>
      </c>
      <c r="I237" s="9" t="n">
        <v>0</v>
      </c>
      <c r="J237" s="9" t="n">
        <v>0</v>
      </c>
    </row>
    <row r="238" customFormat="false" ht="15.75" hidden="false" customHeight="false" outlineLevel="0" collapsed="false">
      <c r="A238" s="7" t="s">
        <v>246</v>
      </c>
      <c r="B238" s="7" t="n">
        <v>4</v>
      </c>
      <c r="C238" s="9" t="n">
        <v>672</v>
      </c>
      <c r="D238" s="9" t="n">
        <v>4789707</v>
      </c>
      <c r="E238" s="9" t="n">
        <v>912</v>
      </c>
      <c r="F238" s="9" t="n">
        <v>6500317</v>
      </c>
      <c r="G238" s="9" t="n">
        <v>0</v>
      </c>
      <c r="H238" s="9" t="n">
        <v>0</v>
      </c>
      <c r="I238" s="9" t="n">
        <v>1584</v>
      </c>
      <c r="J238" s="9" t="n">
        <v>11290024</v>
      </c>
    </row>
    <row r="239" customFormat="false" ht="15.75" hidden="false" customHeight="false" outlineLevel="0" collapsed="false">
      <c r="A239" s="7" t="s">
        <v>247</v>
      </c>
      <c r="B239" s="7" t="n">
        <v>4</v>
      </c>
      <c r="C239" s="9" t="n">
        <v>12771</v>
      </c>
      <c r="D239" s="9" t="n">
        <v>86777705</v>
      </c>
      <c r="E239" s="9" t="n">
        <v>7192</v>
      </c>
      <c r="F239" s="9" t="n">
        <v>47897069</v>
      </c>
      <c r="G239" s="9" t="n">
        <v>216</v>
      </c>
      <c r="H239" s="9" t="n">
        <v>1457183</v>
      </c>
      <c r="I239" s="9" t="n">
        <v>19747</v>
      </c>
      <c r="J239" s="9" t="n">
        <v>133217591</v>
      </c>
    </row>
    <row r="240" customFormat="false" ht="15.75" hidden="false" customHeight="false" outlineLevel="0" collapsed="false">
      <c r="A240" s="7" t="s">
        <v>248</v>
      </c>
      <c r="B240" s="7" t="n">
        <v>4</v>
      </c>
      <c r="C240" s="9" t="n">
        <v>0</v>
      </c>
      <c r="D240" s="9" t="n">
        <v>0</v>
      </c>
      <c r="E240" s="9" t="n">
        <v>48</v>
      </c>
      <c r="F240" s="9" t="n">
        <v>342122</v>
      </c>
      <c r="G240" s="9" t="n">
        <v>0</v>
      </c>
      <c r="H240" s="9" t="n">
        <v>0</v>
      </c>
      <c r="I240" s="9" t="n">
        <v>48</v>
      </c>
      <c r="J240" s="9" t="n">
        <v>342122</v>
      </c>
    </row>
    <row r="241" customFormat="false" ht="15.75" hidden="false" customHeight="false" outlineLevel="0" collapsed="false">
      <c r="A241" s="7" t="s">
        <v>249</v>
      </c>
      <c r="B241" s="7" t="n">
        <v>4</v>
      </c>
      <c r="C241" s="9" t="n">
        <v>96</v>
      </c>
      <c r="D241" s="9" t="n">
        <v>684244</v>
      </c>
      <c r="E241" s="9" t="n">
        <v>192</v>
      </c>
      <c r="F241" s="9" t="n">
        <v>1368488</v>
      </c>
      <c r="G241" s="9" t="n">
        <v>0</v>
      </c>
      <c r="H241" s="9" t="n">
        <v>0</v>
      </c>
      <c r="I241" s="9" t="n">
        <v>288</v>
      </c>
      <c r="J241" s="9" t="n">
        <v>2052732</v>
      </c>
    </row>
    <row r="242" customFormat="false" ht="15.75" hidden="false" customHeight="false" outlineLevel="0" collapsed="false">
      <c r="A242" s="7" t="s">
        <v>250</v>
      </c>
      <c r="B242" s="7" t="n">
        <v>4</v>
      </c>
      <c r="C242" s="9" t="n">
        <v>2617</v>
      </c>
      <c r="D242" s="9" t="n">
        <v>72995435</v>
      </c>
      <c r="E242" s="9" t="n">
        <v>1056</v>
      </c>
      <c r="F242" s="9" t="n">
        <v>7526682</v>
      </c>
      <c r="G242" s="9" t="n">
        <v>23</v>
      </c>
      <c r="H242" s="9" t="n">
        <v>504222</v>
      </c>
      <c r="I242" s="9" t="n">
        <v>3650</v>
      </c>
      <c r="J242" s="9" t="n">
        <v>80017895</v>
      </c>
    </row>
    <row r="243" customFormat="false" ht="15.75" hidden="false" customHeight="false" outlineLevel="0" collapsed="false">
      <c r="A243" s="7" t="s">
        <v>251</v>
      </c>
      <c r="B243" s="7" t="n">
        <v>4</v>
      </c>
      <c r="C243" s="9" t="n">
        <v>0</v>
      </c>
      <c r="D243" s="9" t="n">
        <v>0</v>
      </c>
      <c r="E243" s="9" t="n">
        <v>0</v>
      </c>
      <c r="F243" s="9" t="n">
        <v>0</v>
      </c>
      <c r="G243" s="9" t="n">
        <v>0</v>
      </c>
      <c r="H243" s="9" t="n">
        <v>0</v>
      </c>
      <c r="I243" s="9" t="n">
        <v>0</v>
      </c>
      <c r="J243" s="9" t="n">
        <v>0</v>
      </c>
    </row>
    <row r="244" customFormat="false" ht="15.75" hidden="false" customHeight="false" outlineLevel="0" collapsed="false">
      <c r="A244" s="7" t="s">
        <v>252</v>
      </c>
      <c r="B244" s="7" t="n">
        <v>4</v>
      </c>
      <c r="C244" s="9" t="n">
        <v>0</v>
      </c>
      <c r="D244" s="9" t="n">
        <v>0</v>
      </c>
      <c r="E244" s="9" t="n">
        <v>0</v>
      </c>
      <c r="F244" s="9" t="n">
        <v>0</v>
      </c>
      <c r="G244" s="9" t="n">
        <v>0</v>
      </c>
      <c r="H244" s="9" t="n">
        <v>0</v>
      </c>
      <c r="I244" s="9" t="n">
        <v>0</v>
      </c>
      <c r="J244" s="9" t="n">
        <v>0</v>
      </c>
    </row>
    <row r="245" customFormat="false" ht="15.75" hidden="false" customHeight="false" outlineLevel="0" collapsed="false">
      <c r="A245" s="7" t="s">
        <v>253</v>
      </c>
      <c r="B245" s="7" t="n">
        <v>4</v>
      </c>
      <c r="C245" s="9" t="n">
        <v>0</v>
      </c>
      <c r="D245" s="9" t="n">
        <v>0</v>
      </c>
      <c r="E245" s="9" t="n">
        <v>0</v>
      </c>
      <c r="F245" s="9" t="n">
        <v>0</v>
      </c>
      <c r="G245" s="9" t="n">
        <v>0</v>
      </c>
      <c r="H245" s="9" t="n">
        <v>0</v>
      </c>
      <c r="I245" s="9" t="n">
        <v>0</v>
      </c>
      <c r="J245" s="9" t="n">
        <v>0</v>
      </c>
    </row>
    <row r="246" customFormat="false" ht="15.75" hidden="false" customHeight="false" outlineLevel="0" collapsed="false">
      <c r="A246" s="7" t="s">
        <v>254</v>
      </c>
      <c r="B246" s="7" t="n">
        <v>4</v>
      </c>
      <c r="C246" s="9" t="n">
        <v>197</v>
      </c>
      <c r="D246" s="9" t="n">
        <v>6590115</v>
      </c>
      <c r="E246" s="9" t="n">
        <v>146</v>
      </c>
      <c r="F246" s="9" t="n">
        <v>4954720</v>
      </c>
      <c r="G246" s="9" t="n">
        <v>200</v>
      </c>
      <c r="H246" s="9" t="n">
        <v>6731682</v>
      </c>
      <c r="I246" s="9" t="n">
        <v>143</v>
      </c>
      <c r="J246" s="9" t="n">
        <v>4813153</v>
      </c>
    </row>
    <row r="247" customFormat="false" ht="15.75" hidden="false" customHeight="false" outlineLevel="0" collapsed="false">
      <c r="A247" s="7" t="s">
        <v>255</v>
      </c>
      <c r="B247" s="7" t="n">
        <v>4</v>
      </c>
      <c r="C247" s="9" t="n">
        <v>0</v>
      </c>
      <c r="D247" s="9" t="n">
        <v>0</v>
      </c>
      <c r="E247" s="9" t="n">
        <v>2</v>
      </c>
      <c r="F247" s="9" t="n">
        <v>388972</v>
      </c>
      <c r="G247" s="9" t="n">
        <v>0</v>
      </c>
      <c r="H247" s="9" t="n">
        <v>0</v>
      </c>
      <c r="I247" s="9" t="n">
        <v>2</v>
      </c>
      <c r="J247" s="9" t="n">
        <v>388972</v>
      </c>
    </row>
    <row r="248" customFormat="false" ht="15.75" hidden="false" customHeight="false" outlineLevel="0" collapsed="false">
      <c r="A248" s="7" t="s">
        <v>256</v>
      </c>
      <c r="B248" s="7" t="n">
        <v>4</v>
      </c>
      <c r="C248" s="9" t="n">
        <v>128</v>
      </c>
      <c r="D248" s="9" t="n">
        <v>3566032</v>
      </c>
      <c r="E248" s="9" t="n">
        <v>0</v>
      </c>
      <c r="F248" s="9" t="n">
        <v>0</v>
      </c>
      <c r="G248" s="9" t="n">
        <v>93</v>
      </c>
      <c r="H248" s="9" t="n">
        <v>2590945</v>
      </c>
      <c r="I248" s="9" t="n">
        <v>35</v>
      </c>
      <c r="J248" s="9" t="n">
        <v>975087</v>
      </c>
    </row>
    <row r="249" customFormat="false" ht="15.75" hidden="false" customHeight="false" outlineLevel="0" collapsed="false">
      <c r="A249" s="7" t="s">
        <v>257</v>
      </c>
      <c r="B249" s="7" t="n">
        <v>4</v>
      </c>
      <c r="C249" s="9" t="n">
        <v>0</v>
      </c>
      <c r="D249" s="9" t="n">
        <v>0</v>
      </c>
      <c r="E249" s="9" t="n">
        <v>0</v>
      </c>
      <c r="F249" s="9" t="n">
        <v>0</v>
      </c>
      <c r="G249" s="9" t="n">
        <v>0</v>
      </c>
      <c r="H249" s="9" t="n">
        <v>0</v>
      </c>
      <c r="I249" s="9" t="n">
        <v>0</v>
      </c>
      <c r="J249" s="9" t="n">
        <v>0</v>
      </c>
    </row>
    <row r="250" customFormat="false" ht="15.75" hidden="false" customHeight="false" outlineLevel="0" collapsed="false">
      <c r="A250" s="7" t="s">
        <v>258</v>
      </c>
      <c r="B250" s="7" t="n">
        <v>4</v>
      </c>
      <c r="C250" s="9" t="n">
        <v>1250</v>
      </c>
      <c r="D250" s="9" t="n">
        <v>4795257</v>
      </c>
      <c r="E250" s="9" t="n">
        <v>250</v>
      </c>
      <c r="F250" s="9" t="n">
        <v>3804864</v>
      </c>
      <c r="G250" s="9" t="n">
        <v>185</v>
      </c>
      <c r="H250" s="9" t="n">
        <v>2798049</v>
      </c>
      <c r="I250" s="9" t="n">
        <v>1315</v>
      </c>
      <c r="J250" s="9" t="n">
        <v>5802072</v>
      </c>
    </row>
    <row r="251" customFormat="false" ht="15.75" hidden="false" customHeight="false" outlineLevel="0" collapsed="false">
      <c r="A251" s="7" t="s">
        <v>259</v>
      </c>
      <c r="B251" s="7" t="n">
        <v>4</v>
      </c>
      <c r="C251" s="9" t="n">
        <v>110</v>
      </c>
      <c r="D251" s="9" t="n">
        <v>2420810</v>
      </c>
      <c r="E251" s="9" t="n">
        <v>0</v>
      </c>
      <c r="F251" s="9" t="n">
        <v>0</v>
      </c>
      <c r="G251" s="9" t="n">
        <v>0</v>
      </c>
      <c r="H251" s="9" t="n">
        <v>0</v>
      </c>
      <c r="I251" s="9" t="n">
        <v>110</v>
      </c>
      <c r="J251" s="9" t="n">
        <v>2420810</v>
      </c>
    </row>
    <row r="252" customFormat="false" ht="15.75" hidden="false" customHeight="false" outlineLevel="0" collapsed="false">
      <c r="A252" s="7" t="s">
        <v>260</v>
      </c>
      <c r="B252" s="7" t="n">
        <v>4</v>
      </c>
      <c r="C252" s="9" t="n">
        <v>2</v>
      </c>
      <c r="D252" s="9" t="n">
        <v>109792</v>
      </c>
      <c r="E252" s="9" t="n">
        <v>0</v>
      </c>
      <c r="F252" s="9" t="n">
        <v>0</v>
      </c>
      <c r="G252" s="9" t="n">
        <v>0</v>
      </c>
      <c r="H252" s="9" t="n">
        <v>0</v>
      </c>
      <c r="I252" s="9" t="n">
        <v>2</v>
      </c>
      <c r="J252" s="9" t="n">
        <v>109792</v>
      </c>
    </row>
    <row r="253" customFormat="false" ht="15.75" hidden="false" customHeight="false" outlineLevel="0" collapsed="false">
      <c r="A253" s="7" t="s">
        <v>261</v>
      </c>
      <c r="B253" s="7" t="n">
        <v>4</v>
      </c>
      <c r="C253" s="9" t="n">
        <v>0</v>
      </c>
      <c r="D253" s="9" t="n">
        <v>0</v>
      </c>
      <c r="E253" s="9" t="n">
        <v>0</v>
      </c>
      <c r="F253" s="9" t="n">
        <v>0</v>
      </c>
      <c r="G253" s="9" t="n">
        <v>0</v>
      </c>
      <c r="H253" s="9" t="n">
        <v>0</v>
      </c>
      <c r="I253" s="9" t="n">
        <v>0</v>
      </c>
      <c r="J253" s="9" t="n">
        <v>0</v>
      </c>
    </row>
    <row r="254" customFormat="false" ht="15.75" hidden="false" customHeight="false" outlineLevel="0" collapsed="false">
      <c r="A254" s="7" t="s">
        <v>262</v>
      </c>
      <c r="B254" s="7" t="n">
        <v>4</v>
      </c>
      <c r="C254" s="9" t="n">
        <v>0</v>
      </c>
      <c r="D254" s="9" t="n">
        <v>0</v>
      </c>
      <c r="E254" s="9" t="n">
        <v>0</v>
      </c>
      <c r="F254" s="9" t="n">
        <v>0</v>
      </c>
      <c r="G254" s="9" t="n">
        <v>0</v>
      </c>
      <c r="H254" s="9" t="n">
        <v>0</v>
      </c>
      <c r="I254" s="9" t="n">
        <v>0</v>
      </c>
      <c r="J254" s="9" t="n">
        <v>0</v>
      </c>
    </row>
    <row r="255" customFormat="false" ht="15.75" hidden="false" customHeight="false" outlineLevel="0" collapsed="false">
      <c r="A255" s="7" t="s">
        <v>263</v>
      </c>
      <c r="B255" s="7" t="n">
        <v>4</v>
      </c>
      <c r="C255" s="9" t="n">
        <v>0</v>
      </c>
      <c r="D255" s="9" t="n">
        <v>0</v>
      </c>
      <c r="E255" s="9" t="n">
        <v>0</v>
      </c>
      <c r="F255" s="9" t="n">
        <v>0</v>
      </c>
      <c r="G255" s="9" t="n">
        <v>0</v>
      </c>
      <c r="H255" s="9" t="n">
        <v>0</v>
      </c>
      <c r="I255" s="9" t="n">
        <v>0</v>
      </c>
      <c r="J255" s="9" t="n">
        <v>0</v>
      </c>
    </row>
    <row r="256" customFormat="false" ht="15.75" hidden="false" customHeight="false" outlineLevel="0" collapsed="false">
      <c r="A256" s="7" t="s">
        <v>264</v>
      </c>
      <c r="B256" s="7" t="n">
        <v>4</v>
      </c>
      <c r="C256" s="9" t="n">
        <v>0</v>
      </c>
      <c r="D256" s="9" t="n">
        <v>0</v>
      </c>
      <c r="E256" s="9" t="n">
        <v>0</v>
      </c>
      <c r="F256" s="9" t="n">
        <v>0</v>
      </c>
      <c r="G256" s="9" t="n">
        <v>0</v>
      </c>
      <c r="H256" s="9" t="n">
        <v>0</v>
      </c>
      <c r="I256" s="9" t="n">
        <v>0</v>
      </c>
      <c r="J256" s="9" t="n">
        <v>0</v>
      </c>
    </row>
    <row r="257" customFormat="false" ht="15.75" hidden="false" customHeight="false" outlineLevel="0" collapsed="false">
      <c r="A257" s="7" t="s">
        <v>265</v>
      </c>
      <c r="B257" s="7" t="n">
        <v>4</v>
      </c>
      <c r="C257" s="9" t="n">
        <v>0</v>
      </c>
      <c r="D257" s="9" t="n">
        <v>0</v>
      </c>
      <c r="E257" s="9" t="n">
        <v>0</v>
      </c>
      <c r="F257" s="9" t="n">
        <v>0</v>
      </c>
      <c r="G257" s="9" t="n">
        <v>0</v>
      </c>
      <c r="H257" s="9" t="n">
        <v>0</v>
      </c>
      <c r="I257" s="9" t="n">
        <v>0</v>
      </c>
      <c r="J257" s="9" t="n">
        <v>0</v>
      </c>
    </row>
    <row r="258" customFormat="false" ht="15.75" hidden="false" customHeight="false" outlineLevel="0" collapsed="false">
      <c r="A258" s="7" t="s">
        <v>266</v>
      </c>
      <c r="B258" s="7" t="n">
        <v>4</v>
      </c>
      <c r="C258" s="9" t="n">
        <v>0</v>
      </c>
      <c r="D258" s="9" t="n">
        <v>0</v>
      </c>
      <c r="E258" s="9" t="n">
        <v>0</v>
      </c>
      <c r="F258" s="9" t="n">
        <v>0</v>
      </c>
      <c r="G258" s="9" t="n">
        <v>0</v>
      </c>
      <c r="H258" s="9" t="n">
        <v>0</v>
      </c>
      <c r="I258" s="9" t="n">
        <v>0</v>
      </c>
      <c r="J258" s="9" t="n">
        <v>0</v>
      </c>
    </row>
    <row r="259" customFormat="false" ht="15.75" hidden="false" customHeight="false" outlineLevel="0" collapsed="false">
      <c r="A259" s="7" t="s">
        <v>267</v>
      </c>
      <c r="B259" s="7" t="n">
        <v>4</v>
      </c>
      <c r="C259" s="9" t="n">
        <v>1</v>
      </c>
      <c r="D259" s="9" t="n">
        <v>39000</v>
      </c>
      <c r="E259" s="9" t="n">
        <v>0</v>
      </c>
      <c r="F259" s="9" t="n">
        <v>0</v>
      </c>
      <c r="G259" s="9" t="n">
        <v>0</v>
      </c>
      <c r="H259" s="9" t="n">
        <v>0</v>
      </c>
      <c r="I259" s="9" t="n">
        <v>1</v>
      </c>
      <c r="J259" s="9" t="n">
        <v>39000</v>
      </c>
    </row>
    <row r="260" customFormat="false" ht="15.75" hidden="false" customHeight="false" outlineLevel="0" collapsed="false">
      <c r="A260" s="7" t="s">
        <v>268</v>
      </c>
      <c r="B260" s="7" t="n">
        <v>4</v>
      </c>
      <c r="C260" s="9" t="n">
        <v>0</v>
      </c>
      <c r="D260" s="9" t="n">
        <v>0</v>
      </c>
      <c r="E260" s="9" t="n">
        <v>0</v>
      </c>
      <c r="F260" s="9" t="n">
        <v>0</v>
      </c>
      <c r="G260" s="9" t="n">
        <v>0</v>
      </c>
      <c r="H260" s="9" t="n">
        <v>0</v>
      </c>
      <c r="I260" s="9" t="n">
        <v>0</v>
      </c>
      <c r="J260" s="9" t="n">
        <v>0</v>
      </c>
    </row>
    <row r="261" customFormat="false" ht="15.75" hidden="false" customHeight="false" outlineLevel="0" collapsed="false">
      <c r="A261" s="7" t="s">
        <v>269</v>
      </c>
      <c r="B261" s="7" t="n">
        <v>4</v>
      </c>
      <c r="C261" s="9" t="n">
        <v>0</v>
      </c>
      <c r="D261" s="9" t="n">
        <v>0</v>
      </c>
      <c r="E261" s="9" t="n">
        <v>0</v>
      </c>
      <c r="F261" s="9" t="n">
        <v>0</v>
      </c>
      <c r="G261" s="9" t="n">
        <v>0</v>
      </c>
      <c r="H261" s="9" t="n">
        <v>0</v>
      </c>
      <c r="I261" s="9" t="n">
        <v>0</v>
      </c>
      <c r="J261" s="9" t="n">
        <v>0</v>
      </c>
    </row>
    <row r="262" customFormat="false" ht="15.75" hidden="false" customHeight="false" outlineLevel="0" collapsed="false">
      <c r="A262" s="7" t="s">
        <v>270</v>
      </c>
      <c r="B262" s="7" t="n">
        <v>4</v>
      </c>
      <c r="C262" s="9" t="n">
        <v>0</v>
      </c>
      <c r="D262" s="9" t="n">
        <v>0</v>
      </c>
      <c r="E262" s="9" t="n">
        <v>0</v>
      </c>
      <c r="F262" s="9" t="n">
        <v>0</v>
      </c>
      <c r="G262" s="9" t="n">
        <v>0</v>
      </c>
      <c r="H262" s="9" t="n">
        <v>0</v>
      </c>
      <c r="I262" s="9" t="n">
        <v>0</v>
      </c>
      <c r="J262" s="9" t="n">
        <v>0</v>
      </c>
    </row>
    <row r="263" customFormat="false" ht="15.75" hidden="false" customHeight="false" outlineLevel="0" collapsed="false">
      <c r="A263" s="7" t="s">
        <v>271</v>
      </c>
      <c r="B263" s="7" t="n">
        <v>4</v>
      </c>
      <c r="C263" s="9" t="n">
        <v>0</v>
      </c>
      <c r="D263" s="9" t="n">
        <v>0</v>
      </c>
      <c r="E263" s="9" t="n">
        <v>0</v>
      </c>
      <c r="F263" s="9" t="n">
        <v>0</v>
      </c>
      <c r="G263" s="9" t="n">
        <v>0</v>
      </c>
      <c r="H263" s="9" t="n">
        <v>0</v>
      </c>
      <c r="I263" s="9" t="n">
        <v>0</v>
      </c>
      <c r="J263" s="9" t="n">
        <v>0</v>
      </c>
    </row>
    <row r="264" customFormat="false" ht="15.75" hidden="false" customHeight="false" outlineLevel="0" collapsed="false">
      <c r="A264" s="7" t="s">
        <v>272</v>
      </c>
      <c r="B264" s="7" t="n">
        <v>4</v>
      </c>
      <c r="C264" s="9" t="n">
        <v>6</v>
      </c>
      <c r="D264" s="9" t="n">
        <v>794727</v>
      </c>
      <c r="E264" s="9" t="n">
        <v>0</v>
      </c>
      <c r="F264" s="9" t="n">
        <v>0</v>
      </c>
      <c r="G264" s="9" t="n">
        <v>0</v>
      </c>
      <c r="H264" s="9" t="n">
        <v>0</v>
      </c>
      <c r="I264" s="9" t="n">
        <v>6</v>
      </c>
      <c r="J264" s="9" t="n">
        <v>794727</v>
      </c>
    </row>
    <row r="265" customFormat="false" ht="15.75" hidden="false" customHeight="false" outlineLevel="0" collapsed="false">
      <c r="A265" s="7" t="s">
        <v>273</v>
      </c>
      <c r="B265" s="7" t="n">
        <v>4</v>
      </c>
      <c r="C265" s="9" t="n">
        <v>0</v>
      </c>
      <c r="D265" s="9" t="n">
        <v>0</v>
      </c>
      <c r="E265" s="9" t="n">
        <v>0</v>
      </c>
      <c r="F265" s="9" t="n">
        <v>0</v>
      </c>
      <c r="G265" s="9" t="n">
        <v>0</v>
      </c>
      <c r="H265" s="9" t="n">
        <v>0</v>
      </c>
      <c r="I265" s="9" t="n">
        <v>0</v>
      </c>
      <c r="J265" s="9" t="n">
        <v>0</v>
      </c>
    </row>
    <row r="266" customFormat="false" ht="15.75" hidden="false" customHeight="false" outlineLevel="0" collapsed="false">
      <c r="A266" s="7" t="s">
        <v>274</v>
      </c>
      <c r="B266" s="7" t="n">
        <v>4</v>
      </c>
      <c r="C266" s="9" t="n">
        <v>0</v>
      </c>
      <c r="D266" s="9" t="n">
        <v>0</v>
      </c>
      <c r="E266" s="9" t="n">
        <v>0</v>
      </c>
      <c r="F266" s="9" t="n">
        <v>0</v>
      </c>
      <c r="G266" s="9" t="n">
        <v>0</v>
      </c>
      <c r="H266" s="9" t="n">
        <v>0</v>
      </c>
      <c r="I266" s="9" t="n">
        <v>0</v>
      </c>
      <c r="J266" s="9" t="n">
        <v>0</v>
      </c>
    </row>
    <row r="267" customFormat="false" ht="15.75" hidden="false" customHeight="false" outlineLevel="0" collapsed="false">
      <c r="A267" s="7" t="s">
        <v>275</v>
      </c>
      <c r="B267" s="7" t="n">
        <v>4</v>
      </c>
      <c r="C267" s="9" t="n">
        <v>0</v>
      </c>
      <c r="D267" s="9" t="n">
        <v>0</v>
      </c>
      <c r="E267" s="9" t="n">
        <v>0</v>
      </c>
      <c r="F267" s="9" t="n">
        <v>0</v>
      </c>
      <c r="G267" s="9" t="n">
        <v>0</v>
      </c>
      <c r="H267" s="9" t="n">
        <v>0</v>
      </c>
      <c r="I267" s="9" t="n">
        <v>0</v>
      </c>
      <c r="J267" s="9" t="n">
        <v>0</v>
      </c>
    </row>
    <row r="268" customFormat="false" ht="15.75" hidden="false" customHeight="false" outlineLevel="0" collapsed="false">
      <c r="A268" s="7" t="s">
        <v>276</v>
      </c>
      <c r="B268" s="7" t="n">
        <v>4</v>
      </c>
      <c r="C268" s="9" t="n">
        <v>0</v>
      </c>
      <c r="D268" s="9" t="n">
        <v>0</v>
      </c>
      <c r="E268" s="9" t="n">
        <v>0</v>
      </c>
      <c r="F268" s="9" t="n">
        <v>0</v>
      </c>
      <c r="G268" s="9" t="n">
        <v>0</v>
      </c>
      <c r="H268" s="9" t="n">
        <v>0</v>
      </c>
      <c r="I268" s="9" t="n">
        <v>0</v>
      </c>
      <c r="J268" s="9" t="n">
        <v>0</v>
      </c>
    </row>
    <row r="269" customFormat="false" ht="15.75" hidden="false" customHeight="false" outlineLevel="0" collapsed="false">
      <c r="A269" s="7" t="s">
        <v>277</v>
      </c>
      <c r="B269" s="7" t="n">
        <v>4</v>
      </c>
      <c r="C269" s="9" t="n">
        <v>0</v>
      </c>
      <c r="D269" s="9" t="n">
        <v>0</v>
      </c>
      <c r="E269" s="9" t="n">
        <v>0</v>
      </c>
      <c r="F269" s="9" t="n">
        <v>0</v>
      </c>
      <c r="G269" s="9" t="n">
        <v>0</v>
      </c>
      <c r="H269" s="9" t="n">
        <v>0</v>
      </c>
      <c r="I269" s="9" t="n">
        <v>0</v>
      </c>
      <c r="J269" s="9" t="n">
        <v>0</v>
      </c>
    </row>
    <row r="270" customFormat="false" ht="15.75" hidden="false" customHeight="false" outlineLevel="0" collapsed="false">
      <c r="A270" s="7" t="s">
        <v>278</v>
      </c>
      <c r="B270" s="7" t="n">
        <v>4</v>
      </c>
      <c r="C270" s="9" t="n">
        <v>0</v>
      </c>
      <c r="D270" s="9" t="n">
        <v>0</v>
      </c>
      <c r="E270" s="9" t="n">
        <v>0</v>
      </c>
      <c r="F270" s="9" t="n">
        <v>0</v>
      </c>
      <c r="G270" s="9" t="n">
        <v>0</v>
      </c>
      <c r="H270" s="9" t="n">
        <v>0</v>
      </c>
      <c r="I270" s="9" t="n">
        <v>0</v>
      </c>
      <c r="J270" s="9" t="n">
        <v>0</v>
      </c>
    </row>
    <row r="271" customFormat="false" ht="15.75" hidden="false" customHeight="false" outlineLevel="0" collapsed="false">
      <c r="A271" s="7" t="s">
        <v>279</v>
      </c>
      <c r="B271" s="7" t="n">
        <v>4</v>
      </c>
      <c r="C271" s="9" t="n">
        <v>0</v>
      </c>
      <c r="D271" s="9" t="n">
        <v>0</v>
      </c>
      <c r="E271" s="9" t="n">
        <v>0</v>
      </c>
      <c r="F271" s="9" t="n">
        <v>0</v>
      </c>
      <c r="G271" s="9" t="n">
        <v>0</v>
      </c>
      <c r="H271" s="9" t="n">
        <v>0</v>
      </c>
      <c r="I271" s="9" t="n">
        <v>0</v>
      </c>
      <c r="J271" s="9" t="n">
        <v>0</v>
      </c>
    </row>
    <row r="272" customFormat="false" ht="15.75" hidden="false" customHeight="false" outlineLevel="0" collapsed="false">
      <c r="A272" s="7" t="s">
        <v>280</v>
      </c>
      <c r="B272" s="7" t="n">
        <v>4</v>
      </c>
      <c r="C272" s="9" t="n">
        <v>0</v>
      </c>
      <c r="D272" s="9" t="n">
        <v>0</v>
      </c>
      <c r="E272" s="9" t="n">
        <v>0</v>
      </c>
      <c r="F272" s="9" t="n">
        <v>0</v>
      </c>
      <c r="G272" s="9" t="n">
        <v>0</v>
      </c>
      <c r="H272" s="9" t="n">
        <v>0</v>
      </c>
      <c r="I272" s="9" t="n">
        <v>0</v>
      </c>
      <c r="J272" s="9" t="n">
        <v>0</v>
      </c>
    </row>
    <row r="273" customFormat="false" ht="15.75" hidden="false" customHeight="false" outlineLevel="0" collapsed="false">
      <c r="A273" s="7" t="s">
        <v>281</v>
      </c>
      <c r="B273" s="7" t="n">
        <v>4</v>
      </c>
      <c r="C273" s="9" t="n">
        <v>120</v>
      </c>
      <c r="D273" s="9" t="n">
        <v>2034346</v>
      </c>
      <c r="E273" s="9" t="n">
        <v>32</v>
      </c>
      <c r="F273" s="9" t="n">
        <v>525525</v>
      </c>
      <c r="G273" s="9" t="n">
        <v>149</v>
      </c>
      <c r="H273" s="9" t="n">
        <v>2509347</v>
      </c>
      <c r="I273" s="9" t="n">
        <v>3</v>
      </c>
      <c r="J273" s="9" t="n">
        <v>50524</v>
      </c>
    </row>
    <row r="274" customFormat="false" ht="15.75" hidden="false" customHeight="false" outlineLevel="0" collapsed="false">
      <c r="A274" s="7" t="s">
        <v>282</v>
      </c>
      <c r="B274" s="7" t="n">
        <v>4</v>
      </c>
      <c r="C274" s="9" t="n">
        <v>31</v>
      </c>
      <c r="D274" s="9" t="n">
        <v>2072700</v>
      </c>
      <c r="E274" s="9" t="n">
        <v>134</v>
      </c>
      <c r="F274" s="9" t="n">
        <v>9079327</v>
      </c>
      <c r="G274" s="9" t="n">
        <v>165</v>
      </c>
      <c r="H274" s="9" t="n">
        <v>11152027</v>
      </c>
      <c r="I274" s="9" t="n">
        <v>0</v>
      </c>
      <c r="J274" s="9" t="n">
        <v>0</v>
      </c>
    </row>
    <row r="275" customFormat="false" ht="15.75" hidden="false" customHeight="false" outlineLevel="0" collapsed="false">
      <c r="A275" s="7" t="s">
        <v>283</v>
      </c>
      <c r="B275" s="7" t="n">
        <v>4</v>
      </c>
      <c r="C275" s="9" t="n">
        <v>1991</v>
      </c>
      <c r="D275" s="9" t="n">
        <v>37430362</v>
      </c>
      <c r="E275" s="9" t="n">
        <v>844</v>
      </c>
      <c r="F275" s="9" t="n">
        <v>28978810</v>
      </c>
      <c r="G275" s="9" t="n">
        <v>360</v>
      </c>
      <c r="H275" s="9" t="n">
        <v>12365476</v>
      </c>
      <c r="I275" s="9" t="n">
        <v>2475</v>
      </c>
      <c r="J275" s="9" t="n">
        <v>54043696</v>
      </c>
    </row>
    <row r="276" customFormat="false" ht="15.75" hidden="false" customHeight="false" outlineLevel="0" collapsed="false">
      <c r="A276" s="7" t="s">
        <v>284</v>
      </c>
      <c r="B276" s="7" t="n">
        <v>4</v>
      </c>
      <c r="C276" s="9" t="n">
        <v>210</v>
      </c>
      <c r="D276" s="9" t="n">
        <v>9333968</v>
      </c>
      <c r="E276" s="9" t="n">
        <v>30</v>
      </c>
      <c r="F276" s="9" t="n">
        <v>1380960</v>
      </c>
      <c r="G276" s="9" t="n">
        <v>120</v>
      </c>
      <c r="H276" s="9" t="n">
        <v>5357465</v>
      </c>
      <c r="I276" s="9" t="n">
        <v>120</v>
      </c>
      <c r="J276" s="9" t="n">
        <v>5357463</v>
      </c>
    </row>
    <row r="277" customFormat="false" ht="15.75" hidden="false" customHeight="false" outlineLevel="0" collapsed="false">
      <c r="A277" s="7" t="s">
        <v>285</v>
      </c>
      <c r="B277" s="7" t="n">
        <v>4</v>
      </c>
      <c r="C277" s="9" t="n">
        <v>0</v>
      </c>
      <c r="D277" s="9" t="n">
        <v>0</v>
      </c>
      <c r="E277" s="9" t="n">
        <v>5</v>
      </c>
      <c r="F277" s="9" t="n">
        <v>570110</v>
      </c>
      <c r="G277" s="9" t="n">
        <v>0</v>
      </c>
      <c r="H277" s="9" t="n">
        <v>0</v>
      </c>
      <c r="I277" s="9" t="n">
        <v>5</v>
      </c>
      <c r="J277" s="9" t="n">
        <v>570110</v>
      </c>
    </row>
    <row r="278" customFormat="false" ht="15.75" hidden="false" customHeight="false" outlineLevel="0" collapsed="false">
      <c r="A278" s="7" t="s">
        <v>286</v>
      </c>
      <c r="B278" s="7" t="n">
        <v>4</v>
      </c>
      <c r="C278" s="9" t="n">
        <v>0</v>
      </c>
      <c r="D278" s="9" t="n">
        <v>0</v>
      </c>
      <c r="E278" s="9" t="n">
        <v>8</v>
      </c>
      <c r="F278" s="9" t="n">
        <v>847410</v>
      </c>
      <c r="G278" s="9" t="n">
        <v>0</v>
      </c>
      <c r="H278" s="9" t="n">
        <v>0</v>
      </c>
      <c r="I278" s="9" t="n">
        <v>8</v>
      </c>
      <c r="J278" s="9" t="n">
        <v>847410</v>
      </c>
    </row>
    <row r="279" customFormat="false" ht="15.75" hidden="false" customHeight="false" outlineLevel="0" collapsed="false">
      <c r="A279" s="7" t="s">
        <v>287</v>
      </c>
      <c r="B279" s="7" t="n">
        <v>4</v>
      </c>
      <c r="C279" s="9" t="n">
        <v>0</v>
      </c>
      <c r="D279" s="9" t="n">
        <v>0</v>
      </c>
      <c r="E279" s="9" t="n">
        <v>0</v>
      </c>
      <c r="F279" s="9" t="n">
        <v>0</v>
      </c>
      <c r="G279" s="9" t="n">
        <v>0</v>
      </c>
      <c r="H279" s="9" t="n">
        <v>0</v>
      </c>
      <c r="I279" s="9" t="n">
        <v>0</v>
      </c>
      <c r="J279" s="9" t="n">
        <v>0</v>
      </c>
    </row>
    <row r="280" customFormat="false" ht="15.75" hidden="false" customHeight="false" outlineLevel="0" collapsed="false">
      <c r="A280" s="7" t="s">
        <v>288</v>
      </c>
      <c r="B280" s="7" t="n">
        <v>4</v>
      </c>
      <c r="C280" s="9" t="n">
        <v>0</v>
      </c>
      <c r="D280" s="9" t="n">
        <v>0</v>
      </c>
      <c r="E280" s="9" t="n">
        <v>0</v>
      </c>
      <c r="F280" s="9" t="n">
        <v>0</v>
      </c>
      <c r="G280" s="9" t="n">
        <v>0</v>
      </c>
      <c r="H280" s="9" t="n">
        <v>0</v>
      </c>
      <c r="I280" s="9" t="n">
        <v>0</v>
      </c>
      <c r="J280" s="9" t="n">
        <v>0</v>
      </c>
    </row>
    <row r="281" customFormat="false" ht="15.75" hidden="false" customHeight="false" outlineLevel="0" collapsed="false">
      <c r="A281" s="7" t="s">
        <v>289</v>
      </c>
      <c r="B281" s="7" t="n">
        <v>4</v>
      </c>
      <c r="C281" s="9" t="n">
        <v>5241</v>
      </c>
      <c r="D281" s="9" t="n">
        <v>18544800</v>
      </c>
      <c r="E281" s="9" t="n">
        <v>0</v>
      </c>
      <c r="F281" s="9" t="n">
        <v>0</v>
      </c>
      <c r="G281" s="9" t="n">
        <v>0</v>
      </c>
      <c r="H281" s="9" t="n">
        <v>0</v>
      </c>
      <c r="I281" s="9" t="n">
        <v>5241</v>
      </c>
      <c r="J281" s="9" t="n">
        <v>18544800</v>
      </c>
    </row>
    <row r="282" customFormat="false" ht="15.75" hidden="false" customHeight="false" outlineLevel="0" collapsed="false">
      <c r="A282" s="7" t="s">
        <v>290</v>
      </c>
      <c r="B282" s="7" t="n">
        <v>4</v>
      </c>
      <c r="C282" s="9" t="n">
        <v>2264</v>
      </c>
      <c r="D282" s="9" t="n">
        <v>201473248</v>
      </c>
      <c r="E282" s="9" t="n">
        <v>108</v>
      </c>
      <c r="F282" s="9" t="n">
        <v>9610272</v>
      </c>
      <c r="G282" s="9" t="n">
        <v>346</v>
      </c>
      <c r="H282" s="9" t="n">
        <v>30790429</v>
      </c>
      <c r="I282" s="9" t="n">
        <v>2026</v>
      </c>
      <c r="J282" s="9" t="n">
        <v>180293091</v>
      </c>
    </row>
    <row r="283" customFormat="false" ht="15.75" hidden="false" customHeight="false" outlineLevel="0" collapsed="false">
      <c r="A283" s="7" t="s">
        <v>291</v>
      </c>
      <c r="B283" s="7" t="n">
        <v>4</v>
      </c>
      <c r="C283" s="9" t="n">
        <v>3697</v>
      </c>
      <c r="D283" s="9" t="n">
        <v>344860711</v>
      </c>
      <c r="E283" s="9" t="n">
        <v>777</v>
      </c>
      <c r="F283" s="9" t="n">
        <v>72730098</v>
      </c>
      <c r="G283" s="9" t="n">
        <v>792</v>
      </c>
      <c r="H283" s="9" t="n">
        <v>73923094</v>
      </c>
      <c r="I283" s="9" t="n">
        <v>3682</v>
      </c>
      <c r="J283" s="9" t="n">
        <v>343667715</v>
      </c>
    </row>
    <row r="284" customFormat="false" ht="15.75" hidden="false" customHeight="false" outlineLevel="0" collapsed="false">
      <c r="A284" s="7" t="s">
        <v>292</v>
      </c>
      <c r="B284" s="7" t="n">
        <v>4</v>
      </c>
      <c r="C284" s="9" t="n">
        <v>1007</v>
      </c>
      <c r="D284" s="9" t="n">
        <v>76882176</v>
      </c>
      <c r="E284" s="9" t="n">
        <v>184</v>
      </c>
      <c r="F284" s="9" t="n">
        <v>9610272</v>
      </c>
      <c r="G284" s="9" t="n">
        <v>0</v>
      </c>
      <c r="H284" s="9" t="n">
        <v>0</v>
      </c>
      <c r="I284" s="9" t="n">
        <v>1191</v>
      </c>
      <c r="J284" s="9" t="n">
        <v>86492448</v>
      </c>
    </row>
    <row r="285" customFormat="false" ht="15.75" hidden="false" customHeight="false" outlineLevel="0" collapsed="false">
      <c r="A285" s="7"/>
      <c r="B285" s="7"/>
      <c r="C285" s="6"/>
      <c r="D285" s="6" t="n">
        <v>16761054076</v>
      </c>
      <c r="E285" s="6"/>
      <c r="F285" s="6" t="n">
        <v>9316351365</v>
      </c>
      <c r="G285" s="6"/>
      <c r="H285" s="6" t="n">
        <v>8659651285</v>
      </c>
      <c r="I285" s="6"/>
      <c r="J285" s="6" t="n">
        <v>17417754156</v>
      </c>
    </row>
  </sheetData>
  <mergeCells count="4">
    <mergeCell ref="C1:D1"/>
    <mergeCell ref="E1:F1"/>
    <mergeCell ref="G1:H1"/>
    <mergeCell ref="I1:J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W285"/>
  <sheetViews>
    <sheetView showFormulas="false" showGridLines="true" showRowColHeaders="true" showZeros="true" rightToLeft="false" tabSelected="false" showOutlineSymbols="true" defaultGridColor="true" view="normal" topLeftCell="A283" colorId="64" zoomScale="100" zoomScaleNormal="100" zoomScalePageLayoutView="100" workbookViewId="0">
      <selection pane="topLeft" activeCell="A283" activeCellId="0" sqref="A283"/>
    </sheetView>
  </sheetViews>
  <sheetFormatPr defaultColWidth="12.5703125" defaultRowHeight="15.75" customHeight="true" zeroHeight="false" outlineLevelRow="0" outlineLevelCol="0"/>
  <sheetData>
    <row r="1" customFormat="false" ht="15.75" hidden="false" customHeight="false" outlineLevel="0" collapsed="false">
      <c r="A1" s="1"/>
      <c r="B1" s="2"/>
      <c r="C1" s="3" t="s">
        <v>0</v>
      </c>
      <c r="D1" s="3"/>
      <c r="E1" s="3" t="s">
        <v>1</v>
      </c>
      <c r="F1" s="3"/>
      <c r="G1" s="3" t="s">
        <v>2</v>
      </c>
      <c r="H1" s="3"/>
      <c r="I1" s="3" t="s">
        <v>3</v>
      </c>
      <c r="J1" s="3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</row>
    <row r="2" customFormat="false" ht="15.75" hidden="false" customHeight="false" outlineLevel="0" collapsed="false">
      <c r="A2" s="4" t="s">
        <v>4</v>
      </c>
      <c r="B2" s="5" t="s">
        <v>5</v>
      </c>
      <c r="C2" s="6" t="s">
        <v>6</v>
      </c>
      <c r="D2" s="6" t="s">
        <v>7</v>
      </c>
      <c r="E2" s="6" t="s">
        <v>8</v>
      </c>
      <c r="F2" s="6" t="s">
        <v>9</v>
      </c>
      <c r="G2" s="6" t="s">
        <v>6</v>
      </c>
      <c r="H2" s="6" t="s">
        <v>10</v>
      </c>
      <c r="I2" s="6" t="s">
        <v>6</v>
      </c>
      <c r="J2" s="6" t="s">
        <v>9</v>
      </c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</row>
    <row r="3" customFormat="false" ht="15.75" hidden="false" customHeight="false" outlineLevel="0" collapsed="false">
      <c r="A3" s="7" t="s">
        <v>11</v>
      </c>
      <c r="B3" s="7" t="n">
        <v>5</v>
      </c>
      <c r="C3" s="9" t="n">
        <v>231</v>
      </c>
      <c r="D3" s="9" t="n">
        <v>6322714</v>
      </c>
      <c r="E3" s="9" t="n">
        <v>120</v>
      </c>
      <c r="F3" s="9" t="n">
        <v>3329280</v>
      </c>
      <c r="G3" s="9" t="n">
        <v>140</v>
      </c>
      <c r="H3" s="9" t="n">
        <v>3849798</v>
      </c>
      <c r="I3" s="9" t="n">
        <v>211</v>
      </c>
      <c r="J3" s="9" t="n">
        <v>5802196</v>
      </c>
    </row>
    <row r="4" customFormat="false" ht="15.75" hidden="false" customHeight="false" outlineLevel="0" collapsed="false">
      <c r="A4" s="7" t="s">
        <v>12</v>
      </c>
      <c r="B4" s="7" t="n">
        <v>5</v>
      </c>
      <c r="C4" s="9" t="n">
        <v>0</v>
      </c>
      <c r="D4" s="9" t="n">
        <v>0</v>
      </c>
      <c r="E4" s="9" t="n">
        <v>0</v>
      </c>
      <c r="F4" s="9" t="n">
        <v>0</v>
      </c>
      <c r="G4" s="9" t="n">
        <v>0</v>
      </c>
      <c r="H4" s="9" t="n">
        <v>0</v>
      </c>
      <c r="I4" s="9" t="n">
        <v>0</v>
      </c>
      <c r="J4" s="9" t="n">
        <v>0</v>
      </c>
    </row>
    <row r="5" customFormat="false" ht="15.75" hidden="false" customHeight="false" outlineLevel="0" collapsed="false">
      <c r="A5" s="7" t="s">
        <v>13</v>
      </c>
      <c r="B5" s="7" t="n">
        <v>5</v>
      </c>
      <c r="C5" s="9" t="n">
        <v>899</v>
      </c>
      <c r="D5" s="9" t="n">
        <v>29487100</v>
      </c>
      <c r="E5" s="9" t="n">
        <v>0</v>
      </c>
      <c r="F5" s="9" t="n">
        <v>0</v>
      </c>
      <c r="G5" s="9" t="n">
        <v>36</v>
      </c>
      <c r="H5" s="9" t="n">
        <v>1181381</v>
      </c>
      <c r="I5" s="9" t="n">
        <v>863</v>
      </c>
      <c r="J5" s="9" t="n">
        <v>28305719</v>
      </c>
    </row>
    <row r="6" customFormat="false" ht="15.75" hidden="false" customHeight="false" outlineLevel="0" collapsed="false">
      <c r="A6" s="7" t="s">
        <v>14</v>
      </c>
      <c r="B6" s="7" t="n">
        <v>5</v>
      </c>
      <c r="C6" s="9" t="n">
        <v>120</v>
      </c>
      <c r="D6" s="9" t="n">
        <v>35752144</v>
      </c>
      <c r="E6" s="9" t="n">
        <v>0</v>
      </c>
      <c r="F6" s="9" t="n">
        <v>0</v>
      </c>
      <c r="G6" s="9" t="n">
        <v>0</v>
      </c>
      <c r="H6" s="9" t="n">
        <v>0</v>
      </c>
      <c r="I6" s="9" t="n">
        <v>120</v>
      </c>
      <c r="J6" s="9" t="n">
        <v>35752144</v>
      </c>
    </row>
    <row r="7" customFormat="false" ht="15.75" hidden="false" customHeight="false" outlineLevel="0" collapsed="false">
      <c r="A7" s="7" t="s">
        <v>15</v>
      </c>
      <c r="B7" s="7" t="n">
        <v>5</v>
      </c>
      <c r="C7" s="9" t="n">
        <v>510</v>
      </c>
      <c r="D7" s="9" t="n">
        <v>69373706</v>
      </c>
      <c r="E7" s="9" t="n">
        <v>0</v>
      </c>
      <c r="F7" s="9" t="n">
        <v>0</v>
      </c>
      <c r="G7" s="9" t="n">
        <v>0</v>
      </c>
      <c r="H7" s="9" t="n">
        <v>0</v>
      </c>
      <c r="I7" s="9" t="n">
        <v>510</v>
      </c>
      <c r="J7" s="9" t="n">
        <v>69373706</v>
      </c>
    </row>
    <row r="8" customFormat="false" ht="15.75" hidden="false" customHeight="false" outlineLevel="0" collapsed="false">
      <c r="A8" s="7" t="s">
        <v>16</v>
      </c>
      <c r="B8" s="7" t="n">
        <v>5</v>
      </c>
      <c r="C8" s="9" t="n">
        <v>344</v>
      </c>
      <c r="D8" s="9" t="n">
        <v>53839916</v>
      </c>
      <c r="E8" s="9" t="n">
        <v>0</v>
      </c>
      <c r="F8" s="9" t="n">
        <v>0</v>
      </c>
      <c r="G8" s="9" t="n">
        <v>0</v>
      </c>
      <c r="H8" s="9" t="n">
        <v>0</v>
      </c>
      <c r="I8" s="9" t="n">
        <v>344</v>
      </c>
      <c r="J8" s="9" t="n">
        <v>53839916</v>
      </c>
    </row>
    <row r="9" customFormat="false" ht="15.75" hidden="false" customHeight="false" outlineLevel="0" collapsed="false">
      <c r="A9" s="7" t="s">
        <v>17</v>
      </c>
      <c r="B9" s="7" t="n">
        <v>5</v>
      </c>
      <c r="C9" s="9" t="n">
        <v>159</v>
      </c>
      <c r="D9" s="9" t="n">
        <v>38049584</v>
      </c>
      <c r="E9" s="9" t="n">
        <v>0</v>
      </c>
      <c r="F9" s="9" t="n">
        <v>0</v>
      </c>
      <c r="G9" s="9" t="n">
        <v>0</v>
      </c>
      <c r="H9" s="9" t="n">
        <v>0</v>
      </c>
      <c r="I9" s="9" t="n">
        <v>159</v>
      </c>
      <c r="J9" s="9" t="n">
        <v>38049584</v>
      </c>
    </row>
    <row r="10" customFormat="false" ht="15.75" hidden="false" customHeight="false" outlineLevel="0" collapsed="false">
      <c r="A10" s="7" t="s">
        <v>18</v>
      </c>
      <c r="B10" s="7" t="n">
        <v>5</v>
      </c>
      <c r="C10" s="9" t="n">
        <v>734</v>
      </c>
      <c r="D10" s="9" t="n">
        <v>15983688</v>
      </c>
      <c r="E10" s="9" t="n">
        <v>0</v>
      </c>
      <c r="F10" s="9" t="n">
        <v>0</v>
      </c>
      <c r="G10" s="9" t="n">
        <v>0</v>
      </c>
      <c r="H10" s="9" t="n">
        <v>0</v>
      </c>
      <c r="I10" s="9" t="n">
        <v>734</v>
      </c>
      <c r="J10" s="9" t="n">
        <v>15983688</v>
      </c>
    </row>
    <row r="11" customFormat="false" ht="15.75" hidden="false" customHeight="false" outlineLevel="0" collapsed="false">
      <c r="A11" s="7" t="s">
        <v>19</v>
      </c>
      <c r="B11" s="7" t="n">
        <v>5</v>
      </c>
      <c r="C11" s="9" t="n">
        <v>180</v>
      </c>
      <c r="D11" s="9" t="n">
        <v>3904035</v>
      </c>
      <c r="E11" s="9" t="n">
        <v>0</v>
      </c>
      <c r="F11" s="9" t="n">
        <v>0</v>
      </c>
      <c r="G11" s="9" t="n">
        <v>0</v>
      </c>
      <c r="H11" s="9" t="n">
        <v>0</v>
      </c>
      <c r="I11" s="9" t="n">
        <v>180</v>
      </c>
      <c r="J11" s="9" t="n">
        <v>3904035</v>
      </c>
    </row>
    <row r="12" customFormat="false" ht="15.75" hidden="false" customHeight="false" outlineLevel="0" collapsed="false">
      <c r="A12" s="7" t="s">
        <v>20</v>
      </c>
      <c r="B12" s="7" t="n">
        <v>5</v>
      </c>
      <c r="C12" s="9" t="n">
        <v>295</v>
      </c>
      <c r="D12" s="9" t="n">
        <v>31404753</v>
      </c>
      <c r="E12" s="9" t="n">
        <v>0</v>
      </c>
      <c r="F12" s="9" t="n">
        <v>0</v>
      </c>
      <c r="G12" s="9" t="n">
        <v>0</v>
      </c>
      <c r="H12" s="9" t="n">
        <v>0</v>
      </c>
      <c r="I12" s="9" t="n">
        <v>295</v>
      </c>
      <c r="J12" s="9" t="n">
        <v>31404753</v>
      </c>
    </row>
    <row r="13" customFormat="false" ht="15.75" hidden="false" customHeight="false" outlineLevel="0" collapsed="false">
      <c r="A13" s="7" t="s">
        <v>21</v>
      </c>
      <c r="B13" s="7" t="n">
        <v>5</v>
      </c>
      <c r="C13" s="9" t="n">
        <v>170</v>
      </c>
      <c r="D13" s="9" t="n">
        <v>40681945</v>
      </c>
      <c r="E13" s="9" t="n">
        <v>0</v>
      </c>
      <c r="F13" s="9" t="n">
        <v>0</v>
      </c>
      <c r="G13" s="9" t="n">
        <v>0</v>
      </c>
      <c r="H13" s="9" t="n">
        <v>0</v>
      </c>
      <c r="I13" s="9" t="n">
        <v>170</v>
      </c>
      <c r="J13" s="9" t="n">
        <v>40681945</v>
      </c>
    </row>
    <row r="14" customFormat="false" ht="15.75" hidden="false" customHeight="false" outlineLevel="0" collapsed="false">
      <c r="A14" s="7" t="s">
        <v>22</v>
      </c>
      <c r="B14" s="7" t="n">
        <v>5</v>
      </c>
      <c r="C14" s="9" t="n">
        <v>18</v>
      </c>
      <c r="D14" s="9" t="n">
        <v>407934</v>
      </c>
      <c r="E14" s="9" t="n">
        <v>0</v>
      </c>
      <c r="F14" s="9" t="n">
        <v>0</v>
      </c>
      <c r="G14" s="9" t="n">
        <v>0</v>
      </c>
      <c r="H14" s="9" t="n">
        <v>0</v>
      </c>
      <c r="I14" s="9" t="n">
        <v>18</v>
      </c>
      <c r="J14" s="9" t="n">
        <v>407934</v>
      </c>
    </row>
    <row r="15" customFormat="false" ht="15.75" hidden="false" customHeight="false" outlineLevel="0" collapsed="false">
      <c r="A15" s="7" t="s">
        <v>23</v>
      </c>
      <c r="B15" s="7" t="n">
        <v>5</v>
      </c>
      <c r="C15" s="9" t="n">
        <v>0</v>
      </c>
      <c r="D15" s="9" t="n">
        <v>0</v>
      </c>
      <c r="E15" s="9" t="n">
        <v>0</v>
      </c>
      <c r="F15" s="9" t="n">
        <v>0</v>
      </c>
      <c r="G15" s="9" t="n">
        <v>0</v>
      </c>
      <c r="H15" s="9" t="n">
        <v>0</v>
      </c>
      <c r="I15" s="9" t="n">
        <v>0</v>
      </c>
      <c r="J15" s="9" t="n">
        <v>0</v>
      </c>
    </row>
    <row r="16" customFormat="false" ht="15.75" hidden="false" customHeight="false" outlineLevel="0" collapsed="false">
      <c r="A16" s="7" t="s">
        <v>24</v>
      </c>
      <c r="B16" s="7" t="n">
        <v>5</v>
      </c>
      <c r="C16" s="9" t="n">
        <v>0</v>
      </c>
      <c r="D16" s="9" t="n">
        <v>0</v>
      </c>
      <c r="E16" s="9" t="n">
        <v>0</v>
      </c>
      <c r="F16" s="9" t="n">
        <v>0</v>
      </c>
      <c r="G16" s="9" t="n">
        <v>0</v>
      </c>
      <c r="H16" s="9" t="n">
        <v>0</v>
      </c>
      <c r="I16" s="9" t="n">
        <v>0</v>
      </c>
      <c r="J16" s="9" t="n">
        <v>0</v>
      </c>
    </row>
    <row r="17" customFormat="false" ht="15.75" hidden="false" customHeight="false" outlineLevel="0" collapsed="false">
      <c r="A17" s="7" t="s">
        <v>25</v>
      </c>
      <c r="B17" s="7" t="n">
        <v>5</v>
      </c>
      <c r="C17" s="9" t="n">
        <v>40</v>
      </c>
      <c r="D17" s="9" t="n">
        <v>836360</v>
      </c>
      <c r="E17" s="9" t="n">
        <v>220</v>
      </c>
      <c r="F17" s="9" t="n">
        <v>4599980</v>
      </c>
      <c r="G17" s="9" t="n">
        <v>90</v>
      </c>
      <c r="H17" s="9" t="n">
        <v>1881810</v>
      </c>
      <c r="I17" s="9" t="n">
        <v>170</v>
      </c>
      <c r="J17" s="9" t="n">
        <v>3554530</v>
      </c>
    </row>
    <row r="18" customFormat="false" ht="15.75" hidden="false" customHeight="false" outlineLevel="0" collapsed="false">
      <c r="A18" s="7" t="s">
        <v>26</v>
      </c>
      <c r="B18" s="7" t="n">
        <v>5</v>
      </c>
      <c r="C18" s="9" t="n">
        <v>35</v>
      </c>
      <c r="D18" s="9" t="n">
        <v>890925</v>
      </c>
      <c r="E18" s="9" t="n">
        <v>70</v>
      </c>
      <c r="F18" s="9" t="n">
        <v>1781850</v>
      </c>
      <c r="G18" s="9" t="n">
        <v>0</v>
      </c>
      <c r="H18" s="9" t="n">
        <v>0</v>
      </c>
      <c r="I18" s="9" t="n">
        <v>105</v>
      </c>
      <c r="J18" s="9" t="n">
        <v>2672775</v>
      </c>
    </row>
    <row r="19" customFormat="false" ht="15.75" hidden="false" customHeight="false" outlineLevel="0" collapsed="false">
      <c r="A19" s="7" t="s">
        <v>27</v>
      </c>
      <c r="B19" s="7" t="n">
        <v>5</v>
      </c>
      <c r="C19" s="9" t="n">
        <v>0</v>
      </c>
      <c r="D19" s="9" t="n">
        <v>0</v>
      </c>
      <c r="E19" s="9" t="n">
        <v>142</v>
      </c>
      <c r="F19" s="9" t="n">
        <v>4327260</v>
      </c>
      <c r="G19" s="9" t="n">
        <v>0</v>
      </c>
      <c r="H19" s="9" t="n">
        <v>0</v>
      </c>
      <c r="I19" s="9" t="n">
        <v>142</v>
      </c>
      <c r="J19" s="9" t="n">
        <v>4327260</v>
      </c>
    </row>
    <row r="20" customFormat="false" ht="15.75" hidden="false" customHeight="false" outlineLevel="0" collapsed="false">
      <c r="A20" s="7" t="s">
        <v>28</v>
      </c>
      <c r="B20" s="7" t="n">
        <v>5</v>
      </c>
      <c r="C20" s="9" t="n">
        <v>0</v>
      </c>
      <c r="D20" s="9" t="n">
        <v>0</v>
      </c>
      <c r="E20" s="9" t="n">
        <v>0</v>
      </c>
      <c r="F20" s="9" t="n">
        <v>0</v>
      </c>
      <c r="G20" s="9" t="n">
        <v>0</v>
      </c>
      <c r="H20" s="9" t="n">
        <v>0</v>
      </c>
      <c r="I20" s="9" t="n">
        <v>0</v>
      </c>
      <c r="J20" s="9" t="n">
        <v>0</v>
      </c>
    </row>
    <row r="21" customFormat="false" ht="15.75" hidden="false" customHeight="false" outlineLevel="0" collapsed="false">
      <c r="A21" s="7" t="s">
        <v>29</v>
      </c>
      <c r="B21" s="7" t="n">
        <v>5</v>
      </c>
      <c r="C21" s="9" t="n">
        <v>160</v>
      </c>
      <c r="D21" s="9" t="n">
        <v>42283680</v>
      </c>
      <c r="E21" s="9" t="n">
        <v>50</v>
      </c>
      <c r="F21" s="9" t="n">
        <v>13213650</v>
      </c>
      <c r="G21" s="9" t="n">
        <v>0</v>
      </c>
      <c r="H21" s="9" t="n">
        <v>0</v>
      </c>
      <c r="I21" s="9" t="n">
        <v>210</v>
      </c>
      <c r="J21" s="9" t="n">
        <v>55497330</v>
      </c>
    </row>
    <row r="22" customFormat="false" ht="15.75" hidden="false" customHeight="false" outlineLevel="0" collapsed="false">
      <c r="A22" s="7" t="s">
        <v>30</v>
      </c>
      <c r="B22" s="7" t="n">
        <v>5</v>
      </c>
      <c r="C22" s="9" t="n">
        <v>104</v>
      </c>
      <c r="D22" s="9" t="n">
        <v>22137339</v>
      </c>
      <c r="E22" s="9" t="n">
        <v>60</v>
      </c>
      <c r="F22" s="9" t="n">
        <v>11928550</v>
      </c>
      <c r="G22" s="9" t="n">
        <v>0</v>
      </c>
      <c r="H22" s="9" t="n">
        <v>0</v>
      </c>
      <c r="I22" s="9" t="n">
        <v>164</v>
      </c>
      <c r="J22" s="9" t="n">
        <v>34065889</v>
      </c>
    </row>
    <row r="23" customFormat="false" ht="15.75" hidden="false" customHeight="false" outlineLevel="0" collapsed="false">
      <c r="A23" s="7" t="s">
        <v>31</v>
      </c>
      <c r="B23" s="7" t="n">
        <v>5</v>
      </c>
      <c r="C23" s="9" t="n">
        <v>0</v>
      </c>
      <c r="D23" s="9" t="n">
        <v>0</v>
      </c>
      <c r="E23" s="9" t="n">
        <v>0</v>
      </c>
      <c r="F23" s="9" t="n">
        <v>0</v>
      </c>
      <c r="G23" s="9" t="n">
        <v>0</v>
      </c>
      <c r="H23" s="9" t="n">
        <v>0</v>
      </c>
      <c r="I23" s="9" t="n">
        <v>0</v>
      </c>
      <c r="J23" s="9" t="n">
        <v>0</v>
      </c>
    </row>
    <row r="24" customFormat="false" ht="15.75" hidden="false" customHeight="false" outlineLevel="0" collapsed="false">
      <c r="A24" s="7" t="s">
        <v>32</v>
      </c>
      <c r="B24" s="7" t="n">
        <v>5</v>
      </c>
      <c r="C24" s="9" t="n">
        <v>0</v>
      </c>
      <c r="D24" s="9" t="n">
        <v>0</v>
      </c>
      <c r="E24" s="9" t="n">
        <v>0</v>
      </c>
      <c r="F24" s="9" t="n">
        <v>0</v>
      </c>
      <c r="G24" s="9" t="n">
        <v>0</v>
      </c>
      <c r="H24" s="9" t="n">
        <v>0</v>
      </c>
      <c r="I24" s="9" t="n">
        <v>0</v>
      </c>
      <c r="J24" s="9" t="n">
        <v>0</v>
      </c>
    </row>
    <row r="25" customFormat="false" ht="15.75" hidden="false" customHeight="false" outlineLevel="0" collapsed="false">
      <c r="A25" s="7" t="s">
        <v>33</v>
      </c>
      <c r="B25" s="7" t="n">
        <v>5</v>
      </c>
      <c r="C25" s="9" t="n">
        <v>56</v>
      </c>
      <c r="D25" s="9" t="n">
        <v>4642900</v>
      </c>
      <c r="E25" s="9" t="n">
        <v>20</v>
      </c>
      <c r="F25" s="9" t="n">
        <v>4642900</v>
      </c>
      <c r="G25" s="9" t="n">
        <v>0</v>
      </c>
      <c r="H25" s="9" t="n">
        <v>0</v>
      </c>
      <c r="I25" s="9" t="n">
        <v>76</v>
      </c>
      <c r="J25" s="9" t="n">
        <v>9285800</v>
      </c>
    </row>
    <row r="26" customFormat="false" ht="15.75" hidden="false" customHeight="false" outlineLevel="0" collapsed="false">
      <c r="A26" s="7" t="s">
        <v>34</v>
      </c>
      <c r="B26" s="7" t="n">
        <v>5</v>
      </c>
      <c r="C26" s="9" t="n">
        <v>20</v>
      </c>
      <c r="D26" s="9" t="n">
        <v>4642900</v>
      </c>
      <c r="E26" s="9" t="n">
        <v>0</v>
      </c>
      <c r="F26" s="9" t="n">
        <v>0</v>
      </c>
      <c r="G26" s="9" t="n">
        <v>0</v>
      </c>
      <c r="H26" s="9" t="n">
        <v>0</v>
      </c>
      <c r="I26" s="9" t="n">
        <v>20</v>
      </c>
      <c r="J26" s="9" t="n">
        <v>4642900</v>
      </c>
    </row>
    <row r="27" customFormat="false" ht="15.75" hidden="false" customHeight="false" outlineLevel="0" collapsed="false">
      <c r="A27" s="7" t="s">
        <v>35</v>
      </c>
      <c r="B27" s="7" t="n">
        <v>5</v>
      </c>
      <c r="C27" s="9" t="n">
        <v>0</v>
      </c>
      <c r="D27" s="9" t="n">
        <v>0</v>
      </c>
      <c r="E27" s="9" t="n">
        <v>0</v>
      </c>
      <c r="F27" s="9" t="n">
        <v>0</v>
      </c>
      <c r="G27" s="9" t="n">
        <v>0</v>
      </c>
      <c r="H27" s="9" t="n">
        <v>0</v>
      </c>
      <c r="I27" s="9" t="n">
        <v>0</v>
      </c>
      <c r="J27" s="9" t="n">
        <v>0</v>
      </c>
    </row>
    <row r="28" customFormat="false" ht="15.75" hidden="false" customHeight="false" outlineLevel="0" collapsed="false">
      <c r="A28" s="7" t="s">
        <v>36</v>
      </c>
      <c r="B28" s="7" t="n">
        <v>5</v>
      </c>
      <c r="C28" s="9" t="n">
        <v>40</v>
      </c>
      <c r="D28" s="9" t="n">
        <v>1818200</v>
      </c>
      <c r="E28" s="9" t="n">
        <v>0</v>
      </c>
      <c r="F28" s="9" t="n">
        <v>0</v>
      </c>
      <c r="G28" s="9" t="n">
        <v>0</v>
      </c>
      <c r="H28" s="9" t="n">
        <v>0</v>
      </c>
      <c r="I28" s="9" t="n">
        <v>40</v>
      </c>
      <c r="J28" s="9" t="n">
        <v>1818200</v>
      </c>
    </row>
    <row r="29" customFormat="false" ht="15.75" hidden="false" customHeight="false" outlineLevel="0" collapsed="false">
      <c r="A29" s="7" t="s">
        <v>37</v>
      </c>
      <c r="B29" s="7" t="n">
        <v>5</v>
      </c>
      <c r="C29" s="9" t="n">
        <v>3255</v>
      </c>
      <c r="D29" s="9" t="n">
        <v>173341676</v>
      </c>
      <c r="E29" s="9" t="n">
        <v>2720</v>
      </c>
      <c r="F29" s="9" t="n">
        <v>151446880</v>
      </c>
      <c r="G29" s="9" t="n">
        <v>3275</v>
      </c>
      <c r="H29" s="9" t="n">
        <v>178022179</v>
      </c>
      <c r="I29" s="9" t="n">
        <v>2700</v>
      </c>
      <c r="J29" s="9" t="n">
        <v>146766377</v>
      </c>
    </row>
    <row r="30" customFormat="false" ht="15.75" hidden="false" customHeight="false" outlineLevel="0" collapsed="false">
      <c r="A30" s="7" t="s">
        <v>38</v>
      </c>
      <c r="B30" s="7" t="n">
        <v>5</v>
      </c>
      <c r="C30" s="9" t="n">
        <v>274911</v>
      </c>
      <c r="D30" s="9" t="n">
        <v>284235675</v>
      </c>
      <c r="E30" s="9" t="n">
        <v>7920</v>
      </c>
      <c r="F30" s="9" t="n">
        <v>247167360</v>
      </c>
      <c r="G30" s="9" t="n">
        <v>5271</v>
      </c>
      <c r="H30" s="9" t="n">
        <v>162527190</v>
      </c>
      <c r="I30" s="9" t="n">
        <v>277560</v>
      </c>
      <c r="J30" s="9" t="n">
        <v>368875845</v>
      </c>
    </row>
    <row r="31" customFormat="false" ht="15.75" hidden="false" customHeight="false" outlineLevel="0" collapsed="false">
      <c r="A31" s="7" t="s">
        <v>39</v>
      </c>
      <c r="B31" s="7" t="n">
        <v>5</v>
      </c>
      <c r="C31" s="9" t="n">
        <v>28965</v>
      </c>
      <c r="D31" s="9" t="n">
        <v>153445707</v>
      </c>
      <c r="E31" s="9" t="n">
        <v>1650</v>
      </c>
      <c r="F31" s="9" t="n">
        <v>59703600</v>
      </c>
      <c r="G31" s="9" t="n">
        <v>1840</v>
      </c>
      <c r="H31" s="9" t="n">
        <v>63671135</v>
      </c>
      <c r="I31" s="9" t="n">
        <v>28775</v>
      </c>
      <c r="J31" s="9" t="n">
        <v>149478172</v>
      </c>
    </row>
    <row r="32" customFormat="false" ht="15.75" hidden="false" customHeight="false" outlineLevel="0" collapsed="false">
      <c r="A32" s="7" t="s">
        <v>40</v>
      </c>
      <c r="B32" s="7" t="n">
        <v>5</v>
      </c>
      <c r="C32" s="9" t="n">
        <v>0</v>
      </c>
      <c r="D32" s="9" t="n">
        <v>0</v>
      </c>
      <c r="E32" s="9" t="n">
        <v>0</v>
      </c>
      <c r="F32" s="9" t="n">
        <v>0</v>
      </c>
      <c r="G32" s="9" t="n">
        <v>0</v>
      </c>
      <c r="H32" s="9" t="n">
        <v>0</v>
      </c>
      <c r="I32" s="9" t="n">
        <v>0</v>
      </c>
      <c r="J32" s="9" t="n">
        <v>0</v>
      </c>
    </row>
    <row r="33" customFormat="false" ht="15.75" hidden="false" customHeight="false" outlineLevel="0" collapsed="false">
      <c r="A33" s="7" t="s">
        <v>41</v>
      </c>
      <c r="B33" s="7" t="n">
        <v>5</v>
      </c>
      <c r="C33" s="9" t="n">
        <v>90</v>
      </c>
      <c r="D33" s="9" t="n">
        <v>3031110</v>
      </c>
      <c r="E33" s="9" t="n">
        <v>475</v>
      </c>
      <c r="F33" s="9" t="n">
        <v>15997525</v>
      </c>
      <c r="G33" s="9" t="n">
        <v>565</v>
      </c>
      <c r="H33" s="9" t="n">
        <v>19028635</v>
      </c>
      <c r="I33" s="9" t="n">
        <v>0</v>
      </c>
      <c r="J33" s="9" t="n">
        <v>0</v>
      </c>
    </row>
    <row r="34" customFormat="false" ht="15.75" hidden="false" customHeight="false" outlineLevel="0" collapsed="false">
      <c r="A34" s="7" t="s">
        <v>42</v>
      </c>
      <c r="B34" s="7" t="n">
        <v>5</v>
      </c>
      <c r="C34" s="9" t="n">
        <v>64</v>
      </c>
      <c r="D34" s="9" t="n">
        <v>3063680</v>
      </c>
      <c r="E34" s="9" t="n">
        <v>263</v>
      </c>
      <c r="F34" s="9" t="n">
        <v>12589810</v>
      </c>
      <c r="G34" s="9" t="n">
        <v>327</v>
      </c>
      <c r="H34" s="9" t="n">
        <v>15653490</v>
      </c>
      <c r="I34" s="9" t="n">
        <v>0</v>
      </c>
      <c r="J34" s="9" t="n">
        <v>0</v>
      </c>
    </row>
    <row r="35" customFormat="false" ht="15.75" hidden="false" customHeight="false" outlineLevel="0" collapsed="false">
      <c r="A35" s="7" t="s">
        <v>43</v>
      </c>
      <c r="B35" s="7" t="n">
        <v>5</v>
      </c>
      <c r="C35" s="9" t="n">
        <v>0</v>
      </c>
      <c r="D35" s="9" t="n">
        <v>0</v>
      </c>
      <c r="E35" s="9" t="n">
        <v>408</v>
      </c>
      <c r="F35" s="9" t="n">
        <v>8364000</v>
      </c>
      <c r="G35" s="9" t="n">
        <v>408</v>
      </c>
      <c r="H35" s="9" t="n">
        <v>8364000</v>
      </c>
      <c r="I35" s="9" t="n">
        <v>0</v>
      </c>
      <c r="J35" s="9" t="n">
        <v>0</v>
      </c>
    </row>
    <row r="36" customFormat="false" ht="15.75" hidden="false" customHeight="false" outlineLevel="0" collapsed="false">
      <c r="A36" s="7" t="s">
        <v>44</v>
      </c>
      <c r="B36" s="7" t="n">
        <v>5</v>
      </c>
      <c r="C36" s="9" t="n">
        <v>10190</v>
      </c>
      <c r="D36" s="9" t="n">
        <v>55720191</v>
      </c>
      <c r="E36" s="9" t="n">
        <v>570</v>
      </c>
      <c r="F36" s="9" t="n">
        <v>20624880</v>
      </c>
      <c r="G36" s="9" t="n">
        <v>1410</v>
      </c>
      <c r="H36" s="9" t="n">
        <v>48525103</v>
      </c>
      <c r="I36" s="9" t="n">
        <v>9350</v>
      </c>
      <c r="J36" s="9" t="n">
        <v>27819968</v>
      </c>
    </row>
    <row r="37" customFormat="false" ht="15.75" hidden="false" customHeight="false" outlineLevel="0" collapsed="false">
      <c r="A37" s="7" t="s">
        <v>45</v>
      </c>
      <c r="B37" s="7" t="n">
        <v>5</v>
      </c>
      <c r="C37" s="9" t="n">
        <v>1422</v>
      </c>
      <c r="D37" s="9" t="n">
        <v>47890034</v>
      </c>
      <c r="E37" s="9" t="n">
        <v>390</v>
      </c>
      <c r="F37" s="9" t="n">
        <v>14111760</v>
      </c>
      <c r="G37" s="9" t="n">
        <v>1422</v>
      </c>
      <c r="H37" s="9" t="n">
        <v>48657037</v>
      </c>
      <c r="I37" s="9" t="n">
        <v>390</v>
      </c>
      <c r="J37" s="9" t="n">
        <v>13344757</v>
      </c>
    </row>
    <row r="38" customFormat="false" ht="15.75" hidden="false" customHeight="false" outlineLevel="0" collapsed="false">
      <c r="A38" s="7" t="s">
        <v>46</v>
      </c>
      <c r="B38" s="7" t="n">
        <v>5</v>
      </c>
      <c r="C38" s="9" t="n">
        <v>165</v>
      </c>
      <c r="D38" s="9" t="n">
        <v>5557035</v>
      </c>
      <c r="E38" s="9" t="n">
        <v>560</v>
      </c>
      <c r="F38" s="9" t="n">
        <v>19344540</v>
      </c>
      <c r="G38" s="9" t="n">
        <v>725</v>
      </c>
      <c r="H38" s="9" t="n">
        <v>24901575</v>
      </c>
      <c r="I38" s="9" t="n">
        <v>0</v>
      </c>
      <c r="J38" s="9" t="n">
        <v>0</v>
      </c>
    </row>
    <row r="39" customFormat="false" ht="15.75" hidden="false" customHeight="false" outlineLevel="0" collapsed="false">
      <c r="A39" s="7" t="s">
        <v>47</v>
      </c>
      <c r="B39" s="7" t="n">
        <v>5</v>
      </c>
      <c r="C39" s="9" t="n">
        <v>4100</v>
      </c>
      <c r="D39" s="9" t="n">
        <v>18634500</v>
      </c>
      <c r="E39" s="9" t="n">
        <v>3250</v>
      </c>
      <c r="F39" s="9" t="n">
        <v>16250000</v>
      </c>
      <c r="G39" s="9" t="n">
        <v>1250</v>
      </c>
      <c r="H39" s="9" t="n">
        <v>5932738</v>
      </c>
      <c r="I39" s="9" t="n">
        <v>6100</v>
      </c>
      <c r="J39" s="9" t="n">
        <v>28951762</v>
      </c>
    </row>
    <row r="40" customFormat="false" ht="15.75" hidden="false" customHeight="false" outlineLevel="0" collapsed="false">
      <c r="A40" s="7" t="s">
        <v>48</v>
      </c>
      <c r="B40" s="7" t="n">
        <v>5</v>
      </c>
      <c r="C40" s="9" t="n">
        <v>48</v>
      </c>
      <c r="D40" s="9" t="n">
        <v>1156368</v>
      </c>
      <c r="E40" s="9" t="n">
        <v>0</v>
      </c>
      <c r="F40" s="9" t="n">
        <v>0</v>
      </c>
      <c r="G40" s="9" t="n">
        <v>0</v>
      </c>
      <c r="H40" s="9" t="n">
        <v>0</v>
      </c>
      <c r="I40" s="9" t="n">
        <v>48</v>
      </c>
      <c r="J40" s="9" t="n">
        <v>1156368</v>
      </c>
    </row>
    <row r="41" customFormat="false" ht="15.75" hidden="false" customHeight="false" outlineLevel="0" collapsed="false">
      <c r="A41" s="7" t="s">
        <v>49</v>
      </c>
      <c r="B41" s="7" t="n">
        <v>5</v>
      </c>
      <c r="C41" s="9" t="n">
        <v>6910</v>
      </c>
      <c r="D41" s="9" t="n">
        <v>32663570</v>
      </c>
      <c r="E41" s="9" t="n">
        <v>1800</v>
      </c>
      <c r="F41" s="9" t="n">
        <v>8672400</v>
      </c>
      <c r="G41" s="9" t="n">
        <v>4810</v>
      </c>
      <c r="H41" s="9" t="n">
        <v>22827327</v>
      </c>
      <c r="I41" s="9" t="n">
        <v>3900</v>
      </c>
      <c r="J41" s="9" t="n">
        <v>18508643</v>
      </c>
    </row>
    <row r="42" customFormat="false" ht="15.75" hidden="false" customHeight="false" outlineLevel="0" collapsed="false">
      <c r="A42" s="7" t="s">
        <v>50</v>
      </c>
      <c r="B42" s="7" t="n">
        <v>5</v>
      </c>
      <c r="C42" s="9" t="n">
        <v>1500</v>
      </c>
      <c r="D42" s="9" t="n">
        <v>4773000</v>
      </c>
      <c r="E42" s="9" t="n">
        <v>0</v>
      </c>
      <c r="F42" s="9" t="n">
        <v>0</v>
      </c>
      <c r="G42" s="9" t="n">
        <v>0</v>
      </c>
      <c r="H42" s="9" t="n">
        <v>0</v>
      </c>
      <c r="I42" s="9" t="n">
        <v>1500</v>
      </c>
      <c r="J42" s="9" t="n">
        <v>4773000</v>
      </c>
    </row>
    <row r="43" customFormat="false" ht="15.75" hidden="false" customHeight="false" outlineLevel="0" collapsed="false">
      <c r="A43" s="7" t="s">
        <v>51</v>
      </c>
      <c r="B43" s="7" t="n">
        <v>5</v>
      </c>
      <c r="C43" s="9" t="n">
        <v>2350</v>
      </c>
      <c r="D43" s="9" t="n">
        <v>8544600</v>
      </c>
      <c r="E43" s="9" t="n">
        <v>500</v>
      </c>
      <c r="F43" s="9" t="n">
        <v>2045500</v>
      </c>
      <c r="G43" s="9" t="n">
        <v>500</v>
      </c>
      <c r="H43" s="9" t="n">
        <v>1857912</v>
      </c>
      <c r="I43" s="9" t="n">
        <v>2350</v>
      </c>
      <c r="J43" s="9" t="n">
        <v>8732188</v>
      </c>
    </row>
    <row r="44" customFormat="false" ht="15.75" hidden="false" customHeight="false" outlineLevel="0" collapsed="false">
      <c r="A44" s="7" t="s">
        <v>52</v>
      </c>
      <c r="B44" s="7" t="n">
        <v>5</v>
      </c>
      <c r="C44" s="9" t="n">
        <v>576</v>
      </c>
      <c r="D44" s="9" t="n">
        <v>13090752</v>
      </c>
      <c r="E44" s="9" t="n">
        <v>288</v>
      </c>
      <c r="F44" s="9" t="n">
        <v>6545376</v>
      </c>
      <c r="G44" s="9" t="n">
        <v>0</v>
      </c>
      <c r="H44" s="9" t="n">
        <v>0</v>
      </c>
      <c r="I44" s="9" t="n">
        <v>864</v>
      </c>
      <c r="J44" s="9" t="n">
        <v>19636128</v>
      </c>
    </row>
    <row r="45" customFormat="false" ht="15.75" hidden="false" customHeight="false" outlineLevel="0" collapsed="false">
      <c r="A45" s="7" t="s">
        <v>53</v>
      </c>
      <c r="B45" s="7" t="n">
        <v>5</v>
      </c>
      <c r="C45" s="9" t="n">
        <v>0</v>
      </c>
      <c r="D45" s="9" t="n">
        <v>0</v>
      </c>
      <c r="E45" s="9" t="n">
        <v>0</v>
      </c>
      <c r="F45" s="9" t="n">
        <v>0</v>
      </c>
      <c r="G45" s="9" t="n">
        <v>0</v>
      </c>
      <c r="H45" s="9" t="n">
        <v>0</v>
      </c>
      <c r="I45" s="9" t="n">
        <v>0</v>
      </c>
      <c r="J45" s="9" t="n">
        <v>0</v>
      </c>
    </row>
    <row r="46" customFormat="false" ht="15.75" hidden="false" customHeight="false" outlineLevel="0" collapsed="false">
      <c r="A46" s="7" t="s">
        <v>54</v>
      </c>
      <c r="B46" s="7" t="n">
        <v>5</v>
      </c>
      <c r="C46" s="9" t="n">
        <v>10678</v>
      </c>
      <c r="D46" s="9" t="n">
        <v>144646430</v>
      </c>
      <c r="E46" s="9" t="n">
        <v>4961</v>
      </c>
      <c r="F46" s="9" t="n">
        <v>69816000</v>
      </c>
      <c r="G46" s="9" t="n">
        <v>8839</v>
      </c>
      <c r="H46" s="9" t="n">
        <v>121211933</v>
      </c>
      <c r="I46" s="9" t="n">
        <v>6800</v>
      </c>
      <c r="J46" s="9" t="n">
        <v>93250497</v>
      </c>
    </row>
    <row r="47" customFormat="false" ht="15.75" hidden="false" customHeight="false" outlineLevel="0" collapsed="false">
      <c r="A47" s="7" t="s">
        <v>55</v>
      </c>
      <c r="B47" s="7" t="n">
        <v>5</v>
      </c>
      <c r="C47" s="9" t="n">
        <v>0</v>
      </c>
      <c r="D47" s="9" t="n">
        <v>0</v>
      </c>
      <c r="E47" s="9" t="n">
        <v>12</v>
      </c>
      <c r="F47" s="9" t="n">
        <v>1041816</v>
      </c>
      <c r="G47" s="9" t="n">
        <v>0</v>
      </c>
      <c r="H47" s="9" t="n">
        <v>0</v>
      </c>
      <c r="I47" s="9" t="n">
        <v>12</v>
      </c>
      <c r="J47" s="9" t="n">
        <v>1041816</v>
      </c>
    </row>
    <row r="48" customFormat="false" ht="15.75" hidden="false" customHeight="false" outlineLevel="0" collapsed="false">
      <c r="A48" s="7" t="s">
        <v>56</v>
      </c>
      <c r="B48" s="7" t="n">
        <v>5</v>
      </c>
      <c r="C48" s="9" t="n">
        <v>0</v>
      </c>
      <c r="D48" s="9" t="n">
        <v>0</v>
      </c>
      <c r="E48" s="9" t="n">
        <v>192</v>
      </c>
      <c r="F48" s="9" t="n">
        <v>1815360</v>
      </c>
      <c r="G48" s="9" t="n">
        <v>0</v>
      </c>
      <c r="H48" s="9" t="n">
        <v>0</v>
      </c>
      <c r="I48" s="9" t="n">
        <v>192</v>
      </c>
      <c r="J48" s="9" t="n">
        <v>1815360</v>
      </c>
    </row>
    <row r="49" customFormat="false" ht="15.75" hidden="false" customHeight="false" outlineLevel="0" collapsed="false">
      <c r="A49" s="7" t="s">
        <v>57</v>
      </c>
      <c r="B49" s="7" t="n">
        <v>5</v>
      </c>
      <c r="C49" s="9" t="n">
        <v>480</v>
      </c>
      <c r="D49" s="9" t="n">
        <v>7636320</v>
      </c>
      <c r="E49" s="9" t="n">
        <v>0</v>
      </c>
      <c r="F49" s="9" t="n">
        <v>0</v>
      </c>
      <c r="G49" s="9" t="n">
        <v>0</v>
      </c>
      <c r="H49" s="9" t="n">
        <v>0</v>
      </c>
      <c r="I49" s="9" t="n">
        <v>480</v>
      </c>
      <c r="J49" s="9" t="n">
        <v>7636320</v>
      </c>
    </row>
    <row r="50" customFormat="false" ht="15.75" hidden="false" customHeight="false" outlineLevel="0" collapsed="false">
      <c r="A50" s="7" t="s">
        <v>58</v>
      </c>
      <c r="B50" s="7" t="n">
        <v>5</v>
      </c>
      <c r="C50" s="9" t="n">
        <v>2640</v>
      </c>
      <c r="D50" s="9" t="n">
        <v>20399280</v>
      </c>
      <c r="E50" s="9" t="n">
        <v>0</v>
      </c>
      <c r="F50" s="9" t="n">
        <v>0</v>
      </c>
      <c r="G50" s="9" t="n">
        <v>0</v>
      </c>
      <c r="H50" s="9" t="n">
        <v>0</v>
      </c>
      <c r="I50" s="9" t="n">
        <v>2640</v>
      </c>
      <c r="J50" s="9" t="n">
        <v>20399280</v>
      </c>
    </row>
    <row r="51" customFormat="false" ht="15.75" hidden="false" customHeight="false" outlineLevel="0" collapsed="false">
      <c r="A51" s="7" t="s">
        <v>59</v>
      </c>
      <c r="B51" s="7" t="n">
        <v>5</v>
      </c>
      <c r="C51" s="9" t="n">
        <v>6345</v>
      </c>
      <c r="D51" s="9" t="n">
        <v>89983782</v>
      </c>
      <c r="E51" s="9" t="n">
        <v>675</v>
      </c>
      <c r="F51" s="9" t="n">
        <v>0</v>
      </c>
      <c r="G51" s="9" t="n">
        <v>224</v>
      </c>
      <c r="H51" s="9" t="n">
        <v>2871277</v>
      </c>
      <c r="I51" s="9" t="n">
        <v>6796</v>
      </c>
      <c r="J51" s="9" t="n">
        <v>87112505</v>
      </c>
    </row>
    <row r="52" customFormat="false" ht="15.75" hidden="false" customHeight="false" outlineLevel="0" collapsed="false">
      <c r="A52" s="7" t="s">
        <v>60</v>
      </c>
      <c r="B52" s="7" t="n">
        <v>5</v>
      </c>
      <c r="C52" s="9" t="n">
        <v>2283</v>
      </c>
      <c r="D52" s="9" t="n">
        <v>72545040</v>
      </c>
      <c r="E52" s="9" t="n">
        <v>984</v>
      </c>
      <c r="F52" s="9" t="n">
        <v>33992280</v>
      </c>
      <c r="G52" s="9" t="n">
        <v>65</v>
      </c>
      <c r="H52" s="9" t="n">
        <v>2119659</v>
      </c>
      <c r="I52" s="9" t="n">
        <v>3202</v>
      </c>
      <c r="J52" s="9" t="n">
        <v>104417661</v>
      </c>
    </row>
    <row r="53" customFormat="false" ht="15.75" hidden="false" customHeight="false" outlineLevel="0" collapsed="false">
      <c r="A53" s="7" t="s">
        <v>61</v>
      </c>
      <c r="B53" s="7" t="n">
        <v>5</v>
      </c>
      <c r="C53" s="9" t="n">
        <v>0</v>
      </c>
      <c r="D53" s="9" t="n">
        <v>0</v>
      </c>
      <c r="E53" s="9" t="n">
        <v>0</v>
      </c>
      <c r="F53" s="9" t="n">
        <v>0</v>
      </c>
      <c r="G53" s="9" t="n">
        <v>0</v>
      </c>
      <c r="H53" s="9" t="n">
        <v>0</v>
      </c>
      <c r="I53" s="9" t="n">
        <v>0</v>
      </c>
      <c r="J53" s="9" t="n">
        <v>0</v>
      </c>
    </row>
    <row r="54" customFormat="false" ht="15.75" hidden="false" customHeight="false" outlineLevel="0" collapsed="false">
      <c r="A54" s="7" t="s">
        <v>62</v>
      </c>
      <c r="B54" s="7" t="n">
        <v>5</v>
      </c>
      <c r="C54" s="9" t="n">
        <v>7991</v>
      </c>
      <c r="D54" s="9" t="n">
        <v>37770137</v>
      </c>
      <c r="E54" s="9" t="n">
        <v>1203</v>
      </c>
      <c r="F54" s="9" t="n">
        <v>5781600</v>
      </c>
      <c r="G54" s="9" t="n">
        <v>2405</v>
      </c>
      <c r="H54" s="9" t="n">
        <v>11392422</v>
      </c>
      <c r="I54" s="9" t="n">
        <v>6789</v>
      </c>
      <c r="J54" s="9" t="n">
        <v>32159315</v>
      </c>
    </row>
    <row r="55" customFormat="false" ht="15.75" hidden="false" customHeight="false" outlineLevel="0" collapsed="false">
      <c r="A55" s="7" t="s">
        <v>63</v>
      </c>
      <c r="B55" s="7" t="n">
        <v>5</v>
      </c>
      <c r="C55" s="9" t="n">
        <v>0</v>
      </c>
      <c r="D55" s="9" t="n">
        <v>0</v>
      </c>
      <c r="E55" s="9" t="n">
        <v>0</v>
      </c>
      <c r="F55" s="9" t="n">
        <v>0</v>
      </c>
      <c r="G55" s="9" t="n">
        <v>0</v>
      </c>
      <c r="H55" s="9" t="n">
        <v>0</v>
      </c>
      <c r="I55" s="9" t="n">
        <v>0</v>
      </c>
      <c r="J55" s="9" t="n">
        <v>0</v>
      </c>
    </row>
    <row r="56" customFormat="false" ht="15.75" hidden="false" customHeight="false" outlineLevel="0" collapsed="false">
      <c r="A56" s="7" t="s">
        <v>64</v>
      </c>
      <c r="B56" s="7" t="n">
        <v>5</v>
      </c>
      <c r="C56" s="9" t="n">
        <v>0</v>
      </c>
      <c r="D56" s="9" t="n">
        <v>0</v>
      </c>
      <c r="E56" s="9" t="n">
        <v>0</v>
      </c>
      <c r="F56" s="9" t="n">
        <v>0</v>
      </c>
      <c r="G56" s="9" t="n">
        <v>0</v>
      </c>
      <c r="H56" s="9" t="n">
        <v>0</v>
      </c>
      <c r="I56" s="9" t="n">
        <v>0</v>
      </c>
      <c r="J56" s="9" t="n">
        <v>0</v>
      </c>
    </row>
    <row r="57" customFormat="false" ht="15.75" hidden="false" customHeight="false" outlineLevel="0" collapsed="false">
      <c r="A57" s="7" t="s">
        <v>65</v>
      </c>
      <c r="B57" s="7" t="n">
        <v>5</v>
      </c>
      <c r="C57" s="9" t="n">
        <v>0</v>
      </c>
      <c r="D57" s="9" t="n">
        <v>0</v>
      </c>
      <c r="E57" s="9" t="n">
        <v>0</v>
      </c>
      <c r="F57" s="9" t="n">
        <v>0</v>
      </c>
      <c r="G57" s="9" t="n">
        <v>0</v>
      </c>
      <c r="H57" s="9" t="n">
        <v>0</v>
      </c>
      <c r="I57" s="9" t="n">
        <v>0</v>
      </c>
      <c r="J57" s="9" t="n">
        <v>0</v>
      </c>
    </row>
    <row r="58" customFormat="false" ht="15.75" hidden="false" customHeight="false" outlineLevel="0" collapsed="false">
      <c r="A58" s="7" t="s">
        <v>66</v>
      </c>
      <c r="B58" s="7" t="n">
        <v>5</v>
      </c>
      <c r="C58" s="9" t="n">
        <v>5424</v>
      </c>
      <c r="D58" s="9" t="n">
        <v>78282397</v>
      </c>
      <c r="E58" s="9" t="n">
        <v>1500</v>
      </c>
      <c r="F58" s="9" t="n">
        <v>22255200</v>
      </c>
      <c r="G58" s="9" t="n">
        <v>3516</v>
      </c>
      <c r="H58" s="9" t="n">
        <v>51052887</v>
      </c>
      <c r="I58" s="9" t="n">
        <v>3408</v>
      </c>
      <c r="J58" s="9" t="n">
        <v>49484710</v>
      </c>
    </row>
    <row r="59" customFormat="false" ht="15.75" hidden="false" customHeight="false" outlineLevel="0" collapsed="false">
      <c r="A59" s="7" t="s">
        <v>67</v>
      </c>
      <c r="B59" s="7" t="n">
        <v>5</v>
      </c>
      <c r="C59" s="9" t="n">
        <v>184</v>
      </c>
      <c r="D59" s="9" t="n">
        <v>1854600</v>
      </c>
      <c r="E59" s="9" t="n">
        <v>72</v>
      </c>
      <c r="F59" s="9" t="n">
        <v>0</v>
      </c>
      <c r="G59" s="9" t="n">
        <v>120</v>
      </c>
      <c r="H59" s="9" t="n">
        <v>869344</v>
      </c>
      <c r="I59" s="9" t="n">
        <v>136</v>
      </c>
      <c r="J59" s="9" t="n">
        <v>985256</v>
      </c>
    </row>
    <row r="60" customFormat="false" ht="15.75" hidden="false" customHeight="false" outlineLevel="0" collapsed="false">
      <c r="A60" s="7" t="s">
        <v>68</v>
      </c>
      <c r="B60" s="7" t="n">
        <v>5</v>
      </c>
      <c r="C60" s="9" t="n">
        <v>240</v>
      </c>
      <c r="D60" s="9" t="n">
        <v>10472640</v>
      </c>
      <c r="E60" s="9" t="n">
        <v>96</v>
      </c>
      <c r="F60" s="9" t="n">
        <v>4398528</v>
      </c>
      <c r="G60" s="9" t="n">
        <v>0</v>
      </c>
      <c r="H60" s="9" t="n">
        <v>0</v>
      </c>
      <c r="I60" s="9" t="n">
        <v>336</v>
      </c>
      <c r="J60" s="9" t="n">
        <v>14871168</v>
      </c>
    </row>
    <row r="61" customFormat="false" ht="15.75" hidden="false" customHeight="false" outlineLevel="0" collapsed="false">
      <c r="A61" s="7" t="s">
        <v>69</v>
      </c>
      <c r="B61" s="7" t="n">
        <v>5</v>
      </c>
      <c r="C61" s="9" t="n">
        <v>0</v>
      </c>
      <c r="D61" s="9" t="n">
        <v>0</v>
      </c>
      <c r="E61" s="9" t="n">
        <v>0</v>
      </c>
      <c r="F61" s="9" t="n">
        <v>0</v>
      </c>
      <c r="G61" s="9" t="n">
        <v>0</v>
      </c>
      <c r="H61" s="9" t="n">
        <v>0</v>
      </c>
      <c r="I61" s="9" t="n">
        <v>0</v>
      </c>
      <c r="J61" s="9" t="n">
        <v>0</v>
      </c>
    </row>
    <row r="62" customFormat="false" ht="15.75" hidden="false" customHeight="false" outlineLevel="0" collapsed="false">
      <c r="A62" s="7" t="s">
        <v>70</v>
      </c>
      <c r="B62" s="7" t="n">
        <v>5</v>
      </c>
      <c r="C62" s="9" t="n">
        <v>0</v>
      </c>
      <c r="D62" s="9" t="n">
        <v>0</v>
      </c>
      <c r="E62" s="9" t="n">
        <v>0</v>
      </c>
      <c r="F62" s="9" t="n">
        <v>0</v>
      </c>
      <c r="G62" s="9" t="n">
        <v>0</v>
      </c>
      <c r="H62" s="9" t="n">
        <v>0</v>
      </c>
      <c r="I62" s="9" t="n">
        <v>0</v>
      </c>
      <c r="J62" s="9" t="n">
        <v>0</v>
      </c>
    </row>
    <row r="63" customFormat="false" ht="15.75" hidden="false" customHeight="false" outlineLevel="0" collapsed="false">
      <c r="A63" s="7" t="s">
        <v>71</v>
      </c>
      <c r="B63" s="7" t="n">
        <v>5</v>
      </c>
      <c r="C63" s="9" t="n">
        <v>840</v>
      </c>
      <c r="D63" s="9" t="n">
        <v>12217800</v>
      </c>
      <c r="E63" s="9" t="n">
        <v>0</v>
      </c>
      <c r="F63" s="9" t="n">
        <v>0</v>
      </c>
      <c r="G63" s="9" t="n">
        <v>0</v>
      </c>
      <c r="H63" s="9" t="n">
        <v>0</v>
      </c>
      <c r="I63" s="9" t="n">
        <v>840</v>
      </c>
      <c r="J63" s="9" t="n">
        <v>12217800</v>
      </c>
    </row>
    <row r="64" customFormat="false" ht="15.75" hidden="false" customHeight="false" outlineLevel="0" collapsed="false">
      <c r="A64" s="7" t="s">
        <v>72</v>
      </c>
      <c r="B64" s="7" t="n">
        <v>5</v>
      </c>
      <c r="C64" s="9" t="n">
        <v>1942</v>
      </c>
      <c r="D64" s="9" t="n">
        <v>38607033</v>
      </c>
      <c r="E64" s="9" t="n">
        <v>2423</v>
      </c>
      <c r="F64" s="9" t="n">
        <v>51053760</v>
      </c>
      <c r="G64" s="9" t="n">
        <v>785</v>
      </c>
      <c r="H64" s="9" t="n">
        <v>16124564</v>
      </c>
      <c r="I64" s="9" t="n">
        <v>3580</v>
      </c>
      <c r="J64" s="9" t="n">
        <v>73536229</v>
      </c>
    </row>
    <row r="65" customFormat="false" ht="15.75" hidden="false" customHeight="false" outlineLevel="0" collapsed="false">
      <c r="A65" s="7" t="s">
        <v>73</v>
      </c>
      <c r="B65" s="7" t="n">
        <v>5</v>
      </c>
      <c r="C65" s="9" t="n">
        <v>2484</v>
      </c>
      <c r="D65" s="9" t="n">
        <v>76777956</v>
      </c>
      <c r="E65" s="9" t="n">
        <v>2520</v>
      </c>
      <c r="F65" s="9" t="n">
        <v>84762720</v>
      </c>
      <c r="G65" s="9" t="n">
        <v>1537</v>
      </c>
      <c r="H65" s="9" t="n">
        <v>49617909</v>
      </c>
      <c r="I65" s="9" t="n">
        <v>3467</v>
      </c>
      <c r="J65" s="9" t="n">
        <v>111922767</v>
      </c>
    </row>
    <row r="66" customFormat="false" ht="15.75" hidden="false" customHeight="false" outlineLevel="0" collapsed="false">
      <c r="A66" s="7" t="s">
        <v>74</v>
      </c>
      <c r="B66" s="7" t="n">
        <v>5</v>
      </c>
      <c r="C66" s="9" t="n">
        <v>276</v>
      </c>
      <c r="D66" s="9" t="n">
        <v>3761837</v>
      </c>
      <c r="E66" s="9" t="n">
        <v>1920</v>
      </c>
      <c r="F66" s="9" t="n">
        <v>27926400</v>
      </c>
      <c r="G66" s="9" t="n">
        <v>240</v>
      </c>
      <c r="H66" s="9" t="n">
        <v>3463195</v>
      </c>
      <c r="I66" s="9" t="n">
        <v>1956</v>
      </c>
      <c r="J66" s="9" t="n">
        <v>28225042</v>
      </c>
    </row>
    <row r="67" customFormat="false" ht="15.75" hidden="false" customHeight="false" outlineLevel="0" collapsed="false">
      <c r="A67" s="7" t="s">
        <v>75</v>
      </c>
      <c r="B67" s="7" t="n">
        <v>5</v>
      </c>
      <c r="C67" s="9" t="n">
        <v>4560</v>
      </c>
      <c r="D67" s="9" t="n">
        <v>1532160</v>
      </c>
      <c r="E67" s="9" t="n">
        <v>0</v>
      </c>
      <c r="F67" s="9" t="n">
        <v>0</v>
      </c>
      <c r="G67" s="9" t="n">
        <v>0</v>
      </c>
      <c r="H67" s="9" t="n">
        <v>0</v>
      </c>
      <c r="I67" s="9" t="n">
        <v>4560</v>
      </c>
      <c r="J67" s="9" t="n">
        <v>1532160</v>
      </c>
    </row>
    <row r="68" customFormat="false" ht="15.75" hidden="false" customHeight="false" outlineLevel="0" collapsed="false">
      <c r="A68" s="7" t="s">
        <v>76</v>
      </c>
      <c r="B68" s="7" t="n">
        <v>5</v>
      </c>
      <c r="C68" s="9" t="n">
        <v>36</v>
      </c>
      <c r="D68" s="9" t="n">
        <v>1816380</v>
      </c>
      <c r="E68" s="9" t="n">
        <v>45</v>
      </c>
      <c r="F68" s="9" t="n">
        <v>2331810</v>
      </c>
      <c r="G68" s="9" t="n">
        <v>0</v>
      </c>
      <c r="H68" s="9" t="n">
        <v>0</v>
      </c>
      <c r="I68" s="9" t="n">
        <v>81</v>
      </c>
      <c r="J68" s="9" t="n">
        <v>4148190</v>
      </c>
    </row>
    <row r="69" customFormat="false" ht="15.75" hidden="false" customHeight="false" outlineLevel="0" collapsed="false">
      <c r="A69" s="7" t="s">
        <v>77</v>
      </c>
      <c r="B69" s="7" t="n">
        <v>5</v>
      </c>
      <c r="C69" s="9" t="n">
        <v>240</v>
      </c>
      <c r="D69" s="9" t="n">
        <v>1309200</v>
      </c>
      <c r="E69" s="9" t="n">
        <v>0</v>
      </c>
      <c r="F69" s="9" t="n">
        <v>0</v>
      </c>
      <c r="G69" s="9" t="n">
        <v>0</v>
      </c>
      <c r="H69" s="9" t="n">
        <v>0</v>
      </c>
      <c r="I69" s="9" t="n">
        <v>240</v>
      </c>
      <c r="J69" s="9" t="n">
        <v>1309200</v>
      </c>
    </row>
    <row r="70" customFormat="false" ht="15.75" hidden="false" customHeight="false" outlineLevel="0" collapsed="false">
      <c r="A70" s="7" t="s">
        <v>78</v>
      </c>
      <c r="B70" s="7" t="n">
        <v>5</v>
      </c>
      <c r="C70" s="9" t="n">
        <v>1802</v>
      </c>
      <c r="D70" s="9" t="n">
        <v>12902743</v>
      </c>
      <c r="E70" s="9" t="n">
        <v>1542</v>
      </c>
      <c r="F70" s="9" t="n">
        <v>0</v>
      </c>
      <c r="G70" s="9" t="n">
        <v>120</v>
      </c>
      <c r="H70" s="9" t="n">
        <v>463017</v>
      </c>
      <c r="I70" s="9" t="n">
        <v>3224</v>
      </c>
      <c r="J70" s="9" t="n">
        <v>12439726</v>
      </c>
    </row>
    <row r="71" customFormat="false" ht="15.75" hidden="false" customHeight="false" outlineLevel="0" collapsed="false">
      <c r="A71" s="7" t="s">
        <v>79</v>
      </c>
      <c r="B71" s="7" t="n">
        <v>5</v>
      </c>
      <c r="C71" s="9" t="n">
        <v>811</v>
      </c>
      <c r="D71" s="9" t="n">
        <v>15245100</v>
      </c>
      <c r="E71" s="9" t="n">
        <v>897</v>
      </c>
      <c r="F71" s="9" t="n">
        <v>18065376</v>
      </c>
      <c r="G71" s="9" t="n">
        <v>75</v>
      </c>
      <c r="H71" s="9" t="n">
        <v>1462697</v>
      </c>
      <c r="I71" s="9" t="n">
        <v>1633</v>
      </c>
      <c r="J71" s="9" t="n">
        <v>31847779</v>
      </c>
    </row>
    <row r="72" customFormat="false" ht="15.75" hidden="false" customHeight="false" outlineLevel="0" collapsed="false">
      <c r="A72" s="7" t="s">
        <v>80</v>
      </c>
      <c r="B72" s="7" t="n">
        <v>5</v>
      </c>
      <c r="C72" s="9" t="n">
        <v>216</v>
      </c>
      <c r="D72" s="9" t="n">
        <v>2760826</v>
      </c>
      <c r="E72" s="9" t="n">
        <v>144</v>
      </c>
      <c r="F72" s="9" t="n">
        <v>2094480</v>
      </c>
      <c r="G72" s="9" t="n">
        <v>36</v>
      </c>
      <c r="H72" s="9" t="n">
        <v>485531</v>
      </c>
      <c r="I72" s="9" t="n">
        <v>324</v>
      </c>
      <c r="J72" s="9" t="n">
        <v>4369775</v>
      </c>
    </row>
    <row r="73" customFormat="false" ht="15.75" hidden="false" customHeight="false" outlineLevel="0" collapsed="false">
      <c r="A73" s="7" t="s">
        <v>81</v>
      </c>
      <c r="B73" s="7" t="n">
        <v>5</v>
      </c>
      <c r="C73" s="9" t="n">
        <v>1332</v>
      </c>
      <c r="D73" s="9" t="n">
        <v>19373940</v>
      </c>
      <c r="E73" s="9" t="n">
        <v>180</v>
      </c>
      <c r="F73" s="9" t="n">
        <v>2781900</v>
      </c>
      <c r="G73" s="9" t="n">
        <v>0</v>
      </c>
      <c r="H73" s="9" t="n">
        <v>0</v>
      </c>
      <c r="I73" s="9" t="n">
        <v>1512</v>
      </c>
      <c r="J73" s="9" t="n">
        <v>22155840</v>
      </c>
    </row>
    <row r="74" customFormat="false" ht="15.75" hidden="false" customHeight="false" outlineLevel="0" collapsed="false">
      <c r="A74" s="7" t="s">
        <v>82</v>
      </c>
      <c r="B74" s="7" t="n">
        <v>5</v>
      </c>
      <c r="C74" s="9" t="n">
        <v>3960</v>
      </c>
      <c r="D74" s="9" t="n">
        <v>28080360</v>
      </c>
      <c r="E74" s="9" t="n">
        <v>0</v>
      </c>
      <c r="F74" s="9" t="n">
        <v>0</v>
      </c>
      <c r="G74" s="9" t="n">
        <v>0</v>
      </c>
      <c r="H74" s="9" t="n">
        <v>0</v>
      </c>
      <c r="I74" s="9" t="n">
        <v>3960</v>
      </c>
      <c r="J74" s="9" t="n">
        <v>28080360</v>
      </c>
    </row>
    <row r="75" customFormat="false" ht="15.75" hidden="false" customHeight="false" outlineLevel="0" collapsed="false">
      <c r="A75" s="7" t="s">
        <v>83</v>
      </c>
      <c r="B75" s="7" t="n">
        <v>5</v>
      </c>
      <c r="C75" s="9" t="n">
        <v>1584</v>
      </c>
      <c r="D75" s="9" t="n">
        <v>11520432</v>
      </c>
      <c r="E75" s="9" t="n">
        <v>126</v>
      </c>
      <c r="F75" s="9" t="n">
        <v>0</v>
      </c>
      <c r="G75" s="9" t="n">
        <v>0</v>
      </c>
      <c r="H75" s="9" t="n">
        <v>0</v>
      </c>
      <c r="I75" s="9" t="n">
        <v>1710</v>
      </c>
      <c r="J75" s="9" t="n">
        <v>11520432</v>
      </c>
    </row>
    <row r="76" customFormat="false" ht="15.75" hidden="false" customHeight="false" outlineLevel="0" collapsed="false">
      <c r="A76" s="7" t="s">
        <v>84</v>
      </c>
      <c r="B76" s="7" t="n">
        <v>5</v>
      </c>
      <c r="C76" s="9" t="n">
        <v>18544</v>
      </c>
      <c r="D76" s="9" t="n">
        <v>528271741</v>
      </c>
      <c r="E76" s="9" t="n">
        <v>8712</v>
      </c>
      <c r="F76" s="9" t="n">
        <v>259635600</v>
      </c>
      <c r="G76" s="9" t="n">
        <v>13357</v>
      </c>
      <c r="H76" s="9" t="n">
        <v>386119693</v>
      </c>
      <c r="I76" s="9" t="n">
        <v>13899</v>
      </c>
      <c r="J76" s="9" t="n">
        <v>401787648</v>
      </c>
    </row>
    <row r="77" customFormat="false" ht="15.75" hidden="false" customHeight="false" outlineLevel="0" collapsed="false">
      <c r="A77" s="7" t="s">
        <v>85</v>
      </c>
      <c r="B77" s="7" t="n">
        <v>5</v>
      </c>
      <c r="C77" s="9" t="n">
        <v>23480</v>
      </c>
      <c r="D77" s="9" t="n">
        <v>205641742</v>
      </c>
      <c r="E77" s="9" t="n">
        <v>153</v>
      </c>
      <c r="F77" s="9" t="n">
        <v>0</v>
      </c>
      <c r="G77" s="9" t="n">
        <v>14066</v>
      </c>
      <c r="H77" s="9" t="n">
        <v>122394818</v>
      </c>
      <c r="I77" s="9" t="n">
        <v>9567</v>
      </c>
      <c r="J77" s="9" t="n">
        <v>83246924</v>
      </c>
    </row>
    <row r="78" customFormat="false" ht="15.75" hidden="false" customHeight="false" outlineLevel="0" collapsed="false">
      <c r="A78" s="7" t="s">
        <v>86</v>
      </c>
      <c r="B78" s="7" t="n">
        <v>5</v>
      </c>
      <c r="C78" s="9" t="n">
        <v>45466</v>
      </c>
      <c r="D78" s="9" t="n">
        <v>318287531</v>
      </c>
      <c r="E78" s="9" t="n">
        <v>29613</v>
      </c>
      <c r="F78" s="9" t="n">
        <v>209462400</v>
      </c>
      <c r="G78" s="9" t="n">
        <v>21600</v>
      </c>
      <c r="H78" s="9" t="n">
        <v>151832050</v>
      </c>
      <c r="I78" s="9" t="n">
        <v>53479</v>
      </c>
      <c r="J78" s="9" t="n">
        <v>375917881</v>
      </c>
    </row>
    <row r="79" customFormat="false" ht="15.75" hidden="false" customHeight="false" outlineLevel="0" collapsed="false">
      <c r="A79" s="7" t="s">
        <v>87</v>
      </c>
      <c r="B79" s="7" t="n">
        <v>5</v>
      </c>
      <c r="C79" s="9" t="n">
        <v>9084</v>
      </c>
      <c r="D79" s="9" t="n">
        <v>152231453</v>
      </c>
      <c r="E79" s="9" t="n">
        <v>8040</v>
      </c>
      <c r="F79" s="9" t="n">
        <v>140397840</v>
      </c>
      <c r="G79" s="9" t="n">
        <v>7746</v>
      </c>
      <c r="H79" s="9" t="n">
        <v>132370153</v>
      </c>
      <c r="I79" s="9" t="n">
        <v>9378</v>
      </c>
      <c r="J79" s="9" t="n">
        <v>160259140</v>
      </c>
    </row>
    <row r="80" customFormat="false" ht="15.75" hidden="false" customHeight="false" outlineLevel="0" collapsed="false">
      <c r="A80" s="7" t="s">
        <v>88</v>
      </c>
      <c r="B80" s="7" t="n">
        <v>5</v>
      </c>
      <c r="C80" s="9" t="n">
        <v>768</v>
      </c>
      <c r="D80" s="9" t="n">
        <v>16058112</v>
      </c>
      <c r="E80" s="9" t="n">
        <v>0</v>
      </c>
      <c r="F80" s="9" t="n">
        <v>0</v>
      </c>
      <c r="G80" s="9" t="n">
        <v>0</v>
      </c>
      <c r="H80" s="9" t="n">
        <v>0</v>
      </c>
      <c r="I80" s="9" t="n">
        <v>768</v>
      </c>
      <c r="J80" s="9" t="n">
        <v>16058112</v>
      </c>
    </row>
    <row r="81" customFormat="false" ht="15.75" hidden="false" customHeight="false" outlineLevel="0" collapsed="false">
      <c r="A81" s="7" t="s">
        <v>89</v>
      </c>
      <c r="B81" s="7" t="n">
        <v>5</v>
      </c>
      <c r="C81" s="9" t="n">
        <v>780</v>
      </c>
      <c r="D81" s="9" t="n">
        <v>17727060</v>
      </c>
      <c r="E81" s="9" t="n">
        <v>180</v>
      </c>
      <c r="F81" s="9" t="n">
        <v>4336380</v>
      </c>
      <c r="G81" s="9" t="n">
        <v>0</v>
      </c>
      <c r="H81" s="9" t="n">
        <v>0</v>
      </c>
      <c r="I81" s="9" t="n">
        <v>960</v>
      </c>
      <c r="J81" s="9" t="n">
        <v>22063440</v>
      </c>
    </row>
    <row r="82" customFormat="false" ht="15.75" hidden="false" customHeight="false" outlineLevel="0" collapsed="false">
      <c r="A82" s="7" t="s">
        <v>90</v>
      </c>
      <c r="B82" s="7" t="n">
        <v>5</v>
      </c>
      <c r="C82" s="9" t="n">
        <v>3282</v>
      </c>
      <c r="D82" s="9" t="n">
        <v>164016574</v>
      </c>
      <c r="E82" s="9" t="n">
        <v>2220</v>
      </c>
      <c r="F82" s="9" t="n">
        <v>116046060</v>
      </c>
      <c r="G82" s="9" t="n">
        <v>1956</v>
      </c>
      <c r="H82" s="9" t="n">
        <v>99564252</v>
      </c>
      <c r="I82" s="9" t="n">
        <v>3546</v>
      </c>
      <c r="J82" s="9" t="n">
        <v>180498382</v>
      </c>
    </row>
    <row r="83" customFormat="false" ht="15.75" hidden="false" customHeight="false" outlineLevel="0" collapsed="false">
      <c r="A83" s="7" t="s">
        <v>91</v>
      </c>
      <c r="B83" s="7" t="n">
        <v>5</v>
      </c>
      <c r="C83" s="9" t="n">
        <v>9584</v>
      </c>
      <c r="D83" s="9" t="n">
        <v>81048816</v>
      </c>
      <c r="E83" s="9" t="n">
        <v>3664</v>
      </c>
      <c r="F83" s="9" t="n">
        <v>27489600</v>
      </c>
      <c r="G83" s="9" t="n">
        <v>3191</v>
      </c>
      <c r="H83" s="9" t="n">
        <v>26143273</v>
      </c>
      <c r="I83" s="9" t="n">
        <v>10057</v>
      </c>
      <c r="J83" s="9" t="n">
        <v>82395143</v>
      </c>
    </row>
    <row r="84" customFormat="false" ht="15.75" hidden="false" customHeight="false" outlineLevel="0" collapsed="false">
      <c r="A84" s="7" t="s">
        <v>92</v>
      </c>
      <c r="B84" s="7" t="n">
        <v>5</v>
      </c>
      <c r="C84" s="9" t="n">
        <v>18400</v>
      </c>
      <c r="D84" s="9" t="n">
        <v>8868800</v>
      </c>
      <c r="E84" s="9" t="n">
        <v>36000</v>
      </c>
      <c r="F84" s="9" t="n">
        <v>17352000</v>
      </c>
      <c r="G84" s="9" t="n">
        <v>0</v>
      </c>
      <c r="H84" s="9" t="n">
        <v>0</v>
      </c>
      <c r="I84" s="9" t="n">
        <v>54400</v>
      </c>
      <c r="J84" s="9" t="n">
        <v>26220800</v>
      </c>
    </row>
    <row r="85" customFormat="false" ht="15.75" hidden="false" customHeight="false" outlineLevel="0" collapsed="false">
      <c r="A85" s="7" t="s">
        <v>93</v>
      </c>
      <c r="B85" s="7" t="n">
        <v>5</v>
      </c>
      <c r="C85" s="9" t="n">
        <v>324</v>
      </c>
      <c r="D85" s="9" t="n">
        <v>16200000</v>
      </c>
      <c r="E85" s="9" t="n">
        <v>120</v>
      </c>
      <c r="F85" s="9" t="n">
        <v>6272760</v>
      </c>
      <c r="G85" s="9" t="n">
        <v>0</v>
      </c>
      <c r="H85" s="9" t="n">
        <v>0</v>
      </c>
      <c r="I85" s="9" t="n">
        <v>444</v>
      </c>
      <c r="J85" s="9" t="n">
        <v>22472760</v>
      </c>
    </row>
    <row r="86" customFormat="false" ht="15.75" hidden="false" customHeight="false" outlineLevel="0" collapsed="false">
      <c r="A86" s="7" t="s">
        <v>94</v>
      </c>
      <c r="B86" s="7" t="n">
        <v>5</v>
      </c>
      <c r="C86" s="9" t="n">
        <v>216</v>
      </c>
      <c r="D86" s="9" t="n">
        <v>1904688</v>
      </c>
      <c r="E86" s="9" t="n">
        <v>0</v>
      </c>
      <c r="F86" s="9" t="n">
        <v>0</v>
      </c>
      <c r="G86" s="9" t="n">
        <v>0</v>
      </c>
      <c r="H86" s="9" t="n">
        <v>0</v>
      </c>
      <c r="I86" s="9" t="n">
        <v>216</v>
      </c>
      <c r="J86" s="9" t="n">
        <v>1904688</v>
      </c>
    </row>
    <row r="87" customFormat="false" ht="15.75" hidden="false" customHeight="false" outlineLevel="0" collapsed="false">
      <c r="A87" s="7" t="s">
        <v>95</v>
      </c>
      <c r="B87" s="7" t="n">
        <v>5</v>
      </c>
      <c r="C87" s="9" t="n">
        <v>1008</v>
      </c>
      <c r="D87" s="9" t="n">
        <v>8064000</v>
      </c>
      <c r="E87" s="9" t="n">
        <v>180</v>
      </c>
      <c r="F87" s="9" t="n">
        <v>1472760</v>
      </c>
      <c r="G87" s="9" t="n">
        <v>0</v>
      </c>
      <c r="H87" s="9" t="n">
        <v>0</v>
      </c>
      <c r="I87" s="9" t="n">
        <v>1188</v>
      </c>
      <c r="J87" s="9" t="n">
        <v>9536760</v>
      </c>
    </row>
    <row r="88" customFormat="false" ht="15.75" hidden="false" customHeight="false" outlineLevel="0" collapsed="false">
      <c r="A88" s="7" t="s">
        <v>96</v>
      </c>
      <c r="B88" s="7" t="n">
        <v>5</v>
      </c>
      <c r="C88" s="9" t="n">
        <v>396</v>
      </c>
      <c r="D88" s="9" t="n">
        <v>42413852</v>
      </c>
      <c r="E88" s="9" t="n">
        <v>0</v>
      </c>
      <c r="F88" s="9" t="n">
        <v>0</v>
      </c>
      <c r="G88" s="9" t="n">
        <v>0</v>
      </c>
      <c r="H88" s="9" t="n">
        <v>0</v>
      </c>
      <c r="I88" s="9" t="n">
        <v>396</v>
      </c>
      <c r="J88" s="9" t="n">
        <v>42413852</v>
      </c>
    </row>
    <row r="89" customFormat="false" ht="15.75" hidden="false" customHeight="false" outlineLevel="0" collapsed="false">
      <c r="A89" s="7" t="s">
        <v>97</v>
      </c>
      <c r="B89" s="7" t="n">
        <v>5</v>
      </c>
      <c r="C89" s="9" t="n">
        <v>23200</v>
      </c>
      <c r="D89" s="9" t="n">
        <v>11182400</v>
      </c>
      <c r="E89" s="9" t="n">
        <v>36000</v>
      </c>
      <c r="F89" s="9" t="n">
        <v>17352000</v>
      </c>
      <c r="G89" s="9" t="n">
        <v>4800</v>
      </c>
      <c r="H89" s="9" t="n">
        <v>2313600</v>
      </c>
      <c r="I89" s="9" t="n">
        <v>54400</v>
      </c>
      <c r="J89" s="9" t="n">
        <v>26220800</v>
      </c>
    </row>
    <row r="90" customFormat="false" ht="15.75" hidden="false" customHeight="false" outlineLevel="0" collapsed="false">
      <c r="A90" s="7" t="s">
        <v>98</v>
      </c>
      <c r="B90" s="7" t="n">
        <v>5</v>
      </c>
      <c r="C90" s="9" t="n">
        <v>3048</v>
      </c>
      <c r="D90" s="9" t="n">
        <v>29647896</v>
      </c>
      <c r="E90" s="9" t="n">
        <v>0</v>
      </c>
      <c r="F90" s="9" t="n">
        <v>0</v>
      </c>
      <c r="G90" s="9" t="n">
        <v>0</v>
      </c>
      <c r="H90" s="9" t="n">
        <v>0</v>
      </c>
      <c r="I90" s="9" t="n">
        <v>3048</v>
      </c>
      <c r="J90" s="9" t="n">
        <v>29647896</v>
      </c>
    </row>
    <row r="91" customFormat="false" ht="15.75" hidden="false" customHeight="false" outlineLevel="0" collapsed="false">
      <c r="A91" s="7" t="s">
        <v>99</v>
      </c>
      <c r="B91" s="7" t="n">
        <v>5</v>
      </c>
      <c r="C91" s="9" t="n">
        <v>0</v>
      </c>
      <c r="D91" s="9" t="n">
        <v>0</v>
      </c>
      <c r="E91" s="9" t="n">
        <v>0</v>
      </c>
      <c r="F91" s="9" t="n">
        <v>0</v>
      </c>
      <c r="G91" s="9" t="n">
        <v>0</v>
      </c>
      <c r="H91" s="9" t="n">
        <v>0</v>
      </c>
      <c r="I91" s="9" t="n">
        <v>0</v>
      </c>
      <c r="J91" s="9" t="n">
        <v>0</v>
      </c>
    </row>
    <row r="92" customFormat="false" ht="15.75" hidden="false" customHeight="false" outlineLevel="0" collapsed="false">
      <c r="A92" s="7" t="s">
        <v>100</v>
      </c>
      <c r="B92" s="7" t="n">
        <v>5</v>
      </c>
      <c r="C92" s="9" t="n">
        <v>3432</v>
      </c>
      <c r="D92" s="9" t="n">
        <v>166442795</v>
      </c>
      <c r="E92" s="9" t="n">
        <v>2306</v>
      </c>
      <c r="F92" s="9" t="n">
        <v>106636920</v>
      </c>
      <c r="G92" s="9" t="n">
        <v>1810</v>
      </c>
      <c r="H92" s="9" t="n">
        <v>86140517</v>
      </c>
      <c r="I92" s="9" t="n">
        <v>3928</v>
      </c>
      <c r="J92" s="9" t="n">
        <v>186939198</v>
      </c>
    </row>
    <row r="93" customFormat="false" ht="15.75" hidden="false" customHeight="false" outlineLevel="0" collapsed="false">
      <c r="A93" s="7" t="s">
        <v>101</v>
      </c>
      <c r="B93" s="7" t="n">
        <v>5</v>
      </c>
      <c r="C93" s="9" t="n">
        <v>5584</v>
      </c>
      <c r="D93" s="9" t="n">
        <v>41819321</v>
      </c>
      <c r="E93" s="9" t="n">
        <v>4121</v>
      </c>
      <c r="F93" s="9" t="n">
        <v>0</v>
      </c>
      <c r="G93" s="9" t="n">
        <v>169</v>
      </c>
      <c r="H93" s="9" t="n">
        <v>728229</v>
      </c>
      <c r="I93" s="9" t="n">
        <v>9536</v>
      </c>
      <c r="J93" s="9" t="n">
        <v>41091092</v>
      </c>
    </row>
    <row r="94" customFormat="false" ht="15.75" hidden="false" customHeight="false" outlineLevel="0" collapsed="false">
      <c r="A94" s="7" t="s">
        <v>102</v>
      </c>
      <c r="B94" s="7" t="n">
        <v>5</v>
      </c>
      <c r="C94" s="9" t="n">
        <v>2136</v>
      </c>
      <c r="D94" s="9" t="n">
        <v>48546226</v>
      </c>
      <c r="E94" s="9" t="n">
        <v>600</v>
      </c>
      <c r="F94" s="9" t="n">
        <v>14454600</v>
      </c>
      <c r="G94" s="9" t="n">
        <v>132</v>
      </c>
      <c r="H94" s="9" t="n">
        <v>3039514</v>
      </c>
      <c r="I94" s="9" t="n">
        <v>2604</v>
      </c>
      <c r="J94" s="9" t="n">
        <v>59961312</v>
      </c>
    </row>
    <row r="95" customFormat="false" ht="15.75" hidden="false" customHeight="false" outlineLevel="0" collapsed="false">
      <c r="A95" s="7" t="s">
        <v>103</v>
      </c>
      <c r="B95" s="7" t="n">
        <v>5</v>
      </c>
      <c r="C95" s="9" t="n">
        <v>1680</v>
      </c>
      <c r="D95" s="9" t="n">
        <v>21687120</v>
      </c>
      <c r="E95" s="9" t="n">
        <v>1560</v>
      </c>
      <c r="F95" s="9" t="n">
        <v>21272160</v>
      </c>
      <c r="G95" s="9" t="n">
        <v>120</v>
      </c>
      <c r="H95" s="9" t="n">
        <v>1591084</v>
      </c>
      <c r="I95" s="9" t="n">
        <v>3120</v>
      </c>
      <c r="J95" s="9" t="n">
        <v>41368196</v>
      </c>
    </row>
    <row r="96" customFormat="false" ht="15.75" hidden="false" customHeight="false" outlineLevel="0" collapsed="false">
      <c r="A96" s="7" t="s">
        <v>104</v>
      </c>
      <c r="B96" s="7" t="n">
        <v>5</v>
      </c>
      <c r="C96" s="9" t="n">
        <v>360</v>
      </c>
      <c r="D96" s="9" t="n">
        <v>6545520</v>
      </c>
      <c r="E96" s="9" t="n">
        <v>0</v>
      </c>
      <c r="F96" s="9" t="n">
        <v>0</v>
      </c>
      <c r="G96" s="9" t="n">
        <v>0</v>
      </c>
      <c r="H96" s="9" t="n">
        <v>0</v>
      </c>
      <c r="I96" s="9" t="n">
        <v>360</v>
      </c>
      <c r="J96" s="9" t="n">
        <v>6545520</v>
      </c>
    </row>
    <row r="97" customFormat="false" ht="15.75" hidden="false" customHeight="false" outlineLevel="0" collapsed="false">
      <c r="A97" s="7" t="s">
        <v>105</v>
      </c>
      <c r="B97" s="7" t="n">
        <v>5</v>
      </c>
      <c r="C97" s="9" t="n">
        <v>360</v>
      </c>
      <c r="D97" s="9" t="n">
        <v>17961180</v>
      </c>
      <c r="E97" s="9" t="n">
        <v>0</v>
      </c>
      <c r="F97" s="9" t="n">
        <v>0</v>
      </c>
      <c r="G97" s="9" t="n">
        <v>0</v>
      </c>
      <c r="H97" s="9" t="n">
        <v>0</v>
      </c>
      <c r="I97" s="9" t="n">
        <v>360</v>
      </c>
      <c r="J97" s="9" t="n">
        <v>17961180</v>
      </c>
    </row>
    <row r="98" customFormat="false" ht="15.75" hidden="false" customHeight="false" outlineLevel="0" collapsed="false">
      <c r="A98" s="7" t="s">
        <v>106</v>
      </c>
      <c r="B98" s="7" t="n">
        <v>5</v>
      </c>
      <c r="C98" s="9" t="n">
        <v>840</v>
      </c>
      <c r="D98" s="9" t="n">
        <v>7407120</v>
      </c>
      <c r="E98" s="9" t="n">
        <v>0</v>
      </c>
      <c r="F98" s="9" t="n">
        <v>0</v>
      </c>
      <c r="G98" s="9" t="n">
        <v>0</v>
      </c>
      <c r="H98" s="9" t="n">
        <v>0</v>
      </c>
      <c r="I98" s="9" t="n">
        <v>840</v>
      </c>
      <c r="J98" s="9" t="n">
        <v>7407120</v>
      </c>
    </row>
    <row r="99" customFormat="false" ht="15.75" hidden="false" customHeight="false" outlineLevel="0" collapsed="false">
      <c r="A99" s="7" t="s">
        <v>107</v>
      </c>
      <c r="B99" s="7" t="n">
        <v>5</v>
      </c>
      <c r="C99" s="9" t="n">
        <v>340</v>
      </c>
      <c r="D99" s="9" t="n">
        <v>1341900</v>
      </c>
      <c r="E99" s="9" t="n">
        <v>168</v>
      </c>
      <c r="F99" s="9" t="n">
        <v>0</v>
      </c>
      <c r="G99" s="9" t="n">
        <v>0</v>
      </c>
      <c r="H99" s="9" t="n">
        <v>0</v>
      </c>
      <c r="I99" s="9" t="n">
        <v>508</v>
      </c>
      <c r="J99" s="9" t="n">
        <v>1341900</v>
      </c>
    </row>
    <row r="100" customFormat="false" ht="15.75" hidden="false" customHeight="false" outlineLevel="0" collapsed="false">
      <c r="A100" s="7" t="s">
        <v>108</v>
      </c>
      <c r="B100" s="7" t="n">
        <v>5</v>
      </c>
      <c r="C100" s="9" t="n">
        <v>19959</v>
      </c>
      <c r="D100" s="9" t="n">
        <v>130690670</v>
      </c>
      <c r="E100" s="9" t="n">
        <v>0</v>
      </c>
      <c r="F100" s="9" t="n">
        <v>0</v>
      </c>
      <c r="G100" s="9" t="n">
        <v>3820</v>
      </c>
      <c r="H100" s="9" t="n">
        <v>25013195</v>
      </c>
      <c r="I100" s="9" t="n">
        <v>16139</v>
      </c>
      <c r="J100" s="9" t="n">
        <v>105677475</v>
      </c>
    </row>
    <row r="101" customFormat="false" ht="15.75" hidden="false" customHeight="false" outlineLevel="0" collapsed="false">
      <c r="A101" s="7" t="s">
        <v>109</v>
      </c>
      <c r="B101" s="7" t="n">
        <v>5</v>
      </c>
      <c r="C101" s="9" t="n">
        <v>0</v>
      </c>
      <c r="D101" s="9" t="n">
        <v>0</v>
      </c>
      <c r="E101" s="9" t="n">
        <v>0</v>
      </c>
      <c r="F101" s="9" t="n">
        <v>0</v>
      </c>
      <c r="G101" s="9" t="n">
        <v>0</v>
      </c>
      <c r="H101" s="9" t="n">
        <v>0</v>
      </c>
      <c r="I101" s="9" t="n">
        <v>0</v>
      </c>
      <c r="J101" s="9" t="n">
        <v>0</v>
      </c>
    </row>
    <row r="102" customFormat="false" ht="15.75" hidden="false" customHeight="false" outlineLevel="0" collapsed="false">
      <c r="A102" s="7" t="s">
        <v>110</v>
      </c>
      <c r="B102" s="7" t="n">
        <v>5</v>
      </c>
      <c r="C102" s="9" t="n">
        <v>2268</v>
      </c>
      <c r="D102" s="9" t="n">
        <v>38016560</v>
      </c>
      <c r="E102" s="9" t="n">
        <v>0</v>
      </c>
      <c r="F102" s="9" t="n">
        <v>0</v>
      </c>
      <c r="G102" s="9" t="n">
        <v>0</v>
      </c>
      <c r="H102" s="9" t="n">
        <v>0</v>
      </c>
      <c r="I102" s="9" t="n">
        <v>2268</v>
      </c>
      <c r="J102" s="9" t="n">
        <v>38016560</v>
      </c>
    </row>
    <row r="103" customFormat="false" ht="15.75" hidden="false" customHeight="false" outlineLevel="0" collapsed="false">
      <c r="A103" s="7" t="s">
        <v>111</v>
      </c>
      <c r="B103" s="7" t="n">
        <v>5</v>
      </c>
      <c r="C103" s="9" t="n">
        <v>13490</v>
      </c>
      <c r="D103" s="9" t="n">
        <v>105226730</v>
      </c>
      <c r="E103" s="9" t="n">
        <v>3047</v>
      </c>
      <c r="F103" s="9" t="n">
        <v>24000000</v>
      </c>
      <c r="G103" s="9" t="n">
        <v>10630</v>
      </c>
      <c r="H103" s="9" t="n">
        <v>83067070</v>
      </c>
      <c r="I103" s="9" t="n">
        <v>5907</v>
      </c>
      <c r="J103" s="9" t="n">
        <v>46159660</v>
      </c>
    </row>
    <row r="104" customFormat="false" ht="15.75" hidden="false" customHeight="false" outlineLevel="0" collapsed="false">
      <c r="A104" s="7" t="s">
        <v>112</v>
      </c>
      <c r="B104" s="7" t="n">
        <v>5</v>
      </c>
      <c r="C104" s="9" t="n">
        <v>2280</v>
      </c>
      <c r="D104" s="9" t="n">
        <v>17825040</v>
      </c>
      <c r="E104" s="9" t="n">
        <v>1800</v>
      </c>
      <c r="F104" s="9" t="n">
        <v>14400000</v>
      </c>
      <c r="G104" s="9" t="n">
        <v>600</v>
      </c>
      <c r="H104" s="9" t="n">
        <v>4738976</v>
      </c>
      <c r="I104" s="9" t="n">
        <v>3480</v>
      </c>
      <c r="J104" s="9" t="n">
        <v>27486064</v>
      </c>
    </row>
    <row r="105" customFormat="false" ht="15.75" hidden="false" customHeight="false" outlineLevel="0" collapsed="false">
      <c r="A105" s="7" t="s">
        <v>113</v>
      </c>
      <c r="B105" s="7" t="n">
        <v>5</v>
      </c>
      <c r="C105" s="9" t="n">
        <v>96</v>
      </c>
      <c r="D105" s="9" t="n">
        <v>1483680</v>
      </c>
      <c r="E105" s="9" t="n">
        <v>0</v>
      </c>
      <c r="F105" s="9" t="n">
        <v>0</v>
      </c>
      <c r="G105" s="9" t="n">
        <v>0</v>
      </c>
      <c r="H105" s="9" t="n">
        <v>0</v>
      </c>
      <c r="I105" s="9" t="n">
        <v>96</v>
      </c>
      <c r="J105" s="9" t="n">
        <v>1483680</v>
      </c>
    </row>
    <row r="106" customFormat="false" ht="15.75" hidden="false" customHeight="false" outlineLevel="0" collapsed="false">
      <c r="A106" s="7" t="s">
        <v>114</v>
      </c>
      <c r="B106" s="7" t="n">
        <v>5</v>
      </c>
      <c r="C106" s="9" t="n">
        <v>240</v>
      </c>
      <c r="D106" s="9" t="n">
        <v>4363680</v>
      </c>
      <c r="E106" s="9" t="n">
        <v>0</v>
      </c>
      <c r="F106" s="9" t="n">
        <v>0</v>
      </c>
      <c r="G106" s="9" t="n">
        <v>0</v>
      </c>
      <c r="H106" s="9" t="n">
        <v>0</v>
      </c>
      <c r="I106" s="9" t="n">
        <v>240</v>
      </c>
      <c r="J106" s="9" t="n">
        <v>4363680</v>
      </c>
    </row>
    <row r="107" customFormat="false" ht="15.75" hidden="false" customHeight="false" outlineLevel="0" collapsed="false">
      <c r="A107" s="7" t="s">
        <v>115</v>
      </c>
      <c r="B107" s="7" t="n">
        <v>5</v>
      </c>
      <c r="C107" s="9" t="n">
        <v>0</v>
      </c>
      <c r="D107" s="9" t="n">
        <v>0</v>
      </c>
      <c r="E107" s="9" t="n">
        <v>0</v>
      </c>
      <c r="F107" s="9" t="n">
        <v>0</v>
      </c>
      <c r="G107" s="9" t="n">
        <v>0</v>
      </c>
      <c r="H107" s="9" t="n">
        <v>0</v>
      </c>
      <c r="I107" s="9" t="n">
        <v>0</v>
      </c>
      <c r="J107" s="9" t="n">
        <v>0</v>
      </c>
    </row>
    <row r="108" customFormat="false" ht="15.75" hidden="false" customHeight="false" outlineLevel="0" collapsed="false">
      <c r="A108" s="7" t="s">
        <v>116</v>
      </c>
      <c r="B108" s="7" t="n">
        <v>5</v>
      </c>
      <c r="C108" s="9" t="n">
        <v>0</v>
      </c>
      <c r="D108" s="9" t="n">
        <v>0</v>
      </c>
      <c r="E108" s="9" t="n">
        <v>0</v>
      </c>
      <c r="F108" s="9" t="n">
        <v>0</v>
      </c>
      <c r="G108" s="9" t="n">
        <v>0</v>
      </c>
      <c r="H108" s="9" t="n">
        <v>0</v>
      </c>
      <c r="I108" s="9" t="n">
        <v>0</v>
      </c>
      <c r="J108" s="9" t="n">
        <v>0</v>
      </c>
    </row>
    <row r="109" customFormat="false" ht="15.75" hidden="false" customHeight="false" outlineLevel="0" collapsed="false">
      <c r="A109" s="7" t="s">
        <v>117</v>
      </c>
      <c r="B109" s="7" t="n">
        <v>5</v>
      </c>
      <c r="C109" s="9" t="n">
        <v>72</v>
      </c>
      <c r="D109" s="9" t="n">
        <v>1178208</v>
      </c>
      <c r="E109" s="9" t="n">
        <v>0</v>
      </c>
      <c r="F109" s="9" t="n">
        <v>0</v>
      </c>
      <c r="G109" s="9" t="n">
        <v>0</v>
      </c>
      <c r="H109" s="9" t="n">
        <v>0</v>
      </c>
      <c r="I109" s="9" t="n">
        <v>72</v>
      </c>
      <c r="J109" s="9" t="n">
        <v>1178208</v>
      </c>
    </row>
    <row r="110" customFormat="false" ht="15.75" hidden="false" customHeight="false" outlineLevel="0" collapsed="false">
      <c r="A110" s="7" t="s">
        <v>118</v>
      </c>
      <c r="B110" s="7" t="n">
        <v>5</v>
      </c>
      <c r="C110" s="9" t="n">
        <v>348</v>
      </c>
      <c r="D110" s="9" t="n">
        <v>13761660</v>
      </c>
      <c r="E110" s="9" t="n">
        <v>120</v>
      </c>
      <c r="F110" s="9" t="n">
        <v>4909080</v>
      </c>
      <c r="G110" s="9" t="n">
        <v>0</v>
      </c>
      <c r="H110" s="9" t="n">
        <v>0</v>
      </c>
      <c r="I110" s="9" t="n">
        <v>468</v>
      </c>
      <c r="J110" s="9" t="n">
        <v>18670740</v>
      </c>
    </row>
    <row r="111" customFormat="false" ht="15.75" hidden="false" customHeight="false" outlineLevel="0" collapsed="false">
      <c r="A111" s="7" t="s">
        <v>119</v>
      </c>
      <c r="B111" s="7" t="n">
        <v>5</v>
      </c>
      <c r="C111" s="9" t="n">
        <v>80</v>
      </c>
      <c r="D111" s="9" t="n">
        <v>1818160</v>
      </c>
      <c r="E111" s="9" t="n">
        <v>40</v>
      </c>
      <c r="F111" s="9" t="n">
        <v>909080</v>
      </c>
      <c r="G111" s="9" t="n">
        <v>0</v>
      </c>
      <c r="H111" s="9" t="n">
        <v>0</v>
      </c>
      <c r="I111" s="9" t="n">
        <v>120</v>
      </c>
      <c r="J111" s="9" t="n">
        <v>2727240</v>
      </c>
    </row>
    <row r="112" customFormat="false" ht="15.75" hidden="false" customHeight="false" outlineLevel="0" collapsed="false">
      <c r="A112" s="7" t="s">
        <v>120</v>
      </c>
      <c r="B112" s="7" t="n">
        <v>5</v>
      </c>
      <c r="C112" s="9" t="n">
        <v>80</v>
      </c>
      <c r="D112" s="9" t="n">
        <v>1745440</v>
      </c>
      <c r="E112" s="9" t="n">
        <v>0</v>
      </c>
      <c r="F112" s="9" t="n">
        <v>0</v>
      </c>
      <c r="G112" s="9" t="n">
        <v>0</v>
      </c>
      <c r="H112" s="9" t="n">
        <v>0</v>
      </c>
      <c r="I112" s="9" t="n">
        <v>80</v>
      </c>
      <c r="J112" s="9" t="n">
        <v>1745440</v>
      </c>
    </row>
    <row r="113" customFormat="false" ht="15.75" hidden="false" customHeight="false" outlineLevel="0" collapsed="false">
      <c r="A113" s="7" t="s">
        <v>121</v>
      </c>
      <c r="B113" s="7" t="n">
        <v>5</v>
      </c>
      <c r="C113" s="9" t="n">
        <v>5962</v>
      </c>
      <c r="D113" s="9" t="n">
        <v>64324101</v>
      </c>
      <c r="E113" s="9" t="n">
        <v>2675</v>
      </c>
      <c r="F113" s="9" t="n">
        <v>31199520</v>
      </c>
      <c r="G113" s="9" t="n">
        <v>5453</v>
      </c>
      <c r="H113" s="9" t="n">
        <v>60309170</v>
      </c>
      <c r="I113" s="9" t="n">
        <v>3184</v>
      </c>
      <c r="J113" s="9" t="n">
        <v>35214451</v>
      </c>
    </row>
    <row r="114" customFormat="false" ht="15.75" hidden="false" customHeight="false" outlineLevel="0" collapsed="false">
      <c r="A114" s="7" t="s">
        <v>122</v>
      </c>
      <c r="B114" s="7" t="n">
        <v>5</v>
      </c>
      <c r="C114" s="9" t="n">
        <v>0</v>
      </c>
      <c r="D114" s="9" t="n">
        <v>0</v>
      </c>
      <c r="E114" s="9" t="n">
        <v>0</v>
      </c>
      <c r="F114" s="9" t="n">
        <v>0</v>
      </c>
      <c r="G114" s="9" t="n">
        <v>0</v>
      </c>
      <c r="H114" s="9" t="n">
        <v>0</v>
      </c>
      <c r="I114" s="9" t="n">
        <v>0</v>
      </c>
      <c r="J114" s="9" t="n">
        <v>0</v>
      </c>
    </row>
    <row r="115" customFormat="false" ht="15.75" hidden="false" customHeight="false" outlineLevel="0" collapsed="false">
      <c r="A115" s="7" t="s">
        <v>123</v>
      </c>
      <c r="B115" s="7" t="n">
        <v>5</v>
      </c>
      <c r="C115" s="9" t="n">
        <v>144</v>
      </c>
      <c r="D115" s="9" t="n">
        <v>2421792</v>
      </c>
      <c r="E115" s="9" t="n">
        <v>0</v>
      </c>
      <c r="F115" s="9" t="n">
        <v>0</v>
      </c>
      <c r="G115" s="9" t="n">
        <v>0</v>
      </c>
      <c r="H115" s="9" t="n">
        <v>0</v>
      </c>
      <c r="I115" s="9" t="n">
        <v>144</v>
      </c>
      <c r="J115" s="9" t="n">
        <v>2421792</v>
      </c>
    </row>
    <row r="116" customFormat="false" ht="15.75" hidden="false" customHeight="false" outlineLevel="0" collapsed="false">
      <c r="A116" s="7" t="s">
        <v>124</v>
      </c>
      <c r="B116" s="7" t="n">
        <v>5</v>
      </c>
      <c r="C116" s="9" t="n">
        <v>0</v>
      </c>
      <c r="D116" s="9" t="n">
        <v>0</v>
      </c>
      <c r="E116" s="9" t="n">
        <v>0</v>
      </c>
      <c r="F116" s="9" t="n">
        <v>0</v>
      </c>
      <c r="G116" s="9" t="n">
        <v>0</v>
      </c>
      <c r="H116" s="9" t="n">
        <v>0</v>
      </c>
      <c r="I116" s="9" t="n">
        <v>0</v>
      </c>
      <c r="J116" s="9" t="n">
        <v>0</v>
      </c>
    </row>
    <row r="117" customFormat="false" ht="15.75" hidden="false" customHeight="false" outlineLevel="0" collapsed="false">
      <c r="A117" s="7" t="s">
        <v>125</v>
      </c>
      <c r="B117" s="7" t="n">
        <v>5</v>
      </c>
      <c r="C117" s="9" t="n">
        <v>1752</v>
      </c>
      <c r="D117" s="9" t="n">
        <v>73210294</v>
      </c>
      <c r="E117" s="9" t="n">
        <v>720</v>
      </c>
      <c r="F117" s="9" t="n">
        <v>31745520</v>
      </c>
      <c r="G117" s="9" t="n">
        <v>240</v>
      </c>
      <c r="H117" s="9" t="n">
        <v>10189885</v>
      </c>
      <c r="I117" s="9" t="n">
        <v>2232</v>
      </c>
      <c r="J117" s="9" t="n">
        <v>94765929</v>
      </c>
    </row>
    <row r="118" customFormat="false" ht="15.75" hidden="false" customHeight="false" outlineLevel="0" collapsed="false">
      <c r="A118" s="7" t="s">
        <v>126</v>
      </c>
      <c r="B118" s="7" t="n">
        <v>5</v>
      </c>
      <c r="C118" s="9" t="n">
        <v>25337</v>
      </c>
      <c r="D118" s="9" t="n">
        <v>144885057</v>
      </c>
      <c r="E118" s="9" t="n">
        <v>44955</v>
      </c>
      <c r="F118" s="9" t="n">
        <v>233661600</v>
      </c>
      <c r="G118" s="9" t="n">
        <v>8505</v>
      </c>
      <c r="H118" s="9" t="n">
        <v>45802358</v>
      </c>
      <c r="I118" s="9" t="n">
        <v>61787</v>
      </c>
      <c r="J118" s="9" t="n">
        <v>332744299</v>
      </c>
    </row>
    <row r="119" customFormat="false" ht="15.75" hidden="false" customHeight="false" outlineLevel="0" collapsed="false">
      <c r="A119" s="7" t="s">
        <v>127</v>
      </c>
      <c r="B119" s="7" t="n">
        <v>5</v>
      </c>
      <c r="C119" s="9" t="n">
        <v>4088</v>
      </c>
      <c r="D119" s="9" t="n">
        <v>22678920</v>
      </c>
      <c r="E119" s="9" t="n">
        <v>2513</v>
      </c>
      <c r="F119" s="9" t="n">
        <v>13744800</v>
      </c>
      <c r="G119" s="9" t="n">
        <v>640</v>
      </c>
      <c r="H119" s="9" t="n">
        <v>3531462</v>
      </c>
      <c r="I119" s="9" t="n">
        <v>5961</v>
      </c>
      <c r="J119" s="9" t="n">
        <v>32892258</v>
      </c>
    </row>
    <row r="120" customFormat="false" ht="15.75" hidden="false" customHeight="false" outlineLevel="0" collapsed="false">
      <c r="A120" s="7" t="s">
        <v>128</v>
      </c>
      <c r="B120" s="7" t="n">
        <v>5</v>
      </c>
      <c r="C120" s="9" t="n">
        <v>900</v>
      </c>
      <c r="D120" s="9" t="n">
        <v>13500000</v>
      </c>
      <c r="E120" s="9" t="n">
        <v>200</v>
      </c>
      <c r="F120" s="9" t="n">
        <v>3000000</v>
      </c>
      <c r="G120" s="9" t="n">
        <v>0</v>
      </c>
      <c r="H120" s="9" t="n">
        <v>0</v>
      </c>
      <c r="I120" s="9" t="n">
        <v>1100</v>
      </c>
      <c r="J120" s="9" t="n">
        <v>16500000</v>
      </c>
    </row>
    <row r="121" customFormat="false" ht="15.75" hidden="false" customHeight="false" outlineLevel="0" collapsed="false">
      <c r="A121" s="7" t="s">
        <v>129</v>
      </c>
      <c r="B121" s="7" t="n">
        <v>5</v>
      </c>
      <c r="C121" s="9" t="n">
        <v>0</v>
      </c>
      <c r="D121" s="9" t="n">
        <v>0</v>
      </c>
      <c r="E121" s="9" t="n">
        <v>0</v>
      </c>
      <c r="F121" s="9" t="n">
        <v>0</v>
      </c>
      <c r="G121" s="9" t="n">
        <v>0</v>
      </c>
      <c r="H121" s="9" t="n">
        <v>0</v>
      </c>
      <c r="I121" s="9" t="n">
        <v>0</v>
      </c>
      <c r="J121" s="9" t="n">
        <v>0</v>
      </c>
    </row>
    <row r="122" customFormat="false" ht="15.75" hidden="false" customHeight="false" outlineLevel="0" collapsed="false">
      <c r="A122" s="7" t="s">
        <v>130</v>
      </c>
      <c r="B122" s="7" t="n">
        <v>5</v>
      </c>
      <c r="C122" s="9" t="n">
        <v>45</v>
      </c>
      <c r="D122" s="9" t="n">
        <v>2106810</v>
      </c>
      <c r="E122" s="9" t="n">
        <v>80</v>
      </c>
      <c r="F122" s="9" t="n">
        <v>3745440</v>
      </c>
      <c r="G122" s="9" t="n">
        <v>0</v>
      </c>
      <c r="H122" s="9" t="n">
        <v>0</v>
      </c>
      <c r="I122" s="9" t="n">
        <v>125</v>
      </c>
      <c r="J122" s="9" t="n">
        <v>5852250</v>
      </c>
    </row>
    <row r="123" customFormat="false" ht="15.75" hidden="false" customHeight="false" outlineLevel="0" collapsed="false">
      <c r="A123" s="7" t="s">
        <v>131</v>
      </c>
      <c r="B123" s="7" t="n">
        <v>5</v>
      </c>
      <c r="C123" s="9" t="n">
        <v>50</v>
      </c>
      <c r="D123" s="9" t="n">
        <v>2454550</v>
      </c>
      <c r="E123" s="9" t="n">
        <v>16</v>
      </c>
      <c r="F123" s="9" t="n">
        <v>785456</v>
      </c>
      <c r="G123" s="9" t="n">
        <v>10</v>
      </c>
      <c r="H123" s="9" t="n">
        <v>490910</v>
      </c>
      <c r="I123" s="9" t="n">
        <v>56</v>
      </c>
      <c r="J123" s="9" t="n">
        <v>2749096</v>
      </c>
    </row>
    <row r="124" customFormat="false" ht="15.75" hidden="false" customHeight="false" outlineLevel="0" collapsed="false">
      <c r="A124" s="7" t="s">
        <v>132</v>
      </c>
      <c r="B124" s="7" t="n">
        <v>5</v>
      </c>
      <c r="C124" s="9" t="n">
        <v>50</v>
      </c>
      <c r="D124" s="9" t="n">
        <v>2181800</v>
      </c>
      <c r="E124" s="9" t="n">
        <v>300</v>
      </c>
      <c r="F124" s="9" t="n">
        <v>13090800</v>
      </c>
      <c r="G124" s="9" t="n">
        <v>200</v>
      </c>
      <c r="H124" s="9" t="n">
        <v>8727200</v>
      </c>
      <c r="I124" s="9" t="n">
        <v>150</v>
      </c>
      <c r="J124" s="9" t="n">
        <v>6545400</v>
      </c>
    </row>
    <row r="125" customFormat="false" ht="15.75" hidden="false" customHeight="false" outlineLevel="0" collapsed="false">
      <c r="A125" s="7" t="s">
        <v>133</v>
      </c>
      <c r="B125" s="7" t="n">
        <v>5</v>
      </c>
      <c r="C125" s="9" t="n">
        <v>51</v>
      </c>
      <c r="D125" s="9" t="n">
        <v>1900923</v>
      </c>
      <c r="E125" s="9" t="n">
        <v>96</v>
      </c>
      <c r="F125" s="9" t="n">
        <v>3578208</v>
      </c>
      <c r="G125" s="9" t="n">
        <v>33</v>
      </c>
      <c r="H125" s="9" t="n">
        <v>1230009</v>
      </c>
      <c r="I125" s="9" t="n">
        <v>114</v>
      </c>
      <c r="J125" s="9" t="n">
        <v>4249122</v>
      </c>
    </row>
    <row r="126" customFormat="false" ht="15.75" hidden="false" customHeight="false" outlineLevel="0" collapsed="false">
      <c r="A126" s="7" t="s">
        <v>134</v>
      </c>
      <c r="B126" s="7" t="n">
        <v>5</v>
      </c>
      <c r="C126" s="9" t="n">
        <v>23</v>
      </c>
      <c r="D126" s="9" t="n">
        <v>658628</v>
      </c>
      <c r="E126" s="9" t="n">
        <v>0</v>
      </c>
      <c r="F126" s="9" t="n">
        <v>0</v>
      </c>
      <c r="G126" s="9" t="n">
        <v>0</v>
      </c>
      <c r="H126" s="9" t="n">
        <v>0</v>
      </c>
      <c r="I126" s="9" t="n">
        <v>23</v>
      </c>
      <c r="J126" s="9" t="n">
        <v>658628</v>
      </c>
    </row>
    <row r="127" customFormat="false" ht="15.75" hidden="false" customHeight="false" outlineLevel="0" collapsed="false">
      <c r="A127" s="7" t="s">
        <v>135</v>
      </c>
      <c r="B127" s="7" t="n">
        <v>5</v>
      </c>
      <c r="C127" s="9" t="n">
        <v>480</v>
      </c>
      <c r="D127" s="9" t="n">
        <v>88106465</v>
      </c>
      <c r="E127" s="9" t="n">
        <v>170</v>
      </c>
      <c r="F127" s="9" t="n">
        <v>31232060</v>
      </c>
      <c r="G127" s="9" t="n">
        <v>130</v>
      </c>
      <c r="H127" s="9" t="n">
        <v>23867705</v>
      </c>
      <c r="I127" s="9" t="n">
        <v>520</v>
      </c>
      <c r="J127" s="9" t="n">
        <v>95470820</v>
      </c>
    </row>
    <row r="128" customFormat="false" ht="15.75" hidden="false" customHeight="false" outlineLevel="0" collapsed="false">
      <c r="A128" s="7" t="s">
        <v>136</v>
      </c>
      <c r="B128" s="7" t="n">
        <v>5</v>
      </c>
      <c r="C128" s="9" t="n">
        <v>7724</v>
      </c>
      <c r="D128" s="9" t="n">
        <v>111543247</v>
      </c>
      <c r="E128" s="9" t="n">
        <v>4877</v>
      </c>
      <c r="F128" s="9" t="n">
        <v>72000000</v>
      </c>
      <c r="G128" s="9" t="n">
        <v>6374</v>
      </c>
      <c r="H128" s="9" t="n">
        <v>92842207</v>
      </c>
      <c r="I128" s="9" t="n">
        <v>6227</v>
      </c>
      <c r="J128" s="9" t="n">
        <v>90701040</v>
      </c>
    </row>
    <row r="129" customFormat="false" ht="15.75" hidden="false" customHeight="false" outlineLevel="0" collapsed="false">
      <c r="A129" s="7" t="s">
        <v>137</v>
      </c>
      <c r="B129" s="7" t="n">
        <v>5</v>
      </c>
      <c r="C129" s="9" t="n">
        <v>0</v>
      </c>
      <c r="D129" s="9" t="n">
        <v>0</v>
      </c>
      <c r="E129" s="9" t="n">
        <v>0</v>
      </c>
      <c r="F129" s="9" t="n">
        <v>0</v>
      </c>
      <c r="G129" s="9" t="n">
        <v>0</v>
      </c>
      <c r="H129" s="9" t="n">
        <v>0</v>
      </c>
      <c r="I129" s="9" t="n">
        <v>0</v>
      </c>
      <c r="J129" s="9" t="n">
        <v>0</v>
      </c>
    </row>
    <row r="130" customFormat="false" ht="15.75" hidden="false" customHeight="false" outlineLevel="0" collapsed="false">
      <c r="A130" s="7" t="s">
        <v>138</v>
      </c>
      <c r="B130" s="7" t="n">
        <v>5</v>
      </c>
      <c r="C130" s="9" t="n">
        <v>0</v>
      </c>
      <c r="D130" s="9" t="n">
        <v>0</v>
      </c>
      <c r="E130" s="9" t="n">
        <v>0</v>
      </c>
      <c r="F130" s="9" t="n">
        <v>0</v>
      </c>
      <c r="G130" s="9" t="n">
        <v>0</v>
      </c>
      <c r="H130" s="9" t="n">
        <v>0</v>
      </c>
      <c r="I130" s="9" t="n">
        <v>0</v>
      </c>
      <c r="J130" s="9" t="n">
        <v>0</v>
      </c>
    </row>
    <row r="131" customFormat="false" ht="15.75" hidden="false" customHeight="false" outlineLevel="0" collapsed="false">
      <c r="A131" s="7" t="s">
        <v>139</v>
      </c>
      <c r="B131" s="7" t="n">
        <v>5</v>
      </c>
      <c r="C131" s="9" t="n">
        <v>188</v>
      </c>
      <c r="D131" s="9" t="n">
        <v>34137846</v>
      </c>
      <c r="E131" s="9" t="n">
        <v>0</v>
      </c>
      <c r="F131" s="9" t="n">
        <v>0</v>
      </c>
      <c r="G131" s="9" t="n">
        <v>0</v>
      </c>
      <c r="H131" s="9" t="n">
        <v>0</v>
      </c>
      <c r="I131" s="9" t="n">
        <v>188</v>
      </c>
      <c r="J131" s="9" t="n">
        <v>34137846</v>
      </c>
    </row>
    <row r="132" customFormat="false" ht="15.75" hidden="false" customHeight="false" outlineLevel="0" collapsed="false">
      <c r="A132" s="7" t="s">
        <v>140</v>
      </c>
      <c r="B132" s="7" t="n">
        <v>5</v>
      </c>
      <c r="C132" s="9" t="n">
        <v>4871</v>
      </c>
      <c r="D132" s="9" t="n">
        <v>896164429</v>
      </c>
      <c r="E132" s="9" t="n">
        <v>2000</v>
      </c>
      <c r="F132" s="9" t="n">
        <v>368946000</v>
      </c>
      <c r="G132" s="9" t="n">
        <v>2495</v>
      </c>
      <c r="H132" s="9" t="n">
        <v>459387356</v>
      </c>
      <c r="I132" s="9" t="n">
        <v>4376</v>
      </c>
      <c r="J132" s="9" t="n">
        <v>805723073</v>
      </c>
    </row>
    <row r="133" customFormat="false" ht="15.75" hidden="false" customHeight="false" outlineLevel="0" collapsed="false">
      <c r="A133" s="7" t="s">
        <v>141</v>
      </c>
      <c r="B133" s="7" t="n">
        <v>5</v>
      </c>
      <c r="C133" s="9" t="n">
        <v>3447</v>
      </c>
      <c r="D133" s="9" t="n">
        <v>630867565</v>
      </c>
      <c r="E133" s="9" t="n">
        <v>4094</v>
      </c>
      <c r="F133" s="9" t="n">
        <v>701366346</v>
      </c>
      <c r="G133" s="9" t="n">
        <v>4790</v>
      </c>
      <c r="H133" s="9" t="n">
        <v>846227348</v>
      </c>
      <c r="I133" s="9" t="n">
        <v>2751</v>
      </c>
      <c r="J133" s="9" t="n">
        <v>486006563</v>
      </c>
    </row>
    <row r="134" customFormat="false" ht="15.75" hidden="false" customHeight="false" outlineLevel="0" collapsed="false">
      <c r="A134" s="7" t="s">
        <v>142</v>
      </c>
      <c r="B134" s="7" t="n">
        <v>5</v>
      </c>
      <c r="C134" s="9" t="n">
        <v>1150</v>
      </c>
      <c r="D134" s="9" t="n">
        <v>211217050</v>
      </c>
      <c r="E134" s="9" t="n">
        <v>0</v>
      </c>
      <c r="F134" s="9" t="n">
        <v>0</v>
      </c>
      <c r="G134" s="9" t="n">
        <v>0</v>
      </c>
      <c r="H134" s="9" t="n">
        <v>0</v>
      </c>
      <c r="I134" s="9" t="n">
        <v>1150</v>
      </c>
      <c r="J134" s="9" t="n">
        <v>211217050</v>
      </c>
    </row>
    <row r="135" customFormat="false" ht="15.75" hidden="false" customHeight="false" outlineLevel="0" collapsed="false">
      <c r="A135" s="7" t="s">
        <v>143</v>
      </c>
      <c r="B135" s="7" t="n">
        <v>5</v>
      </c>
      <c r="C135" s="9" t="n">
        <v>0</v>
      </c>
      <c r="D135" s="9" t="n">
        <v>0</v>
      </c>
      <c r="E135" s="9" t="n">
        <v>0</v>
      </c>
      <c r="F135" s="9" t="n">
        <v>0</v>
      </c>
      <c r="G135" s="9" t="n">
        <v>0</v>
      </c>
      <c r="H135" s="9" t="n">
        <v>0</v>
      </c>
      <c r="I135" s="9" t="n">
        <v>0</v>
      </c>
      <c r="J135" s="9" t="n">
        <v>0</v>
      </c>
    </row>
    <row r="136" customFormat="false" ht="15.75" hidden="false" customHeight="false" outlineLevel="0" collapsed="false">
      <c r="A136" s="7" t="s">
        <v>144</v>
      </c>
      <c r="B136" s="7" t="n">
        <v>5</v>
      </c>
      <c r="C136" s="9" t="n">
        <v>1978</v>
      </c>
      <c r="D136" s="9" t="n">
        <v>360525503</v>
      </c>
      <c r="E136" s="9" t="n">
        <v>300</v>
      </c>
      <c r="F136" s="9" t="n">
        <v>54720000</v>
      </c>
      <c r="G136" s="9" t="n">
        <v>0</v>
      </c>
      <c r="H136" s="9" t="n">
        <v>0</v>
      </c>
      <c r="I136" s="9" t="n">
        <v>2278</v>
      </c>
      <c r="J136" s="9" t="n">
        <v>415245503</v>
      </c>
    </row>
    <row r="137" customFormat="false" ht="15.75" hidden="false" customHeight="false" outlineLevel="0" collapsed="false">
      <c r="A137" s="7" t="s">
        <v>145</v>
      </c>
      <c r="B137" s="7" t="n">
        <v>5</v>
      </c>
      <c r="C137" s="9" t="n">
        <v>523</v>
      </c>
      <c r="D137" s="9" t="n">
        <v>93476989</v>
      </c>
      <c r="E137" s="9" t="n">
        <v>0</v>
      </c>
      <c r="F137" s="9" t="n">
        <v>0</v>
      </c>
      <c r="G137" s="9" t="n">
        <v>0</v>
      </c>
      <c r="H137" s="9" t="n">
        <v>0</v>
      </c>
      <c r="I137" s="9" t="n">
        <v>523</v>
      </c>
      <c r="J137" s="9" t="n">
        <v>93476989</v>
      </c>
    </row>
    <row r="138" customFormat="false" ht="15.75" hidden="false" customHeight="false" outlineLevel="0" collapsed="false">
      <c r="A138" s="7" t="s">
        <v>146</v>
      </c>
      <c r="B138" s="7" t="n">
        <v>5</v>
      </c>
      <c r="C138" s="9" t="n">
        <v>2646</v>
      </c>
      <c r="D138" s="9" t="n">
        <v>465816611</v>
      </c>
      <c r="E138" s="9" t="n">
        <v>50</v>
      </c>
      <c r="F138" s="9" t="n">
        <v>9482750</v>
      </c>
      <c r="G138" s="9" t="n">
        <v>260</v>
      </c>
      <c r="H138" s="9" t="n">
        <v>45837475</v>
      </c>
      <c r="I138" s="9" t="n">
        <v>2436</v>
      </c>
      <c r="J138" s="9" t="n">
        <v>429461886</v>
      </c>
    </row>
    <row r="139" customFormat="false" ht="15.75" hidden="false" customHeight="false" outlineLevel="0" collapsed="false">
      <c r="A139" s="7" t="s">
        <v>147</v>
      </c>
      <c r="B139" s="7" t="n">
        <v>5</v>
      </c>
      <c r="C139" s="9" t="n">
        <v>294</v>
      </c>
      <c r="D139" s="9" t="n">
        <v>26874894</v>
      </c>
      <c r="E139" s="9" t="n">
        <v>0</v>
      </c>
      <c r="F139" s="9" t="n">
        <v>0</v>
      </c>
      <c r="G139" s="9" t="n">
        <v>0</v>
      </c>
      <c r="H139" s="9" t="n">
        <v>0</v>
      </c>
      <c r="I139" s="9" t="n">
        <v>294</v>
      </c>
      <c r="J139" s="9" t="n">
        <v>26874894</v>
      </c>
    </row>
    <row r="140" customFormat="false" ht="15.75" hidden="false" customHeight="false" outlineLevel="0" collapsed="false">
      <c r="A140" s="7" t="s">
        <v>148</v>
      </c>
      <c r="B140" s="7" t="n">
        <v>5</v>
      </c>
      <c r="C140" s="9" t="n">
        <v>1240</v>
      </c>
      <c r="D140" s="9" t="n">
        <v>141265189</v>
      </c>
      <c r="E140" s="9" t="n">
        <v>134</v>
      </c>
      <c r="F140" s="9" t="n">
        <v>15276000</v>
      </c>
      <c r="G140" s="9" t="n">
        <v>0</v>
      </c>
      <c r="H140" s="9" t="n">
        <v>0</v>
      </c>
      <c r="I140" s="9" t="n">
        <v>1374</v>
      </c>
      <c r="J140" s="9" t="n">
        <v>156541189</v>
      </c>
    </row>
    <row r="141" customFormat="false" ht="15.75" hidden="false" customHeight="false" outlineLevel="0" collapsed="false">
      <c r="A141" s="7" t="s">
        <v>149</v>
      </c>
      <c r="B141" s="7" t="n">
        <v>5</v>
      </c>
      <c r="C141" s="9" t="n">
        <v>5709</v>
      </c>
      <c r="D141" s="9" t="n">
        <v>1083974099</v>
      </c>
      <c r="E141" s="9" t="n">
        <v>80</v>
      </c>
      <c r="F141" s="9" t="n">
        <v>15172400</v>
      </c>
      <c r="G141" s="9" t="n">
        <v>290</v>
      </c>
      <c r="H141" s="9" t="n">
        <v>55061752</v>
      </c>
      <c r="I141" s="9" t="n">
        <v>5499</v>
      </c>
      <c r="J141" s="9" t="n">
        <v>1044084747</v>
      </c>
    </row>
    <row r="142" customFormat="false" ht="15.75" hidden="false" customHeight="false" outlineLevel="0" collapsed="false">
      <c r="A142" s="7" t="s">
        <v>150</v>
      </c>
      <c r="B142" s="7" t="n">
        <v>5</v>
      </c>
      <c r="C142" s="9" t="n">
        <v>0</v>
      </c>
      <c r="D142" s="9" t="n">
        <v>0</v>
      </c>
      <c r="E142" s="9" t="n">
        <v>0</v>
      </c>
      <c r="F142" s="9" t="n">
        <v>0</v>
      </c>
      <c r="G142" s="9" t="n">
        <v>0</v>
      </c>
      <c r="H142" s="9" t="n">
        <v>0</v>
      </c>
      <c r="I142" s="9" t="n">
        <v>0</v>
      </c>
      <c r="J142" s="9" t="n">
        <v>0</v>
      </c>
    </row>
    <row r="143" customFormat="false" ht="15.75" hidden="false" customHeight="false" outlineLevel="0" collapsed="false">
      <c r="A143" s="7" t="s">
        <v>151</v>
      </c>
      <c r="B143" s="7" t="n">
        <v>5</v>
      </c>
      <c r="C143" s="9" t="n">
        <v>249</v>
      </c>
      <c r="D143" s="9" t="n">
        <v>47306550</v>
      </c>
      <c r="E143" s="9" t="n">
        <v>30</v>
      </c>
      <c r="F143" s="9" t="n">
        <v>5689650</v>
      </c>
      <c r="G143" s="9" t="n">
        <v>20</v>
      </c>
      <c r="H143" s="9" t="n">
        <v>3799011</v>
      </c>
      <c r="I143" s="9" t="n">
        <v>259</v>
      </c>
      <c r="J143" s="9" t="n">
        <v>49197189</v>
      </c>
    </row>
    <row r="144" customFormat="false" ht="15.75" hidden="false" customHeight="false" outlineLevel="0" collapsed="false">
      <c r="A144" s="7" t="s">
        <v>152</v>
      </c>
      <c r="B144" s="7" t="n">
        <v>5</v>
      </c>
      <c r="C144" s="9" t="n">
        <v>0</v>
      </c>
      <c r="D144" s="9" t="n">
        <v>0</v>
      </c>
      <c r="E144" s="9" t="n">
        <v>70</v>
      </c>
      <c r="F144" s="9" t="n">
        <v>18200000</v>
      </c>
      <c r="G144" s="9" t="n">
        <v>70</v>
      </c>
      <c r="H144" s="9" t="n">
        <v>18200000</v>
      </c>
      <c r="I144" s="9" t="n">
        <v>0</v>
      </c>
      <c r="J144" s="9" t="n">
        <v>0</v>
      </c>
    </row>
    <row r="145" customFormat="false" ht="15.75" hidden="false" customHeight="false" outlineLevel="0" collapsed="false">
      <c r="A145" s="7" t="s">
        <v>153</v>
      </c>
      <c r="B145" s="7" t="n">
        <v>5</v>
      </c>
      <c r="C145" s="9" t="n">
        <v>0</v>
      </c>
      <c r="D145" s="9" t="n">
        <v>0</v>
      </c>
      <c r="E145" s="9" t="n">
        <v>87</v>
      </c>
      <c r="F145" s="9" t="n">
        <v>36105000</v>
      </c>
      <c r="G145" s="9" t="n">
        <v>87</v>
      </c>
      <c r="H145" s="9" t="n">
        <v>36105000</v>
      </c>
      <c r="I145" s="9" t="n">
        <v>0</v>
      </c>
      <c r="J145" s="9" t="n">
        <v>0</v>
      </c>
    </row>
    <row r="146" customFormat="false" ht="15.75" hidden="false" customHeight="false" outlineLevel="0" collapsed="false">
      <c r="A146" s="7" t="s">
        <v>154</v>
      </c>
      <c r="B146" s="7" t="n">
        <v>5</v>
      </c>
      <c r="C146" s="9" t="n">
        <v>0</v>
      </c>
      <c r="D146" s="9" t="n">
        <v>0</v>
      </c>
      <c r="E146" s="9" t="n">
        <v>0</v>
      </c>
      <c r="F146" s="9" t="n">
        <v>0</v>
      </c>
      <c r="G146" s="9" t="n">
        <v>0</v>
      </c>
      <c r="H146" s="9" t="n">
        <v>0</v>
      </c>
      <c r="I146" s="9" t="n">
        <v>0</v>
      </c>
      <c r="J146" s="9" t="n">
        <v>0</v>
      </c>
    </row>
    <row r="147" customFormat="false" ht="15.75" hidden="false" customHeight="false" outlineLevel="0" collapsed="false">
      <c r="A147" s="7" t="s">
        <v>155</v>
      </c>
      <c r="B147" s="7" t="n">
        <v>5</v>
      </c>
      <c r="C147" s="9" t="n">
        <v>204</v>
      </c>
      <c r="D147" s="9" t="n">
        <v>59148248</v>
      </c>
      <c r="E147" s="9" t="n">
        <v>20</v>
      </c>
      <c r="F147" s="9" t="n">
        <v>5803640</v>
      </c>
      <c r="G147" s="9" t="n">
        <v>0</v>
      </c>
      <c r="H147" s="9" t="n">
        <v>0</v>
      </c>
      <c r="I147" s="9" t="n">
        <v>224</v>
      </c>
      <c r="J147" s="9" t="n">
        <v>64951888</v>
      </c>
    </row>
    <row r="148" customFormat="false" ht="15.75" hidden="false" customHeight="false" outlineLevel="0" collapsed="false">
      <c r="A148" s="7" t="s">
        <v>156</v>
      </c>
      <c r="B148" s="7" t="n">
        <v>5</v>
      </c>
      <c r="C148" s="9" t="n">
        <v>0</v>
      </c>
      <c r="D148" s="9" t="n">
        <v>0</v>
      </c>
      <c r="E148" s="9" t="n">
        <v>0</v>
      </c>
      <c r="F148" s="9" t="n">
        <v>0</v>
      </c>
      <c r="G148" s="9" t="n">
        <v>0</v>
      </c>
      <c r="H148" s="9" t="n">
        <v>0</v>
      </c>
      <c r="I148" s="9" t="n">
        <v>0</v>
      </c>
      <c r="J148" s="9" t="n">
        <v>0</v>
      </c>
    </row>
    <row r="149" customFormat="false" ht="15.75" hidden="false" customHeight="false" outlineLevel="0" collapsed="false">
      <c r="A149" s="7" t="s">
        <v>157</v>
      </c>
      <c r="B149" s="7" t="n">
        <v>5</v>
      </c>
      <c r="C149" s="9" t="n">
        <v>0</v>
      </c>
      <c r="D149" s="9" t="n">
        <v>0</v>
      </c>
      <c r="E149" s="9" t="n">
        <v>0</v>
      </c>
      <c r="F149" s="9" t="n">
        <v>0</v>
      </c>
      <c r="G149" s="9" t="n">
        <v>0</v>
      </c>
      <c r="H149" s="9" t="n">
        <v>0</v>
      </c>
      <c r="I149" s="9" t="n">
        <v>0</v>
      </c>
      <c r="J149" s="9" t="n">
        <v>0</v>
      </c>
    </row>
    <row r="150" customFormat="false" ht="15.75" hidden="false" customHeight="false" outlineLevel="0" collapsed="false">
      <c r="A150" s="7" t="s">
        <v>158</v>
      </c>
      <c r="B150" s="7" t="n">
        <v>5</v>
      </c>
      <c r="C150" s="9" t="n">
        <v>133</v>
      </c>
      <c r="D150" s="9" t="n">
        <v>28422312</v>
      </c>
      <c r="E150" s="9" t="n">
        <v>0</v>
      </c>
      <c r="F150" s="9" t="n">
        <v>0</v>
      </c>
      <c r="G150" s="9" t="n">
        <v>0</v>
      </c>
      <c r="H150" s="9" t="n">
        <v>0</v>
      </c>
      <c r="I150" s="9" t="n">
        <v>133</v>
      </c>
      <c r="J150" s="9" t="n">
        <v>28422312</v>
      </c>
    </row>
    <row r="151" customFormat="false" ht="15.75" hidden="false" customHeight="false" outlineLevel="0" collapsed="false">
      <c r="A151" s="7" t="s">
        <v>159</v>
      </c>
      <c r="B151" s="7" t="n">
        <v>5</v>
      </c>
      <c r="C151" s="9" t="n">
        <v>83</v>
      </c>
      <c r="D151" s="9" t="n">
        <v>18269863</v>
      </c>
      <c r="E151" s="9" t="n">
        <v>0</v>
      </c>
      <c r="F151" s="9" t="n">
        <v>0</v>
      </c>
      <c r="G151" s="9" t="n">
        <v>0</v>
      </c>
      <c r="H151" s="9" t="n">
        <v>0</v>
      </c>
      <c r="I151" s="9" t="n">
        <v>83</v>
      </c>
      <c r="J151" s="9" t="n">
        <v>18269863</v>
      </c>
    </row>
    <row r="152" customFormat="false" ht="15.75" hidden="false" customHeight="false" outlineLevel="0" collapsed="false">
      <c r="A152" s="7" t="s">
        <v>160</v>
      </c>
      <c r="B152" s="7" t="n">
        <v>5</v>
      </c>
      <c r="C152" s="9" t="n">
        <v>57</v>
      </c>
      <c r="D152" s="9" t="n">
        <v>15066896</v>
      </c>
      <c r="E152" s="9" t="n">
        <v>0</v>
      </c>
      <c r="F152" s="9" t="n">
        <v>0</v>
      </c>
      <c r="G152" s="9" t="n">
        <v>0</v>
      </c>
      <c r="H152" s="9" t="n">
        <v>0</v>
      </c>
      <c r="I152" s="9" t="n">
        <v>57</v>
      </c>
      <c r="J152" s="9" t="n">
        <v>15066896</v>
      </c>
    </row>
    <row r="153" customFormat="false" ht="15.75" hidden="false" customHeight="false" outlineLevel="0" collapsed="false">
      <c r="A153" s="7" t="s">
        <v>161</v>
      </c>
      <c r="B153" s="7" t="n">
        <v>5</v>
      </c>
      <c r="C153" s="9" t="n">
        <v>20</v>
      </c>
      <c r="D153" s="9" t="n">
        <v>4642900</v>
      </c>
      <c r="E153" s="9" t="n">
        <v>20</v>
      </c>
      <c r="F153" s="9" t="n">
        <v>4642900</v>
      </c>
      <c r="G153" s="9" t="n">
        <v>0</v>
      </c>
      <c r="H153" s="9" t="n">
        <v>0</v>
      </c>
      <c r="I153" s="9" t="n">
        <v>40</v>
      </c>
      <c r="J153" s="9" t="n">
        <v>9285800</v>
      </c>
    </row>
    <row r="154" customFormat="false" ht="15.75" hidden="false" customHeight="false" outlineLevel="0" collapsed="false">
      <c r="A154" s="7" t="s">
        <v>162</v>
      </c>
      <c r="B154" s="7" t="n">
        <v>5</v>
      </c>
      <c r="C154" s="9" t="n">
        <v>1021</v>
      </c>
      <c r="D154" s="9" t="n">
        <v>322728911</v>
      </c>
      <c r="E154" s="9" t="n">
        <v>0</v>
      </c>
      <c r="F154" s="9" t="n">
        <v>0</v>
      </c>
      <c r="G154" s="9" t="n">
        <v>0</v>
      </c>
      <c r="H154" s="9" t="n">
        <v>0</v>
      </c>
      <c r="I154" s="9" t="n">
        <v>1021</v>
      </c>
      <c r="J154" s="9" t="n">
        <v>322728911</v>
      </c>
    </row>
    <row r="155" customFormat="false" ht="15.75" hidden="false" customHeight="false" outlineLevel="0" collapsed="false">
      <c r="A155" s="7" t="s">
        <v>163</v>
      </c>
      <c r="B155" s="7" t="n">
        <v>5</v>
      </c>
      <c r="C155" s="9" t="n">
        <v>0</v>
      </c>
      <c r="D155" s="9" t="n">
        <v>0</v>
      </c>
      <c r="E155" s="9" t="n">
        <v>384</v>
      </c>
      <c r="F155" s="9" t="n">
        <v>121378944</v>
      </c>
      <c r="G155" s="9" t="n">
        <v>0</v>
      </c>
      <c r="H155" s="9" t="n">
        <v>0</v>
      </c>
      <c r="I155" s="9" t="n">
        <v>384</v>
      </c>
      <c r="J155" s="9" t="n">
        <v>121378944</v>
      </c>
    </row>
    <row r="156" customFormat="false" ht="15.75" hidden="false" customHeight="false" outlineLevel="0" collapsed="false">
      <c r="A156" s="7" t="s">
        <v>164</v>
      </c>
      <c r="B156" s="7" t="n">
        <v>5</v>
      </c>
      <c r="C156" s="9" t="n">
        <v>95</v>
      </c>
      <c r="D156" s="9" t="n">
        <v>13696836</v>
      </c>
      <c r="E156" s="9" t="n">
        <v>0</v>
      </c>
      <c r="F156" s="9" t="n">
        <v>0</v>
      </c>
      <c r="G156" s="9" t="n">
        <v>0</v>
      </c>
      <c r="H156" s="9" t="n">
        <v>0</v>
      </c>
      <c r="I156" s="9" t="n">
        <v>95</v>
      </c>
      <c r="J156" s="9" t="n">
        <v>13696836</v>
      </c>
    </row>
    <row r="157" customFormat="false" ht="15.75" hidden="false" customHeight="false" outlineLevel="0" collapsed="false">
      <c r="A157" s="7" t="s">
        <v>165</v>
      </c>
      <c r="B157" s="7" t="n">
        <v>5</v>
      </c>
      <c r="C157" s="9" t="n">
        <v>203</v>
      </c>
      <c r="D157" s="9" t="n">
        <v>30591302</v>
      </c>
      <c r="E157" s="9" t="n">
        <v>0</v>
      </c>
      <c r="F157" s="9" t="n">
        <v>0</v>
      </c>
      <c r="G157" s="9" t="n">
        <v>0</v>
      </c>
      <c r="H157" s="9" t="n">
        <v>0</v>
      </c>
      <c r="I157" s="9" t="n">
        <v>203</v>
      </c>
      <c r="J157" s="9" t="n">
        <v>30591302</v>
      </c>
    </row>
    <row r="158" customFormat="false" ht="15.75" hidden="false" customHeight="false" outlineLevel="0" collapsed="false">
      <c r="A158" s="7" t="s">
        <v>166</v>
      </c>
      <c r="B158" s="7" t="n">
        <v>5</v>
      </c>
      <c r="C158" s="9" t="n">
        <v>0</v>
      </c>
      <c r="D158" s="9" t="n">
        <v>0</v>
      </c>
      <c r="E158" s="9" t="n">
        <v>0</v>
      </c>
      <c r="F158" s="9" t="n">
        <v>0</v>
      </c>
      <c r="G158" s="9" t="n">
        <v>0</v>
      </c>
      <c r="H158" s="9" t="n">
        <v>0</v>
      </c>
      <c r="I158" s="9" t="n">
        <v>0</v>
      </c>
      <c r="J158" s="9" t="n">
        <v>0</v>
      </c>
    </row>
    <row r="159" customFormat="false" ht="15.75" hidden="false" customHeight="false" outlineLevel="0" collapsed="false">
      <c r="A159" s="7" t="s">
        <v>167</v>
      </c>
      <c r="B159" s="7" t="n">
        <v>5</v>
      </c>
      <c r="C159" s="9" t="n">
        <v>0</v>
      </c>
      <c r="D159" s="9" t="n">
        <v>0</v>
      </c>
      <c r="E159" s="9" t="n">
        <v>0</v>
      </c>
      <c r="F159" s="9" t="n">
        <v>0</v>
      </c>
      <c r="G159" s="9" t="n">
        <v>0</v>
      </c>
      <c r="H159" s="9" t="n">
        <v>0</v>
      </c>
      <c r="I159" s="9" t="n">
        <v>0</v>
      </c>
      <c r="J159" s="9" t="n">
        <v>0</v>
      </c>
    </row>
    <row r="160" customFormat="false" ht="15.75" hidden="false" customHeight="false" outlineLevel="0" collapsed="false">
      <c r="A160" s="7" t="s">
        <v>168</v>
      </c>
      <c r="B160" s="7" t="n">
        <v>5</v>
      </c>
      <c r="C160" s="9" t="n">
        <v>426</v>
      </c>
      <c r="D160" s="9" t="n">
        <v>77699230</v>
      </c>
      <c r="E160" s="9" t="n">
        <v>300</v>
      </c>
      <c r="F160" s="9" t="n">
        <v>54720000</v>
      </c>
      <c r="G160" s="9" t="n">
        <v>0</v>
      </c>
      <c r="H160" s="9" t="n">
        <v>0</v>
      </c>
      <c r="I160" s="9" t="n">
        <v>726</v>
      </c>
      <c r="J160" s="9" t="n">
        <v>132419230</v>
      </c>
    </row>
    <row r="161" customFormat="false" ht="15.75" hidden="false" customHeight="false" outlineLevel="0" collapsed="false">
      <c r="A161" s="7" t="s">
        <v>169</v>
      </c>
      <c r="B161" s="7" t="n">
        <v>5</v>
      </c>
      <c r="C161" s="9" t="n">
        <v>974</v>
      </c>
      <c r="D161" s="9" t="n">
        <v>172484554</v>
      </c>
      <c r="E161" s="9" t="n">
        <v>0</v>
      </c>
      <c r="F161" s="9" t="n">
        <v>0</v>
      </c>
      <c r="G161" s="9" t="n">
        <v>0</v>
      </c>
      <c r="H161" s="9" t="n">
        <v>0</v>
      </c>
      <c r="I161" s="9" t="n">
        <v>974</v>
      </c>
      <c r="J161" s="9" t="n">
        <v>172484554</v>
      </c>
    </row>
    <row r="162" customFormat="false" ht="15.75" hidden="false" customHeight="false" outlineLevel="0" collapsed="false">
      <c r="A162" s="7" t="s">
        <v>170</v>
      </c>
      <c r="B162" s="7" t="n">
        <v>5</v>
      </c>
      <c r="C162" s="9" t="n">
        <v>124</v>
      </c>
      <c r="D162" s="9" t="n">
        <v>34054864</v>
      </c>
      <c r="E162" s="9" t="n">
        <v>0</v>
      </c>
      <c r="F162" s="9" t="n">
        <v>0</v>
      </c>
      <c r="G162" s="9" t="n">
        <v>0</v>
      </c>
      <c r="H162" s="9" t="n">
        <v>0</v>
      </c>
      <c r="I162" s="9" t="n">
        <v>124</v>
      </c>
      <c r="J162" s="9" t="n">
        <v>34054864</v>
      </c>
    </row>
    <row r="163" customFormat="false" ht="15.75" hidden="false" customHeight="false" outlineLevel="0" collapsed="false">
      <c r="A163" s="7" t="s">
        <v>171</v>
      </c>
      <c r="B163" s="7" t="n">
        <v>5</v>
      </c>
      <c r="C163" s="9" t="n">
        <v>0</v>
      </c>
      <c r="D163" s="9" t="n">
        <v>0</v>
      </c>
      <c r="E163" s="9" t="n">
        <v>0</v>
      </c>
      <c r="F163" s="9" t="n">
        <v>0</v>
      </c>
      <c r="G163" s="9" t="n">
        <v>0</v>
      </c>
      <c r="H163" s="9" t="n">
        <v>0</v>
      </c>
      <c r="I163" s="9" t="n">
        <v>0</v>
      </c>
      <c r="J163" s="9" t="n">
        <v>0</v>
      </c>
    </row>
    <row r="164" customFormat="false" ht="15.75" hidden="false" customHeight="false" outlineLevel="0" collapsed="false">
      <c r="A164" s="7" t="s">
        <v>172</v>
      </c>
      <c r="B164" s="7" t="n">
        <v>5</v>
      </c>
      <c r="C164" s="9" t="n">
        <v>0</v>
      </c>
      <c r="D164" s="9" t="n">
        <v>0</v>
      </c>
      <c r="E164" s="9" t="n">
        <v>0</v>
      </c>
      <c r="F164" s="9" t="n">
        <v>0</v>
      </c>
      <c r="G164" s="9" t="n">
        <v>0</v>
      </c>
      <c r="H164" s="9" t="n">
        <v>0</v>
      </c>
      <c r="I164" s="9" t="n">
        <v>0</v>
      </c>
      <c r="J164" s="9" t="n">
        <v>0</v>
      </c>
    </row>
    <row r="165" customFormat="false" ht="15.75" hidden="false" customHeight="false" outlineLevel="0" collapsed="false">
      <c r="A165" s="7" t="s">
        <v>173</v>
      </c>
      <c r="B165" s="7" t="n">
        <v>5</v>
      </c>
      <c r="C165" s="9" t="n">
        <v>0</v>
      </c>
      <c r="D165" s="9" t="n">
        <v>0</v>
      </c>
      <c r="E165" s="9" t="n">
        <v>0</v>
      </c>
      <c r="F165" s="9" t="n">
        <v>0</v>
      </c>
      <c r="G165" s="9" t="n">
        <v>0</v>
      </c>
      <c r="H165" s="9" t="n">
        <v>0</v>
      </c>
      <c r="I165" s="9" t="n">
        <v>0</v>
      </c>
      <c r="J165" s="9" t="n">
        <v>0</v>
      </c>
    </row>
    <row r="166" customFormat="false" ht="15.75" hidden="false" customHeight="false" outlineLevel="0" collapsed="false">
      <c r="A166" s="7" t="s">
        <v>174</v>
      </c>
      <c r="B166" s="7" t="n">
        <v>5</v>
      </c>
      <c r="C166" s="9" t="n">
        <v>100</v>
      </c>
      <c r="D166" s="9" t="n">
        <v>27457840</v>
      </c>
      <c r="E166" s="9" t="n">
        <v>0</v>
      </c>
      <c r="F166" s="9" t="n">
        <v>0</v>
      </c>
      <c r="G166" s="9" t="n">
        <v>0</v>
      </c>
      <c r="H166" s="9" t="n">
        <v>0</v>
      </c>
      <c r="I166" s="9" t="n">
        <v>100</v>
      </c>
      <c r="J166" s="9" t="n">
        <v>27457840</v>
      </c>
    </row>
    <row r="167" customFormat="false" ht="15.75" hidden="false" customHeight="false" outlineLevel="0" collapsed="false">
      <c r="A167" s="7" t="s">
        <v>175</v>
      </c>
      <c r="B167" s="7" t="n">
        <v>5</v>
      </c>
      <c r="C167" s="9" t="n">
        <v>0</v>
      </c>
      <c r="D167" s="9" t="n">
        <v>0</v>
      </c>
      <c r="E167" s="9" t="n">
        <v>0</v>
      </c>
      <c r="F167" s="9" t="n">
        <v>0</v>
      </c>
      <c r="G167" s="9" t="n">
        <v>0</v>
      </c>
      <c r="H167" s="9" t="n">
        <v>0</v>
      </c>
      <c r="I167" s="9" t="n">
        <v>0</v>
      </c>
      <c r="J167" s="9" t="n">
        <v>0</v>
      </c>
    </row>
    <row r="168" customFormat="false" ht="15.75" hidden="false" customHeight="false" outlineLevel="0" collapsed="false">
      <c r="A168" s="7" t="s">
        <v>176</v>
      </c>
      <c r="B168" s="7" t="n">
        <v>5</v>
      </c>
      <c r="C168" s="9" t="n">
        <v>0</v>
      </c>
      <c r="D168" s="9" t="n">
        <v>0</v>
      </c>
      <c r="E168" s="9" t="n">
        <v>0</v>
      </c>
      <c r="F168" s="9" t="n">
        <v>0</v>
      </c>
      <c r="G168" s="9" t="n">
        <v>0</v>
      </c>
      <c r="H168" s="9" t="n">
        <v>0</v>
      </c>
      <c r="I168" s="9" t="n">
        <v>0</v>
      </c>
      <c r="J168" s="9" t="n">
        <v>0</v>
      </c>
    </row>
    <row r="169" customFormat="false" ht="15.75" hidden="false" customHeight="false" outlineLevel="0" collapsed="false">
      <c r="A169" s="7" t="s">
        <v>177</v>
      </c>
      <c r="B169" s="7" t="n">
        <v>5</v>
      </c>
      <c r="C169" s="9" t="n">
        <v>0</v>
      </c>
      <c r="D169" s="9" t="n">
        <v>0</v>
      </c>
      <c r="E169" s="9" t="n">
        <v>0</v>
      </c>
      <c r="F169" s="9" t="n">
        <v>0</v>
      </c>
      <c r="G169" s="9" t="n">
        <v>0</v>
      </c>
      <c r="H169" s="9" t="n">
        <v>0</v>
      </c>
      <c r="I169" s="9" t="n">
        <v>0</v>
      </c>
      <c r="J169" s="9" t="n">
        <v>0</v>
      </c>
    </row>
    <row r="170" customFormat="false" ht="15.75" hidden="false" customHeight="false" outlineLevel="0" collapsed="false">
      <c r="A170" s="7" t="s">
        <v>178</v>
      </c>
      <c r="B170" s="7" t="n">
        <v>5</v>
      </c>
      <c r="C170" s="9" t="n">
        <v>0</v>
      </c>
      <c r="D170" s="9" t="n">
        <v>0</v>
      </c>
      <c r="E170" s="9" t="n">
        <v>0</v>
      </c>
      <c r="F170" s="9" t="n">
        <v>0</v>
      </c>
      <c r="G170" s="9" t="n">
        <v>0</v>
      </c>
      <c r="H170" s="9" t="n">
        <v>0</v>
      </c>
      <c r="I170" s="9" t="n">
        <v>0</v>
      </c>
      <c r="J170" s="9" t="n">
        <v>0</v>
      </c>
    </row>
    <row r="171" customFormat="false" ht="15.75" hidden="false" customHeight="false" outlineLevel="0" collapsed="false">
      <c r="A171" s="7" t="s">
        <v>179</v>
      </c>
      <c r="B171" s="7" t="n">
        <v>5</v>
      </c>
      <c r="C171" s="9" t="n">
        <v>19681</v>
      </c>
      <c r="D171" s="9" t="n">
        <v>102204506</v>
      </c>
      <c r="E171" s="9" t="n">
        <v>18061</v>
      </c>
      <c r="F171" s="9" t="n">
        <v>85098000</v>
      </c>
      <c r="G171" s="9" t="n">
        <v>1620</v>
      </c>
      <c r="H171" s="9" t="n">
        <v>8039586</v>
      </c>
      <c r="I171" s="9" t="n">
        <v>36122</v>
      </c>
      <c r="J171" s="9" t="n">
        <v>179262920</v>
      </c>
    </row>
    <row r="172" customFormat="false" ht="15.75" hidden="false" customHeight="false" outlineLevel="0" collapsed="false">
      <c r="A172" s="7" t="s">
        <v>180</v>
      </c>
      <c r="B172" s="7" t="n">
        <v>5</v>
      </c>
      <c r="C172" s="9" t="n">
        <v>0</v>
      </c>
      <c r="D172" s="9" t="n">
        <v>0</v>
      </c>
      <c r="E172" s="9" t="n">
        <v>0</v>
      </c>
      <c r="F172" s="9" t="n">
        <v>0</v>
      </c>
      <c r="G172" s="9" t="n">
        <v>0</v>
      </c>
      <c r="H172" s="9" t="n">
        <v>0</v>
      </c>
      <c r="I172" s="9" t="n">
        <v>0</v>
      </c>
      <c r="J172" s="9" t="n">
        <v>0</v>
      </c>
    </row>
    <row r="173" customFormat="false" ht="15.75" hidden="false" customHeight="false" outlineLevel="0" collapsed="false">
      <c r="A173" s="7" t="s">
        <v>181</v>
      </c>
      <c r="B173" s="7" t="n">
        <v>5</v>
      </c>
      <c r="C173" s="9" t="n">
        <v>1365</v>
      </c>
      <c r="D173" s="9" t="n">
        <v>65623300</v>
      </c>
      <c r="E173" s="9" t="n">
        <v>450</v>
      </c>
      <c r="F173" s="9" t="n">
        <v>23125050</v>
      </c>
      <c r="G173" s="9" t="n">
        <v>1368</v>
      </c>
      <c r="H173" s="9" t="n">
        <v>66891318</v>
      </c>
      <c r="I173" s="9" t="n">
        <v>447</v>
      </c>
      <c r="J173" s="9" t="n">
        <v>21857032</v>
      </c>
    </row>
    <row r="174" customFormat="false" ht="15.75" hidden="false" customHeight="false" outlineLevel="0" collapsed="false">
      <c r="A174" s="7" t="s">
        <v>182</v>
      </c>
      <c r="B174" s="7" t="n">
        <v>5</v>
      </c>
      <c r="C174" s="9" t="n">
        <v>20</v>
      </c>
      <c r="D174" s="9" t="n">
        <v>1190400</v>
      </c>
      <c r="E174" s="9" t="n">
        <v>0</v>
      </c>
      <c r="F174" s="9" t="n">
        <v>0</v>
      </c>
      <c r="G174" s="9" t="n">
        <v>0</v>
      </c>
      <c r="H174" s="9" t="n">
        <v>0</v>
      </c>
      <c r="I174" s="9" t="n">
        <v>20</v>
      </c>
      <c r="J174" s="9" t="n">
        <v>1190400</v>
      </c>
    </row>
    <row r="175" customFormat="false" ht="15.75" hidden="false" customHeight="false" outlineLevel="0" collapsed="false">
      <c r="A175" s="7" t="s">
        <v>183</v>
      </c>
      <c r="B175" s="7" t="n">
        <v>5</v>
      </c>
      <c r="C175" s="9" t="n">
        <v>2840</v>
      </c>
      <c r="D175" s="9" t="n">
        <v>154385037</v>
      </c>
      <c r="E175" s="9" t="n">
        <v>200</v>
      </c>
      <c r="F175" s="9" t="n">
        <v>10880000</v>
      </c>
      <c r="G175" s="9" t="n">
        <v>50</v>
      </c>
      <c r="H175" s="9" t="n">
        <v>2718175</v>
      </c>
      <c r="I175" s="9" t="n">
        <v>2990</v>
      </c>
      <c r="J175" s="9" t="n">
        <v>162546862</v>
      </c>
    </row>
    <row r="176" customFormat="false" ht="15.75" hidden="false" customHeight="false" outlineLevel="0" collapsed="false">
      <c r="A176" s="7" t="s">
        <v>184</v>
      </c>
      <c r="B176" s="7" t="n">
        <v>5</v>
      </c>
      <c r="C176" s="9" t="n">
        <v>3003</v>
      </c>
      <c r="D176" s="9" t="n">
        <v>163911650</v>
      </c>
      <c r="E176" s="9" t="n">
        <v>200</v>
      </c>
      <c r="F176" s="9" t="n">
        <v>10880000</v>
      </c>
      <c r="G176" s="9" t="n">
        <v>215</v>
      </c>
      <c r="H176" s="9" t="n">
        <v>11732814</v>
      </c>
      <c r="I176" s="9" t="n">
        <v>2988</v>
      </c>
      <c r="J176" s="9" t="n">
        <v>163058836</v>
      </c>
    </row>
    <row r="177" customFormat="false" ht="15.75" hidden="false" customHeight="false" outlineLevel="0" collapsed="false">
      <c r="A177" s="7" t="s">
        <v>185</v>
      </c>
      <c r="B177" s="7" t="n">
        <v>5</v>
      </c>
      <c r="C177" s="9" t="n">
        <v>0</v>
      </c>
      <c r="D177" s="9" t="n">
        <v>0</v>
      </c>
      <c r="E177" s="9" t="n">
        <v>105</v>
      </c>
      <c r="F177" s="9" t="n">
        <v>19380000</v>
      </c>
      <c r="G177" s="9" t="n">
        <v>50</v>
      </c>
      <c r="H177" s="9" t="n">
        <v>9215277</v>
      </c>
      <c r="I177" s="9" t="n">
        <v>55</v>
      </c>
      <c r="J177" s="9" t="n">
        <v>10164723</v>
      </c>
    </row>
    <row r="178" customFormat="false" ht="15.75" hidden="false" customHeight="false" outlineLevel="0" collapsed="false">
      <c r="A178" s="7" t="s">
        <v>186</v>
      </c>
      <c r="B178" s="7" t="n">
        <v>5</v>
      </c>
      <c r="C178" s="9" t="n">
        <v>0</v>
      </c>
      <c r="D178" s="9" t="n">
        <v>0</v>
      </c>
      <c r="E178" s="9" t="n">
        <v>3810</v>
      </c>
      <c r="F178" s="9" t="n">
        <v>171460999</v>
      </c>
      <c r="G178" s="9" t="n">
        <v>3810</v>
      </c>
      <c r="H178" s="9" t="n">
        <v>171460999</v>
      </c>
      <c r="I178" s="9" t="n">
        <v>0</v>
      </c>
      <c r="J178" s="9" t="n">
        <v>0</v>
      </c>
    </row>
    <row r="179" customFormat="false" ht="15.75" hidden="false" customHeight="false" outlineLevel="0" collapsed="false">
      <c r="A179" s="7" t="s">
        <v>187</v>
      </c>
      <c r="B179" s="7" t="n">
        <v>5</v>
      </c>
      <c r="C179" s="9" t="n">
        <v>0</v>
      </c>
      <c r="D179" s="9" t="n">
        <v>0</v>
      </c>
      <c r="E179" s="9" t="n">
        <v>475</v>
      </c>
      <c r="F179" s="9" t="n">
        <v>19237500</v>
      </c>
      <c r="G179" s="9" t="n">
        <v>475</v>
      </c>
      <c r="H179" s="9" t="n">
        <v>19237500</v>
      </c>
      <c r="I179" s="9" t="n">
        <v>0</v>
      </c>
      <c r="J179" s="9" t="n">
        <v>0</v>
      </c>
    </row>
    <row r="180" customFormat="false" ht="15.75" hidden="false" customHeight="false" outlineLevel="0" collapsed="false">
      <c r="A180" s="7" t="s">
        <v>188</v>
      </c>
      <c r="B180" s="7" t="n">
        <v>5</v>
      </c>
      <c r="C180" s="9" t="n">
        <v>4317</v>
      </c>
      <c r="D180" s="9" t="n">
        <v>796645863</v>
      </c>
      <c r="E180" s="9" t="n">
        <v>1155</v>
      </c>
      <c r="F180" s="9" t="n">
        <v>211090000</v>
      </c>
      <c r="G180" s="9" t="n">
        <v>2100</v>
      </c>
      <c r="H180" s="9" t="n">
        <v>386740737</v>
      </c>
      <c r="I180" s="9" t="n">
        <v>3372</v>
      </c>
      <c r="J180" s="9" t="n">
        <v>620995126</v>
      </c>
    </row>
    <row r="181" customFormat="false" ht="15.75" hidden="false" customHeight="false" outlineLevel="0" collapsed="false">
      <c r="A181" s="7" t="s">
        <v>189</v>
      </c>
      <c r="B181" s="7" t="n">
        <v>5</v>
      </c>
      <c r="C181" s="9" t="n">
        <v>105</v>
      </c>
      <c r="D181" s="9" t="n">
        <v>4663636</v>
      </c>
      <c r="E181" s="9" t="n">
        <v>45</v>
      </c>
      <c r="F181" s="9" t="n">
        <v>1998701</v>
      </c>
      <c r="G181" s="9" t="n">
        <v>150</v>
      </c>
      <c r="H181" s="9" t="n">
        <v>6662337</v>
      </c>
      <c r="I181" s="9" t="n">
        <v>0</v>
      </c>
      <c r="J181" s="9" t="n">
        <v>0</v>
      </c>
    </row>
    <row r="182" customFormat="false" ht="15.75" hidden="false" customHeight="false" outlineLevel="0" collapsed="false">
      <c r="A182" s="7" t="s">
        <v>190</v>
      </c>
      <c r="B182" s="7" t="n">
        <v>5</v>
      </c>
      <c r="C182" s="9" t="n">
        <v>3024</v>
      </c>
      <c r="D182" s="9" t="n">
        <v>88109466</v>
      </c>
      <c r="E182" s="9" t="n">
        <v>2205</v>
      </c>
      <c r="F182" s="9" t="n">
        <v>63840000</v>
      </c>
      <c r="G182" s="9" t="n">
        <v>1050</v>
      </c>
      <c r="H182" s="9" t="n">
        <v>30511941</v>
      </c>
      <c r="I182" s="9" t="n">
        <v>4179</v>
      </c>
      <c r="J182" s="9" t="n">
        <v>121437525</v>
      </c>
    </row>
    <row r="183" customFormat="false" ht="15.75" hidden="false" customHeight="false" outlineLevel="0" collapsed="false">
      <c r="A183" s="7" t="s">
        <v>191</v>
      </c>
      <c r="B183" s="7" t="n">
        <v>5</v>
      </c>
      <c r="C183" s="9" t="n">
        <v>35010</v>
      </c>
      <c r="D183" s="9" t="n">
        <v>899069530</v>
      </c>
      <c r="E183" s="9" t="n">
        <v>30240</v>
      </c>
      <c r="F183" s="9" t="n">
        <v>864120000</v>
      </c>
      <c r="G183" s="9" t="n">
        <v>38785</v>
      </c>
      <c r="H183" s="9" t="n">
        <v>1111270418</v>
      </c>
      <c r="I183" s="9" t="n">
        <v>26465</v>
      </c>
      <c r="J183" s="9" t="n">
        <v>651919112</v>
      </c>
    </row>
    <row r="184" customFormat="false" ht="15.75" hidden="false" customHeight="false" outlineLevel="0" collapsed="false">
      <c r="A184" s="7" t="s">
        <v>192</v>
      </c>
      <c r="B184" s="7" t="n">
        <v>5</v>
      </c>
      <c r="C184" s="9" t="n">
        <v>4440</v>
      </c>
      <c r="D184" s="9" t="n">
        <v>32227416</v>
      </c>
      <c r="E184" s="9" t="n">
        <v>1260</v>
      </c>
      <c r="F184" s="9" t="n">
        <v>9120000</v>
      </c>
      <c r="G184" s="9" t="n">
        <v>3000</v>
      </c>
      <c r="H184" s="9" t="n">
        <v>21761798</v>
      </c>
      <c r="I184" s="9" t="n">
        <v>2700</v>
      </c>
      <c r="J184" s="9" t="n">
        <v>19585618</v>
      </c>
    </row>
    <row r="185" customFormat="false" ht="15.75" hidden="false" customHeight="false" outlineLevel="0" collapsed="false">
      <c r="A185" s="7" t="s">
        <v>193</v>
      </c>
      <c r="B185" s="7" t="n">
        <v>5</v>
      </c>
      <c r="C185" s="9" t="n">
        <v>0</v>
      </c>
      <c r="D185" s="9" t="n">
        <v>0</v>
      </c>
      <c r="E185" s="9" t="n">
        <v>0</v>
      </c>
      <c r="F185" s="9" t="n">
        <v>0</v>
      </c>
      <c r="G185" s="9" t="n">
        <v>0</v>
      </c>
      <c r="H185" s="9" t="n">
        <v>0</v>
      </c>
      <c r="I185" s="9" t="n">
        <v>0</v>
      </c>
      <c r="J185" s="9" t="n">
        <v>0</v>
      </c>
    </row>
    <row r="186" customFormat="false" ht="15.75" hidden="false" customHeight="false" outlineLevel="0" collapsed="false">
      <c r="A186" s="7" t="s">
        <v>194</v>
      </c>
      <c r="B186" s="7" t="n">
        <v>5</v>
      </c>
      <c r="C186" s="9" t="n">
        <v>168970</v>
      </c>
      <c r="D186" s="9" t="n">
        <v>1120366161</v>
      </c>
      <c r="E186" s="9" t="n">
        <v>47250</v>
      </c>
      <c r="F186" s="9" t="n">
        <v>342000000</v>
      </c>
      <c r="G186" s="9" t="n">
        <v>183150</v>
      </c>
      <c r="H186" s="9" t="n">
        <v>1336310711</v>
      </c>
      <c r="I186" s="9" t="n">
        <v>33070</v>
      </c>
      <c r="J186" s="9" t="n">
        <v>126055450</v>
      </c>
    </row>
    <row r="187" customFormat="false" ht="15.75" hidden="false" customHeight="false" outlineLevel="0" collapsed="false">
      <c r="A187" s="7" t="s">
        <v>195</v>
      </c>
      <c r="B187" s="7" t="n">
        <v>5</v>
      </c>
      <c r="C187" s="9" t="n">
        <v>0</v>
      </c>
      <c r="D187" s="9" t="n">
        <v>0</v>
      </c>
      <c r="E187" s="9" t="n">
        <v>0</v>
      </c>
      <c r="F187" s="9" t="n">
        <v>0</v>
      </c>
      <c r="G187" s="9" t="n">
        <v>0</v>
      </c>
      <c r="H187" s="9" t="n">
        <v>0</v>
      </c>
      <c r="I187" s="9" t="n">
        <v>0</v>
      </c>
      <c r="J187" s="9" t="n">
        <v>0</v>
      </c>
    </row>
    <row r="188" customFormat="false" ht="15.75" hidden="false" customHeight="false" outlineLevel="0" collapsed="false">
      <c r="A188" s="7" t="s">
        <v>196</v>
      </c>
      <c r="B188" s="7" t="n">
        <v>5</v>
      </c>
      <c r="C188" s="9" t="n">
        <v>325</v>
      </c>
      <c r="D188" s="9" t="n">
        <v>54436698</v>
      </c>
      <c r="E188" s="9" t="n">
        <v>210</v>
      </c>
      <c r="F188" s="9" t="n">
        <v>35340000</v>
      </c>
      <c r="G188" s="9" t="n">
        <v>155</v>
      </c>
      <c r="H188" s="9" t="n">
        <v>26010071</v>
      </c>
      <c r="I188" s="9" t="n">
        <v>380</v>
      </c>
      <c r="J188" s="9" t="n">
        <v>63766627</v>
      </c>
    </row>
    <row r="189" customFormat="false" ht="15.75" hidden="false" customHeight="false" outlineLevel="0" collapsed="false">
      <c r="A189" s="7" t="s">
        <v>197</v>
      </c>
      <c r="B189" s="7" t="n">
        <v>5</v>
      </c>
      <c r="C189" s="9" t="n">
        <v>0</v>
      </c>
      <c r="D189" s="9" t="n">
        <v>0</v>
      </c>
      <c r="E189" s="9" t="n">
        <v>630</v>
      </c>
      <c r="F189" s="9" t="n">
        <v>4560000</v>
      </c>
      <c r="G189" s="9" t="n">
        <v>300</v>
      </c>
      <c r="H189" s="9" t="n">
        <v>2171429</v>
      </c>
      <c r="I189" s="9" t="n">
        <v>330</v>
      </c>
      <c r="J189" s="9" t="n">
        <v>2388571</v>
      </c>
    </row>
    <row r="190" customFormat="false" ht="15.75" hidden="false" customHeight="false" outlineLevel="0" collapsed="false">
      <c r="A190" s="7" t="s">
        <v>198</v>
      </c>
      <c r="B190" s="7" t="n">
        <v>5</v>
      </c>
      <c r="C190" s="9" t="n">
        <v>0</v>
      </c>
      <c r="D190" s="9" t="n">
        <v>0</v>
      </c>
      <c r="E190" s="9" t="n">
        <v>0</v>
      </c>
      <c r="F190" s="9" t="n">
        <v>0</v>
      </c>
      <c r="G190" s="9" t="n">
        <v>0</v>
      </c>
      <c r="H190" s="9" t="n">
        <v>0</v>
      </c>
      <c r="I190" s="9" t="n">
        <v>0</v>
      </c>
      <c r="J190" s="9" t="n">
        <v>0</v>
      </c>
    </row>
    <row r="191" customFormat="false" ht="15.75" hidden="false" customHeight="false" outlineLevel="0" collapsed="false">
      <c r="A191" s="7" t="s">
        <v>199</v>
      </c>
      <c r="B191" s="7" t="n">
        <v>5</v>
      </c>
      <c r="C191" s="9" t="n">
        <v>77660</v>
      </c>
      <c r="D191" s="9" t="n">
        <v>0</v>
      </c>
      <c r="E191" s="9" t="n">
        <v>0</v>
      </c>
      <c r="F191" s="9" t="n">
        <v>0</v>
      </c>
      <c r="G191" s="9" t="n">
        <v>0</v>
      </c>
      <c r="H191" s="9" t="n">
        <v>0</v>
      </c>
      <c r="I191" s="9" t="n">
        <v>77660</v>
      </c>
      <c r="J191" s="9" t="n">
        <v>0</v>
      </c>
    </row>
    <row r="192" customFormat="false" ht="15.75" hidden="false" customHeight="false" outlineLevel="0" collapsed="false">
      <c r="A192" s="7" t="s">
        <v>200</v>
      </c>
      <c r="B192" s="7" t="n">
        <v>5</v>
      </c>
      <c r="C192" s="9" t="n">
        <v>72</v>
      </c>
      <c r="D192" s="9" t="n">
        <v>504000</v>
      </c>
      <c r="E192" s="9" t="n">
        <v>0</v>
      </c>
      <c r="F192" s="9" t="n">
        <v>0</v>
      </c>
      <c r="G192" s="9" t="n">
        <v>0</v>
      </c>
      <c r="H192" s="9" t="n">
        <v>0</v>
      </c>
      <c r="I192" s="9" t="n">
        <v>72</v>
      </c>
      <c r="J192" s="9" t="n">
        <v>504000</v>
      </c>
    </row>
    <row r="193" customFormat="false" ht="15.75" hidden="false" customHeight="false" outlineLevel="0" collapsed="false">
      <c r="A193" s="7" t="s">
        <v>201</v>
      </c>
      <c r="B193" s="7" t="n">
        <v>5</v>
      </c>
      <c r="C193" s="9" t="n">
        <v>1440</v>
      </c>
      <c r="D193" s="9" t="n">
        <v>21537059</v>
      </c>
      <c r="E193" s="9" t="n">
        <v>0</v>
      </c>
      <c r="F193" s="9" t="n">
        <v>0</v>
      </c>
      <c r="G193" s="9" t="n">
        <v>0</v>
      </c>
      <c r="H193" s="9" t="n">
        <v>0</v>
      </c>
      <c r="I193" s="9" t="n">
        <v>1440</v>
      </c>
      <c r="J193" s="9" t="n">
        <v>21537059</v>
      </c>
    </row>
    <row r="194" customFormat="false" ht="15.75" hidden="false" customHeight="false" outlineLevel="0" collapsed="false">
      <c r="A194" s="7" t="s">
        <v>202</v>
      </c>
      <c r="B194" s="7" t="n">
        <v>5</v>
      </c>
      <c r="C194" s="9" t="n">
        <v>0</v>
      </c>
      <c r="D194" s="9" t="n">
        <v>0</v>
      </c>
      <c r="E194" s="9" t="n">
        <v>0</v>
      </c>
      <c r="F194" s="9" t="n">
        <v>0</v>
      </c>
      <c r="G194" s="9" t="n">
        <v>0</v>
      </c>
      <c r="H194" s="9" t="n">
        <v>0</v>
      </c>
      <c r="I194" s="9" t="n">
        <v>0</v>
      </c>
      <c r="J194" s="9" t="n">
        <v>0</v>
      </c>
    </row>
    <row r="195" customFormat="false" ht="15.75" hidden="false" customHeight="false" outlineLevel="0" collapsed="false">
      <c r="A195" s="7" t="s">
        <v>203</v>
      </c>
      <c r="B195" s="7" t="n">
        <v>5</v>
      </c>
      <c r="C195" s="9" t="n">
        <v>2150</v>
      </c>
      <c r="D195" s="9" t="n">
        <v>25234550</v>
      </c>
      <c r="E195" s="9" t="n">
        <v>3744</v>
      </c>
      <c r="F195" s="9" t="n">
        <v>43943328</v>
      </c>
      <c r="G195" s="9" t="n">
        <v>0</v>
      </c>
      <c r="H195" s="9" t="n">
        <v>0</v>
      </c>
      <c r="I195" s="9" t="n">
        <v>5894</v>
      </c>
      <c r="J195" s="9" t="n">
        <v>69177878</v>
      </c>
    </row>
    <row r="196" customFormat="false" ht="15.75" hidden="false" customHeight="false" outlineLevel="0" collapsed="false">
      <c r="A196" s="7" t="s">
        <v>204</v>
      </c>
      <c r="B196" s="7" t="n">
        <v>5</v>
      </c>
      <c r="C196" s="9" t="n">
        <v>5772</v>
      </c>
      <c r="D196" s="9" t="n">
        <v>154143658</v>
      </c>
      <c r="E196" s="9" t="n">
        <v>1440</v>
      </c>
      <c r="F196" s="9" t="n">
        <v>46094400</v>
      </c>
      <c r="G196" s="9" t="n">
        <v>549</v>
      </c>
      <c r="H196" s="9" t="n">
        <v>15242747</v>
      </c>
      <c r="I196" s="9" t="n">
        <v>6663</v>
      </c>
      <c r="J196" s="9" t="n">
        <v>184995311</v>
      </c>
    </row>
    <row r="197" customFormat="false" ht="15.75" hidden="false" customHeight="false" outlineLevel="0" collapsed="false">
      <c r="A197" s="7" t="s">
        <v>205</v>
      </c>
      <c r="B197" s="7" t="n">
        <v>5</v>
      </c>
      <c r="C197" s="9" t="n">
        <v>1392</v>
      </c>
      <c r="D197" s="9" t="n">
        <v>89596747</v>
      </c>
      <c r="E197" s="9" t="n">
        <v>0</v>
      </c>
      <c r="F197" s="9" t="n">
        <v>0</v>
      </c>
      <c r="G197" s="9" t="n">
        <v>48</v>
      </c>
      <c r="H197" s="9" t="n">
        <v>3089543</v>
      </c>
      <c r="I197" s="9" t="n">
        <v>1344</v>
      </c>
      <c r="J197" s="9" t="n">
        <v>86507204</v>
      </c>
    </row>
    <row r="198" customFormat="false" ht="15.75" hidden="false" customHeight="false" outlineLevel="0" collapsed="false">
      <c r="A198" s="7" t="s">
        <v>206</v>
      </c>
      <c r="B198" s="7" t="n">
        <v>5</v>
      </c>
      <c r="C198" s="9" t="n">
        <v>554</v>
      </c>
      <c r="D198" s="9" t="n">
        <v>16629666</v>
      </c>
      <c r="E198" s="9" t="n">
        <v>480</v>
      </c>
      <c r="F198" s="9" t="n">
        <v>15774528</v>
      </c>
      <c r="G198" s="9" t="n">
        <v>50</v>
      </c>
      <c r="H198" s="9" t="n">
        <v>1566934</v>
      </c>
      <c r="I198" s="9" t="n">
        <v>984</v>
      </c>
      <c r="J198" s="9" t="n">
        <v>30837260</v>
      </c>
    </row>
    <row r="199" customFormat="false" ht="15.75" hidden="false" customHeight="false" outlineLevel="0" collapsed="false">
      <c r="A199" s="7" t="s">
        <v>207</v>
      </c>
      <c r="B199" s="7" t="n">
        <v>5</v>
      </c>
      <c r="C199" s="9" t="n">
        <v>0</v>
      </c>
      <c r="D199" s="9" t="n">
        <v>0</v>
      </c>
      <c r="E199" s="9" t="n">
        <v>1080</v>
      </c>
      <c r="F199" s="9" t="n">
        <v>4609440</v>
      </c>
      <c r="G199" s="9" t="n">
        <v>0</v>
      </c>
      <c r="H199" s="9" t="n">
        <v>0</v>
      </c>
      <c r="I199" s="9" t="n">
        <v>1080</v>
      </c>
      <c r="J199" s="9" t="n">
        <v>4609440</v>
      </c>
    </row>
    <row r="200" customFormat="false" ht="15.75" hidden="false" customHeight="false" outlineLevel="0" collapsed="false">
      <c r="A200" s="7" t="s">
        <v>208</v>
      </c>
      <c r="B200" s="7" t="n">
        <v>5</v>
      </c>
      <c r="C200" s="9" t="n">
        <v>1949</v>
      </c>
      <c r="D200" s="9" t="n">
        <v>18015639</v>
      </c>
      <c r="E200" s="9" t="n">
        <v>0</v>
      </c>
      <c r="F200" s="9" t="n">
        <v>0</v>
      </c>
      <c r="G200" s="9" t="n">
        <v>72</v>
      </c>
      <c r="H200" s="9" t="n">
        <v>665534</v>
      </c>
      <c r="I200" s="9" t="n">
        <v>1877</v>
      </c>
      <c r="J200" s="9" t="n">
        <v>17350105</v>
      </c>
    </row>
    <row r="201" customFormat="false" ht="15.75" hidden="false" customHeight="false" outlineLevel="0" collapsed="false">
      <c r="A201" s="7" t="s">
        <v>209</v>
      </c>
      <c r="B201" s="7" t="n">
        <v>5</v>
      </c>
      <c r="C201" s="9" t="n">
        <v>0</v>
      </c>
      <c r="D201" s="9" t="n">
        <v>0</v>
      </c>
      <c r="E201" s="9" t="n">
        <v>0</v>
      </c>
      <c r="F201" s="9" t="n">
        <v>0</v>
      </c>
      <c r="G201" s="9" t="n">
        <v>0</v>
      </c>
      <c r="H201" s="9" t="n">
        <v>0</v>
      </c>
      <c r="I201" s="9" t="n">
        <v>0</v>
      </c>
      <c r="J201" s="9" t="n">
        <v>0</v>
      </c>
    </row>
    <row r="202" customFormat="false" ht="15.75" hidden="false" customHeight="false" outlineLevel="0" collapsed="false">
      <c r="A202" s="7" t="s">
        <v>210</v>
      </c>
      <c r="B202" s="7" t="n">
        <v>5</v>
      </c>
      <c r="C202" s="9" t="n">
        <v>625</v>
      </c>
      <c r="D202" s="9" t="n">
        <v>6930861</v>
      </c>
      <c r="E202" s="9" t="n">
        <v>0</v>
      </c>
      <c r="F202" s="9" t="n">
        <v>0</v>
      </c>
      <c r="G202" s="9" t="n">
        <v>0</v>
      </c>
      <c r="H202" s="9" t="n">
        <v>0</v>
      </c>
      <c r="I202" s="9" t="n">
        <v>625</v>
      </c>
      <c r="J202" s="9" t="n">
        <v>6930861</v>
      </c>
    </row>
    <row r="203" customFormat="false" ht="15.75" hidden="false" customHeight="false" outlineLevel="0" collapsed="false">
      <c r="A203" s="7" t="s">
        <v>211</v>
      </c>
      <c r="B203" s="7" t="n">
        <v>5</v>
      </c>
      <c r="C203" s="9" t="n">
        <v>0</v>
      </c>
      <c r="D203" s="9" t="n">
        <v>0</v>
      </c>
      <c r="E203" s="9" t="n">
        <v>0</v>
      </c>
      <c r="F203" s="9" t="n">
        <v>0</v>
      </c>
      <c r="G203" s="9" t="n">
        <v>0</v>
      </c>
      <c r="H203" s="9" t="n">
        <v>0</v>
      </c>
      <c r="I203" s="9" t="n">
        <v>0</v>
      </c>
      <c r="J203" s="9" t="n">
        <v>0</v>
      </c>
    </row>
    <row r="204" customFormat="false" ht="15.75" hidden="false" customHeight="false" outlineLevel="0" collapsed="false">
      <c r="A204" s="7" t="s">
        <v>212</v>
      </c>
      <c r="B204" s="7" t="n">
        <v>5</v>
      </c>
      <c r="C204" s="9" t="n">
        <v>17663</v>
      </c>
      <c r="D204" s="9" t="n">
        <v>219303674</v>
      </c>
      <c r="E204" s="9" t="n">
        <v>5040</v>
      </c>
      <c r="F204" s="9" t="n">
        <v>62576640</v>
      </c>
      <c r="G204" s="9" t="n">
        <v>12032</v>
      </c>
      <c r="H204" s="9" t="n">
        <v>149389241</v>
      </c>
      <c r="I204" s="9" t="n">
        <v>10671</v>
      </c>
      <c r="J204" s="9" t="n">
        <v>132491073</v>
      </c>
    </row>
    <row r="205" customFormat="false" ht="15.75" hidden="false" customHeight="false" outlineLevel="0" collapsed="false">
      <c r="A205" s="7" t="s">
        <v>213</v>
      </c>
      <c r="B205" s="7" t="n">
        <v>5</v>
      </c>
      <c r="C205" s="9" t="n">
        <v>2160</v>
      </c>
      <c r="D205" s="9" t="n">
        <v>45884880</v>
      </c>
      <c r="E205" s="9" t="n">
        <v>2160</v>
      </c>
      <c r="F205" s="9" t="n">
        <v>45884880</v>
      </c>
      <c r="G205" s="9" t="n">
        <v>0</v>
      </c>
      <c r="H205" s="9" t="n">
        <v>0</v>
      </c>
      <c r="I205" s="9" t="n">
        <v>4320</v>
      </c>
      <c r="J205" s="9" t="n">
        <v>91769760</v>
      </c>
    </row>
    <row r="206" customFormat="false" ht="15.75" hidden="false" customHeight="false" outlineLevel="0" collapsed="false">
      <c r="A206" s="7" t="s">
        <v>214</v>
      </c>
      <c r="B206" s="7" t="n">
        <v>5</v>
      </c>
      <c r="C206" s="9" t="n">
        <v>10143</v>
      </c>
      <c r="D206" s="9" t="n">
        <v>231650166</v>
      </c>
      <c r="E206" s="9" t="n">
        <v>3240</v>
      </c>
      <c r="F206" s="9" t="n">
        <v>79827120</v>
      </c>
      <c r="G206" s="9" t="n">
        <v>410</v>
      </c>
      <c r="H206" s="9" t="n">
        <v>9542381</v>
      </c>
      <c r="I206" s="9" t="n">
        <v>12973</v>
      </c>
      <c r="J206" s="9" t="n">
        <v>301934905</v>
      </c>
    </row>
    <row r="207" customFormat="false" ht="15.75" hidden="false" customHeight="false" outlineLevel="0" collapsed="false">
      <c r="A207" s="7" t="s">
        <v>215</v>
      </c>
      <c r="B207" s="7" t="n">
        <v>5</v>
      </c>
      <c r="C207" s="9" t="n">
        <v>1408</v>
      </c>
      <c r="D207" s="9" t="n">
        <v>60093440</v>
      </c>
      <c r="E207" s="9" t="n">
        <v>4800</v>
      </c>
      <c r="F207" s="9" t="n">
        <v>204864000</v>
      </c>
      <c r="G207" s="9" t="n">
        <v>48</v>
      </c>
      <c r="H207" s="9" t="n">
        <v>2048640</v>
      </c>
      <c r="I207" s="9" t="n">
        <v>6160</v>
      </c>
      <c r="J207" s="9" t="n">
        <v>262908800</v>
      </c>
    </row>
    <row r="208" customFormat="false" ht="15.75" hidden="false" customHeight="false" outlineLevel="0" collapsed="false">
      <c r="A208" s="7" t="s">
        <v>216</v>
      </c>
      <c r="B208" s="7" t="n">
        <v>5</v>
      </c>
      <c r="C208" s="9" t="n">
        <v>0</v>
      </c>
      <c r="D208" s="9" t="n">
        <v>0</v>
      </c>
      <c r="E208" s="9" t="n">
        <v>0</v>
      </c>
      <c r="F208" s="9" t="n">
        <v>0</v>
      </c>
      <c r="G208" s="9" t="n">
        <v>0</v>
      </c>
      <c r="H208" s="9" t="n">
        <v>0</v>
      </c>
      <c r="I208" s="9" t="n">
        <v>0</v>
      </c>
      <c r="J208" s="9" t="n">
        <v>0</v>
      </c>
    </row>
    <row r="209" customFormat="false" ht="15.75" hidden="false" customHeight="false" outlineLevel="0" collapsed="false">
      <c r="A209" s="7" t="s">
        <v>217</v>
      </c>
      <c r="B209" s="7" t="n">
        <v>5</v>
      </c>
      <c r="C209" s="9" t="n">
        <v>10</v>
      </c>
      <c r="D209" s="9" t="n">
        <v>1775003</v>
      </c>
      <c r="E209" s="9" t="n">
        <v>0</v>
      </c>
      <c r="F209" s="9" t="n">
        <v>0</v>
      </c>
      <c r="G209" s="9" t="n">
        <v>0</v>
      </c>
      <c r="H209" s="9" t="n">
        <v>0</v>
      </c>
      <c r="I209" s="9" t="n">
        <v>10</v>
      </c>
      <c r="J209" s="9" t="n">
        <v>1775003</v>
      </c>
    </row>
    <row r="210" customFormat="false" ht="15.75" hidden="false" customHeight="false" outlineLevel="0" collapsed="false">
      <c r="A210" s="7" t="s">
        <v>218</v>
      </c>
      <c r="B210" s="7" t="n">
        <v>5</v>
      </c>
      <c r="C210" s="9" t="n">
        <v>0</v>
      </c>
      <c r="D210" s="9" t="n">
        <v>0</v>
      </c>
      <c r="E210" s="9" t="n">
        <v>0</v>
      </c>
      <c r="F210" s="9" t="n">
        <v>0</v>
      </c>
      <c r="G210" s="9" t="n">
        <v>0</v>
      </c>
      <c r="H210" s="9" t="n">
        <v>0</v>
      </c>
      <c r="I210" s="9" t="n">
        <v>0</v>
      </c>
      <c r="J210" s="9" t="n">
        <v>0</v>
      </c>
    </row>
    <row r="211" customFormat="false" ht="15.75" hidden="false" customHeight="false" outlineLevel="0" collapsed="false">
      <c r="A211" s="7" t="s">
        <v>219</v>
      </c>
      <c r="B211" s="7" t="n">
        <v>5</v>
      </c>
      <c r="C211" s="9" t="n">
        <v>0</v>
      </c>
      <c r="D211" s="9" t="n">
        <v>0</v>
      </c>
      <c r="E211" s="9" t="n">
        <v>0</v>
      </c>
      <c r="F211" s="9" t="n">
        <v>0</v>
      </c>
      <c r="G211" s="9" t="n">
        <v>0</v>
      </c>
      <c r="H211" s="9" t="n">
        <v>0</v>
      </c>
      <c r="I211" s="9" t="n">
        <v>0</v>
      </c>
      <c r="J211" s="9" t="n">
        <v>0</v>
      </c>
    </row>
    <row r="212" customFormat="false" ht="15.75" hidden="false" customHeight="false" outlineLevel="0" collapsed="false">
      <c r="A212" s="7" t="s">
        <v>220</v>
      </c>
      <c r="B212" s="7" t="n">
        <v>5</v>
      </c>
      <c r="C212" s="9" t="n">
        <v>0</v>
      </c>
      <c r="D212" s="9" t="n">
        <v>0</v>
      </c>
      <c r="E212" s="9" t="n">
        <v>0</v>
      </c>
      <c r="F212" s="9" t="n">
        <v>0</v>
      </c>
      <c r="G212" s="9" t="n">
        <v>0</v>
      </c>
      <c r="H212" s="9" t="n">
        <v>0</v>
      </c>
      <c r="I212" s="9" t="n">
        <v>0</v>
      </c>
      <c r="J212" s="9" t="n">
        <v>0</v>
      </c>
    </row>
    <row r="213" customFormat="false" ht="15.75" hidden="false" customHeight="false" outlineLevel="0" collapsed="false">
      <c r="A213" s="7" t="s">
        <v>221</v>
      </c>
      <c r="B213" s="7" t="n">
        <v>5</v>
      </c>
      <c r="C213" s="9" t="n">
        <v>4104</v>
      </c>
      <c r="D213" s="9" t="n">
        <v>78988469</v>
      </c>
      <c r="E213" s="9" t="n">
        <v>1440</v>
      </c>
      <c r="F213" s="9" t="n">
        <v>28355040</v>
      </c>
      <c r="G213" s="9" t="n">
        <v>580</v>
      </c>
      <c r="H213" s="9" t="n">
        <v>11230021</v>
      </c>
      <c r="I213" s="9" t="n">
        <v>4964</v>
      </c>
      <c r="J213" s="9" t="n">
        <v>96113488</v>
      </c>
    </row>
    <row r="214" customFormat="false" ht="15.75" hidden="false" customHeight="false" outlineLevel="0" collapsed="false">
      <c r="A214" s="7" t="s">
        <v>222</v>
      </c>
      <c r="B214" s="7" t="n">
        <v>5</v>
      </c>
      <c r="C214" s="9" t="n">
        <v>601</v>
      </c>
      <c r="D214" s="9" t="n">
        <v>11155698</v>
      </c>
      <c r="E214" s="9" t="n">
        <v>2160</v>
      </c>
      <c r="F214" s="9" t="n">
        <v>51751440</v>
      </c>
      <c r="G214" s="9" t="n">
        <v>0</v>
      </c>
      <c r="H214" s="9" t="n">
        <v>0</v>
      </c>
      <c r="I214" s="9" t="n">
        <v>2761</v>
      </c>
      <c r="J214" s="9" t="n">
        <v>62907138</v>
      </c>
    </row>
    <row r="215" customFormat="false" ht="15.75" hidden="false" customHeight="false" outlineLevel="0" collapsed="false">
      <c r="A215" s="7" t="s">
        <v>223</v>
      </c>
      <c r="B215" s="7" t="n">
        <v>5</v>
      </c>
      <c r="C215" s="9" t="n">
        <v>865</v>
      </c>
      <c r="D215" s="9" t="n">
        <v>37407424</v>
      </c>
      <c r="E215" s="9" t="n">
        <v>0</v>
      </c>
      <c r="F215" s="9" t="n">
        <v>0</v>
      </c>
      <c r="G215" s="9" t="n">
        <v>0</v>
      </c>
      <c r="H215" s="9" t="n">
        <v>0</v>
      </c>
      <c r="I215" s="9" t="n">
        <v>865</v>
      </c>
      <c r="J215" s="9" t="n">
        <v>37407424</v>
      </c>
    </row>
    <row r="216" customFormat="false" ht="15.75" hidden="false" customHeight="false" outlineLevel="0" collapsed="false">
      <c r="A216" s="7" t="s">
        <v>224</v>
      </c>
      <c r="B216" s="7" t="n">
        <v>5</v>
      </c>
      <c r="C216" s="9" t="n">
        <v>336</v>
      </c>
      <c r="D216" s="9" t="n">
        <v>6713952</v>
      </c>
      <c r="E216" s="9" t="n">
        <v>0</v>
      </c>
      <c r="F216" s="9" t="n">
        <v>0</v>
      </c>
      <c r="G216" s="9" t="n">
        <v>0</v>
      </c>
      <c r="H216" s="9" t="n">
        <v>0</v>
      </c>
      <c r="I216" s="9" t="n">
        <v>336</v>
      </c>
      <c r="J216" s="9" t="n">
        <v>6713952</v>
      </c>
    </row>
    <row r="217" customFormat="false" ht="15.75" hidden="false" customHeight="false" outlineLevel="0" collapsed="false">
      <c r="A217" s="7" t="s">
        <v>225</v>
      </c>
      <c r="B217" s="7" t="n">
        <v>5</v>
      </c>
      <c r="C217" s="9" t="n">
        <v>0</v>
      </c>
      <c r="D217" s="9" t="n">
        <v>0</v>
      </c>
      <c r="E217" s="9" t="n">
        <v>0</v>
      </c>
      <c r="F217" s="9" t="n">
        <v>0</v>
      </c>
      <c r="G217" s="9" t="n">
        <v>0</v>
      </c>
      <c r="H217" s="9" t="n">
        <v>0</v>
      </c>
      <c r="I217" s="9" t="n">
        <v>0</v>
      </c>
      <c r="J217" s="9" t="n">
        <v>0</v>
      </c>
    </row>
    <row r="218" customFormat="false" ht="15.75" hidden="false" customHeight="false" outlineLevel="0" collapsed="false">
      <c r="A218" s="7" t="s">
        <v>226</v>
      </c>
      <c r="B218" s="7" t="n">
        <v>5</v>
      </c>
      <c r="C218" s="9" t="n">
        <v>0</v>
      </c>
      <c r="D218" s="9" t="n">
        <v>0</v>
      </c>
      <c r="E218" s="9" t="n">
        <v>360</v>
      </c>
      <c r="F218" s="9" t="n">
        <v>7553196</v>
      </c>
      <c r="G218" s="9" t="n">
        <v>0</v>
      </c>
      <c r="H218" s="9" t="n">
        <v>0</v>
      </c>
      <c r="I218" s="9" t="n">
        <v>360</v>
      </c>
      <c r="J218" s="9" t="n">
        <v>7553196</v>
      </c>
    </row>
    <row r="219" customFormat="false" ht="15.75" hidden="false" customHeight="false" outlineLevel="0" collapsed="false">
      <c r="A219" s="7" t="s">
        <v>227</v>
      </c>
      <c r="B219" s="7" t="n">
        <v>5</v>
      </c>
      <c r="C219" s="9" t="n">
        <v>491</v>
      </c>
      <c r="D219" s="9" t="n">
        <v>0</v>
      </c>
      <c r="E219" s="9" t="n">
        <v>0</v>
      </c>
      <c r="F219" s="9" t="n">
        <v>0</v>
      </c>
      <c r="G219" s="9" t="n">
        <v>0</v>
      </c>
      <c r="H219" s="9" t="n">
        <v>0</v>
      </c>
      <c r="I219" s="9" t="n">
        <v>491</v>
      </c>
      <c r="J219" s="9" t="n">
        <v>0</v>
      </c>
    </row>
    <row r="220" customFormat="false" ht="15.75" hidden="false" customHeight="false" outlineLevel="0" collapsed="false">
      <c r="A220" s="7" t="s">
        <v>228</v>
      </c>
      <c r="B220" s="7" t="n">
        <v>5</v>
      </c>
      <c r="C220" s="9" t="n">
        <v>1155</v>
      </c>
      <c r="D220" s="9" t="n">
        <v>102372628</v>
      </c>
      <c r="E220" s="9" t="n">
        <v>56</v>
      </c>
      <c r="F220" s="9" t="n">
        <v>4917248</v>
      </c>
      <c r="G220" s="9" t="n">
        <v>0</v>
      </c>
      <c r="H220" s="9" t="n">
        <v>0</v>
      </c>
      <c r="I220" s="9" t="n">
        <v>1211</v>
      </c>
      <c r="J220" s="9" t="n">
        <v>107289876</v>
      </c>
    </row>
    <row r="221" customFormat="false" ht="15.75" hidden="false" customHeight="false" outlineLevel="0" collapsed="false">
      <c r="A221" s="7" t="s">
        <v>229</v>
      </c>
      <c r="B221" s="7" t="n">
        <v>5</v>
      </c>
      <c r="C221" s="9" t="n">
        <v>1551</v>
      </c>
      <c r="D221" s="9" t="n">
        <v>141294093</v>
      </c>
      <c r="E221" s="9" t="n">
        <v>462</v>
      </c>
      <c r="F221" s="9" t="n">
        <v>43148028</v>
      </c>
      <c r="G221" s="9" t="n">
        <v>0</v>
      </c>
      <c r="H221" s="9" t="n">
        <v>0</v>
      </c>
      <c r="I221" s="9" t="n">
        <v>2013</v>
      </c>
      <c r="J221" s="9" t="n">
        <v>184442121</v>
      </c>
    </row>
    <row r="222" customFormat="false" ht="15.75" hidden="false" customHeight="false" outlineLevel="0" collapsed="false">
      <c r="A222" s="7" t="s">
        <v>230</v>
      </c>
      <c r="B222" s="7" t="n">
        <v>5</v>
      </c>
      <c r="C222" s="9" t="n">
        <v>0</v>
      </c>
      <c r="D222" s="9" t="n">
        <v>0</v>
      </c>
      <c r="E222" s="9" t="n">
        <v>0</v>
      </c>
      <c r="F222" s="9" t="n">
        <v>0</v>
      </c>
      <c r="G222" s="9" t="n">
        <v>0</v>
      </c>
      <c r="H222" s="9" t="n">
        <v>0</v>
      </c>
      <c r="I222" s="9" t="n">
        <v>0</v>
      </c>
      <c r="J222" s="9" t="n">
        <v>0</v>
      </c>
    </row>
    <row r="223" customFormat="false" ht="15.75" hidden="false" customHeight="false" outlineLevel="0" collapsed="false">
      <c r="A223" s="7" t="s">
        <v>231</v>
      </c>
      <c r="B223" s="7" t="n">
        <v>5</v>
      </c>
      <c r="C223" s="9" t="n">
        <v>0</v>
      </c>
      <c r="D223" s="9" t="n">
        <v>0</v>
      </c>
      <c r="E223" s="9" t="n">
        <v>0</v>
      </c>
      <c r="F223" s="9" t="n">
        <v>0</v>
      </c>
      <c r="G223" s="9" t="n">
        <v>0</v>
      </c>
      <c r="H223" s="9" t="n">
        <v>0</v>
      </c>
      <c r="I223" s="9" t="n">
        <v>0</v>
      </c>
      <c r="J223" s="9" t="n">
        <v>0</v>
      </c>
    </row>
    <row r="224" customFormat="false" ht="15.75" hidden="false" customHeight="false" outlineLevel="0" collapsed="false">
      <c r="A224" s="7" t="s">
        <v>232</v>
      </c>
      <c r="B224" s="7" t="n">
        <v>5</v>
      </c>
      <c r="C224" s="9" t="n">
        <v>2195</v>
      </c>
      <c r="D224" s="9" t="n">
        <v>136581026</v>
      </c>
      <c r="E224" s="9" t="n">
        <v>284</v>
      </c>
      <c r="F224" s="9" t="n">
        <v>17277086</v>
      </c>
      <c r="G224" s="9" t="n">
        <v>1488</v>
      </c>
      <c r="H224" s="9" t="n">
        <v>92352106</v>
      </c>
      <c r="I224" s="9" t="n">
        <v>991</v>
      </c>
      <c r="J224" s="9" t="n">
        <v>61506006</v>
      </c>
    </row>
    <row r="225" customFormat="false" ht="15.75" hidden="false" customHeight="false" outlineLevel="0" collapsed="false">
      <c r="A225" s="7" t="s">
        <v>233</v>
      </c>
      <c r="B225" s="7" t="n">
        <v>5</v>
      </c>
      <c r="C225" s="9" t="n">
        <v>6029</v>
      </c>
      <c r="D225" s="9" t="n">
        <v>366439886</v>
      </c>
      <c r="E225" s="9" t="n">
        <v>2941</v>
      </c>
      <c r="F225" s="9" t="n">
        <v>176870400</v>
      </c>
      <c r="G225" s="9" t="n">
        <v>7410</v>
      </c>
      <c r="H225" s="9" t="n">
        <v>448821541</v>
      </c>
      <c r="I225" s="9" t="n">
        <v>1560</v>
      </c>
      <c r="J225" s="9" t="n">
        <v>94488745</v>
      </c>
    </row>
    <row r="226" customFormat="false" ht="15.75" hidden="false" customHeight="false" outlineLevel="0" collapsed="false">
      <c r="A226" s="7" t="s">
        <v>234</v>
      </c>
      <c r="B226" s="7" t="n">
        <v>5</v>
      </c>
      <c r="C226" s="9" t="n">
        <v>15320</v>
      </c>
      <c r="D226" s="9" t="n">
        <v>863227991</v>
      </c>
      <c r="E226" s="9" t="n">
        <v>14900</v>
      </c>
      <c r="F226" s="9" t="n">
        <v>851065320</v>
      </c>
      <c r="G226" s="9" t="n">
        <v>19229</v>
      </c>
      <c r="H226" s="9" t="n">
        <v>1090805628</v>
      </c>
      <c r="I226" s="9" t="n">
        <v>10991</v>
      </c>
      <c r="J226" s="9" t="n">
        <v>623487683</v>
      </c>
    </row>
    <row r="227" customFormat="false" ht="15.75" hidden="false" customHeight="false" outlineLevel="0" collapsed="false">
      <c r="A227" s="7" t="s">
        <v>235</v>
      </c>
      <c r="B227" s="7" t="n">
        <v>5</v>
      </c>
      <c r="C227" s="9" t="n">
        <v>1740</v>
      </c>
      <c r="D227" s="9" t="n">
        <v>120251292</v>
      </c>
      <c r="E227" s="9" t="n">
        <v>120</v>
      </c>
      <c r="F227" s="9" t="n">
        <v>8467200</v>
      </c>
      <c r="G227" s="9" t="n">
        <v>792</v>
      </c>
      <c r="H227" s="9" t="n">
        <v>54809164</v>
      </c>
      <c r="I227" s="9" t="n">
        <v>1068</v>
      </c>
      <c r="J227" s="9" t="n">
        <v>73909328</v>
      </c>
    </row>
    <row r="228" customFormat="false" ht="15.75" hidden="false" customHeight="false" outlineLevel="0" collapsed="false">
      <c r="A228" s="7" t="s">
        <v>236</v>
      </c>
      <c r="B228" s="7" t="n">
        <v>5</v>
      </c>
      <c r="C228" s="9" t="n">
        <v>0</v>
      </c>
      <c r="D228" s="9" t="n">
        <v>0</v>
      </c>
      <c r="E228" s="9" t="n">
        <v>0</v>
      </c>
      <c r="F228" s="9" t="n">
        <v>0</v>
      </c>
      <c r="G228" s="9" t="n">
        <v>0</v>
      </c>
      <c r="H228" s="9" t="n">
        <v>0</v>
      </c>
      <c r="I228" s="9" t="n">
        <v>0</v>
      </c>
      <c r="J228" s="9" t="n">
        <v>0</v>
      </c>
    </row>
    <row r="229" customFormat="false" ht="15.75" hidden="false" customHeight="false" outlineLevel="0" collapsed="false">
      <c r="A229" s="7" t="s">
        <v>237</v>
      </c>
      <c r="B229" s="7" t="n">
        <v>5</v>
      </c>
      <c r="C229" s="9" t="n">
        <v>276</v>
      </c>
      <c r="D229" s="9" t="n">
        <v>2253020</v>
      </c>
      <c r="E229" s="9" t="n">
        <v>0</v>
      </c>
      <c r="F229" s="9" t="n">
        <v>0</v>
      </c>
      <c r="G229" s="9" t="n">
        <v>0</v>
      </c>
      <c r="H229" s="9" t="n">
        <v>0</v>
      </c>
      <c r="I229" s="9" t="n">
        <v>276</v>
      </c>
      <c r="J229" s="9" t="n">
        <v>2253020</v>
      </c>
    </row>
    <row r="230" customFormat="false" ht="15.75" hidden="false" customHeight="false" outlineLevel="0" collapsed="false">
      <c r="A230" s="7" t="s">
        <v>238</v>
      </c>
      <c r="B230" s="7" t="n">
        <v>5</v>
      </c>
      <c r="C230" s="9" t="n">
        <v>892</v>
      </c>
      <c r="D230" s="9" t="n">
        <v>51943532</v>
      </c>
      <c r="E230" s="9" t="n">
        <v>202</v>
      </c>
      <c r="F230" s="9" t="n">
        <v>10779996</v>
      </c>
      <c r="G230" s="9" t="n">
        <v>89</v>
      </c>
      <c r="H230" s="9" t="n">
        <v>5102737</v>
      </c>
      <c r="I230" s="9" t="n">
        <v>1005</v>
      </c>
      <c r="J230" s="9" t="n">
        <v>57620791</v>
      </c>
    </row>
    <row r="231" customFormat="false" ht="15.75" hidden="false" customHeight="false" outlineLevel="0" collapsed="false">
      <c r="A231" s="7" t="s">
        <v>239</v>
      </c>
      <c r="B231" s="7" t="n">
        <v>5</v>
      </c>
      <c r="C231" s="9" t="n">
        <v>0</v>
      </c>
      <c r="D231" s="9" t="n">
        <v>0</v>
      </c>
      <c r="E231" s="9" t="n">
        <v>40</v>
      </c>
      <c r="F231" s="9" t="n">
        <v>4760000</v>
      </c>
      <c r="G231" s="9" t="n">
        <v>40</v>
      </c>
      <c r="H231" s="9" t="n">
        <v>4760000</v>
      </c>
      <c r="I231" s="9" t="n">
        <v>0</v>
      </c>
      <c r="J231" s="9" t="n">
        <v>0</v>
      </c>
    </row>
    <row r="232" customFormat="false" ht="15.75" hidden="false" customHeight="false" outlineLevel="0" collapsed="false">
      <c r="A232" s="7" t="s">
        <v>240</v>
      </c>
      <c r="B232" s="7" t="n">
        <v>5</v>
      </c>
      <c r="C232" s="9" t="n">
        <v>3603</v>
      </c>
      <c r="D232" s="9" t="n">
        <v>338804868</v>
      </c>
      <c r="E232" s="9" t="n">
        <v>1890</v>
      </c>
      <c r="F232" s="9" t="n">
        <v>176699880</v>
      </c>
      <c r="G232" s="9" t="n">
        <v>497</v>
      </c>
      <c r="H232" s="9" t="n">
        <v>46642246</v>
      </c>
      <c r="I232" s="9" t="n">
        <v>4996</v>
      </c>
      <c r="J232" s="9" t="n">
        <v>468862502</v>
      </c>
    </row>
    <row r="233" customFormat="false" ht="15.75" hidden="false" customHeight="false" outlineLevel="0" collapsed="false">
      <c r="A233" s="7" t="s">
        <v>241</v>
      </c>
      <c r="B233" s="7" t="n">
        <v>5</v>
      </c>
      <c r="C233" s="9" t="n">
        <v>1792</v>
      </c>
      <c r="D233" s="9" t="n">
        <v>147239492</v>
      </c>
      <c r="E233" s="9" t="n">
        <v>68</v>
      </c>
      <c r="F233" s="9" t="n">
        <v>0</v>
      </c>
      <c r="G233" s="9" t="n">
        <v>228</v>
      </c>
      <c r="H233" s="9" t="n">
        <v>18048712</v>
      </c>
      <c r="I233" s="9" t="n">
        <v>1632</v>
      </c>
      <c r="J233" s="9" t="n">
        <v>129190780</v>
      </c>
    </row>
    <row r="234" customFormat="false" ht="15.75" hidden="false" customHeight="false" outlineLevel="0" collapsed="false">
      <c r="A234" s="7" t="s">
        <v>242</v>
      </c>
      <c r="B234" s="7" t="n">
        <v>5</v>
      </c>
      <c r="C234" s="9" t="n">
        <v>2082</v>
      </c>
      <c r="D234" s="9" t="n">
        <v>142777612</v>
      </c>
      <c r="E234" s="9" t="n">
        <v>63</v>
      </c>
      <c r="F234" s="9" t="n">
        <v>4556412</v>
      </c>
      <c r="G234" s="9" t="n">
        <v>84</v>
      </c>
      <c r="H234" s="9" t="n">
        <v>5769724</v>
      </c>
      <c r="I234" s="9" t="n">
        <v>2061</v>
      </c>
      <c r="J234" s="9" t="n">
        <v>141564300</v>
      </c>
    </row>
    <row r="235" customFormat="false" ht="15.75" hidden="false" customHeight="false" outlineLevel="0" collapsed="false">
      <c r="A235" s="7" t="s">
        <v>243</v>
      </c>
      <c r="B235" s="7" t="n">
        <v>5</v>
      </c>
      <c r="C235" s="9" t="n">
        <v>1190</v>
      </c>
      <c r="D235" s="9" t="n">
        <v>111646076</v>
      </c>
      <c r="E235" s="9" t="n">
        <v>259</v>
      </c>
      <c r="F235" s="9" t="n">
        <v>24189046</v>
      </c>
      <c r="G235" s="9" t="n">
        <v>56</v>
      </c>
      <c r="H235" s="9" t="n">
        <v>5249667</v>
      </c>
      <c r="I235" s="9" t="n">
        <v>1393</v>
      </c>
      <c r="J235" s="9" t="n">
        <v>130585455</v>
      </c>
    </row>
    <row r="236" customFormat="false" ht="15.75" hidden="false" customHeight="false" outlineLevel="0" collapsed="false">
      <c r="A236" s="7" t="s">
        <v>244</v>
      </c>
      <c r="B236" s="7" t="n">
        <v>5</v>
      </c>
      <c r="C236" s="9" t="n">
        <v>0</v>
      </c>
      <c r="D236" s="9" t="n">
        <v>0</v>
      </c>
      <c r="E236" s="9" t="n">
        <v>36</v>
      </c>
      <c r="F236" s="9" t="n">
        <v>3161088</v>
      </c>
      <c r="G236" s="9" t="n">
        <v>0</v>
      </c>
      <c r="H236" s="9" t="n">
        <v>0</v>
      </c>
      <c r="I236" s="9" t="n">
        <v>36</v>
      </c>
      <c r="J236" s="9" t="n">
        <v>3161088</v>
      </c>
    </row>
    <row r="237" customFormat="false" ht="15.75" hidden="false" customHeight="false" outlineLevel="0" collapsed="false">
      <c r="A237" s="7" t="s">
        <v>245</v>
      </c>
      <c r="B237" s="7" t="n">
        <v>5</v>
      </c>
      <c r="C237" s="9" t="n">
        <v>0</v>
      </c>
      <c r="D237" s="9" t="n">
        <v>0</v>
      </c>
      <c r="E237" s="9" t="n">
        <v>0</v>
      </c>
      <c r="F237" s="9" t="n">
        <v>0</v>
      </c>
      <c r="G237" s="9" t="n">
        <v>0</v>
      </c>
      <c r="H237" s="9" t="n">
        <v>0</v>
      </c>
      <c r="I237" s="9" t="n">
        <v>0</v>
      </c>
      <c r="J237" s="9" t="n">
        <v>0</v>
      </c>
    </row>
    <row r="238" customFormat="false" ht="15.75" hidden="false" customHeight="false" outlineLevel="0" collapsed="false">
      <c r="A238" s="7" t="s">
        <v>246</v>
      </c>
      <c r="B238" s="7" t="n">
        <v>5</v>
      </c>
      <c r="C238" s="9" t="n">
        <v>1584</v>
      </c>
      <c r="D238" s="9" t="n">
        <v>11290024</v>
      </c>
      <c r="E238" s="9" t="n">
        <v>1008</v>
      </c>
      <c r="F238" s="9" t="n">
        <v>7184561</v>
      </c>
      <c r="G238" s="9" t="n">
        <v>39</v>
      </c>
      <c r="H238" s="9" t="n">
        <v>277974</v>
      </c>
      <c r="I238" s="9" t="n">
        <v>2553</v>
      </c>
      <c r="J238" s="9" t="n">
        <v>18196611</v>
      </c>
    </row>
    <row r="239" customFormat="false" ht="15.75" hidden="false" customHeight="false" outlineLevel="0" collapsed="false">
      <c r="A239" s="7" t="s">
        <v>247</v>
      </c>
      <c r="B239" s="7" t="n">
        <v>5</v>
      </c>
      <c r="C239" s="9" t="n">
        <v>19747</v>
      </c>
      <c r="D239" s="9" t="n">
        <v>133217591</v>
      </c>
      <c r="E239" s="9" t="n">
        <v>5040</v>
      </c>
      <c r="F239" s="9" t="n">
        <v>35922802</v>
      </c>
      <c r="G239" s="9" t="n">
        <v>167</v>
      </c>
      <c r="H239" s="9" t="n">
        <v>1139567</v>
      </c>
      <c r="I239" s="9" t="n">
        <v>24620</v>
      </c>
      <c r="J239" s="9" t="n">
        <v>168000826</v>
      </c>
    </row>
    <row r="240" customFormat="false" ht="15.75" hidden="false" customHeight="false" outlineLevel="0" collapsed="false">
      <c r="A240" s="7" t="s">
        <v>248</v>
      </c>
      <c r="B240" s="7" t="n">
        <v>5</v>
      </c>
      <c r="C240" s="9" t="n">
        <v>48</v>
      </c>
      <c r="D240" s="9" t="n">
        <v>342122</v>
      </c>
      <c r="E240" s="9" t="n">
        <v>240</v>
      </c>
      <c r="F240" s="9" t="n">
        <v>1710610</v>
      </c>
      <c r="G240" s="9" t="n">
        <v>7</v>
      </c>
      <c r="H240" s="9" t="n">
        <v>49893</v>
      </c>
      <c r="I240" s="9" t="n">
        <v>281</v>
      </c>
      <c r="J240" s="9" t="n">
        <v>2002839</v>
      </c>
    </row>
    <row r="241" customFormat="false" ht="15.75" hidden="false" customHeight="false" outlineLevel="0" collapsed="false">
      <c r="A241" s="7" t="s">
        <v>249</v>
      </c>
      <c r="B241" s="7" t="n">
        <v>5</v>
      </c>
      <c r="C241" s="9" t="n">
        <v>288</v>
      </c>
      <c r="D241" s="9" t="n">
        <v>2052732</v>
      </c>
      <c r="E241" s="9" t="n">
        <v>0</v>
      </c>
      <c r="F241" s="9" t="n">
        <v>0</v>
      </c>
      <c r="G241" s="9" t="n">
        <v>3</v>
      </c>
      <c r="H241" s="9" t="n">
        <v>21383</v>
      </c>
      <c r="I241" s="9" t="n">
        <v>285</v>
      </c>
      <c r="J241" s="9" t="n">
        <v>2031349</v>
      </c>
    </row>
    <row r="242" customFormat="false" ht="15.75" hidden="false" customHeight="false" outlineLevel="0" collapsed="false">
      <c r="A242" s="7" t="s">
        <v>250</v>
      </c>
      <c r="B242" s="7" t="n">
        <v>5</v>
      </c>
      <c r="C242" s="9" t="n">
        <v>3650</v>
      </c>
      <c r="D242" s="9" t="n">
        <v>80017895</v>
      </c>
      <c r="E242" s="9" t="n">
        <v>3744</v>
      </c>
      <c r="F242" s="9" t="n">
        <v>26685510</v>
      </c>
      <c r="G242" s="9" t="n">
        <v>97</v>
      </c>
      <c r="H242" s="9" t="n">
        <v>1399815</v>
      </c>
      <c r="I242" s="9" t="n">
        <v>7297</v>
      </c>
      <c r="J242" s="9" t="n">
        <v>105303590</v>
      </c>
    </row>
    <row r="243" customFormat="false" ht="15.75" hidden="false" customHeight="false" outlineLevel="0" collapsed="false">
      <c r="A243" s="7" t="s">
        <v>251</v>
      </c>
      <c r="B243" s="7" t="n">
        <v>5</v>
      </c>
      <c r="C243" s="9" t="n">
        <v>0</v>
      </c>
      <c r="D243" s="9" t="n">
        <v>0</v>
      </c>
      <c r="E243" s="9" t="n">
        <v>0</v>
      </c>
      <c r="F243" s="9" t="n">
        <v>0</v>
      </c>
      <c r="G243" s="9" t="n">
        <v>0</v>
      </c>
      <c r="H243" s="9" t="n">
        <v>0</v>
      </c>
      <c r="I243" s="9" t="n">
        <v>0</v>
      </c>
      <c r="J243" s="9" t="n">
        <v>0</v>
      </c>
    </row>
    <row r="244" customFormat="false" ht="15.75" hidden="false" customHeight="false" outlineLevel="0" collapsed="false">
      <c r="A244" s="7" t="s">
        <v>252</v>
      </c>
      <c r="B244" s="7" t="n">
        <v>5</v>
      </c>
      <c r="C244" s="9" t="n">
        <v>0</v>
      </c>
      <c r="D244" s="9" t="n">
        <v>0</v>
      </c>
      <c r="E244" s="9" t="n">
        <v>0</v>
      </c>
      <c r="F244" s="9" t="n">
        <v>0</v>
      </c>
      <c r="G244" s="9" t="n">
        <v>0</v>
      </c>
      <c r="H244" s="9" t="n">
        <v>0</v>
      </c>
      <c r="I244" s="9" t="n">
        <v>0</v>
      </c>
      <c r="J244" s="9" t="n">
        <v>0</v>
      </c>
    </row>
    <row r="245" customFormat="false" ht="15.75" hidden="false" customHeight="false" outlineLevel="0" collapsed="false">
      <c r="A245" s="7" t="s">
        <v>253</v>
      </c>
      <c r="B245" s="7" t="n">
        <v>5</v>
      </c>
      <c r="C245" s="9" t="n">
        <v>0</v>
      </c>
      <c r="D245" s="9" t="n">
        <v>0</v>
      </c>
      <c r="E245" s="9" t="n">
        <v>0</v>
      </c>
      <c r="F245" s="9" t="n">
        <v>0</v>
      </c>
      <c r="G245" s="9" t="n">
        <v>0</v>
      </c>
      <c r="H245" s="9" t="n">
        <v>0</v>
      </c>
      <c r="I245" s="9" t="n">
        <v>0</v>
      </c>
      <c r="J245" s="9" t="n">
        <v>0</v>
      </c>
    </row>
    <row r="246" customFormat="false" ht="15.75" hidden="false" customHeight="false" outlineLevel="0" collapsed="false">
      <c r="A246" s="7" t="s">
        <v>254</v>
      </c>
      <c r="B246" s="7" t="n">
        <v>5</v>
      </c>
      <c r="C246" s="9" t="n">
        <v>143</v>
      </c>
      <c r="D246" s="9" t="n">
        <v>4813153</v>
      </c>
      <c r="E246" s="9" t="n">
        <v>270</v>
      </c>
      <c r="F246" s="9" t="n">
        <v>9279360</v>
      </c>
      <c r="G246" s="9" t="n">
        <v>280</v>
      </c>
      <c r="H246" s="9" t="n">
        <v>9554246</v>
      </c>
      <c r="I246" s="9" t="n">
        <v>133</v>
      </c>
      <c r="J246" s="9" t="n">
        <v>4538267</v>
      </c>
    </row>
    <row r="247" customFormat="false" ht="15.75" hidden="false" customHeight="false" outlineLevel="0" collapsed="false">
      <c r="A247" s="7" t="s">
        <v>255</v>
      </c>
      <c r="B247" s="7" t="n">
        <v>5</v>
      </c>
      <c r="C247" s="9" t="n">
        <v>2</v>
      </c>
      <c r="D247" s="9" t="n">
        <v>388972</v>
      </c>
      <c r="E247" s="9" t="n">
        <v>8</v>
      </c>
      <c r="F247" s="9" t="n">
        <v>1588992</v>
      </c>
      <c r="G247" s="9" t="n">
        <v>10</v>
      </c>
      <c r="H247" s="9" t="n">
        <v>1093106</v>
      </c>
      <c r="I247" s="9" t="n">
        <v>0</v>
      </c>
      <c r="J247" s="9" t="n">
        <v>884858</v>
      </c>
    </row>
    <row r="248" customFormat="false" ht="15.75" hidden="false" customHeight="false" outlineLevel="0" collapsed="false">
      <c r="A248" s="7" t="s">
        <v>256</v>
      </c>
      <c r="B248" s="7" t="n">
        <v>5</v>
      </c>
      <c r="C248" s="9" t="n">
        <v>35</v>
      </c>
      <c r="D248" s="9" t="n">
        <v>975087</v>
      </c>
      <c r="E248" s="9" t="n">
        <v>0</v>
      </c>
      <c r="F248" s="9" t="n">
        <v>0</v>
      </c>
      <c r="G248" s="9" t="n">
        <v>10</v>
      </c>
      <c r="H248" s="9" t="n">
        <v>278596</v>
      </c>
      <c r="I248" s="9" t="n">
        <v>25</v>
      </c>
      <c r="J248" s="9" t="n">
        <v>696491</v>
      </c>
    </row>
    <row r="249" customFormat="false" ht="15.75" hidden="false" customHeight="false" outlineLevel="0" collapsed="false">
      <c r="A249" s="7" t="s">
        <v>257</v>
      </c>
      <c r="B249" s="7" t="n">
        <v>5</v>
      </c>
      <c r="C249" s="9" t="n">
        <v>0</v>
      </c>
      <c r="D249" s="9" t="n">
        <v>0</v>
      </c>
      <c r="E249" s="9" t="n">
        <v>0</v>
      </c>
      <c r="F249" s="9" t="n">
        <v>0</v>
      </c>
      <c r="G249" s="9" t="n">
        <v>0</v>
      </c>
      <c r="H249" s="9" t="n">
        <v>0</v>
      </c>
      <c r="I249" s="9" t="n">
        <v>0</v>
      </c>
      <c r="J249" s="9" t="n">
        <v>0</v>
      </c>
    </row>
    <row r="250" customFormat="false" ht="15.75" hidden="false" customHeight="false" outlineLevel="0" collapsed="false">
      <c r="A250" s="7" t="s">
        <v>258</v>
      </c>
      <c r="B250" s="7" t="n">
        <v>5</v>
      </c>
      <c r="C250" s="9" t="n">
        <v>1315</v>
      </c>
      <c r="D250" s="9" t="n">
        <v>5802072</v>
      </c>
      <c r="E250" s="9" t="n">
        <v>330</v>
      </c>
      <c r="F250" s="9" t="n">
        <v>5056128</v>
      </c>
      <c r="G250" s="9" t="n">
        <v>360</v>
      </c>
      <c r="H250" s="9" t="n">
        <v>5479019</v>
      </c>
      <c r="I250" s="9" t="n">
        <v>1285</v>
      </c>
      <c r="J250" s="9" t="n">
        <v>5379181</v>
      </c>
    </row>
    <row r="251" customFormat="false" ht="15.75" hidden="false" customHeight="false" outlineLevel="0" collapsed="false">
      <c r="A251" s="7" t="s">
        <v>259</v>
      </c>
      <c r="B251" s="7" t="n">
        <v>5</v>
      </c>
      <c r="C251" s="9" t="n">
        <v>110</v>
      </c>
      <c r="D251" s="9" t="n">
        <v>2420810</v>
      </c>
      <c r="E251" s="9" t="n">
        <v>0</v>
      </c>
      <c r="F251" s="9" t="n">
        <v>0</v>
      </c>
      <c r="G251" s="9" t="n">
        <v>0</v>
      </c>
      <c r="H251" s="9" t="n">
        <v>0</v>
      </c>
      <c r="I251" s="9" t="n">
        <v>110</v>
      </c>
      <c r="J251" s="9" t="n">
        <v>2420810</v>
      </c>
    </row>
    <row r="252" customFormat="false" ht="15.75" hidden="false" customHeight="false" outlineLevel="0" collapsed="false">
      <c r="A252" s="7" t="s">
        <v>260</v>
      </c>
      <c r="B252" s="7" t="n">
        <v>5</v>
      </c>
      <c r="C252" s="9" t="n">
        <v>2</v>
      </c>
      <c r="D252" s="9" t="n">
        <v>109792</v>
      </c>
      <c r="E252" s="9" t="n">
        <v>0</v>
      </c>
      <c r="F252" s="9" t="n">
        <v>0</v>
      </c>
      <c r="G252" s="9" t="n">
        <v>0</v>
      </c>
      <c r="H252" s="9" t="n">
        <v>0</v>
      </c>
      <c r="I252" s="9" t="n">
        <v>2</v>
      </c>
      <c r="J252" s="9" t="n">
        <v>109792</v>
      </c>
    </row>
    <row r="253" customFormat="false" ht="15.75" hidden="false" customHeight="false" outlineLevel="0" collapsed="false">
      <c r="A253" s="7" t="s">
        <v>261</v>
      </c>
      <c r="B253" s="7" t="n">
        <v>5</v>
      </c>
      <c r="C253" s="9" t="n">
        <v>0</v>
      </c>
      <c r="D253" s="9" t="n">
        <v>0</v>
      </c>
      <c r="E253" s="9" t="n">
        <v>0</v>
      </c>
      <c r="F253" s="9" t="n">
        <v>0</v>
      </c>
      <c r="G253" s="9" t="n">
        <v>0</v>
      </c>
      <c r="H253" s="9" t="n">
        <v>0</v>
      </c>
      <c r="I253" s="9" t="n">
        <v>0</v>
      </c>
      <c r="J253" s="9" t="n">
        <v>0</v>
      </c>
    </row>
    <row r="254" customFormat="false" ht="15.75" hidden="false" customHeight="false" outlineLevel="0" collapsed="false">
      <c r="A254" s="7" t="s">
        <v>262</v>
      </c>
      <c r="B254" s="7" t="n">
        <v>5</v>
      </c>
      <c r="C254" s="9" t="n">
        <v>0</v>
      </c>
      <c r="D254" s="9" t="n">
        <v>0</v>
      </c>
      <c r="E254" s="9" t="n">
        <v>0</v>
      </c>
      <c r="F254" s="9" t="n">
        <v>0</v>
      </c>
      <c r="G254" s="9" t="n">
        <v>0</v>
      </c>
      <c r="H254" s="9" t="n">
        <v>0</v>
      </c>
      <c r="I254" s="9" t="n">
        <v>0</v>
      </c>
      <c r="J254" s="9" t="n">
        <v>0</v>
      </c>
    </row>
    <row r="255" customFormat="false" ht="15.75" hidden="false" customHeight="false" outlineLevel="0" collapsed="false">
      <c r="A255" s="7" t="s">
        <v>263</v>
      </c>
      <c r="B255" s="7" t="n">
        <v>5</v>
      </c>
      <c r="C255" s="9" t="n">
        <v>0</v>
      </c>
      <c r="D255" s="9" t="n">
        <v>0</v>
      </c>
      <c r="E255" s="9" t="n">
        <v>0</v>
      </c>
      <c r="F255" s="9" t="n">
        <v>0</v>
      </c>
      <c r="G255" s="9" t="n">
        <v>0</v>
      </c>
      <c r="H255" s="9" t="n">
        <v>0</v>
      </c>
      <c r="I255" s="9" t="n">
        <v>0</v>
      </c>
      <c r="J255" s="9" t="n">
        <v>0</v>
      </c>
    </row>
    <row r="256" customFormat="false" ht="15.75" hidden="false" customHeight="false" outlineLevel="0" collapsed="false">
      <c r="A256" s="7" t="s">
        <v>264</v>
      </c>
      <c r="B256" s="7" t="n">
        <v>5</v>
      </c>
      <c r="C256" s="9" t="n">
        <v>0</v>
      </c>
      <c r="D256" s="9" t="n">
        <v>0</v>
      </c>
      <c r="E256" s="9" t="n">
        <v>0</v>
      </c>
      <c r="F256" s="9" t="n">
        <v>0</v>
      </c>
      <c r="G256" s="9" t="n">
        <v>0</v>
      </c>
      <c r="H256" s="9" t="n">
        <v>0</v>
      </c>
      <c r="I256" s="9" t="n">
        <v>0</v>
      </c>
      <c r="J256" s="9" t="n">
        <v>0</v>
      </c>
    </row>
    <row r="257" customFormat="false" ht="15.75" hidden="false" customHeight="false" outlineLevel="0" collapsed="false">
      <c r="A257" s="7" t="s">
        <v>265</v>
      </c>
      <c r="B257" s="7" t="n">
        <v>5</v>
      </c>
      <c r="C257" s="9" t="n">
        <v>0</v>
      </c>
      <c r="D257" s="9" t="n">
        <v>0</v>
      </c>
      <c r="E257" s="9" t="n">
        <v>0</v>
      </c>
      <c r="F257" s="9" t="n">
        <v>0</v>
      </c>
      <c r="G257" s="9" t="n">
        <v>0</v>
      </c>
      <c r="H257" s="9" t="n">
        <v>0</v>
      </c>
      <c r="I257" s="9" t="n">
        <v>0</v>
      </c>
      <c r="J257" s="9" t="n">
        <v>0</v>
      </c>
    </row>
    <row r="258" customFormat="false" ht="15.75" hidden="false" customHeight="false" outlineLevel="0" collapsed="false">
      <c r="A258" s="7" t="s">
        <v>266</v>
      </c>
      <c r="B258" s="7" t="n">
        <v>5</v>
      </c>
      <c r="C258" s="9" t="n">
        <v>0</v>
      </c>
      <c r="D258" s="9" t="n">
        <v>0</v>
      </c>
      <c r="E258" s="9" t="n">
        <v>0</v>
      </c>
      <c r="F258" s="9" t="n">
        <v>0</v>
      </c>
      <c r="G258" s="9" t="n">
        <v>0</v>
      </c>
      <c r="H258" s="9" t="n">
        <v>0</v>
      </c>
      <c r="I258" s="9" t="n">
        <v>0</v>
      </c>
      <c r="J258" s="9" t="n">
        <v>0</v>
      </c>
    </row>
    <row r="259" customFormat="false" ht="15.75" hidden="false" customHeight="false" outlineLevel="0" collapsed="false">
      <c r="A259" s="7" t="s">
        <v>267</v>
      </c>
      <c r="B259" s="7" t="n">
        <v>5</v>
      </c>
      <c r="C259" s="9" t="n">
        <v>1</v>
      </c>
      <c r="D259" s="9" t="n">
        <v>39000</v>
      </c>
      <c r="E259" s="9" t="n">
        <v>0</v>
      </c>
      <c r="F259" s="9" t="n">
        <v>0</v>
      </c>
      <c r="G259" s="9" t="n">
        <v>0</v>
      </c>
      <c r="H259" s="9" t="n">
        <v>0</v>
      </c>
      <c r="I259" s="9" t="n">
        <v>1</v>
      </c>
      <c r="J259" s="9" t="n">
        <v>39000</v>
      </c>
    </row>
    <row r="260" customFormat="false" ht="15.75" hidden="false" customHeight="false" outlineLevel="0" collapsed="false">
      <c r="A260" s="7" t="s">
        <v>268</v>
      </c>
      <c r="B260" s="7" t="n">
        <v>5</v>
      </c>
      <c r="C260" s="9" t="n">
        <v>0</v>
      </c>
      <c r="D260" s="9" t="n">
        <v>0</v>
      </c>
      <c r="E260" s="9" t="n">
        <v>0</v>
      </c>
      <c r="F260" s="9" t="n">
        <v>0</v>
      </c>
      <c r="G260" s="9" t="n">
        <v>0</v>
      </c>
      <c r="H260" s="9" t="n">
        <v>0</v>
      </c>
      <c r="I260" s="9" t="n">
        <v>0</v>
      </c>
      <c r="J260" s="9" t="n">
        <v>0</v>
      </c>
    </row>
    <row r="261" customFormat="false" ht="15.75" hidden="false" customHeight="false" outlineLevel="0" collapsed="false">
      <c r="A261" s="7" t="s">
        <v>269</v>
      </c>
      <c r="B261" s="7" t="n">
        <v>5</v>
      </c>
      <c r="C261" s="9" t="n">
        <v>0</v>
      </c>
      <c r="D261" s="9" t="n">
        <v>0</v>
      </c>
      <c r="E261" s="9" t="n">
        <v>0</v>
      </c>
      <c r="F261" s="9" t="n">
        <v>0</v>
      </c>
      <c r="G261" s="9" t="n">
        <v>0</v>
      </c>
      <c r="H261" s="9" t="n">
        <v>0</v>
      </c>
      <c r="I261" s="9" t="n">
        <v>0</v>
      </c>
      <c r="J261" s="9" t="n">
        <v>0</v>
      </c>
    </row>
    <row r="262" customFormat="false" ht="15.75" hidden="false" customHeight="false" outlineLevel="0" collapsed="false">
      <c r="A262" s="7" t="s">
        <v>270</v>
      </c>
      <c r="B262" s="7" t="n">
        <v>5</v>
      </c>
      <c r="C262" s="9" t="n">
        <v>0</v>
      </c>
      <c r="D262" s="9" t="n">
        <v>0</v>
      </c>
      <c r="E262" s="9" t="n">
        <v>0</v>
      </c>
      <c r="F262" s="9" t="n">
        <v>0</v>
      </c>
      <c r="G262" s="9" t="n">
        <v>0</v>
      </c>
      <c r="H262" s="9" t="n">
        <v>0</v>
      </c>
      <c r="I262" s="9" t="n">
        <v>0</v>
      </c>
      <c r="J262" s="9" t="n">
        <v>0</v>
      </c>
    </row>
    <row r="263" customFormat="false" ht="15.75" hidden="false" customHeight="false" outlineLevel="0" collapsed="false">
      <c r="A263" s="7" t="s">
        <v>271</v>
      </c>
      <c r="B263" s="7" t="n">
        <v>5</v>
      </c>
      <c r="C263" s="9" t="n">
        <v>0</v>
      </c>
      <c r="D263" s="9" t="n">
        <v>0</v>
      </c>
      <c r="E263" s="9" t="n">
        <v>0</v>
      </c>
      <c r="F263" s="9" t="n">
        <v>0</v>
      </c>
      <c r="G263" s="9" t="n">
        <v>0</v>
      </c>
      <c r="H263" s="9" t="n">
        <v>0</v>
      </c>
      <c r="I263" s="9" t="n">
        <v>0</v>
      </c>
      <c r="J263" s="9" t="n">
        <v>0</v>
      </c>
    </row>
    <row r="264" customFormat="false" ht="15.75" hidden="false" customHeight="false" outlineLevel="0" collapsed="false">
      <c r="A264" s="7" t="s">
        <v>272</v>
      </c>
      <c r="B264" s="7" t="n">
        <v>5</v>
      </c>
      <c r="C264" s="9" t="n">
        <v>6</v>
      </c>
      <c r="D264" s="9" t="n">
        <v>794727</v>
      </c>
      <c r="E264" s="9" t="n">
        <v>0</v>
      </c>
      <c r="F264" s="9" t="n">
        <v>0</v>
      </c>
      <c r="G264" s="9" t="n">
        <v>0</v>
      </c>
      <c r="H264" s="9" t="n">
        <v>0</v>
      </c>
      <c r="I264" s="9" t="n">
        <v>6</v>
      </c>
      <c r="J264" s="9" t="n">
        <v>794727</v>
      </c>
    </row>
    <row r="265" customFormat="false" ht="15.75" hidden="false" customHeight="false" outlineLevel="0" collapsed="false">
      <c r="A265" s="7" t="s">
        <v>273</v>
      </c>
      <c r="B265" s="7" t="n">
        <v>5</v>
      </c>
      <c r="C265" s="9" t="n">
        <v>0</v>
      </c>
      <c r="D265" s="9" t="n">
        <v>0</v>
      </c>
      <c r="E265" s="9" t="n">
        <v>0</v>
      </c>
      <c r="F265" s="9" t="n">
        <v>0</v>
      </c>
      <c r="G265" s="9" t="n">
        <v>0</v>
      </c>
      <c r="H265" s="9" t="n">
        <v>0</v>
      </c>
      <c r="I265" s="9" t="n">
        <v>0</v>
      </c>
      <c r="J265" s="9" t="n">
        <v>0</v>
      </c>
    </row>
    <row r="266" customFormat="false" ht="15.75" hidden="false" customHeight="false" outlineLevel="0" collapsed="false">
      <c r="A266" s="7" t="s">
        <v>274</v>
      </c>
      <c r="B266" s="7" t="n">
        <v>5</v>
      </c>
      <c r="C266" s="9" t="n">
        <v>0</v>
      </c>
      <c r="D266" s="9" t="n">
        <v>0</v>
      </c>
      <c r="E266" s="9" t="n">
        <v>0</v>
      </c>
      <c r="F266" s="9" t="n">
        <v>0</v>
      </c>
      <c r="G266" s="9" t="n">
        <v>0</v>
      </c>
      <c r="H266" s="9" t="n">
        <v>0</v>
      </c>
      <c r="I266" s="9" t="n">
        <v>0</v>
      </c>
      <c r="J266" s="9" t="n">
        <v>0</v>
      </c>
    </row>
    <row r="267" customFormat="false" ht="15.75" hidden="false" customHeight="false" outlineLevel="0" collapsed="false">
      <c r="A267" s="7" t="s">
        <v>275</v>
      </c>
      <c r="B267" s="7" t="n">
        <v>5</v>
      </c>
      <c r="C267" s="9" t="n">
        <v>0</v>
      </c>
      <c r="D267" s="9" t="n">
        <v>0</v>
      </c>
      <c r="E267" s="9" t="n">
        <v>0</v>
      </c>
      <c r="F267" s="9" t="n">
        <v>0</v>
      </c>
      <c r="G267" s="9" t="n">
        <v>0</v>
      </c>
      <c r="H267" s="9" t="n">
        <v>0</v>
      </c>
      <c r="I267" s="9" t="n">
        <v>0</v>
      </c>
      <c r="J267" s="9" t="n">
        <v>0</v>
      </c>
    </row>
    <row r="268" customFormat="false" ht="15.75" hidden="false" customHeight="false" outlineLevel="0" collapsed="false">
      <c r="A268" s="7" t="s">
        <v>276</v>
      </c>
      <c r="B268" s="7" t="n">
        <v>5</v>
      </c>
      <c r="C268" s="9" t="n">
        <v>0</v>
      </c>
      <c r="D268" s="9" t="n">
        <v>0</v>
      </c>
      <c r="E268" s="9" t="n">
        <v>0</v>
      </c>
      <c r="F268" s="9" t="n">
        <v>0</v>
      </c>
      <c r="G268" s="9" t="n">
        <v>0</v>
      </c>
      <c r="H268" s="9" t="n">
        <v>0</v>
      </c>
      <c r="I268" s="9" t="n">
        <v>0</v>
      </c>
      <c r="J268" s="9" t="n">
        <v>0</v>
      </c>
    </row>
    <row r="269" customFormat="false" ht="15.75" hidden="false" customHeight="false" outlineLevel="0" collapsed="false">
      <c r="A269" s="7" t="s">
        <v>277</v>
      </c>
      <c r="B269" s="7" t="n">
        <v>5</v>
      </c>
      <c r="C269" s="9" t="n">
        <v>0</v>
      </c>
      <c r="D269" s="9" t="n">
        <v>0</v>
      </c>
      <c r="E269" s="9" t="n">
        <v>0</v>
      </c>
      <c r="F269" s="9" t="n">
        <v>0</v>
      </c>
      <c r="G269" s="9" t="n">
        <v>0</v>
      </c>
      <c r="H269" s="9" t="n">
        <v>0</v>
      </c>
      <c r="I269" s="9" t="n">
        <v>0</v>
      </c>
      <c r="J269" s="9" t="n">
        <v>0</v>
      </c>
    </row>
    <row r="270" customFormat="false" ht="15.75" hidden="false" customHeight="false" outlineLevel="0" collapsed="false">
      <c r="A270" s="7" t="s">
        <v>278</v>
      </c>
      <c r="B270" s="7" t="n">
        <v>5</v>
      </c>
      <c r="C270" s="9" t="n">
        <v>0</v>
      </c>
      <c r="D270" s="9" t="n">
        <v>0</v>
      </c>
      <c r="E270" s="9" t="n">
        <v>0</v>
      </c>
      <c r="F270" s="9" t="n">
        <v>0</v>
      </c>
      <c r="G270" s="9" t="n">
        <v>0</v>
      </c>
      <c r="H270" s="9" t="n">
        <v>0</v>
      </c>
      <c r="I270" s="9" t="n">
        <v>0</v>
      </c>
      <c r="J270" s="9" t="n">
        <v>0</v>
      </c>
    </row>
    <row r="271" customFormat="false" ht="15.75" hidden="false" customHeight="false" outlineLevel="0" collapsed="false">
      <c r="A271" s="7" t="s">
        <v>279</v>
      </c>
      <c r="B271" s="7" t="n">
        <v>5</v>
      </c>
      <c r="C271" s="9" t="n">
        <v>0</v>
      </c>
      <c r="D271" s="9" t="n">
        <v>0</v>
      </c>
      <c r="E271" s="9" t="n">
        <v>0</v>
      </c>
      <c r="F271" s="9" t="n">
        <v>0</v>
      </c>
      <c r="G271" s="9" t="n">
        <v>0</v>
      </c>
      <c r="H271" s="9" t="n">
        <v>0</v>
      </c>
      <c r="I271" s="9" t="n">
        <v>0</v>
      </c>
      <c r="J271" s="9" t="n">
        <v>0</v>
      </c>
    </row>
    <row r="272" customFormat="false" ht="15.75" hidden="false" customHeight="false" outlineLevel="0" collapsed="false">
      <c r="A272" s="7" t="s">
        <v>280</v>
      </c>
      <c r="B272" s="7" t="n">
        <v>5</v>
      </c>
      <c r="C272" s="9" t="n">
        <v>0</v>
      </c>
      <c r="D272" s="9" t="n">
        <v>0</v>
      </c>
      <c r="E272" s="9" t="n">
        <v>0</v>
      </c>
      <c r="F272" s="9" t="n">
        <v>0</v>
      </c>
      <c r="G272" s="9" t="n">
        <v>0</v>
      </c>
      <c r="H272" s="9" t="n">
        <v>0</v>
      </c>
      <c r="I272" s="9" t="n">
        <v>0</v>
      </c>
      <c r="J272" s="9" t="n">
        <v>0</v>
      </c>
    </row>
    <row r="273" customFormat="false" ht="15.75" hidden="false" customHeight="false" outlineLevel="0" collapsed="false">
      <c r="A273" s="7" t="s">
        <v>281</v>
      </c>
      <c r="B273" s="7" t="n">
        <v>5</v>
      </c>
      <c r="C273" s="9" t="n">
        <v>3</v>
      </c>
      <c r="D273" s="9" t="n">
        <v>50524</v>
      </c>
      <c r="E273" s="9" t="n">
        <v>40</v>
      </c>
      <c r="F273" s="9" t="n">
        <v>705600</v>
      </c>
      <c r="G273" s="9" t="n">
        <v>0</v>
      </c>
      <c r="H273" s="9" t="n">
        <v>0</v>
      </c>
      <c r="I273" s="9" t="n">
        <v>43</v>
      </c>
      <c r="J273" s="9" t="n">
        <v>756124</v>
      </c>
    </row>
    <row r="274" customFormat="false" ht="15.75" hidden="false" customHeight="false" outlineLevel="0" collapsed="false">
      <c r="A274" s="7" t="s">
        <v>282</v>
      </c>
      <c r="B274" s="7" t="n">
        <v>5</v>
      </c>
      <c r="C274" s="9" t="n">
        <v>0</v>
      </c>
      <c r="D274" s="9" t="n">
        <v>0</v>
      </c>
      <c r="E274" s="9" t="n">
        <v>18</v>
      </c>
      <c r="F274" s="9" t="n">
        <v>1234800</v>
      </c>
      <c r="G274" s="9" t="n">
        <v>0</v>
      </c>
      <c r="H274" s="9" t="n">
        <v>0</v>
      </c>
      <c r="I274" s="9" t="n">
        <v>18</v>
      </c>
      <c r="J274" s="9" t="n">
        <v>1234800</v>
      </c>
    </row>
    <row r="275" customFormat="false" ht="15.75" hidden="false" customHeight="false" outlineLevel="0" collapsed="false">
      <c r="A275" s="7" t="s">
        <v>283</v>
      </c>
      <c r="B275" s="7" t="n">
        <v>5</v>
      </c>
      <c r="C275" s="9" t="n">
        <v>2475</v>
      </c>
      <c r="D275" s="9" t="n">
        <v>54043696</v>
      </c>
      <c r="E275" s="9" t="n">
        <v>840</v>
      </c>
      <c r="F275" s="9" t="n">
        <v>30199680</v>
      </c>
      <c r="G275" s="9" t="n">
        <v>1515</v>
      </c>
      <c r="H275" s="9" t="n">
        <v>52991132</v>
      </c>
      <c r="I275" s="9" t="n">
        <v>1800</v>
      </c>
      <c r="J275" s="9" t="n">
        <v>31252244</v>
      </c>
    </row>
    <row r="276" customFormat="false" ht="15.75" hidden="false" customHeight="false" outlineLevel="0" collapsed="false">
      <c r="A276" s="7" t="s">
        <v>284</v>
      </c>
      <c r="B276" s="7" t="n">
        <v>5</v>
      </c>
      <c r="C276" s="9" t="n">
        <v>120</v>
      </c>
      <c r="D276" s="9" t="n">
        <v>5357463</v>
      </c>
      <c r="E276" s="9" t="n">
        <v>60</v>
      </c>
      <c r="F276" s="9" t="n">
        <v>2761920</v>
      </c>
      <c r="G276" s="9" t="n">
        <v>35</v>
      </c>
      <c r="H276" s="9" t="n">
        <v>1578769</v>
      </c>
      <c r="I276" s="9" t="n">
        <v>145</v>
      </c>
      <c r="J276" s="9" t="n">
        <v>6540614</v>
      </c>
    </row>
    <row r="277" customFormat="false" ht="15.75" hidden="false" customHeight="false" outlineLevel="0" collapsed="false">
      <c r="A277" s="7" t="s">
        <v>285</v>
      </c>
      <c r="B277" s="7" t="n">
        <v>5</v>
      </c>
      <c r="C277" s="9" t="n">
        <v>5</v>
      </c>
      <c r="D277" s="9" t="n">
        <v>570110</v>
      </c>
      <c r="E277" s="9" t="n">
        <v>10</v>
      </c>
      <c r="F277" s="9" t="n">
        <v>1164480</v>
      </c>
      <c r="G277" s="9" t="n">
        <v>10</v>
      </c>
      <c r="H277" s="9" t="n">
        <v>1147995</v>
      </c>
      <c r="I277" s="9" t="n">
        <v>5</v>
      </c>
      <c r="J277" s="9" t="n">
        <v>586595</v>
      </c>
    </row>
    <row r="278" customFormat="false" ht="15.75" hidden="false" customHeight="false" outlineLevel="0" collapsed="false">
      <c r="A278" s="7" t="s">
        <v>286</v>
      </c>
      <c r="B278" s="7" t="n">
        <v>5</v>
      </c>
      <c r="C278" s="9" t="n">
        <v>8</v>
      </c>
      <c r="D278" s="9" t="n">
        <v>847410</v>
      </c>
      <c r="E278" s="9" t="n">
        <v>0</v>
      </c>
      <c r="F278" s="9" t="n">
        <v>0</v>
      </c>
      <c r="G278" s="9" t="n">
        <v>0</v>
      </c>
      <c r="H278" s="9" t="n">
        <v>0</v>
      </c>
      <c r="I278" s="9" t="n">
        <v>8</v>
      </c>
      <c r="J278" s="9" t="n">
        <v>847410</v>
      </c>
    </row>
    <row r="279" customFormat="false" ht="15.75" hidden="false" customHeight="false" outlineLevel="0" collapsed="false">
      <c r="A279" s="7" t="s">
        <v>287</v>
      </c>
      <c r="B279" s="7" t="n">
        <v>5</v>
      </c>
      <c r="C279" s="9" t="n">
        <v>0</v>
      </c>
      <c r="D279" s="9" t="n">
        <v>0</v>
      </c>
      <c r="E279" s="9" t="n">
        <v>8</v>
      </c>
      <c r="F279" s="9" t="n">
        <v>888480</v>
      </c>
      <c r="G279" s="9" t="n">
        <v>0</v>
      </c>
      <c r="H279" s="9" t="n">
        <v>0</v>
      </c>
      <c r="I279" s="9" t="n">
        <v>8</v>
      </c>
      <c r="J279" s="9" t="n">
        <v>888480</v>
      </c>
    </row>
    <row r="280" customFormat="false" ht="15.75" hidden="false" customHeight="false" outlineLevel="0" collapsed="false">
      <c r="A280" s="7" t="s">
        <v>288</v>
      </c>
      <c r="B280" s="7" t="n">
        <v>5</v>
      </c>
      <c r="C280" s="9" t="n">
        <v>0</v>
      </c>
      <c r="D280" s="9" t="n">
        <v>0</v>
      </c>
      <c r="E280" s="9" t="n">
        <v>0</v>
      </c>
      <c r="F280" s="9" t="n">
        <v>0</v>
      </c>
      <c r="G280" s="9" t="n">
        <v>0</v>
      </c>
      <c r="H280" s="9" t="n">
        <v>0</v>
      </c>
      <c r="I280" s="9" t="n">
        <v>0</v>
      </c>
      <c r="J280" s="9" t="n">
        <v>0</v>
      </c>
    </row>
    <row r="281" customFormat="false" ht="15.75" hidden="false" customHeight="false" outlineLevel="0" collapsed="false">
      <c r="A281" s="7" t="s">
        <v>289</v>
      </c>
      <c r="B281" s="7" t="n">
        <v>5</v>
      </c>
      <c r="C281" s="9" t="n">
        <v>5241</v>
      </c>
      <c r="D281" s="9" t="n">
        <v>18544800</v>
      </c>
      <c r="E281" s="9" t="n">
        <v>0</v>
      </c>
      <c r="F281" s="9" t="n">
        <v>0</v>
      </c>
      <c r="G281" s="9" t="n">
        <v>0</v>
      </c>
      <c r="H281" s="9" t="n">
        <v>0</v>
      </c>
      <c r="I281" s="9" t="n">
        <v>5241</v>
      </c>
      <c r="J281" s="9" t="n">
        <v>18544800</v>
      </c>
    </row>
    <row r="282" customFormat="false" ht="15.75" hidden="false" customHeight="false" outlineLevel="0" collapsed="false">
      <c r="A282" s="7" t="s">
        <v>290</v>
      </c>
      <c r="B282" s="7" t="n">
        <v>5</v>
      </c>
      <c r="C282" s="9" t="n">
        <v>2026</v>
      </c>
      <c r="D282" s="9" t="n">
        <v>180293091</v>
      </c>
      <c r="E282" s="9" t="n">
        <v>468</v>
      </c>
      <c r="F282" s="9" t="n">
        <v>41644512</v>
      </c>
      <c r="G282" s="9" t="n">
        <v>432</v>
      </c>
      <c r="H282" s="9" t="n">
        <v>38443081</v>
      </c>
      <c r="I282" s="9" t="n">
        <v>2062</v>
      </c>
      <c r="J282" s="9" t="n">
        <v>183494522</v>
      </c>
    </row>
    <row r="283" customFormat="false" ht="15.75" hidden="false" customHeight="false" outlineLevel="0" collapsed="false">
      <c r="A283" s="7" t="s">
        <v>291</v>
      </c>
      <c r="B283" s="7" t="n">
        <v>5</v>
      </c>
      <c r="C283" s="9" t="n">
        <v>3682</v>
      </c>
      <c r="D283" s="9" t="n">
        <v>343667715</v>
      </c>
      <c r="E283" s="9" t="n">
        <v>1050</v>
      </c>
      <c r="F283" s="9" t="n">
        <v>98166600</v>
      </c>
      <c r="G283" s="9" t="n">
        <v>91</v>
      </c>
      <c r="H283" s="9" t="n">
        <v>8496814</v>
      </c>
      <c r="I283" s="9" t="n">
        <v>4641</v>
      </c>
      <c r="J283" s="9" t="n">
        <v>433337501</v>
      </c>
    </row>
    <row r="284" customFormat="false" ht="15.75" hidden="false" customHeight="false" outlineLevel="0" collapsed="false">
      <c r="A284" s="7" t="s">
        <v>292</v>
      </c>
      <c r="B284" s="7" t="n">
        <v>5</v>
      </c>
      <c r="C284" s="9" t="n">
        <v>1191</v>
      </c>
      <c r="D284" s="9" t="n">
        <v>86492448</v>
      </c>
      <c r="E284" s="9" t="n">
        <v>241</v>
      </c>
      <c r="F284" s="9" t="n">
        <v>12813696</v>
      </c>
      <c r="G284" s="9" t="n">
        <v>0</v>
      </c>
      <c r="H284" s="9" t="n">
        <v>0</v>
      </c>
      <c r="I284" s="9" t="n">
        <v>1432</v>
      </c>
      <c r="J284" s="9" t="n">
        <v>99306144</v>
      </c>
    </row>
    <row r="285" customFormat="false" ht="15.75" hidden="false" customHeight="false" outlineLevel="0" collapsed="false">
      <c r="A285" s="7"/>
      <c r="B285" s="7"/>
      <c r="C285" s="6" t="n">
        <v>1130577</v>
      </c>
      <c r="D285" s="6" t="n">
        <v>17417754156</v>
      </c>
      <c r="E285" s="6" t="n">
        <v>410719</v>
      </c>
      <c r="F285" s="6" t="n">
        <v>7856754302</v>
      </c>
      <c r="G285" s="6" t="n">
        <v>436661</v>
      </c>
      <c r="H285" s="6" t="n">
        <v>9002504084</v>
      </c>
      <c r="I285" s="6" t="n">
        <v>1104635</v>
      </c>
      <c r="J285" s="6" t="n">
        <v>16272004374</v>
      </c>
    </row>
  </sheetData>
  <mergeCells count="4">
    <mergeCell ref="C1:D1"/>
    <mergeCell ref="E1:F1"/>
    <mergeCell ref="G1:H1"/>
    <mergeCell ref="I1:J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W285"/>
  <sheetViews>
    <sheetView showFormulas="false" showGridLines="true" showRowColHeaders="true" showZeros="true" rightToLeft="false" tabSelected="false" showOutlineSymbols="true" defaultGridColor="true" view="normal" topLeftCell="A274" colorId="64" zoomScale="100" zoomScaleNormal="100" zoomScalePageLayoutView="100" workbookViewId="0">
      <selection pane="topLeft" activeCell="A274" activeCellId="0" sqref="A274"/>
    </sheetView>
  </sheetViews>
  <sheetFormatPr defaultColWidth="12.5703125" defaultRowHeight="15.75" customHeight="true" zeroHeight="false" outlineLevelRow="0" outlineLevelCol="0"/>
  <sheetData>
    <row r="1" customFormat="false" ht="15.75" hidden="false" customHeight="false" outlineLevel="0" collapsed="false">
      <c r="A1" s="1"/>
      <c r="B1" s="2"/>
      <c r="C1" s="3" t="s">
        <v>0</v>
      </c>
      <c r="D1" s="3"/>
      <c r="E1" s="3" t="s">
        <v>1</v>
      </c>
      <c r="F1" s="3"/>
      <c r="G1" s="3" t="s">
        <v>2</v>
      </c>
      <c r="H1" s="3"/>
      <c r="I1" s="3" t="s">
        <v>3</v>
      </c>
      <c r="J1" s="3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</row>
    <row r="2" customFormat="false" ht="15.75" hidden="false" customHeight="false" outlineLevel="0" collapsed="false">
      <c r="A2" s="4" t="s">
        <v>4</v>
      </c>
      <c r="B2" s="5" t="s">
        <v>5</v>
      </c>
      <c r="C2" s="6" t="s">
        <v>6</v>
      </c>
      <c r="D2" s="6" t="s">
        <v>7</v>
      </c>
      <c r="E2" s="6" t="s">
        <v>8</v>
      </c>
      <c r="F2" s="6" t="s">
        <v>9</v>
      </c>
      <c r="G2" s="6" t="s">
        <v>6</v>
      </c>
      <c r="H2" s="6" t="s">
        <v>10</v>
      </c>
      <c r="I2" s="6" t="s">
        <v>6</v>
      </c>
      <c r="J2" s="6" t="s">
        <v>9</v>
      </c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</row>
    <row r="3" customFormat="false" ht="15.75" hidden="false" customHeight="false" outlineLevel="0" collapsed="false">
      <c r="A3" s="7" t="s">
        <v>11</v>
      </c>
      <c r="B3" s="7" t="n">
        <v>6</v>
      </c>
      <c r="C3" s="9" t="n">
        <v>211</v>
      </c>
      <c r="D3" s="9" t="n">
        <v>5802196</v>
      </c>
      <c r="E3" s="9" t="n">
        <v>70</v>
      </c>
      <c r="F3" s="9" t="n">
        <v>1942080</v>
      </c>
      <c r="G3" s="9" t="n">
        <v>80</v>
      </c>
      <c r="H3" s="9" t="n">
        <v>2204776</v>
      </c>
      <c r="I3" s="9" t="n">
        <v>201</v>
      </c>
      <c r="J3" s="9" t="n">
        <v>5539500</v>
      </c>
    </row>
    <row r="4" customFormat="false" ht="15.75" hidden="false" customHeight="false" outlineLevel="0" collapsed="false">
      <c r="A4" s="7" t="s">
        <v>12</v>
      </c>
      <c r="B4" s="7" t="n">
        <v>6</v>
      </c>
      <c r="C4" s="9" t="n">
        <v>0</v>
      </c>
      <c r="D4" s="9" t="n">
        <v>0</v>
      </c>
      <c r="E4" s="9" t="n">
        <v>0</v>
      </c>
      <c r="F4" s="9" t="n">
        <v>0</v>
      </c>
      <c r="G4" s="9" t="n">
        <v>0</v>
      </c>
      <c r="H4" s="9" t="n">
        <v>0</v>
      </c>
      <c r="I4" s="9" t="n">
        <v>0</v>
      </c>
      <c r="J4" s="9" t="n">
        <v>0</v>
      </c>
    </row>
    <row r="5" customFormat="false" ht="15.75" hidden="false" customHeight="false" outlineLevel="0" collapsed="false">
      <c r="A5" s="7" t="s">
        <v>13</v>
      </c>
      <c r="B5" s="7" t="n">
        <v>6</v>
      </c>
      <c r="C5" s="9" t="n">
        <v>863</v>
      </c>
      <c r="D5" s="9" t="n">
        <v>28305719</v>
      </c>
      <c r="E5" s="9" t="n">
        <v>0</v>
      </c>
      <c r="F5" s="9" t="n">
        <v>0</v>
      </c>
      <c r="G5" s="9" t="n">
        <v>0</v>
      </c>
      <c r="H5" s="9" t="n">
        <v>0</v>
      </c>
      <c r="I5" s="9" t="n">
        <v>863</v>
      </c>
      <c r="J5" s="9" t="n">
        <v>28305719</v>
      </c>
    </row>
    <row r="6" customFormat="false" ht="15.75" hidden="false" customHeight="false" outlineLevel="0" collapsed="false">
      <c r="A6" s="7" t="s">
        <v>14</v>
      </c>
      <c r="B6" s="7" t="n">
        <v>6</v>
      </c>
      <c r="C6" s="9" t="n">
        <v>120</v>
      </c>
      <c r="D6" s="9" t="n">
        <v>35752144</v>
      </c>
      <c r="E6" s="9" t="n">
        <v>0</v>
      </c>
      <c r="F6" s="9" t="n">
        <v>0</v>
      </c>
      <c r="G6" s="9" t="n">
        <v>0</v>
      </c>
      <c r="H6" s="9" t="n">
        <v>0</v>
      </c>
      <c r="I6" s="9" t="n">
        <v>120</v>
      </c>
      <c r="J6" s="9" t="n">
        <v>35752144</v>
      </c>
    </row>
    <row r="7" customFormat="false" ht="15.75" hidden="false" customHeight="false" outlineLevel="0" collapsed="false">
      <c r="A7" s="7" t="s">
        <v>15</v>
      </c>
      <c r="B7" s="7" t="n">
        <v>6</v>
      </c>
      <c r="C7" s="9" t="n">
        <v>510</v>
      </c>
      <c r="D7" s="9" t="n">
        <v>69373706</v>
      </c>
      <c r="E7" s="9" t="n">
        <v>0</v>
      </c>
      <c r="F7" s="9" t="n">
        <v>0</v>
      </c>
      <c r="G7" s="9" t="n">
        <v>0</v>
      </c>
      <c r="H7" s="9" t="n">
        <v>0</v>
      </c>
      <c r="I7" s="9" t="n">
        <v>510</v>
      </c>
      <c r="J7" s="9" t="n">
        <v>69373706</v>
      </c>
    </row>
    <row r="8" customFormat="false" ht="15.75" hidden="false" customHeight="false" outlineLevel="0" collapsed="false">
      <c r="A8" s="7" t="s">
        <v>16</v>
      </c>
      <c r="B8" s="7" t="n">
        <v>6</v>
      </c>
      <c r="C8" s="9" t="n">
        <v>344</v>
      </c>
      <c r="D8" s="9" t="n">
        <v>53839916</v>
      </c>
      <c r="E8" s="9" t="n">
        <v>0</v>
      </c>
      <c r="F8" s="9" t="n">
        <v>0</v>
      </c>
      <c r="G8" s="9" t="n">
        <v>0</v>
      </c>
      <c r="H8" s="9" t="n">
        <v>0</v>
      </c>
      <c r="I8" s="9" t="n">
        <v>344</v>
      </c>
      <c r="J8" s="9" t="n">
        <v>53839916</v>
      </c>
    </row>
    <row r="9" customFormat="false" ht="15.75" hidden="false" customHeight="false" outlineLevel="0" collapsed="false">
      <c r="A9" s="7" t="s">
        <v>17</v>
      </c>
      <c r="B9" s="7" t="n">
        <v>6</v>
      </c>
      <c r="C9" s="9" t="n">
        <v>159</v>
      </c>
      <c r="D9" s="9" t="n">
        <v>38049584</v>
      </c>
      <c r="E9" s="9" t="n">
        <v>0</v>
      </c>
      <c r="F9" s="9" t="n">
        <v>0</v>
      </c>
      <c r="G9" s="9" t="n">
        <v>0</v>
      </c>
      <c r="H9" s="9" t="n">
        <v>0</v>
      </c>
      <c r="I9" s="9" t="n">
        <v>159</v>
      </c>
      <c r="J9" s="9" t="n">
        <v>38049584</v>
      </c>
    </row>
    <row r="10" customFormat="false" ht="15.75" hidden="false" customHeight="false" outlineLevel="0" collapsed="false">
      <c r="A10" s="7" t="s">
        <v>18</v>
      </c>
      <c r="B10" s="7" t="n">
        <v>6</v>
      </c>
      <c r="C10" s="9" t="n">
        <v>734</v>
      </c>
      <c r="D10" s="9" t="n">
        <v>15983688</v>
      </c>
      <c r="E10" s="9" t="n">
        <v>0</v>
      </c>
      <c r="F10" s="9" t="n">
        <v>0</v>
      </c>
      <c r="G10" s="9" t="n">
        <v>0</v>
      </c>
      <c r="H10" s="9" t="n">
        <v>0</v>
      </c>
      <c r="I10" s="9" t="n">
        <v>734</v>
      </c>
      <c r="J10" s="9" t="n">
        <v>15983688</v>
      </c>
    </row>
    <row r="11" customFormat="false" ht="15.75" hidden="false" customHeight="false" outlineLevel="0" collapsed="false">
      <c r="A11" s="7" t="s">
        <v>19</v>
      </c>
      <c r="B11" s="7" t="n">
        <v>6</v>
      </c>
      <c r="C11" s="9" t="n">
        <v>180</v>
      </c>
      <c r="D11" s="9" t="n">
        <v>3904035</v>
      </c>
      <c r="E11" s="9" t="n">
        <v>0</v>
      </c>
      <c r="F11" s="9" t="n">
        <v>0</v>
      </c>
      <c r="G11" s="9" t="n">
        <v>0</v>
      </c>
      <c r="H11" s="9" t="n">
        <v>0</v>
      </c>
      <c r="I11" s="9" t="n">
        <v>180</v>
      </c>
      <c r="J11" s="9" t="n">
        <v>3904035</v>
      </c>
    </row>
    <row r="12" customFormat="false" ht="15.75" hidden="false" customHeight="false" outlineLevel="0" collapsed="false">
      <c r="A12" s="7" t="s">
        <v>20</v>
      </c>
      <c r="B12" s="7" t="n">
        <v>6</v>
      </c>
      <c r="C12" s="9" t="n">
        <v>295</v>
      </c>
      <c r="D12" s="9" t="n">
        <v>31404753</v>
      </c>
      <c r="E12" s="9" t="n">
        <v>0</v>
      </c>
      <c r="F12" s="9" t="n">
        <v>0</v>
      </c>
      <c r="G12" s="9" t="n">
        <v>0</v>
      </c>
      <c r="H12" s="9" t="n">
        <v>0</v>
      </c>
      <c r="I12" s="9" t="n">
        <v>295</v>
      </c>
      <c r="J12" s="9" t="n">
        <v>31404753</v>
      </c>
    </row>
    <row r="13" customFormat="false" ht="15.75" hidden="false" customHeight="false" outlineLevel="0" collapsed="false">
      <c r="A13" s="7" t="s">
        <v>21</v>
      </c>
      <c r="B13" s="7" t="n">
        <v>6</v>
      </c>
      <c r="C13" s="9" t="n">
        <v>170</v>
      </c>
      <c r="D13" s="9" t="n">
        <v>40681945</v>
      </c>
      <c r="E13" s="9" t="n">
        <v>0</v>
      </c>
      <c r="F13" s="9" t="n">
        <v>0</v>
      </c>
      <c r="G13" s="9" t="n">
        <v>0</v>
      </c>
      <c r="H13" s="9" t="n">
        <v>0</v>
      </c>
      <c r="I13" s="9" t="n">
        <v>170</v>
      </c>
      <c r="J13" s="9" t="n">
        <v>40681945</v>
      </c>
    </row>
    <row r="14" customFormat="false" ht="15.75" hidden="false" customHeight="false" outlineLevel="0" collapsed="false">
      <c r="A14" s="7" t="s">
        <v>22</v>
      </c>
      <c r="B14" s="7" t="n">
        <v>6</v>
      </c>
      <c r="C14" s="9" t="n">
        <v>18</v>
      </c>
      <c r="D14" s="9" t="n">
        <v>407934</v>
      </c>
      <c r="E14" s="9" t="n">
        <v>0</v>
      </c>
      <c r="F14" s="9" t="n">
        <v>0</v>
      </c>
      <c r="G14" s="9" t="n">
        <v>0</v>
      </c>
      <c r="H14" s="9" t="n">
        <v>0</v>
      </c>
      <c r="I14" s="9" t="n">
        <v>18</v>
      </c>
      <c r="J14" s="9" t="n">
        <v>407934</v>
      </c>
    </row>
    <row r="15" customFormat="false" ht="15.75" hidden="false" customHeight="false" outlineLevel="0" collapsed="false">
      <c r="A15" s="7" t="s">
        <v>23</v>
      </c>
      <c r="B15" s="7" t="n">
        <v>6</v>
      </c>
      <c r="C15" s="9" t="n">
        <v>0</v>
      </c>
      <c r="D15" s="9" t="n">
        <v>0</v>
      </c>
      <c r="E15" s="9" t="n">
        <v>0</v>
      </c>
      <c r="F15" s="9" t="n">
        <v>0</v>
      </c>
      <c r="G15" s="9" t="n">
        <v>0</v>
      </c>
      <c r="H15" s="9" t="n">
        <v>0</v>
      </c>
      <c r="I15" s="9" t="n">
        <v>0</v>
      </c>
      <c r="J15" s="9" t="n">
        <v>0</v>
      </c>
    </row>
    <row r="16" customFormat="false" ht="15.75" hidden="false" customHeight="false" outlineLevel="0" collapsed="false">
      <c r="A16" s="7" t="s">
        <v>24</v>
      </c>
      <c r="B16" s="7" t="n">
        <v>6</v>
      </c>
      <c r="C16" s="9" t="n">
        <v>0</v>
      </c>
      <c r="D16" s="9" t="n">
        <v>0</v>
      </c>
      <c r="E16" s="9" t="n">
        <v>0</v>
      </c>
      <c r="F16" s="9" t="n">
        <v>0</v>
      </c>
      <c r="G16" s="9" t="n">
        <v>0</v>
      </c>
      <c r="H16" s="9" t="n">
        <v>0</v>
      </c>
      <c r="I16" s="9" t="n">
        <v>0</v>
      </c>
      <c r="J16" s="9" t="n">
        <v>0</v>
      </c>
    </row>
    <row r="17" customFormat="false" ht="15.75" hidden="false" customHeight="false" outlineLevel="0" collapsed="false">
      <c r="A17" s="7" t="s">
        <v>25</v>
      </c>
      <c r="B17" s="7" t="n">
        <v>6</v>
      </c>
      <c r="C17" s="9" t="n">
        <v>170</v>
      </c>
      <c r="D17" s="9" t="n">
        <v>3554530</v>
      </c>
      <c r="E17" s="9" t="n">
        <v>7</v>
      </c>
      <c r="F17" s="9" t="n">
        <v>146363</v>
      </c>
      <c r="G17" s="9" t="n">
        <v>95</v>
      </c>
      <c r="H17" s="9" t="n">
        <v>1986355</v>
      </c>
      <c r="I17" s="9" t="n">
        <v>82</v>
      </c>
      <c r="J17" s="9" t="n">
        <v>1714538</v>
      </c>
    </row>
    <row r="18" customFormat="false" ht="15.75" hidden="false" customHeight="false" outlineLevel="0" collapsed="false">
      <c r="A18" s="7" t="s">
        <v>26</v>
      </c>
      <c r="B18" s="7" t="n">
        <v>6</v>
      </c>
      <c r="C18" s="9" t="n">
        <v>105</v>
      </c>
      <c r="D18" s="9" t="n">
        <v>2672775</v>
      </c>
      <c r="E18" s="9" t="n">
        <v>40</v>
      </c>
      <c r="F18" s="9" t="n">
        <v>1018200</v>
      </c>
      <c r="G18" s="9" t="n">
        <v>35</v>
      </c>
      <c r="H18" s="9" t="n">
        <v>890925</v>
      </c>
      <c r="I18" s="9" t="n">
        <v>110</v>
      </c>
      <c r="J18" s="9" t="n">
        <v>2800050</v>
      </c>
    </row>
    <row r="19" customFormat="false" ht="15.75" hidden="false" customHeight="false" outlineLevel="0" collapsed="false">
      <c r="A19" s="7" t="s">
        <v>27</v>
      </c>
      <c r="B19" s="7" t="n">
        <v>6</v>
      </c>
      <c r="C19" s="9" t="n">
        <v>142</v>
      </c>
      <c r="D19" s="9" t="n">
        <v>4327260</v>
      </c>
      <c r="E19" s="9" t="n">
        <v>20</v>
      </c>
      <c r="F19" s="9" t="n">
        <v>618180</v>
      </c>
      <c r="G19" s="9" t="n">
        <v>0</v>
      </c>
      <c r="H19" s="9" t="n">
        <v>0</v>
      </c>
      <c r="I19" s="9" t="n">
        <v>162</v>
      </c>
      <c r="J19" s="9" t="n">
        <v>4945440</v>
      </c>
    </row>
    <row r="20" customFormat="false" ht="15.75" hidden="false" customHeight="false" outlineLevel="0" collapsed="false">
      <c r="A20" s="7" t="s">
        <v>28</v>
      </c>
      <c r="B20" s="7" t="n">
        <v>6</v>
      </c>
      <c r="C20" s="9" t="n">
        <v>0</v>
      </c>
      <c r="D20" s="9" t="n">
        <v>0</v>
      </c>
      <c r="E20" s="9" t="n">
        <v>0</v>
      </c>
      <c r="F20" s="9" t="n">
        <v>0</v>
      </c>
      <c r="G20" s="9" t="n">
        <v>0</v>
      </c>
      <c r="H20" s="9" t="n">
        <v>0</v>
      </c>
      <c r="I20" s="9" t="n">
        <v>0</v>
      </c>
      <c r="J20" s="9" t="n">
        <v>0</v>
      </c>
    </row>
    <row r="21" customFormat="false" ht="15.75" hidden="false" customHeight="false" outlineLevel="0" collapsed="false">
      <c r="A21" s="7" t="s">
        <v>29</v>
      </c>
      <c r="B21" s="7" t="n">
        <v>6</v>
      </c>
      <c r="C21" s="9" t="n">
        <v>210</v>
      </c>
      <c r="D21" s="9" t="n">
        <v>55497330</v>
      </c>
      <c r="E21" s="9" t="n">
        <v>0</v>
      </c>
      <c r="F21" s="9" t="n">
        <v>0</v>
      </c>
      <c r="G21" s="9" t="n">
        <v>0</v>
      </c>
      <c r="H21" s="9" t="n">
        <v>0</v>
      </c>
      <c r="I21" s="9" t="n">
        <v>210</v>
      </c>
      <c r="J21" s="9" t="n">
        <v>55497330</v>
      </c>
    </row>
    <row r="22" customFormat="false" ht="15.75" hidden="false" customHeight="false" outlineLevel="0" collapsed="false">
      <c r="A22" s="7" t="s">
        <v>30</v>
      </c>
      <c r="B22" s="7" t="n">
        <v>6</v>
      </c>
      <c r="C22" s="9" t="n">
        <v>164</v>
      </c>
      <c r="D22" s="9" t="n">
        <v>34065889</v>
      </c>
      <c r="E22" s="9" t="n">
        <v>40</v>
      </c>
      <c r="F22" s="9" t="n">
        <v>7378920</v>
      </c>
      <c r="G22" s="9" t="n">
        <v>90</v>
      </c>
      <c r="H22" s="9" t="n">
        <v>18284475</v>
      </c>
      <c r="I22" s="9" t="n">
        <v>114</v>
      </c>
      <c r="J22" s="9" t="n">
        <v>23160334</v>
      </c>
    </row>
    <row r="23" customFormat="false" ht="15.75" hidden="false" customHeight="false" outlineLevel="0" collapsed="false">
      <c r="A23" s="7" t="s">
        <v>31</v>
      </c>
      <c r="B23" s="7" t="n">
        <v>6</v>
      </c>
      <c r="C23" s="9" t="n">
        <v>0</v>
      </c>
      <c r="D23" s="9" t="n">
        <v>0</v>
      </c>
      <c r="E23" s="9" t="n">
        <v>0</v>
      </c>
      <c r="F23" s="9" t="n">
        <v>0</v>
      </c>
      <c r="G23" s="9" t="n">
        <v>0</v>
      </c>
      <c r="H23" s="9" t="n">
        <v>0</v>
      </c>
      <c r="I23" s="9" t="n">
        <v>0</v>
      </c>
      <c r="J23" s="9" t="n">
        <v>0</v>
      </c>
    </row>
    <row r="24" customFormat="false" ht="15.75" hidden="false" customHeight="false" outlineLevel="0" collapsed="false">
      <c r="A24" s="7" t="s">
        <v>32</v>
      </c>
      <c r="B24" s="7" t="n">
        <v>6</v>
      </c>
      <c r="C24" s="9" t="n">
        <v>0</v>
      </c>
      <c r="D24" s="9" t="n">
        <v>0</v>
      </c>
      <c r="E24" s="9" t="n">
        <v>0</v>
      </c>
      <c r="F24" s="9" t="n">
        <v>0</v>
      </c>
      <c r="G24" s="9" t="n">
        <v>0</v>
      </c>
      <c r="H24" s="9" t="n">
        <v>0</v>
      </c>
      <c r="I24" s="9" t="n">
        <v>0</v>
      </c>
      <c r="J24" s="9" t="n">
        <v>0</v>
      </c>
    </row>
    <row r="25" customFormat="false" ht="15.75" hidden="false" customHeight="false" outlineLevel="0" collapsed="false">
      <c r="A25" s="7" t="s">
        <v>33</v>
      </c>
      <c r="B25" s="7" t="n">
        <v>6</v>
      </c>
      <c r="C25" s="9" t="n">
        <v>76</v>
      </c>
      <c r="D25" s="9" t="n">
        <v>9285800</v>
      </c>
      <c r="E25" s="9" t="n">
        <v>0</v>
      </c>
      <c r="F25" s="9" t="n">
        <v>0</v>
      </c>
      <c r="G25" s="9" t="n">
        <v>0</v>
      </c>
      <c r="H25" s="9" t="n">
        <v>0</v>
      </c>
      <c r="I25" s="9" t="n">
        <v>76</v>
      </c>
      <c r="J25" s="9" t="n">
        <v>9285800</v>
      </c>
    </row>
    <row r="26" customFormat="false" ht="15.75" hidden="false" customHeight="false" outlineLevel="0" collapsed="false">
      <c r="A26" s="7" t="s">
        <v>34</v>
      </c>
      <c r="B26" s="7" t="n">
        <v>6</v>
      </c>
      <c r="C26" s="9" t="n">
        <v>20</v>
      </c>
      <c r="D26" s="9" t="n">
        <v>4642900</v>
      </c>
      <c r="E26" s="9" t="n">
        <v>0</v>
      </c>
      <c r="F26" s="9" t="n">
        <v>0</v>
      </c>
      <c r="G26" s="9" t="n">
        <v>0</v>
      </c>
      <c r="H26" s="9" t="n">
        <v>0</v>
      </c>
      <c r="I26" s="9" t="n">
        <v>20</v>
      </c>
      <c r="J26" s="9" t="n">
        <v>4642900</v>
      </c>
    </row>
    <row r="27" customFormat="false" ht="15.75" hidden="false" customHeight="false" outlineLevel="0" collapsed="false">
      <c r="A27" s="7" t="s">
        <v>35</v>
      </c>
      <c r="B27" s="7" t="n">
        <v>6</v>
      </c>
      <c r="C27" s="9" t="n">
        <v>0</v>
      </c>
      <c r="D27" s="9" t="n">
        <v>0</v>
      </c>
      <c r="E27" s="9" t="n">
        <v>0</v>
      </c>
      <c r="F27" s="9" t="n">
        <v>0</v>
      </c>
      <c r="G27" s="9" t="n">
        <v>0</v>
      </c>
      <c r="H27" s="9" t="n">
        <v>0</v>
      </c>
      <c r="I27" s="9" t="n">
        <v>0</v>
      </c>
      <c r="J27" s="9" t="n">
        <v>0</v>
      </c>
    </row>
    <row r="28" customFormat="false" ht="15.75" hidden="false" customHeight="false" outlineLevel="0" collapsed="false">
      <c r="A28" s="7" t="s">
        <v>36</v>
      </c>
      <c r="B28" s="7" t="n">
        <v>6</v>
      </c>
      <c r="C28" s="9" t="n">
        <v>40</v>
      </c>
      <c r="D28" s="9" t="n">
        <v>1818200</v>
      </c>
      <c r="E28" s="9" t="n">
        <v>0</v>
      </c>
      <c r="F28" s="9" t="n">
        <v>0</v>
      </c>
      <c r="G28" s="9" t="n">
        <v>0</v>
      </c>
      <c r="H28" s="9" t="n">
        <v>0</v>
      </c>
      <c r="I28" s="9" t="n">
        <v>40</v>
      </c>
      <c r="J28" s="9" t="n">
        <v>1818200</v>
      </c>
    </row>
    <row r="29" customFormat="false" ht="15.75" hidden="false" customHeight="false" outlineLevel="0" collapsed="false">
      <c r="A29" s="7" t="s">
        <v>37</v>
      </c>
      <c r="B29" s="7" t="n">
        <v>6</v>
      </c>
      <c r="C29" s="9" t="n">
        <v>2700</v>
      </c>
      <c r="D29" s="9" t="n">
        <v>146766377</v>
      </c>
      <c r="E29" s="9" t="n">
        <v>3040</v>
      </c>
      <c r="F29" s="9" t="n">
        <v>169264160</v>
      </c>
      <c r="G29" s="9" t="n">
        <v>3621</v>
      </c>
      <c r="H29" s="9" t="n">
        <v>199363515</v>
      </c>
      <c r="I29" s="9" t="n">
        <v>2119</v>
      </c>
      <c r="J29" s="9" t="n">
        <v>116667022</v>
      </c>
    </row>
    <row r="30" customFormat="false" ht="15.75" hidden="false" customHeight="false" outlineLevel="0" collapsed="false">
      <c r="A30" s="7" t="s">
        <v>38</v>
      </c>
      <c r="B30" s="7" t="n">
        <v>6</v>
      </c>
      <c r="C30" s="9" t="n">
        <v>277560</v>
      </c>
      <c r="D30" s="9" t="n">
        <v>368875845</v>
      </c>
      <c r="E30" s="9" t="n">
        <v>6480</v>
      </c>
      <c r="F30" s="9" t="n">
        <v>202227840</v>
      </c>
      <c r="G30" s="9" t="n">
        <v>5842</v>
      </c>
      <c r="H30" s="9" t="n">
        <v>181324589</v>
      </c>
      <c r="I30" s="9" t="n">
        <v>278198</v>
      </c>
      <c r="J30" s="9" t="n">
        <v>389779096</v>
      </c>
    </row>
    <row r="31" customFormat="false" ht="15.75" hidden="false" customHeight="false" outlineLevel="0" collapsed="false">
      <c r="A31" s="7" t="s">
        <v>39</v>
      </c>
      <c r="B31" s="7" t="n">
        <v>6</v>
      </c>
      <c r="C31" s="9" t="n">
        <v>28775</v>
      </c>
      <c r="D31" s="9" t="n">
        <v>149478172</v>
      </c>
      <c r="E31" s="9" t="n">
        <v>2250</v>
      </c>
      <c r="F31" s="9" t="n">
        <v>81414000</v>
      </c>
      <c r="G31" s="9" t="n">
        <v>1050</v>
      </c>
      <c r="H31" s="9" t="n">
        <v>37082926</v>
      </c>
      <c r="I31" s="9" t="n">
        <v>29975</v>
      </c>
      <c r="J31" s="9" t="n">
        <v>193809246</v>
      </c>
    </row>
    <row r="32" customFormat="false" ht="15.75" hidden="false" customHeight="false" outlineLevel="0" collapsed="false">
      <c r="A32" s="7" t="s">
        <v>40</v>
      </c>
      <c r="B32" s="7" t="n">
        <v>6</v>
      </c>
      <c r="C32" s="9" t="n">
        <v>0</v>
      </c>
      <c r="D32" s="9" t="n">
        <v>0</v>
      </c>
      <c r="E32" s="9" t="n">
        <v>0</v>
      </c>
      <c r="F32" s="9" t="n">
        <v>0</v>
      </c>
      <c r="G32" s="9" t="n">
        <v>0</v>
      </c>
      <c r="H32" s="9" t="n">
        <v>0</v>
      </c>
      <c r="I32" s="9" t="n">
        <v>0</v>
      </c>
      <c r="J32" s="9" t="n">
        <v>0</v>
      </c>
    </row>
    <row r="33" customFormat="false" ht="15.75" hidden="false" customHeight="false" outlineLevel="0" collapsed="false">
      <c r="A33" s="7" t="s">
        <v>41</v>
      </c>
      <c r="B33" s="7" t="n">
        <v>6</v>
      </c>
      <c r="C33" s="9" t="n">
        <v>0</v>
      </c>
      <c r="D33" s="9" t="n">
        <v>0</v>
      </c>
      <c r="E33" s="9" t="n">
        <v>90</v>
      </c>
      <c r="F33" s="9" t="n">
        <v>3256560</v>
      </c>
      <c r="G33" s="9" t="n">
        <v>0</v>
      </c>
      <c r="H33" s="9" t="n">
        <v>0</v>
      </c>
      <c r="I33" s="9" t="n">
        <v>90</v>
      </c>
      <c r="J33" s="9" t="n">
        <v>3256560</v>
      </c>
    </row>
    <row r="34" customFormat="false" ht="15.75" hidden="false" customHeight="false" outlineLevel="0" collapsed="false">
      <c r="A34" s="7" t="s">
        <v>42</v>
      </c>
      <c r="B34" s="7" t="n">
        <v>6</v>
      </c>
      <c r="C34" s="9" t="n">
        <v>0</v>
      </c>
      <c r="D34" s="9" t="n">
        <v>0</v>
      </c>
      <c r="E34" s="9" t="n">
        <v>64</v>
      </c>
      <c r="F34" s="9" t="n">
        <v>3359040</v>
      </c>
      <c r="G34" s="9" t="n">
        <v>0</v>
      </c>
      <c r="H34" s="9" t="n">
        <v>0</v>
      </c>
      <c r="I34" s="9" t="n">
        <v>64</v>
      </c>
      <c r="J34" s="9" t="n">
        <v>3359040</v>
      </c>
    </row>
    <row r="35" customFormat="false" ht="15.75" hidden="false" customHeight="false" outlineLevel="0" collapsed="false">
      <c r="A35" s="7" t="s">
        <v>43</v>
      </c>
      <c r="B35" s="7" t="n">
        <v>6</v>
      </c>
      <c r="C35" s="9" t="n">
        <v>0</v>
      </c>
      <c r="D35" s="9" t="n">
        <v>0</v>
      </c>
      <c r="E35" s="9" t="n">
        <v>0</v>
      </c>
      <c r="F35" s="9" t="n">
        <v>0</v>
      </c>
      <c r="G35" s="9" t="n">
        <v>0</v>
      </c>
      <c r="H35" s="9" t="n">
        <v>0</v>
      </c>
      <c r="I35" s="9" t="n">
        <v>0</v>
      </c>
      <c r="J35" s="9" t="n">
        <v>0</v>
      </c>
    </row>
    <row r="36" customFormat="false" ht="15.75" hidden="false" customHeight="false" outlineLevel="0" collapsed="false">
      <c r="A36" s="7" t="s">
        <v>44</v>
      </c>
      <c r="B36" s="7" t="n">
        <v>6</v>
      </c>
      <c r="C36" s="9" t="n">
        <v>9350</v>
      </c>
      <c r="D36" s="9" t="n">
        <v>27819968</v>
      </c>
      <c r="E36" s="9" t="n">
        <v>525</v>
      </c>
      <c r="F36" s="9" t="n">
        <v>18996600</v>
      </c>
      <c r="G36" s="9" t="n">
        <v>1020</v>
      </c>
      <c r="H36" s="9" t="n">
        <v>36001198</v>
      </c>
      <c r="I36" s="9" t="n">
        <v>8855</v>
      </c>
      <c r="J36" s="9" t="n">
        <v>10815370</v>
      </c>
    </row>
    <row r="37" customFormat="false" ht="15.75" hidden="false" customHeight="false" outlineLevel="0" collapsed="false">
      <c r="A37" s="7" t="s">
        <v>45</v>
      </c>
      <c r="B37" s="7" t="n">
        <v>6</v>
      </c>
      <c r="C37" s="9" t="n">
        <v>390</v>
      </c>
      <c r="D37" s="9" t="n">
        <v>13344757</v>
      </c>
      <c r="E37" s="9" t="n">
        <v>375</v>
      </c>
      <c r="F37" s="9" t="n">
        <v>13569000</v>
      </c>
      <c r="G37" s="9" t="n">
        <v>675</v>
      </c>
      <c r="H37" s="9" t="n">
        <v>23747433</v>
      </c>
      <c r="I37" s="9" t="n">
        <v>90</v>
      </c>
      <c r="J37" s="9" t="n">
        <v>3166324</v>
      </c>
    </row>
    <row r="38" customFormat="false" ht="15.75" hidden="false" customHeight="false" outlineLevel="0" collapsed="false">
      <c r="A38" s="7" t="s">
        <v>46</v>
      </c>
      <c r="B38" s="7" t="n">
        <v>6</v>
      </c>
      <c r="C38" s="9" t="n">
        <v>0</v>
      </c>
      <c r="D38" s="9" t="n">
        <v>0</v>
      </c>
      <c r="E38" s="9" t="n">
        <v>0</v>
      </c>
      <c r="F38" s="9" t="n">
        <v>0</v>
      </c>
      <c r="G38" s="9" t="n">
        <v>0</v>
      </c>
      <c r="H38" s="9" t="n">
        <v>0</v>
      </c>
      <c r="I38" s="9" t="n">
        <v>0</v>
      </c>
      <c r="J38" s="9" t="n">
        <v>0</v>
      </c>
    </row>
    <row r="39" customFormat="false" ht="15.75" hidden="false" customHeight="false" outlineLevel="0" collapsed="false">
      <c r="A39" s="7" t="s">
        <v>47</v>
      </c>
      <c r="B39" s="7" t="n">
        <v>6</v>
      </c>
      <c r="C39" s="9" t="n">
        <v>6100</v>
      </c>
      <c r="D39" s="9" t="n">
        <v>28951762</v>
      </c>
      <c r="E39" s="9" t="n">
        <v>1500</v>
      </c>
      <c r="F39" s="9" t="n">
        <v>7500000</v>
      </c>
      <c r="G39" s="9" t="n">
        <v>2850</v>
      </c>
      <c r="H39" s="9" t="n">
        <v>13669411</v>
      </c>
      <c r="I39" s="9" t="n">
        <v>4750</v>
      </c>
      <c r="J39" s="9" t="n">
        <v>22782351</v>
      </c>
    </row>
    <row r="40" customFormat="false" ht="15.75" hidden="false" customHeight="false" outlineLevel="0" collapsed="false">
      <c r="A40" s="7" t="s">
        <v>48</v>
      </c>
      <c r="B40" s="7" t="n">
        <v>6</v>
      </c>
      <c r="C40" s="9" t="n">
        <v>48</v>
      </c>
      <c r="D40" s="9" t="n">
        <v>1156368</v>
      </c>
      <c r="E40" s="9" t="n">
        <v>0</v>
      </c>
      <c r="F40" s="9" t="n">
        <v>0</v>
      </c>
      <c r="G40" s="9" t="n">
        <v>0</v>
      </c>
      <c r="H40" s="9" t="n">
        <v>0</v>
      </c>
      <c r="I40" s="9" t="n">
        <v>48</v>
      </c>
      <c r="J40" s="9" t="n">
        <v>1156368</v>
      </c>
    </row>
    <row r="41" customFormat="false" ht="15.75" hidden="false" customHeight="false" outlineLevel="0" collapsed="false">
      <c r="A41" s="7" t="s">
        <v>49</v>
      </c>
      <c r="B41" s="7" t="n">
        <v>6</v>
      </c>
      <c r="C41" s="9" t="n">
        <v>3900</v>
      </c>
      <c r="D41" s="9" t="n">
        <v>18508643</v>
      </c>
      <c r="E41" s="9" t="n">
        <v>1200</v>
      </c>
      <c r="F41" s="9" t="n">
        <v>5781600</v>
      </c>
      <c r="G41" s="9" t="n">
        <v>2100</v>
      </c>
      <c r="H41" s="9" t="n">
        <v>10001865</v>
      </c>
      <c r="I41" s="9" t="n">
        <v>3000</v>
      </c>
      <c r="J41" s="9" t="n">
        <v>14288378</v>
      </c>
    </row>
    <row r="42" customFormat="false" ht="15.75" hidden="false" customHeight="false" outlineLevel="0" collapsed="false">
      <c r="A42" s="7" t="s">
        <v>50</v>
      </c>
      <c r="B42" s="7" t="n">
        <v>6</v>
      </c>
      <c r="C42" s="9" t="n">
        <v>1500</v>
      </c>
      <c r="D42" s="9" t="n">
        <v>4773000</v>
      </c>
      <c r="E42" s="9" t="n">
        <v>0</v>
      </c>
      <c r="F42" s="9" t="n">
        <v>0</v>
      </c>
      <c r="G42" s="9" t="n">
        <v>0</v>
      </c>
      <c r="H42" s="9" t="n">
        <v>0</v>
      </c>
      <c r="I42" s="9" t="n">
        <v>1500</v>
      </c>
      <c r="J42" s="9" t="n">
        <v>4773000</v>
      </c>
    </row>
    <row r="43" customFormat="false" ht="15.75" hidden="false" customHeight="false" outlineLevel="0" collapsed="false">
      <c r="A43" s="7" t="s">
        <v>51</v>
      </c>
      <c r="B43" s="7" t="n">
        <v>6</v>
      </c>
      <c r="C43" s="9" t="n">
        <v>2350</v>
      </c>
      <c r="D43" s="9" t="n">
        <v>8732188</v>
      </c>
      <c r="E43" s="9" t="n">
        <v>750</v>
      </c>
      <c r="F43" s="9" t="n">
        <v>3068250</v>
      </c>
      <c r="G43" s="9" t="n">
        <v>1500</v>
      </c>
      <c r="H43" s="9" t="n">
        <v>5709889</v>
      </c>
      <c r="I43" s="9" t="n">
        <v>1600</v>
      </c>
      <c r="J43" s="9" t="n">
        <v>6090549</v>
      </c>
    </row>
    <row r="44" customFormat="false" ht="15.75" hidden="false" customHeight="false" outlineLevel="0" collapsed="false">
      <c r="A44" s="7" t="s">
        <v>52</v>
      </c>
      <c r="B44" s="7" t="n">
        <v>6</v>
      </c>
      <c r="C44" s="9" t="n">
        <v>864</v>
      </c>
      <c r="D44" s="9" t="n">
        <v>19636128</v>
      </c>
      <c r="E44" s="9" t="n">
        <v>144</v>
      </c>
      <c r="F44" s="9" t="n">
        <v>3272688</v>
      </c>
      <c r="G44" s="9" t="n">
        <v>0</v>
      </c>
      <c r="H44" s="9" t="n">
        <v>0</v>
      </c>
      <c r="I44" s="9" t="n">
        <v>1008</v>
      </c>
      <c r="J44" s="9" t="n">
        <v>22908816</v>
      </c>
    </row>
    <row r="45" customFormat="false" ht="15.75" hidden="false" customHeight="false" outlineLevel="0" collapsed="false">
      <c r="A45" s="7" t="s">
        <v>53</v>
      </c>
      <c r="B45" s="7" t="n">
        <v>6</v>
      </c>
      <c r="C45" s="9" t="n">
        <v>0</v>
      </c>
      <c r="D45" s="9" t="n">
        <v>0</v>
      </c>
      <c r="E45" s="9" t="n">
        <v>0</v>
      </c>
      <c r="F45" s="9" t="n">
        <v>0</v>
      </c>
      <c r="G45" s="9" t="n">
        <v>0</v>
      </c>
      <c r="H45" s="9" t="n">
        <v>0</v>
      </c>
      <c r="I45" s="9" t="n">
        <v>0</v>
      </c>
      <c r="J45" s="9" t="n">
        <v>0</v>
      </c>
    </row>
    <row r="46" customFormat="false" ht="15.75" hidden="false" customHeight="false" outlineLevel="0" collapsed="false">
      <c r="A46" s="7" t="s">
        <v>54</v>
      </c>
      <c r="B46" s="7" t="n">
        <v>6</v>
      </c>
      <c r="C46" s="9" t="n">
        <v>6800</v>
      </c>
      <c r="D46" s="9" t="n">
        <v>93250497</v>
      </c>
      <c r="E46" s="9" t="n">
        <v>1680</v>
      </c>
      <c r="F46" s="9" t="n">
        <v>24435600</v>
      </c>
      <c r="G46" s="9" t="n">
        <v>401</v>
      </c>
      <c r="H46" s="9" t="n">
        <v>5565109</v>
      </c>
      <c r="I46" s="9" t="n">
        <v>8079</v>
      </c>
      <c r="J46" s="9" t="n">
        <v>112120988</v>
      </c>
    </row>
    <row r="47" customFormat="false" ht="15.75" hidden="false" customHeight="false" outlineLevel="0" collapsed="false">
      <c r="A47" s="7" t="s">
        <v>55</v>
      </c>
      <c r="B47" s="7" t="n">
        <v>6</v>
      </c>
      <c r="C47" s="9" t="n">
        <v>12</v>
      </c>
      <c r="D47" s="9" t="n">
        <v>1041816</v>
      </c>
      <c r="E47" s="9" t="n">
        <v>48</v>
      </c>
      <c r="F47" s="9" t="n">
        <v>4167264</v>
      </c>
      <c r="G47" s="9" t="n">
        <v>0</v>
      </c>
      <c r="H47" s="9" t="n">
        <v>0</v>
      </c>
      <c r="I47" s="9" t="n">
        <v>60</v>
      </c>
      <c r="J47" s="9" t="n">
        <v>5209080</v>
      </c>
    </row>
    <row r="48" customFormat="false" ht="15.75" hidden="false" customHeight="false" outlineLevel="0" collapsed="false">
      <c r="A48" s="7" t="s">
        <v>56</v>
      </c>
      <c r="B48" s="7" t="n">
        <v>6</v>
      </c>
      <c r="C48" s="9" t="n">
        <v>192</v>
      </c>
      <c r="D48" s="9" t="n">
        <v>1815360</v>
      </c>
      <c r="E48" s="9" t="n">
        <v>240</v>
      </c>
      <c r="F48" s="9" t="n">
        <v>2269200</v>
      </c>
      <c r="G48" s="9" t="n">
        <v>0</v>
      </c>
      <c r="H48" s="9" t="n">
        <v>0</v>
      </c>
      <c r="I48" s="9" t="n">
        <v>432</v>
      </c>
      <c r="J48" s="9" t="n">
        <v>4084560</v>
      </c>
    </row>
    <row r="49" customFormat="false" ht="15.75" hidden="false" customHeight="false" outlineLevel="0" collapsed="false">
      <c r="A49" s="7" t="s">
        <v>57</v>
      </c>
      <c r="B49" s="7" t="n">
        <v>6</v>
      </c>
      <c r="C49" s="9" t="n">
        <v>480</v>
      </c>
      <c r="D49" s="9" t="n">
        <v>7636320</v>
      </c>
      <c r="E49" s="9" t="n">
        <v>360</v>
      </c>
      <c r="F49" s="9" t="n">
        <v>6218280</v>
      </c>
      <c r="G49" s="9" t="n">
        <v>0</v>
      </c>
      <c r="H49" s="9" t="n">
        <v>0</v>
      </c>
      <c r="I49" s="9" t="n">
        <v>840</v>
      </c>
      <c r="J49" s="9" t="n">
        <v>13854600</v>
      </c>
    </row>
    <row r="50" customFormat="false" ht="15.75" hidden="false" customHeight="false" outlineLevel="0" collapsed="false">
      <c r="A50" s="7" t="s">
        <v>58</v>
      </c>
      <c r="B50" s="7" t="n">
        <v>6</v>
      </c>
      <c r="C50" s="9" t="n">
        <v>2640</v>
      </c>
      <c r="D50" s="9" t="n">
        <v>20399280</v>
      </c>
      <c r="E50" s="9" t="n">
        <v>960</v>
      </c>
      <c r="F50" s="9" t="n">
        <v>8116800</v>
      </c>
      <c r="G50" s="9" t="n">
        <v>1356</v>
      </c>
      <c r="H50" s="9" t="n">
        <v>10741057</v>
      </c>
      <c r="I50" s="9" t="n">
        <v>2244</v>
      </c>
      <c r="J50" s="9" t="n">
        <v>17775023</v>
      </c>
    </row>
    <row r="51" customFormat="false" ht="15.75" hidden="false" customHeight="false" outlineLevel="0" collapsed="false">
      <c r="A51" s="7" t="s">
        <v>59</v>
      </c>
      <c r="B51" s="7" t="n">
        <v>6</v>
      </c>
      <c r="C51" s="9" t="n">
        <v>6796</v>
      </c>
      <c r="D51" s="9" t="n">
        <v>87112505</v>
      </c>
      <c r="E51" s="9" t="n">
        <v>1440</v>
      </c>
      <c r="F51" s="9" t="n">
        <v>23564160</v>
      </c>
      <c r="G51" s="9" t="n">
        <v>4680</v>
      </c>
      <c r="H51" s="9" t="n">
        <v>62890577</v>
      </c>
      <c r="I51" s="9" t="n">
        <v>3556</v>
      </c>
      <c r="J51" s="9" t="n">
        <v>47786088</v>
      </c>
    </row>
    <row r="52" customFormat="false" ht="15.75" hidden="false" customHeight="false" outlineLevel="0" collapsed="false">
      <c r="A52" s="7" t="s">
        <v>60</v>
      </c>
      <c r="B52" s="7" t="n">
        <v>6</v>
      </c>
      <c r="C52" s="9" t="n">
        <v>3202</v>
      </c>
      <c r="D52" s="9" t="n">
        <v>104417661</v>
      </c>
      <c r="E52" s="9" t="n">
        <v>480</v>
      </c>
      <c r="F52" s="9" t="n">
        <v>16581600</v>
      </c>
      <c r="G52" s="9" t="n">
        <v>420</v>
      </c>
      <c r="H52" s="9" t="n">
        <v>13802197</v>
      </c>
      <c r="I52" s="9" t="n">
        <v>3262</v>
      </c>
      <c r="J52" s="9" t="n">
        <v>107197064</v>
      </c>
    </row>
    <row r="53" customFormat="false" ht="15.75" hidden="false" customHeight="false" outlineLevel="0" collapsed="false">
      <c r="A53" s="7" t="s">
        <v>61</v>
      </c>
      <c r="B53" s="7" t="n">
        <v>6</v>
      </c>
      <c r="C53" s="9" t="n">
        <v>0</v>
      </c>
      <c r="D53" s="9" t="n">
        <v>0</v>
      </c>
      <c r="E53" s="9" t="n">
        <v>0</v>
      </c>
      <c r="F53" s="9" t="n">
        <v>0</v>
      </c>
      <c r="G53" s="9" t="n">
        <v>0</v>
      </c>
      <c r="H53" s="9" t="n">
        <v>0</v>
      </c>
      <c r="I53" s="9" t="n">
        <v>0</v>
      </c>
      <c r="J53" s="9" t="n">
        <v>0</v>
      </c>
    </row>
    <row r="54" customFormat="false" ht="15.75" hidden="false" customHeight="false" outlineLevel="0" collapsed="false">
      <c r="A54" s="7" t="s">
        <v>62</v>
      </c>
      <c r="B54" s="7" t="n">
        <v>6</v>
      </c>
      <c r="C54" s="9" t="n">
        <v>6789</v>
      </c>
      <c r="D54" s="9" t="n">
        <v>32159315</v>
      </c>
      <c r="E54" s="9" t="n">
        <v>1200</v>
      </c>
      <c r="F54" s="9" t="n">
        <v>5781600</v>
      </c>
      <c r="G54" s="9" t="n">
        <v>5585</v>
      </c>
      <c r="H54" s="9" t="n">
        <v>26523972</v>
      </c>
      <c r="I54" s="9" t="n">
        <v>2404</v>
      </c>
      <c r="J54" s="9" t="n">
        <v>11416943</v>
      </c>
    </row>
    <row r="55" customFormat="false" ht="15.75" hidden="false" customHeight="false" outlineLevel="0" collapsed="false">
      <c r="A55" s="7" t="s">
        <v>63</v>
      </c>
      <c r="B55" s="7" t="n">
        <v>6</v>
      </c>
      <c r="C55" s="9" t="n">
        <v>0</v>
      </c>
      <c r="D55" s="9" t="n">
        <v>0</v>
      </c>
      <c r="E55" s="9" t="n">
        <v>0</v>
      </c>
      <c r="F55" s="9" t="n">
        <v>0</v>
      </c>
      <c r="G55" s="9" t="n">
        <v>0</v>
      </c>
      <c r="H55" s="9" t="n">
        <v>0</v>
      </c>
      <c r="I55" s="9" t="n">
        <v>0</v>
      </c>
      <c r="J55" s="9" t="n">
        <v>0</v>
      </c>
    </row>
    <row r="56" customFormat="false" ht="15.75" hidden="false" customHeight="false" outlineLevel="0" collapsed="false">
      <c r="A56" s="7" t="s">
        <v>64</v>
      </c>
      <c r="B56" s="7" t="n">
        <v>6</v>
      </c>
      <c r="C56" s="9" t="n">
        <v>0</v>
      </c>
      <c r="D56" s="9" t="n">
        <v>0</v>
      </c>
      <c r="E56" s="9" t="n">
        <v>0</v>
      </c>
      <c r="F56" s="9" t="n">
        <v>0</v>
      </c>
      <c r="G56" s="9" t="n">
        <v>0</v>
      </c>
      <c r="H56" s="9" t="n">
        <v>0</v>
      </c>
      <c r="I56" s="9" t="n">
        <v>0</v>
      </c>
      <c r="J56" s="9" t="n">
        <v>0</v>
      </c>
    </row>
    <row r="57" customFormat="false" ht="15.75" hidden="false" customHeight="false" outlineLevel="0" collapsed="false">
      <c r="A57" s="7" t="s">
        <v>65</v>
      </c>
      <c r="B57" s="7" t="n">
        <v>6</v>
      </c>
      <c r="C57" s="9" t="n">
        <v>0</v>
      </c>
      <c r="D57" s="9" t="n">
        <v>0</v>
      </c>
      <c r="E57" s="9" t="n">
        <v>0</v>
      </c>
      <c r="F57" s="9" t="n">
        <v>0</v>
      </c>
      <c r="G57" s="9" t="n">
        <v>0</v>
      </c>
      <c r="H57" s="9" t="n">
        <v>0</v>
      </c>
      <c r="I57" s="9" t="n">
        <v>0</v>
      </c>
      <c r="J57" s="9" t="n">
        <v>0</v>
      </c>
    </row>
    <row r="58" customFormat="false" ht="15.75" hidden="false" customHeight="false" outlineLevel="0" collapsed="false">
      <c r="A58" s="7" t="s">
        <v>66</v>
      </c>
      <c r="B58" s="7" t="n">
        <v>6</v>
      </c>
      <c r="C58" s="9" t="n">
        <v>3408</v>
      </c>
      <c r="D58" s="9" t="n">
        <v>49484710</v>
      </c>
      <c r="E58" s="9" t="n">
        <v>1800</v>
      </c>
      <c r="F58" s="9" t="n">
        <v>27819000</v>
      </c>
      <c r="G58" s="9" t="n">
        <v>1812</v>
      </c>
      <c r="H58" s="9" t="n">
        <v>26895991</v>
      </c>
      <c r="I58" s="9" t="n">
        <v>3396</v>
      </c>
      <c r="J58" s="9" t="n">
        <v>50407719</v>
      </c>
    </row>
    <row r="59" customFormat="false" ht="15.75" hidden="false" customHeight="false" outlineLevel="0" collapsed="false">
      <c r="A59" s="7" t="s">
        <v>67</v>
      </c>
      <c r="B59" s="7" t="n">
        <v>6</v>
      </c>
      <c r="C59" s="9" t="n">
        <v>136</v>
      </c>
      <c r="D59" s="9" t="n">
        <v>985256</v>
      </c>
      <c r="E59" s="9" t="n">
        <v>0</v>
      </c>
      <c r="F59" s="9" t="n">
        <v>0</v>
      </c>
      <c r="G59" s="9" t="n">
        <v>0</v>
      </c>
      <c r="H59" s="9" t="n">
        <v>0</v>
      </c>
      <c r="I59" s="9" t="n">
        <v>136</v>
      </c>
      <c r="J59" s="9" t="n">
        <v>985256</v>
      </c>
    </row>
    <row r="60" customFormat="false" ht="15.75" hidden="false" customHeight="false" outlineLevel="0" collapsed="false">
      <c r="A60" s="7" t="s">
        <v>68</v>
      </c>
      <c r="B60" s="7" t="n">
        <v>6</v>
      </c>
      <c r="C60" s="9" t="n">
        <v>336</v>
      </c>
      <c r="D60" s="9" t="n">
        <v>14871168</v>
      </c>
      <c r="E60" s="9" t="n">
        <v>96</v>
      </c>
      <c r="F60" s="9" t="n">
        <v>4398528</v>
      </c>
      <c r="G60" s="9" t="n">
        <v>240</v>
      </c>
      <c r="H60" s="9" t="n">
        <v>10705387</v>
      </c>
      <c r="I60" s="9" t="n">
        <v>192</v>
      </c>
      <c r="J60" s="9" t="n">
        <v>8564309</v>
      </c>
    </row>
    <row r="61" customFormat="false" ht="15.75" hidden="false" customHeight="false" outlineLevel="0" collapsed="false">
      <c r="A61" s="7" t="s">
        <v>69</v>
      </c>
      <c r="B61" s="7" t="n">
        <v>6</v>
      </c>
      <c r="C61" s="9" t="n">
        <v>0</v>
      </c>
      <c r="D61" s="9" t="n">
        <v>0</v>
      </c>
      <c r="E61" s="9" t="n">
        <v>0</v>
      </c>
      <c r="F61" s="9" t="n">
        <v>0</v>
      </c>
      <c r="G61" s="9" t="n">
        <v>0</v>
      </c>
      <c r="H61" s="9" t="n">
        <v>0</v>
      </c>
      <c r="I61" s="9" t="n">
        <v>0</v>
      </c>
      <c r="J61" s="9" t="n">
        <v>0</v>
      </c>
    </row>
    <row r="62" customFormat="false" ht="15.75" hidden="false" customHeight="false" outlineLevel="0" collapsed="false">
      <c r="A62" s="7" t="s">
        <v>70</v>
      </c>
      <c r="B62" s="7" t="n">
        <v>6</v>
      </c>
      <c r="C62" s="9" t="n">
        <v>0</v>
      </c>
      <c r="D62" s="9" t="n">
        <v>0</v>
      </c>
      <c r="E62" s="9" t="n">
        <v>0</v>
      </c>
      <c r="F62" s="9" t="n">
        <v>0</v>
      </c>
      <c r="G62" s="9" t="n">
        <v>0</v>
      </c>
      <c r="H62" s="9" t="n">
        <v>0</v>
      </c>
      <c r="I62" s="9" t="n">
        <v>0</v>
      </c>
      <c r="J62" s="9" t="n">
        <v>0</v>
      </c>
    </row>
    <row r="63" customFormat="false" ht="15.75" hidden="false" customHeight="false" outlineLevel="0" collapsed="false">
      <c r="A63" s="7" t="s">
        <v>71</v>
      </c>
      <c r="B63" s="7" t="n">
        <v>6</v>
      </c>
      <c r="C63" s="9" t="n">
        <v>840</v>
      </c>
      <c r="D63" s="9" t="n">
        <v>12217800</v>
      </c>
      <c r="E63" s="9" t="n">
        <v>360</v>
      </c>
      <c r="F63" s="9" t="n">
        <v>5563800</v>
      </c>
      <c r="G63" s="9" t="n">
        <v>0</v>
      </c>
      <c r="H63" s="9" t="n">
        <v>0</v>
      </c>
      <c r="I63" s="9" t="n">
        <v>1200</v>
      </c>
      <c r="J63" s="9" t="n">
        <v>17781600</v>
      </c>
    </row>
    <row r="64" customFormat="false" ht="15.75" hidden="false" customHeight="false" outlineLevel="0" collapsed="false">
      <c r="A64" s="7" t="s">
        <v>72</v>
      </c>
      <c r="B64" s="7" t="n">
        <v>6</v>
      </c>
      <c r="C64" s="9" t="n">
        <v>3580</v>
      </c>
      <c r="D64" s="9" t="n">
        <v>73536229</v>
      </c>
      <c r="E64" s="9" t="n">
        <v>723</v>
      </c>
      <c r="F64" s="9" t="n">
        <v>17017920</v>
      </c>
      <c r="G64" s="9" t="n">
        <v>960</v>
      </c>
      <c r="H64" s="9" t="n">
        <v>20202645</v>
      </c>
      <c r="I64" s="9" t="n">
        <v>3343</v>
      </c>
      <c r="J64" s="9" t="n">
        <v>70351504</v>
      </c>
    </row>
    <row r="65" customFormat="false" ht="15.75" hidden="false" customHeight="false" outlineLevel="0" collapsed="false">
      <c r="A65" s="7" t="s">
        <v>73</v>
      </c>
      <c r="B65" s="7" t="n">
        <v>6</v>
      </c>
      <c r="C65" s="9" t="n">
        <v>3467</v>
      </c>
      <c r="D65" s="9" t="n">
        <v>111922767</v>
      </c>
      <c r="E65" s="9" t="n">
        <v>840</v>
      </c>
      <c r="F65" s="9" t="n">
        <v>28254240</v>
      </c>
      <c r="G65" s="9" t="n">
        <v>720</v>
      </c>
      <c r="H65" s="9" t="n">
        <v>23433352</v>
      </c>
      <c r="I65" s="9" t="n">
        <v>3587</v>
      </c>
      <c r="J65" s="9" t="n">
        <v>116743655</v>
      </c>
    </row>
    <row r="66" customFormat="false" ht="15.75" hidden="false" customHeight="false" outlineLevel="0" collapsed="false">
      <c r="A66" s="7" t="s">
        <v>74</v>
      </c>
      <c r="B66" s="7" t="n">
        <v>6</v>
      </c>
      <c r="C66" s="9" t="n">
        <v>1956</v>
      </c>
      <c r="D66" s="9" t="n">
        <v>28225042</v>
      </c>
      <c r="E66" s="9" t="n">
        <v>1440</v>
      </c>
      <c r="F66" s="9" t="n">
        <v>20944800</v>
      </c>
      <c r="G66" s="9" t="n">
        <v>276</v>
      </c>
      <c r="H66" s="9" t="n">
        <v>3996136</v>
      </c>
      <c r="I66" s="9" t="n">
        <v>3120</v>
      </c>
      <c r="J66" s="9" t="n">
        <v>45173706</v>
      </c>
    </row>
    <row r="67" customFormat="false" ht="15.75" hidden="false" customHeight="false" outlineLevel="0" collapsed="false">
      <c r="A67" s="7" t="s">
        <v>75</v>
      </c>
      <c r="B67" s="7" t="n">
        <v>6</v>
      </c>
      <c r="C67" s="9" t="n">
        <v>4560</v>
      </c>
      <c r="D67" s="9" t="n">
        <v>1532160</v>
      </c>
      <c r="E67" s="9" t="n">
        <v>2400</v>
      </c>
      <c r="F67" s="9" t="n">
        <v>873600</v>
      </c>
      <c r="G67" s="9" t="n">
        <v>0</v>
      </c>
      <c r="H67" s="9" t="n">
        <v>0</v>
      </c>
      <c r="I67" s="9" t="n">
        <v>6960</v>
      </c>
      <c r="J67" s="9" t="n">
        <v>2405760</v>
      </c>
    </row>
    <row r="68" customFormat="false" ht="15.75" hidden="false" customHeight="false" outlineLevel="0" collapsed="false">
      <c r="A68" s="7" t="s">
        <v>76</v>
      </c>
      <c r="B68" s="7" t="n">
        <v>6</v>
      </c>
      <c r="C68" s="9" t="n">
        <v>81</v>
      </c>
      <c r="D68" s="9" t="n">
        <v>4148190</v>
      </c>
      <c r="E68" s="9" t="n">
        <v>45</v>
      </c>
      <c r="F68" s="9" t="n">
        <v>2331810</v>
      </c>
      <c r="G68" s="9" t="n">
        <v>36</v>
      </c>
      <c r="H68" s="9" t="n">
        <v>1851429</v>
      </c>
      <c r="I68" s="9" t="n">
        <v>90</v>
      </c>
      <c r="J68" s="9" t="n">
        <v>4628571</v>
      </c>
    </row>
    <row r="69" customFormat="false" ht="15.75" hidden="false" customHeight="false" outlineLevel="0" collapsed="false">
      <c r="A69" s="7" t="s">
        <v>77</v>
      </c>
      <c r="B69" s="7" t="n">
        <v>6</v>
      </c>
      <c r="C69" s="9" t="n">
        <v>240</v>
      </c>
      <c r="D69" s="9" t="n">
        <v>1309200</v>
      </c>
      <c r="E69" s="9" t="n">
        <v>0</v>
      </c>
      <c r="F69" s="9" t="n">
        <v>0</v>
      </c>
      <c r="G69" s="9" t="n">
        <v>36</v>
      </c>
      <c r="H69" s="9" t="n">
        <v>196380</v>
      </c>
      <c r="I69" s="9" t="n">
        <v>204</v>
      </c>
      <c r="J69" s="9" t="n">
        <v>1112820</v>
      </c>
    </row>
    <row r="70" customFormat="false" ht="15.75" hidden="false" customHeight="false" outlineLevel="0" collapsed="false">
      <c r="A70" s="7" t="s">
        <v>78</v>
      </c>
      <c r="B70" s="7" t="n">
        <v>6</v>
      </c>
      <c r="C70" s="9" t="n">
        <v>3224</v>
      </c>
      <c r="D70" s="9" t="n">
        <v>12439726</v>
      </c>
      <c r="E70" s="9" t="n">
        <v>240</v>
      </c>
      <c r="F70" s="9" t="n">
        <v>2618160</v>
      </c>
      <c r="G70" s="9" t="n">
        <v>0</v>
      </c>
      <c r="H70" s="9" t="n">
        <v>0</v>
      </c>
      <c r="I70" s="9" t="n">
        <v>3464</v>
      </c>
      <c r="J70" s="9" t="n">
        <v>15057886</v>
      </c>
    </row>
    <row r="71" customFormat="false" ht="15.75" hidden="false" customHeight="false" outlineLevel="0" collapsed="false">
      <c r="A71" s="7" t="s">
        <v>79</v>
      </c>
      <c r="B71" s="7" t="n">
        <v>6</v>
      </c>
      <c r="C71" s="9" t="n">
        <v>1633</v>
      </c>
      <c r="D71" s="9" t="n">
        <v>31847779</v>
      </c>
      <c r="E71" s="9" t="n">
        <v>120</v>
      </c>
      <c r="F71" s="9" t="n">
        <v>2509080</v>
      </c>
      <c r="G71" s="9" t="n">
        <v>180</v>
      </c>
      <c r="H71" s="9" t="n">
        <v>3527801</v>
      </c>
      <c r="I71" s="9" t="n">
        <v>1573</v>
      </c>
      <c r="J71" s="9" t="n">
        <v>30829058</v>
      </c>
    </row>
    <row r="72" customFormat="false" ht="15.75" hidden="false" customHeight="false" outlineLevel="0" collapsed="false">
      <c r="A72" s="7" t="s">
        <v>80</v>
      </c>
      <c r="B72" s="7" t="n">
        <v>6</v>
      </c>
      <c r="C72" s="9" t="n">
        <v>324</v>
      </c>
      <c r="D72" s="9" t="n">
        <v>4369775</v>
      </c>
      <c r="E72" s="9" t="n">
        <v>0</v>
      </c>
      <c r="F72" s="9" t="n">
        <v>0</v>
      </c>
      <c r="G72" s="9" t="n">
        <v>180</v>
      </c>
      <c r="H72" s="9" t="n">
        <v>2427653</v>
      </c>
      <c r="I72" s="9" t="n">
        <v>144</v>
      </c>
      <c r="J72" s="9" t="n">
        <v>1942122</v>
      </c>
    </row>
    <row r="73" customFormat="false" ht="15.75" hidden="false" customHeight="false" outlineLevel="0" collapsed="false">
      <c r="A73" s="7" t="s">
        <v>81</v>
      </c>
      <c r="B73" s="7" t="n">
        <v>6</v>
      </c>
      <c r="C73" s="9" t="n">
        <v>1512</v>
      </c>
      <c r="D73" s="9" t="n">
        <v>22155840</v>
      </c>
      <c r="E73" s="9" t="n">
        <v>360</v>
      </c>
      <c r="F73" s="9" t="n">
        <v>5563800</v>
      </c>
      <c r="G73" s="9" t="n">
        <v>0</v>
      </c>
      <c r="H73" s="9" t="n">
        <v>0</v>
      </c>
      <c r="I73" s="9" t="n">
        <v>1872</v>
      </c>
      <c r="J73" s="9" t="n">
        <v>27719640</v>
      </c>
    </row>
    <row r="74" customFormat="false" ht="15.75" hidden="false" customHeight="false" outlineLevel="0" collapsed="false">
      <c r="A74" s="7" t="s">
        <v>82</v>
      </c>
      <c r="B74" s="7" t="n">
        <v>6</v>
      </c>
      <c r="C74" s="9" t="n">
        <v>3960</v>
      </c>
      <c r="D74" s="9" t="n">
        <v>28080360</v>
      </c>
      <c r="E74" s="9" t="n">
        <v>1800</v>
      </c>
      <c r="F74" s="9" t="n">
        <v>13091400</v>
      </c>
      <c r="G74" s="9" t="n">
        <v>0</v>
      </c>
      <c r="H74" s="9" t="n">
        <v>0</v>
      </c>
      <c r="I74" s="9" t="n">
        <v>5760</v>
      </c>
      <c r="J74" s="9" t="n">
        <v>41171760</v>
      </c>
    </row>
    <row r="75" customFormat="false" ht="15.75" hidden="false" customHeight="false" outlineLevel="0" collapsed="false">
      <c r="A75" s="7" t="s">
        <v>83</v>
      </c>
      <c r="B75" s="7" t="n">
        <v>6</v>
      </c>
      <c r="C75" s="9" t="n">
        <v>1710</v>
      </c>
      <c r="D75" s="9" t="n">
        <v>11520432</v>
      </c>
      <c r="E75" s="9" t="n">
        <v>360</v>
      </c>
      <c r="F75" s="9" t="n">
        <v>2748960</v>
      </c>
      <c r="G75" s="9" t="n">
        <v>756</v>
      </c>
      <c r="H75" s="9" t="n">
        <v>5211430</v>
      </c>
      <c r="I75" s="9" t="n">
        <v>1314</v>
      </c>
      <c r="J75" s="9" t="n">
        <v>9057962</v>
      </c>
    </row>
    <row r="76" customFormat="false" ht="15.75" hidden="false" customHeight="false" outlineLevel="0" collapsed="false">
      <c r="A76" s="7" t="s">
        <v>84</v>
      </c>
      <c r="B76" s="7" t="n">
        <v>6</v>
      </c>
      <c r="C76" s="9" t="n">
        <v>13899</v>
      </c>
      <c r="D76" s="9" t="n">
        <v>401787648</v>
      </c>
      <c r="E76" s="9" t="n">
        <v>4080</v>
      </c>
      <c r="F76" s="9" t="n">
        <v>126108720</v>
      </c>
      <c r="G76" s="9" t="n">
        <v>539</v>
      </c>
      <c r="H76" s="9" t="n">
        <v>15826027</v>
      </c>
      <c r="I76" s="9" t="n">
        <v>17440</v>
      </c>
      <c r="J76" s="9" t="n">
        <v>512070341</v>
      </c>
    </row>
    <row r="77" customFormat="false" ht="15.75" hidden="false" customHeight="false" outlineLevel="0" collapsed="false">
      <c r="A77" s="7" t="s">
        <v>85</v>
      </c>
      <c r="B77" s="7" t="n">
        <v>6</v>
      </c>
      <c r="C77" s="9" t="n">
        <v>9567</v>
      </c>
      <c r="D77" s="9" t="n">
        <v>83246924</v>
      </c>
      <c r="E77" s="9" t="n">
        <v>9360</v>
      </c>
      <c r="F77" s="9" t="n">
        <v>85091760</v>
      </c>
      <c r="G77" s="9" t="n">
        <v>9058</v>
      </c>
      <c r="H77" s="9" t="n">
        <v>80562783</v>
      </c>
      <c r="I77" s="9" t="n">
        <v>9869</v>
      </c>
      <c r="J77" s="9" t="n">
        <v>87775901</v>
      </c>
    </row>
    <row r="78" customFormat="false" ht="15.75" hidden="false" customHeight="false" outlineLevel="0" collapsed="false">
      <c r="A78" s="7" t="s">
        <v>86</v>
      </c>
      <c r="B78" s="7" t="n">
        <v>6</v>
      </c>
      <c r="C78" s="9" t="n">
        <v>53479</v>
      </c>
      <c r="D78" s="9" t="n">
        <v>375917881</v>
      </c>
      <c r="E78" s="9" t="n">
        <v>10800</v>
      </c>
      <c r="F78" s="9" t="n">
        <v>78548400</v>
      </c>
      <c r="G78" s="9" t="n">
        <v>1147</v>
      </c>
      <c r="H78" s="9" t="n">
        <v>8109535</v>
      </c>
      <c r="I78" s="9" t="n">
        <v>63132</v>
      </c>
      <c r="J78" s="9" t="n">
        <v>446356746</v>
      </c>
    </row>
    <row r="79" customFormat="false" ht="15.75" hidden="false" customHeight="false" outlineLevel="0" collapsed="false">
      <c r="A79" s="7" t="s">
        <v>87</v>
      </c>
      <c r="B79" s="7" t="n">
        <v>6</v>
      </c>
      <c r="C79" s="9" t="n">
        <v>9378</v>
      </c>
      <c r="D79" s="9" t="n">
        <v>160259140</v>
      </c>
      <c r="E79" s="9" t="n">
        <v>4320</v>
      </c>
      <c r="F79" s="9" t="n">
        <v>76580640</v>
      </c>
      <c r="G79" s="9" t="n">
        <v>216</v>
      </c>
      <c r="H79" s="9" t="n">
        <v>3734661</v>
      </c>
      <c r="I79" s="9" t="n">
        <v>13482</v>
      </c>
      <c r="J79" s="9" t="n">
        <v>233105119</v>
      </c>
    </row>
    <row r="80" customFormat="false" ht="15.75" hidden="false" customHeight="false" outlineLevel="0" collapsed="false">
      <c r="A80" s="7" t="s">
        <v>88</v>
      </c>
      <c r="B80" s="7" t="n">
        <v>6</v>
      </c>
      <c r="C80" s="9" t="n">
        <v>768</v>
      </c>
      <c r="D80" s="9" t="n">
        <v>16058112</v>
      </c>
      <c r="E80" s="9" t="n">
        <v>0</v>
      </c>
      <c r="F80" s="9" t="n">
        <v>0</v>
      </c>
      <c r="G80" s="9" t="n">
        <v>0</v>
      </c>
      <c r="H80" s="9" t="n">
        <v>0</v>
      </c>
      <c r="I80" s="9" t="n">
        <v>768</v>
      </c>
      <c r="J80" s="9" t="n">
        <v>16058112</v>
      </c>
    </row>
    <row r="81" customFormat="false" ht="15.75" hidden="false" customHeight="false" outlineLevel="0" collapsed="false">
      <c r="A81" s="7" t="s">
        <v>89</v>
      </c>
      <c r="B81" s="7" t="n">
        <v>6</v>
      </c>
      <c r="C81" s="9" t="n">
        <v>960</v>
      </c>
      <c r="D81" s="9" t="n">
        <v>22063440</v>
      </c>
      <c r="E81" s="9" t="n">
        <v>120</v>
      </c>
      <c r="F81" s="9" t="n">
        <v>2890920</v>
      </c>
      <c r="G81" s="9" t="n">
        <v>780</v>
      </c>
      <c r="H81" s="9" t="n">
        <v>18022593</v>
      </c>
      <c r="I81" s="9" t="n">
        <v>300</v>
      </c>
      <c r="J81" s="9" t="n">
        <v>6931767</v>
      </c>
    </row>
    <row r="82" customFormat="false" ht="15.75" hidden="false" customHeight="false" outlineLevel="0" collapsed="false">
      <c r="A82" s="7" t="s">
        <v>90</v>
      </c>
      <c r="B82" s="7" t="n">
        <v>6</v>
      </c>
      <c r="C82" s="9" t="n">
        <v>3546</v>
      </c>
      <c r="D82" s="9" t="n">
        <v>180498382</v>
      </c>
      <c r="E82" s="9" t="n">
        <v>1080</v>
      </c>
      <c r="F82" s="9" t="n">
        <v>56454840</v>
      </c>
      <c r="G82" s="9" t="n">
        <v>1314</v>
      </c>
      <c r="H82" s="9" t="n">
        <v>67305779</v>
      </c>
      <c r="I82" s="9" t="n">
        <v>3312</v>
      </c>
      <c r="J82" s="9" t="n">
        <v>169647443</v>
      </c>
    </row>
    <row r="83" customFormat="false" ht="15.75" hidden="false" customHeight="false" outlineLevel="0" collapsed="false">
      <c r="A83" s="7" t="s">
        <v>91</v>
      </c>
      <c r="B83" s="7" t="n">
        <v>6</v>
      </c>
      <c r="C83" s="9" t="n">
        <v>10057</v>
      </c>
      <c r="D83" s="9" t="n">
        <v>82395143</v>
      </c>
      <c r="E83" s="9" t="n">
        <v>3600</v>
      </c>
      <c r="F83" s="9" t="n">
        <v>34362000</v>
      </c>
      <c r="G83" s="9" t="n">
        <v>5280</v>
      </c>
      <c r="H83" s="9" t="n">
        <v>45140054</v>
      </c>
      <c r="I83" s="9" t="n">
        <v>8377</v>
      </c>
      <c r="J83" s="9" t="n">
        <v>71617089</v>
      </c>
    </row>
    <row r="84" customFormat="false" ht="15.75" hidden="false" customHeight="false" outlineLevel="0" collapsed="false">
      <c r="A84" s="7" t="s">
        <v>92</v>
      </c>
      <c r="B84" s="7" t="n">
        <v>6</v>
      </c>
      <c r="C84" s="9" t="n">
        <v>54400</v>
      </c>
      <c r="D84" s="9" t="n">
        <v>26220800</v>
      </c>
      <c r="E84" s="9" t="n">
        <v>20000</v>
      </c>
      <c r="F84" s="9" t="n">
        <v>9640000</v>
      </c>
      <c r="G84" s="9" t="n">
        <v>8000</v>
      </c>
      <c r="H84" s="9" t="n">
        <v>3856000</v>
      </c>
      <c r="I84" s="9" t="n">
        <v>66400</v>
      </c>
      <c r="J84" s="9" t="n">
        <v>32004800</v>
      </c>
    </row>
    <row r="85" customFormat="false" ht="15.75" hidden="false" customHeight="false" outlineLevel="0" collapsed="false">
      <c r="A85" s="7" t="s">
        <v>93</v>
      </c>
      <c r="B85" s="7" t="n">
        <v>6</v>
      </c>
      <c r="C85" s="9" t="n">
        <v>444</v>
      </c>
      <c r="D85" s="9" t="n">
        <v>22472760</v>
      </c>
      <c r="E85" s="9" t="n">
        <v>60</v>
      </c>
      <c r="F85" s="9" t="n">
        <v>3136380</v>
      </c>
      <c r="G85" s="9" t="n">
        <v>324</v>
      </c>
      <c r="H85" s="9" t="n">
        <v>16463019</v>
      </c>
      <c r="I85" s="9" t="n">
        <v>180</v>
      </c>
      <c r="J85" s="9" t="n">
        <v>9146121</v>
      </c>
    </row>
    <row r="86" customFormat="false" ht="15.75" hidden="false" customHeight="false" outlineLevel="0" collapsed="false">
      <c r="A86" s="7" t="s">
        <v>94</v>
      </c>
      <c r="B86" s="7" t="n">
        <v>6</v>
      </c>
      <c r="C86" s="9" t="n">
        <v>216</v>
      </c>
      <c r="D86" s="9" t="n">
        <v>1904688</v>
      </c>
      <c r="E86" s="9" t="n">
        <v>72</v>
      </c>
      <c r="F86" s="9" t="n">
        <v>687240</v>
      </c>
      <c r="G86" s="9" t="n">
        <v>0</v>
      </c>
      <c r="H86" s="9" t="n">
        <v>0</v>
      </c>
      <c r="I86" s="9" t="n">
        <v>288</v>
      </c>
      <c r="J86" s="9" t="n">
        <v>2591928</v>
      </c>
    </row>
    <row r="87" customFormat="false" ht="15.75" hidden="false" customHeight="false" outlineLevel="0" collapsed="false">
      <c r="A87" s="7" t="s">
        <v>95</v>
      </c>
      <c r="B87" s="7" t="n">
        <v>6</v>
      </c>
      <c r="C87" s="9" t="n">
        <v>1188</v>
      </c>
      <c r="D87" s="9" t="n">
        <v>9536760</v>
      </c>
      <c r="E87" s="9" t="n">
        <v>252</v>
      </c>
      <c r="F87" s="9" t="n">
        <v>2061864</v>
      </c>
      <c r="G87" s="9" t="n">
        <v>0</v>
      </c>
      <c r="H87" s="9" t="n">
        <v>0</v>
      </c>
      <c r="I87" s="9" t="n">
        <v>1440</v>
      </c>
      <c r="J87" s="9" t="n">
        <v>11598624</v>
      </c>
    </row>
    <row r="88" customFormat="false" ht="15.75" hidden="false" customHeight="false" outlineLevel="0" collapsed="false">
      <c r="A88" s="7" t="s">
        <v>96</v>
      </c>
      <c r="B88" s="7" t="n">
        <v>6</v>
      </c>
      <c r="C88" s="9" t="n">
        <v>396</v>
      </c>
      <c r="D88" s="9" t="n">
        <v>42413852</v>
      </c>
      <c r="E88" s="9" t="n">
        <v>45</v>
      </c>
      <c r="F88" s="9" t="n">
        <v>5134095</v>
      </c>
      <c r="G88" s="9" t="n">
        <v>0</v>
      </c>
      <c r="H88" s="9" t="n">
        <v>0</v>
      </c>
      <c r="I88" s="9" t="n">
        <v>441</v>
      </c>
      <c r="J88" s="9" t="n">
        <v>47547947</v>
      </c>
    </row>
    <row r="89" customFormat="false" ht="15.75" hidden="false" customHeight="false" outlineLevel="0" collapsed="false">
      <c r="A89" s="7" t="s">
        <v>97</v>
      </c>
      <c r="B89" s="7" t="n">
        <v>6</v>
      </c>
      <c r="C89" s="9" t="n">
        <v>54400</v>
      </c>
      <c r="D89" s="9" t="n">
        <v>26220800</v>
      </c>
      <c r="E89" s="9" t="n">
        <v>20000</v>
      </c>
      <c r="F89" s="9" t="n">
        <v>9640000</v>
      </c>
      <c r="G89" s="9" t="n">
        <v>4000</v>
      </c>
      <c r="H89" s="9" t="n">
        <v>1928000</v>
      </c>
      <c r="I89" s="9" t="n">
        <v>70400</v>
      </c>
      <c r="J89" s="9" t="n">
        <v>33932800</v>
      </c>
    </row>
    <row r="90" customFormat="false" ht="15.75" hidden="false" customHeight="false" outlineLevel="0" collapsed="false">
      <c r="A90" s="7" t="s">
        <v>98</v>
      </c>
      <c r="B90" s="7" t="n">
        <v>6</v>
      </c>
      <c r="C90" s="9" t="n">
        <v>3048</v>
      </c>
      <c r="D90" s="9" t="n">
        <v>29647896</v>
      </c>
      <c r="E90" s="9" t="n">
        <v>120</v>
      </c>
      <c r="F90" s="9" t="n">
        <v>1243680</v>
      </c>
      <c r="G90" s="9" t="n">
        <v>0</v>
      </c>
      <c r="H90" s="9" t="n">
        <v>0</v>
      </c>
      <c r="I90" s="9" t="n">
        <v>3168</v>
      </c>
      <c r="J90" s="9" t="n">
        <v>30891576</v>
      </c>
    </row>
    <row r="91" customFormat="false" ht="15.75" hidden="false" customHeight="false" outlineLevel="0" collapsed="false">
      <c r="A91" s="7" t="s">
        <v>99</v>
      </c>
      <c r="B91" s="7" t="n">
        <v>6</v>
      </c>
      <c r="C91" s="9" t="n">
        <v>0</v>
      </c>
      <c r="D91" s="9" t="n">
        <v>0</v>
      </c>
      <c r="E91" s="9" t="n">
        <v>0</v>
      </c>
      <c r="F91" s="9" t="n">
        <v>0</v>
      </c>
      <c r="G91" s="9" t="n">
        <v>0</v>
      </c>
      <c r="H91" s="9" t="n">
        <v>0</v>
      </c>
      <c r="I91" s="9" t="n">
        <v>0</v>
      </c>
      <c r="J91" s="9" t="n">
        <v>0</v>
      </c>
    </row>
    <row r="92" customFormat="false" ht="15.75" hidden="false" customHeight="false" outlineLevel="0" collapsed="false">
      <c r="A92" s="7" t="s">
        <v>100</v>
      </c>
      <c r="B92" s="7" t="n">
        <v>6</v>
      </c>
      <c r="C92" s="9" t="n">
        <v>3928</v>
      </c>
      <c r="D92" s="9" t="n">
        <v>186939198</v>
      </c>
      <c r="E92" s="9" t="n">
        <v>1500</v>
      </c>
      <c r="F92" s="9" t="n">
        <v>78409500</v>
      </c>
      <c r="G92" s="9" t="n">
        <v>1400</v>
      </c>
      <c r="H92" s="9" t="n">
        <v>68439237</v>
      </c>
      <c r="I92" s="9" t="n">
        <v>4028</v>
      </c>
      <c r="J92" s="9" t="n">
        <v>196909461</v>
      </c>
    </row>
    <row r="93" customFormat="false" ht="15.75" hidden="false" customHeight="false" outlineLevel="0" collapsed="false">
      <c r="A93" s="7" t="s">
        <v>101</v>
      </c>
      <c r="B93" s="7" t="n">
        <v>6</v>
      </c>
      <c r="C93" s="9" t="n">
        <v>9536</v>
      </c>
      <c r="D93" s="9" t="n">
        <v>41091092</v>
      </c>
      <c r="E93" s="9" t="n">
        <v>3600</v>
      </c>
      <c r="F93" s="9" t="n">
        <v>34362000</v>
      </c>
      <c r="G93" s="9" t="n">
        <v>1283</v>
      </c>
      <c r="H93" s="9" t="n">
        <v>7369543</v>
      </c>
      <c r="I93" s="9" t="n">
        <v>11853</v>
      </c>
      <c r="J93" s="9" t="n">
        <v>68083549</v>
      </c>
    </row>
    <row r="94" customFormat="false" ht="15.75" hidden="false" customHeight="false" outlineLevel="0" collapsed="false">
      <c r="A94" s="7" t="s">
        <v>102</v>
      </c>
      <c r="B94" s="7" t="n">
        <v>6</v>
      </c>
      <c r="C94" s="9" t="n">
        <v>2604</v>
      </c>
      <c r="D94" s="9" t="n">
        <v>59961312</v>
      </c>
      <c r="E94" s="9" t="n">
        <v>360</v>
      </c>
      <c r="F94" s="9" t="n">
        <v>8672760</v>
      </c>
      <c r="G94" s="9" t="n">
        <v>1980</v>
      </c>
      <c r="H94" s="9" t="n">
        <v>45848672</v>
      </c>
      <c r="I94" s="9" t="n">
        <v>984</v>
      </c>
      <c r="J94" s="9" t="n">
        <v>22785400</v>
      </c>
    </row>
    <row r="95" customFormat="false" ht="15.75" hidden="false" customHeight="false" outlineLevel="0" collapsed="false">
      <c r="A95" s="7" t="s">
        <v>103</v>
      </c>
      <c r="B95" s="7" t="n">
        <v>6</v>
      </c>
      <c r="C95" s="9" t="n">
        <v>3120</v>
      </c>
      <c r="D95" s="9" t="n">
        <v>41368196</v>
      </c>
      <c r="E95" s="9" t="n">
        <v>960</v>
      </c>
      <c r="F95" s="9" t="n">
        <v>13090560</v>
      </c>
      <c r="G95" s="9" t="n">
        <v>240</v>
      </c>
      <c r="H95" s="9" t="n">
        <v>3203456</v>
      </c>
      <c r="I95" s="9" t="n">
        <v>3840</v>
      </c>
      <c r="J95" s="9" t="n">
        <v>51255300</v>
      </c>
    </row>
    <row r="96" customFormat="false" ht="15.75" hidden="false" customHeight="false" outlineLevel="0" collapsed="false">
      <c r="A96" s="7" t="s">
        <v>104</v>
      </c>
      <c r="B96" s="7" t="n">
        <v>6</v>
      </c>
      <c r="C96" s="9" t="n">
        <v>360</v>
      </c>
      <c r="D96" s="9" t="n">
        <v>6545520</v>
      </c>
      <c r="E96" s="9" t="n">
        <v>0</v>
      </c>
      <c r="F96" s="9" t="n">
        <v>0</v>
      </c>
      <c r="G96" s="9" t="n">
        <v>0</v>
      </c>
      <c r="H96" s="9" t="n">
        <v>0</v>
      </c>
      <c r="I96" s="9" t="n">
        <v>360</v>
      </c>
      <c r="J96" s="9" t="n">
        <v>6545520</v>
      </c>
    </row>
    <row r="97" customFormat="false" ht="15.75" hidden="false" customHeight="false" outlineLevel="0" collapsed="false">
      <c r="A97" s="7" t="s">
        <v>105</v>
      </c>
      <c r="B97" s="7" t="n">
        <v>6</v>
      </c>
      <c r="C97" s="9" t="n">
        <v>360</v>
      </c>
      <c r="D97" s="9" t="n">
        <v>17961180</v>
      </c>
      <c r="E97" s="9" t="n">
        <v>60</v>
      </c>
      <c r="F97" s="9" t="n">
        <v>3136380</v>
      </c>
      <c r="G97" s="9" t="n">
        <v>0</v>
      </c>
      <c r="H97" s="9" t="n">
        <v>0</v>
      </c>
      <c r="I97" s="9" t="n">
        <v>420</v>
      </c>
      <c r="J97" s="9" t="n">
        <v>21097560</v>
      </c>
    </row>
    <row r="98" customFormat="false" ht="15.75" hidden="false" customHeight="false" outlineLevel="0" collapsed="false">
      <c r="A98" s="7" t="s">
        <v>106</v>
      </c>
      <c r="B98" s="7" t="n">
        <v>6</v>
      </c>
      <c r="C98" s="9" t="n">
        <v>840</v>
      </c>
      <c r="D98" s="9" t="n">
        <v>7407120</v>
      </c>
      <c r="E98" s="9" t="n">
        <v>120</v>
      </c>
      <c r="F98" s="9" t="n">
        <v>1145400</v>
      </c>
      <c r="G98" s="9" t="n">
        <v>0</v>
      </c>
      <c r="H98" s="9" t="n">
        <v>0</v>
      </c>
      <c r="I98" s="9" t="n">
        <v>960</v>
      </c>
      <c r="J98" s="9" t="n">
        <v>8552520</v>
      </c>
    </row>
    <row r="99" customFormat="false" ht="15.75" hidden="false" customHeight="false" outlineLevel="0" collapsed="false">
      <c r="A99" s="7" t="s">
        <v>107</v>
      </c>
      <c r="B99" s="7" t="n">
        <v>6</v>
      </c>
      <c r="C99" s="9" t="n">
        <v>508</v>
      </c>
      <c r="D99" s="9" t="n">
        <v>1341900</v>
      </c>
      <c r="E99" s="9" t="n">
        <v>0</v>
      </c>
      <c r="F99" s="9" t="n">
        <v>0</v>
      </c>
      <c r="G99" s="9" t="n">
        <v>0</v>
      </c>
      <c r="H99" s="9" t="n">
        <v>0</v>
      </c>
      <c r="I99" s="9" t="n">
        <v>508</v>
      </c>
      <c r="J99" s="9" t="n">
        <v>1341900</v>
      </c>
    </row>
    <row r="100" customFormat="false" ht="15.75" hidden="false" customHeight="false" outlineLevel="0" collapsed="false">
      <c r="A100" s="7" t="s">
        <v>108</v>
      </c>
      <c r="B100" s="7" t="n">
        <v>6</v>
      </c>
      <c r="C100" s="9" t="n">
        <v>16139</v>
      </c>
      <c r="D100" s="9" t="n">
        <v>105677475</v>
      </c>
      <c r="E100" s="9" t="n">
        <v>6480</v>
      </c>
      <c r="F100" s="9" t="n">
        <v>47129040</v>
      </c>
      <c r="G100" s="9" t="n">
        <v>3024</v>
      </c>
      <c r="H100" s="9" t="n">
        <v>20429148</v>
      </c>
      <c r="I100" s="9" t="n">
        <v>19595</v>
      </c>
      <c r="J100" s="9" t="n">
        <v>132377367</v>
      </c>
    </row>
    <row r="101" customFormat="false" ht="15.75" hidden="false" customHeight="false" outlineLevel="0" collapsed="false">
      <c r="A101" s="7" t="s">
        <v>109</v>
      </c>
      <c r="B101" s="7" t="n">
        <v>6</v>
      </c>
      <c r="C101" s="9" t="n">
        <v>0</v>
      </c>
      <c r="D101" s="9" t="n">
        <v>0</v>
      </c>
      <c r="E101" s="9" t="n">
        <v>0</v>
      </c>
      <c r="F101" s="9" t="n">
        <v>0</v>
      </c>
      <c r="G101" s="9" t="n">
        <v>0</v>
      </c>
      <c r="H101" s="9" t="n">
        <v>0</v>
      </c>
      <c r="I101" s="9" t="n">
        <v>0</v>
      </c>
      <c r="J101" s="9" t="n">
        <v>0</v>
      </c>
    </row>
    <row r="102" customFormat="false" ht="15.75" hidden="false" customHeight="false" outlineLevel="0" collapsed="false">
      <c r="A102" s="7" t="s">
        <v>110</v>
      </c>
      <c r="B102" s="7" t="n">
        <v>6</v>
      </c>
      <c r="C102" s="9" t="n">
        <v>2268</v>
      </c>
      <c r="D102" s="9" t="n">
        <v>38016560</v>
      </c>
      <c r="E102" s="9" t="n">
        <v>540</v>
      </c>
      <c r="F102" s="9" t="n">
        <v>9572580</v>
      </c>
      <c r="G102" s="9" t="n">
        <v>0</v>
      </c>
      <c r="H102" s="9" t="n">
        <v>0</v>
      </c>
      <c r="I102" s="9" t="n">
        <v>2808</v>
      </c>
      <c r="J102" s="9" t="n">
        <v>47589140</v>
      </c>
    </row>
    <row r="103" customFormat="false" ht="15.75" hidden="false" customHeight="false" outlineLevel="0" collapsed="false">
      <c r="A103" s="7" t="s">
        <v>111</v>
      </c>
      <c r="B103" s="7" t="n">
        <v>6</v>
      </c>
      <c r="C103" s="9" t="n">
        <v>5907</v>
      </c>
      <c r="D103" s="9" t="n">
        <v>46159660</v>
      </c>
      <c r="E103" s="9" t="n">
        <v>1200</v>
      </c>
      <c r="F103" s="9" t="n">
        <v>9600000</v>
      </c>
      <c r="G103" s="9" t="n">
        <v>2810</v>
      </c>
      <c r="H103" s="9" t="n">
        <v>22046524</v>
      </c>
      <c r="I103" s="9" t="n">
        <v>4297</v>
      </c>
      <c r="J103" s="9" t="n">
        <v>33713136</v>
      </c>
    </row>
    <row r="104" customFormat="false" ht="15.75" hidden="false" customHeight="false" outlineLevel="0" collapsed="false">
      <c r="A104" s="7" t="s">
        <v>112</v>
      </c>
      <c r="B104" s="7" t="n">
        <v>6</v>
      </c>
      <c r="C104" s="9" t="n">
        <v>3480</v>
      </c>
      <c r="D104" s="9" t="n">
        <v>27486064</v>
      </c>
      <c r="E104" s="9" t="n">
        <v>1560</v>
      </c>
      <c r="F104" s="9" t="n">
        <v>12480000</v>
      </c>
      <c r="G104" s="9" t="n">
        <v>600</v>
      </c>
      <c r="H104" s="9" t="n">
        <v>4757865</v>
      </c>
      <c r="I104" s="9" t="n">
        <v>4440</v>
      </c>
      <c r="J104" s="9" t="n">
        <v>35208199</v>
      </c>
    </row>
    <row r="105" customFormat="false" ht="15.75" hidden="false" customHeight="false" outlineLevel="0" collapsed="false">
      <c r="A105" s="7" t="s">
        <v>113</v>
      </c>
      <c r="B105" s="7" t="n">
        <v>6</v>
      </c>
      <c r="C105" s="9" t="n">
        <v>96</v>
      </c>
      <c r="D105" s="9" t="n">
        <v>1483680</v>
      </c>
      <c r="E105" s="9" t="n">
        <v>0</v>
      </c>
      <c r="F105" s="9" t="n">
        <v>0</v>
      </c>
      <c r="G105" s="9" t="n">
        <v>0</v>
      </c>
      <c r="H105" s="9" t="n">
        <v>0</v>
      </c>
      <c r="I105" s="9" t="n">
        <v>96</v>
      </c>
      <c r="J105" s="9" t="n">
        <v>1483680</v>
      </c>
    </row>
    <row r="106" customFormat="false" ht="15.75" hidden="false" customHeight="false" outlineLevel="0" collapsed="false">
      <c r="A106" s="7" t="s">
        <v>114</v>
      </c>
      <c r="B106" s="7" t="n">
        <v>6</v>
      </c>
      <c r="C106" s="9" t="n">
        <v>240</v>
      </c>
      <c r="D106" s="9" t="n">
        <v>4363680</v>
      </c>
      <c r="E106" s="9" t="n">
        <v>24</v>
      </c>
      <c r="F106" s="9" t="n">
        <v>458184</v>
      </c>
      <c r="G106" s="9" t="n">
        <v>0</v>
      </c>
      <c r="H106" s="9" t="n">
        <v>0</v>
      </c>
      <c r="I106" s="9" t="n">
        <v>264</v>
      </c>
      <c r="J106" s="9" t="n">
        <v>4821864</v>
      </c>
    </row>
    <row r="107" customFormat="false" ht="15.75" hidden="false" customHeight="false" outlineLevel="0" collapsed="false">
      <c r="A107" s="7" t="s">
        <v>115</v>
      </c>
      <c r="B107" s="7" t="n">
        <v>6</v>
      </c>
      <c r="C107" s="9" t="n">
        <v>0</v>
      </c>
      <c r="D107" s="9" t="n">
        <v>0</v>
      </c>
      <c r="E107" s="9" t="n">
        <v>0</v>
      </c>
      <c r="F107" s="9" t="n">
        <v>0</v>
      </c>
      <c r="G107" s="9" t="n">
        <v>0</v>
      </c>
      <c r="H107" s="9" t="n">
        <v>0</v>
      </c>
      <c r="I107" s="9" t="n">
        <v>0</v>
      </c>
      <c r="J107" s="9" t="n">
        <v>0</v>
      </c>
    </row>
    <row r="108" customFormat="false" ht="15.75" hidden="false" customHeight="false" outlineLevel="0" collapsed="false">
      <c r="A108" s="7" t="s">
        <v>116</v>
      </c>
      <c r="B108" s="7" t="n">
        <v>6</v>
      </c>
      <c r="C108" s="9" t="n">
        <v>0</v>
      </c>
      <c r="D108" s="9" t="n">
        <v>0</v>
      </c>
      <c r="E108" s="9" t="n">
        <v>0</v>
      </c>
      <c r="F108" s="9" t="n">
        <v>0</v>
      </c>
      <c r="G108" s="9" t="n">
        <v>0</v>
      </c>
      <c r="H108" s="9" t="n">
        <v>0</v>
      </c>
      <c r="I108" s="9" t="n">
        <v>0</v>
      </c>
      <c r="J108" s="9" t="n">
        <v>0</v>
      </c>
    </row>
    <row r="109" customFormat="false" ht="15.75" hidden="false" customHeight="false" outlineLevel="0" collapsed="false">
      <c r="A109" s="7" t="s">
        <v>117</v>
      </c>
      <c r="B109" s="7" t="n">
        <v>6</v>
      </c>
      <c r="C109" s="9" t="n">
        <v>72</v>
      </c>
      <c r="D109" s="9" t="n">
        <v>1178208</v>
      </c>
      <c r="E109" s="9" t="n">
        <v>0</v>
      </c>
      <c r="F109" s="9" t="n">
        <v>0</v>
      </c>
      <c r="G109" s="9" t="n">
        <v>0</v>
      </c>
      <c r="H109" s="9" t="n">
        <v>0</v>
      </c>
      <c r="I109" s="9" t="n">
        <v>72</v>
      </c>
      <c r="J109" s="9" t="n">
        <v>1178208</v>
      </c>
    </row>
    <row r="110" customFormat="false" ht="15.75" hidden="false" customHeight="false" outlineLevel="0" collapsed="false">
      <c r="A110" s="7" t="s">
        <v>118</v>
      </c>
      <c r="B110" s="7" t="n">
        <v>6</v>
      </c>
      <c r="C110" s="9" t="n">
        <v>468</v>
      </c>
      <c r="D110" s="9" t="n">
        <v>18670740</v>
      </c>
      <c r="E110" s="9" t="n">
        <v>24</v>
      </c>
      <c r="F110" s="9" t="n">
        <v>981816</v>
      </c>
      <c r="G110" s="9" t="n">
        <v>0</v>
      </c>
      <c r="H110" s="9" t="n">
        <v>0</v>
      </c>
      <c r="I110" s="9" t="n">
        <v>492</v>
      </c>
      <c r="J110" s="9" t="n">
        <v>19652556</v>
      </c>
    </row>
    <row r="111" customFormat="false" ht="15.75" hidden="false" customHeight="false" outlineLevel="0" collapsed="false">
      <c r="A111" s="7" t="s">
        <v>119</v>
      </c>
      <c r="B111" s="7" t="n">
        <v>6</v>
      </c>
      <c r="C111" s="9" t="n">
        <v>120</v>
      </c>
      <c r="D111" s="9" t="n">
        <v>2727240</v>
      </c>
      <c r="E111" s="9" t="n">
        <v>80</v>
      </c>
      <c r="F111" s="9" t="n">
        <v>1818160</v>
      </c>
      <c r="G111" s="9" t="n">
        <v>0</v>
      </c>
      <c r="H111" s="9" t="n">
        <v>0</v>
      </c>
      <c r="I111" s="9" t="n">
        <v>200</v>
      </c>
      <c r="J111" s="9" t="n">
        <v>4545400</v>
      </c>
    </row>
    <row r="112" customFormat="false" ht="15.75" hidden="false" customHeight="false" outlineLevel="0" collapsed="false">
      <c r="A112" s="7" t="s">
        <v>120</v>
      </c>
      <c r="B112" s="7" t="n">
        <v>6</v>
      </c>
      <c r="C112" s="9" t="n">
        <v>80</v>
      </c>
      <c r="D112" s="9" t="n">
        <v>1745440</v>
      </c>
      <c r="E112" s="9" t="n">
        <v>40</v>
      </c>
      <c r="F112" s="9" t="n">
        <v>872720</v>
      </c>
      <c r="G112" s="9" t="n">
        <v>0</v>
      </c>
      <c r="H112" s="9" t="n">
        <v>0</v>
      </c>
      <c r="I112" s="9" t="n">
        <v>120</v>
      </c>
      <c r="J112" s="9" t="n">
        <v>2618160</v>
      </c>
    </row>
    <row r="113" customFormat="false" ht="15.75" hidden="false" customHeight="false" outlineLevel="0" collapsed="false">
      <c r="A113" s="7" t="s">
        <v>121</v>
      </c>
      <c r="B113" s="7" t="n">
        <v>6</v>
      </c>
      <c r="C113" s="9" t="n">
        <v>3184</v>
      </c>
      <c r="D113" s="9" t="n">
        <v>35214451</v>
      </c>
      <c r="E113" s="9" t="n">
        <v>3120</v>
      </c>
      <c r="F113" s="9" t="n">
        <v>36872160</v>
      </c>
      <c r="G113" s="9" t="n">
        <v>360</v>
      </c>
      <c r="H113" s="9" t="n">
        <v>4116621</v>
      </c>
      <c r="I113" s="9" t="n">
        <v>5944</v>
      </c>
      <c r="J113" s="9" t="n">
        <v>67969990</v>
      </c>
    </row>
    <row r="114" customFormat="false" ht="15.75" hidden="false" customHeight="false" outlineLevel="0" collapsed="false">
      <c r="A114" s="7" t="s">
        <v>122</v>
      </c>
      <c r="B114" s="7" t="n">
        <v>6</v>
      </c>
      <c r="C114" s="9" t="n">
        <v>0</v>
      </c>
      <c r="D114" s="9" t="n">
        <v>0</v>
      </c>
      <c r="E114" s="9" t="n">
        <v>0</v>
      </c>
      <c r="F114" s="9" t="n">
        <v>0</v>
      </c>
      <c r="G114" s="9" t="n">
        <v>0</v>
      </c>
      <c r="H114" s="9" t="n">
        <v>0</v>
      </c>
      <c r="I114" s="9" t="n">
        <v>0</v>
      </c>
      <c r="J114" s="9" t="n">
        <v>0</v>
      </c>
    </row>
    <row r="115" customFormat="false" ht="15.75" hidden="false" customHeight="false" outlineLevel="0" collapsed="false">
      <c r="A115" s="7" t="s">
        <v>123</v>
      </c>
      <c r="B115" s="7" t="n">
        <v>6</v>
      </c>
      <c r="C115" s="9" t="n">
        <v>144</v>
      </c>
      <c r="D115" s="9" t="n">
        <v>2421792</v>
      </c>
      <c r="E115" s="9" t="n">
        <v>0</v>
      </c>
      <c r="F115" s="9" t="n">
        <v>0</v>
      </c>
      <c r="G115" s="9" t="n">
        <v>0</v>
      </c>
      <c r="H115" s="9" t="n">
        <v>0</v>
      </c>
      <c r="I115" s="9" t="n">
        <v>144</v>
      </c>
      <c r="J115" s="9" t="n">
        <v>2421792</v>
      </c>
    </row>
    <row r="116" customFormat="false" ht="15.75" hidden="false" customHeight="false" outlineLevel="0" collapsed="false">
      <c r="A116" s="7" t="s">
        <v>124</v>
      </c>
      <c r="B116" s="7" t="n">
        <v>6</v>
      </c>
      <c r="C116" s="9" t="n">
        <v>0</v>
      </c>
      <c r="D116" s="9" t="n">
        <v>0</v>
      </c>
      <c r="E116" s="9" t="n">
        <v>0</v>
      </c>
      <c r="F116" s="9" t="n">
        <v>0</v>
      </c>
      <c r="G116" s="9" t="n">
        <v>0</v>
      </c>
      <c r="H116" s="9" t="n">
        <v>0</v>
      </c>
      <c r="I116" s="9" t="n">
        <v>0</v>
      </c>
      <c r="J116" s="9" t="n">
        <v>0</v>
      </c>
    </row>
    <row r="117" customFormat="false" ht="15.75" hidden="false" customHeight="false" outlineLevel="0" collapsed="false">
      <c r="A117" s="7" t="s">
        <v>125</v>
      </c>
      <c r="B117" s="7" t="n">
        <v>6</v>
      </c>
      <c r="C117" s="9" t="n">
        <v>2232</v>
      </c>
      <c r="D117" s="9" t="n">
        <v>94765929</v>
      </c>
      <c r="E117" s="9" t="n">
        <v>180</v>
      </c>
      <c r="F117" s="9" t="n">
        <v>7936380</v>
      </c>
      <c r="G117" s="9" t="n">
        <v>240</v>
      </c>
      <c r="H117" s="9" t="n">
        <v>10219135</v>
      </c>
      <c r="I117" s="9" t="n">
        <v>2172</v>
      </c>
      <c r="J117" s="9" t="n">
        <v>92483174</v>
      </c>
    </row>
    <row r="118" customFormat="false" ht="15.75" hidden="false" customHeight="false" outlineLevel="0" collapsed="false">
      <c r="A118" s="7" t="s">
        <v>126</v>
      </c>
      <c r="B118" s="7" t="n">
        <v>6</v>
      </c>
      <c r="C118" s="9" t="n">
        <v>61787</v>
      </c>
      <c r="D118" s="9" t="n">
        <v>332744299</v>
      </c>
      <c r="E118" s="9" t="n">
        <v>32400</v>
      </c>
      <c r="F118" s="9" t="n">
        <v>185554800</v>
      </c>
      <c r="G118" s="9" t="n">
        <v>53760</v>
      </c>
      <c r="H118" s="9" t="n">
        <v>295834452</v>
      </c>
      <c r="I118" s="9" t="n">
        <v>40427</v>
      </c>
      <c r="J118" s="9" t="n">
        <v>222464647</v>
      </c>
    </row>
    <row r="119" customFormat="false" ht="15.75" hidden="false" customHeight="false" outlineLevel="0" collapsed="false">
      <c r="A119" s="7" t="s">
        <v>127</v>
      </c>
      <c r="B119" s="7" t="n">
        <v>6</v>
      </c>
      <c r="C119" s="9" t="n">
        <v>5961</v>
      </c>
      <c r="D119" s="9" t="n">
        <v>32892258</v>
      </c>
      <c r="E119" s="9" t="n">
        <v>1200</v>
      </c>
      <c r="F119" s="9" t="n">
        <v>6872400</v>
      </c>
      <c r="G119" s="9" t="n">
        <v>0</v>
      </c>
      <c r="H119" s="9" t="n">
        <v>0</v>
      </c>
      <c r="I119" s="9" t="n">
        <v>7161</v>
      </c>
      <c r="J119" s="9" t="n">
        <v>39764658</v>
      </c>
    </row>
    <row r="120" customFormat="false" ht="15.75" hidden="false" customHeight="false" outlineLevel="0" collapsed="false">
      <c r="A120" s="7" t="s">
        <v>128</v>
      </c>
      <c r="B120" s="7" t="n">
        <v>6</v>
      </c>
      <c r="C120" s="9" t="n">
        <v>1100</v>
      </c>
      <c r="D120" s="9" t="n">
        <v>16500000</v>
      </c>
      <c r="E120" s="9" t="n">
        <v>160</v>
      </c>
      <c r="F120" s="9" t="n">
        <v>2400000</v>
      </c>
      <c r="G120" s="9" t="n">
        <v>0</v>
      </c>
      <c r="H120" s="9" t="n">
        <v>0</v>
      </c>
      <c r="I120" s="9" t="n">
        <v>1260</v>
      </c>
      <c r="J120" s="9" t="n">
        <v>18900000</v>
      </c>
    </row>
    <row r="121" customFormat="false" ht="15.75" hidden="false" customHeight="false" outlineLevel="0" collapsed="false">
      <c r="A121" s="7" t="s">
        <v>129</v>
      </c>
      <c r="B121" s="7" t="n">
        <v>6</v>
      </c>
      <c r="C121" s="9" t="n">
        <v>0</v>
      </c>
      <c r="D121" s="9" t="n">
        <v>0</v>
      </c>
      <c r="E121" s="9" t="n">
        <v>0</v>
      </c>
      <c r="F121" s="9" t="n">
        <v>0</v>
      </c>
      <c r="G121" s="9" t="n">
        <v>0</v>
      </c>
      <c r="H121" s="9" t="n">
        <v>0</v>
      </c>
      <c r="I121" s="9" t="n">
        <v>0</v>
      </c>
      <c r="J121" s="9" t="n">
        <v>0</v>
      </c>
    </row>
    <row r="122" customFormat="false" ht="15.75" hidden="false" customHeight="false" outlineLevel="0" collapsed="false">
      <c r="A122" s="7" t="s">
        <v>130</v>
      </c>
      <c r="B122" s="7" t="n">
        <v>6</v>
      </c>
      <c r="C122" s="9" t="n">
        <v>125</v>
      </c>
      <c r="D122" s="9" t="n">
        <v>5852250</v>
      </c>
      <c r="E122" s="9" t="n">
        <v>48</v>
      </c>
      <c r="F122" s="9" t="n">
        <v>2247264</v>
      </c>
      <c r="G122" s="9" t="n">
        <v>40</v>
      </c>
      <c r="H122" s="9" t="n">
        <v>1872720</v>
      </c>
      <c r="I122" s="9" t="n">
        <v>133</v>
      </c>
      <c r="J122" s="9" t="n">
        <v>6226794</v>
      </c>
    </row>
    <row r="123" customFormat="false" ht="15.75" hidden="false" customHeight="false" outlineLevel="0" collapsed="false">
      <c r="A123" s="7" t="s">
        <v>131</v>
      </c>
      <c r="B123" s="7" t="n">
        <v>6</v>
      </c>
      <c r="C123" s="9" t="n">
        <v>56</v>
      </c>
      <c r="D123" s="9" t="n">
        <v>2749096</v>
      </c>
      <c r="E123" s="9" t="n">
        <v>32</v>
      </c>
      <c r="F123" s="9" t="n">
        <v>1570912</v>
      </c>
      <c r="G123" s="9" t="n">
        <v>0</v>
      </c>
      <c r="H123" s="9" t="n">
        <v>0</v>
      </c>
      <c r="I123" s="9" t="n">
        <v>88</v>
      </c>
      <c r="J123" s="9" t="n">
        <v>4320008</v>
      </c>
    </row>
    <row r="124" customFormat="false" ht="15.75" hidden="false" customHeight="false" outlineLevel="0" collapsed="false">
      <c r="A124" s="7" t="s">
        <v>132</v>
      </c>
      <c r="B124" s="7" t="n">
        <v>6</v>
      </c>
      <c r="C124" s="9" t="n">
        <v>150</v>
      </c>
      <c r="D124" s="9" t="n">
        <v>6545400</v>
      </c>
      <c r="E124" s="9" t="n">
        <v>200</v>
      </c>
      <c r="F124" s="9" t="n">
        <v>8727200</v>
      </c>
      <c r="G124" s="9" t="n">
        <v>160</v>
      </c>
      <c r="H124" s="9" t="n">
        <v>6981760</v>
      </c>
      <c r="I124" s="9" t="n">
        <v>190</v>
      </c>
      <c r="J124" s="9" t="n">
        <v>8290840</v>
      </c>
    </row>
    <row r="125" customFormat="false" ht="15.75" hidden="false" customHeight="false" outlineLevel="0" collapsed="false">
      <c r="A125" s="7" t="s">
        <v>133</v>
      </c>
      <c r="B125" s="7" t="n">
        <v>6</v>
      </c>
      <c r="C125" s="9" t="n">
        <v>114</v>
      </c>
      <c r="D125" s="9" t="n">
        <v>4249122</v>
      </c>
      <c r="E125" s="9" t="n">
        <v>64</v>
      </c>
      <c r="F125" s="9" t="n">
        <v>2385472</v>
      </c>
      <c r="G125" s="9" t="n">
        <v>35</v>
      </c>
      <c r="H125" s="9" t="n">
        <v>1304555</v>
      </c>
      <c r="I125" s="9" t="n">
        <v>143</v>
      </c>
      <c r="J125" s="9" t="n">
        <v>5330039</v>
      </c>
    </row>
    <row r="126" customFormat="false" ht="15.75" hidden="false" customHeight="false" outlineLevel="0" collapsed="false">
      <c r="A126" s="7" t="s">
        <v>134</v>
      </c>
      <c r="B126" s="7" t="n">
        <v>6</v>
      </c>
      <c r="C126" s="9" t="n">
        <v>23</v>
      </c>
      <c r="D126" s="9" t="n">
        <v>658628</v>
      </c>
      <c r="E126" s="9" t="n">
        <v>0</v>
      </c>
      <c r="F126" s="9" t="n">
        <v>0</v>
      </c>
      <c r="G126" s="9" t="n">
        <v>0</v>
      </c>
      <c r="H126" s="9" t="n">
        <v>0</v>
      </c>
      <c r="I126" s="9" t="n">
        <v>23</v>
      </c>
      <c r="J126" s="9" t="n">
        <v>658628</v>
      </c>
    </row>
    <row r="127" customFormat="false" ht="15.75" hidden="false" customHeight="false" outlineLevel="0" collapsed="false">
      <c r="A127" s="7" t="s">
        <v>135</v>
      </c>
      <c r="B127" s="7" t="n">
        <v>6</v>
      </c>
      <c r="C127" s="9" t="n">
        <v>520</v>
      </c>
      <c r="D127" s="9" t="n">
        <v>95470820</v>
      </c>
      <c r="E127" s="9" t="n">
        <v>80</v>
      </c>
      <c r="F127" s="9" t="n">
        <v>14697440</v>
      </c>
      <c r="G127" s="9" t="n">
        <v>390</v>
      </c>
      <c r="H127" s="9" t="n">
        <v>71609369</v>
      </c>
      <c r="I127" s="9" t="n">
        <v>210</v>
      </c>
      <c r="J127" s="9" t="n">
        <v>38558891</v>
      </c>
    </row>
    <row r="128" customFormat="false" ht="15.75" hidden="false" customHeight="false" outlineLevel="0" collapsed="false">
      <c r="A128" s="7" t="s">
        <v>136</v>
      </c>
      <c r="B128" s="7" t="n">
        <v>6</v>
      </c>
      <c r="C128" s="9" t="n">
        <v>6227</v>
      </c>
      <c r="D128" s="9" t="n">
        <v>90701040</v>
      </c>
      <c r="E128" s="9" t="n">
        <v>3600</v>
      </c>
      <c r="F128" s="9" t="n">
        <v>54000000</v>
      </c>
      <c r="G128" s="9" t="n">
        <v>442</v>
      </c>
      <c r="H128" s="9" t="n">
        <v>6508381</v>
      </c>
      <c r="I128" s="9" t="n">
        <v>9385</v>
      </c>
      <c r="J128" s="9" t="n">
        <v>138192659</v>
      </c>
    </row>
    <row r="129" customFormat="false" ht="15.75" hidden="false" customHeight="false" outlineLevel="0" collapsed="false">
      <c r="A129" s="7" t="s">
        <v>137</v>
      </c>
      <c r="B129" s="7" t="n">
        <v>6</v>
      </c>
      <c r="C129" s="9" t="n">
        <v>0</v>
      </c>
      <c r="D129" s="9" t="n">
        <v>0</v>
      </c>
      <c r="E129" s="9" t="n">
        <v>0</v>
      </c>
      <c r="F129" s="9" t="n">
        <v>0</v>
      </c>
      <c r="G129" s="9" t="n">
        <v>0</v>
      </c>
      <c r="H129" s="9" t="n">
        <v>0</v>
      </c>
      <c r="I129" s="9" t="n">
        <v>0</v>
      </c>
      <c r="J129" s="9" t="n">
        <v>0</v>
      </c>
    </row>
    <row r="130" customFormat="false" ht="15.75" hidden="false" customHeight="false" outlineLevel="0" collapsed="false">
      <c r="A130" s="7" t="s">
        <v>138</v>
      </c>
      <c r="B130" s="7" t="n">
        <v>6</v>
      </c>
      <c r="C130" s="9" t="n">
        <v>0</v>
      </c>
      <c r="D130" s="9" t="n">
        <v>0</v>
      </c>
      <c r="E130" s="9" t="n">
        <v>0</v>
      </c>
      <c r="F130" s="9" t="n">
        <v>0</v>
      </c>
      <c r="G130" s="9" t="n">
        <v>0</v>
      </c>
      <c r="H130" s="9" t="n">
        <v>0</v>
      </c>
      <c r="I130" s="9" t="n">
        <v>0</v>
      </c>
      <c r="J130" s="9" t="n">
        <v>0</v>
      </c>
    </row>
    <row r="131" customFormat="false" ht="15.75" hidden="false" customHeight="false" outlineLevel="0" collapsed="false">
      <c r="A131" s="7" t="s">
        <v>139</v>
      </c>
      <c r="B131" s="7" t="n">
        <v>6</v>
      </c>
      <c r="C131" s="9" t="n">
        <v>188</v>
      </c>
      <c r="D131" s="9" t="n">
        <v>34137846</v>
      </c>
      <c r="E131" s="9" t="n">
        <v>0</v>
      </c>
      <c r="F131" s="9" t="n">
        <v>0</v>
      </c>
      <c r="G131" s="9" t="n">
        <v>0</v>
      </c>
      <c r="H131" s="9" t="n">
        <v>0</v>
      </c>
      <c r="I131" s="9" t="n">
        <v>188</v>
      </c>
      <c r="J131" s="9" t="n">
        <v>34137846</v>
      </c>
    </row>
    <row r="132" customFormat="false" ht="15.75" hidden="false" customHeight="false" outlineLevel="0" collapsed="false">
      <c r="A132" s="7" t="s">
        <v>140</v>
      </c>
      <c r="B132" s="7" t="n">
        <v>6</v>
      </c>
      <c r="C132" s="9" t="n">
        <v>4376</v>
      </c>
      <c r="D132" s="9" t="n">
        <v>805723073</v>
      </c>
      <c r="E132" s="9" t="n">
        <v>550</v>
      </c>
      <c r="F132" s="9" t="n">
        <v>101460150</v>
      </c>
      <c r="G132" s="9" t="n">
        <v>1245</v>
      </c>
      <c r="H132" s="9" t="n">
        <v>229281996</v>
      </c>
      <c r="I132" s="9" t="n">
        <v>3681</v>
      </c>
      <c r="J132" s="9" t="n">
        <v>677901227</v>
      </c>
    </row>
    <row r="133" customFormat="false" ht="15.75" hidden="false" customHeight="false" outlineLevel="0" collapsed="false">
      <c r="A133" s="7" t="s">
        <v>141</v>
      </c>
      <c r="B133" s="7" t="n">
        <v>6</v>
      </c>
      <c r="C133" s="9" t="n">
        <v>2751</v>
      </c>
      <c r="D133" s="9" t="n">
        <v>486006563</v>
      </c>
      <c r="E133" s="9" t="n">
        <v>595</v>
      </c>
      <c r="F133" s="9" t="n">
        <v>14757840</v>
      </c>
      <c r="G133" s="9" t="n">
        <v>5</v>
      </c>
      <c r="H133" s="9" t="n">
        <v>748303</v>
      </c>
      <c r="I133" s="9" t="n">
        <v>3341</v>
      </c>
      <c r="J133" s="9" t="n">
        <v>500016100</v>
      </c>
    </row>
    <row r="134" customFormat="false" ht="15.75" hidden="false" customHeight="false" outlineLevel="0" collapsed="false">
      <c r="A134" s="7" t="s">
        <v>142</v>
      </c>
      <c r="B134" s="7" t="n">
        <v>6</v>
      </c>
      <c r="C134" s="9" t="n">
        <v>1150</v>
      </c>
      <c r="D134" s="9" t="n">
        <v>211217050</v>
      </c>
      <c r="E134" s="9" t="n">
        <v>0</v>
      </c>
      <c r="F134" s="9" t="n">
        <v>0</v>
      </c>
      <c r="G134" s="9" t="n">
        <v>0</v>
      </c>
      <c r="H134" s="9" t="n">
        <v>0</v>
      </c>
      <c r="I134" s="9" t="n">
        <v>1150</v>
      </c>
      <c r="J134" s="9" t="n">
        <v>211217050</v>
      </c>
    </row>
    <row r="135" customFormat="false" ht="15.75" hidden="false" customHeight="false" outlineLevel="0" collapsed="false">
      <c r="A135" s="7" t="s">
        <v>143</v>
      </c>
      <c r="B135" s="7" t="n">
        <v>6</v>
      </c>
      <c r="C135" s="9" t="n">
        <v>0</v>
      </c>
      <c r="D135" s="9" t="n">
        <v>0</v>
      </c>
      <c r="E135" s="9" t="n">
        <v>0</v>
      </c>
      <c r="F135" s="9" t="n">
        <v>0</v>
      </c>
      <c r="G135" s="9" t="n">
        <v>0</v>
      </c>
      <c r="H135" s="9" t="n">
        <v>0</v>
      </c>
      <c r="I135" s="9" t="n">
        <v>0</v>
      </c>
      <c r="J135" s="9" t="n">
        <v>0</v>
      </c>
    </row>
    <row r="136" customFormat="false" ht="15.75" hidden="false" customHeight="false" outlineLevel="0" collapsed="false">
      <c r="A136" s="7" t="s">
        <v>144</v>
      </c>
      <c r="B136" s="7" t="n">
        <v>6</v>
      </c>
      <c r="C136" s="9" t="n">
        <v>2278</v>
      </c>
      <c r="D136" s="9" t="n">
        <v>415245503</v>
      </c>
      <c r="E136" s="9" t="n">
        <v>580</v>
      </c>
      <c r="F136" s="9" t="n">
        <v>105792000</v>
      </c>
      <c r="G136" s="9" t="n">
        <v>0</v>
      </c>
      <c r="H136" s="9" t="n">
        <v>0</v>
      </c>
      <c r="I136" s="9" t="n">
        <v>2858</v>
      </c>
      <c r="J136" s="9" t="n">
        <v>521037503</v>
      </c>
    </row>
    <row r="137" customFormat="false" ht="15.75" hidden="false" customHeight="false" outlineLevel="0" collapsed="false">
      <c r="A137" s="7" t="s">
        <v>145</v>
      </c>
      <c r="B137" s="7" t="n">
        <v>6</v>
      </c>
      <c r="C137" s="9" t="n">
        <v>523</v>
      </c>
      <c r="D137" s="9" t="n">
        <v>93476989</v>
      </c>
      <c r="E137" s="9" t="n">
        <v>0</v>
      </c>
      <c r="F137" s="9" t="n">
        <v>0</v>
      </c>
      <c r="G137" s="9" t="n">
        <v>5</v>
      </c>
      <c r="H137" s="9" t="n">
        <v>893661</v>
      </c>
      <c r="I137" s="9" t="n">
        <v>518</v>
      </c>
      <c r="J137" s="9" t="n">
        <v>92583328</v>
      </c>
    </row>
    <row r="138" customFormat="false" ht="15.75" hidden="false" customHeight="false" outlineLevel="0" collapsed="false">
      <c r="A138" s="7" t="s">
        <v>146</v>
      </c>
      <c r="B138" s="7" t="n">
        <v>6</v>
      </c>
      <c r="C138" s="9" t="n">
        <v>2436</v>
      </c>
      <c r="D138" s="9" t="n">
        <v>429461886</v>
      </c>
      <c r="E138" s="9" t="n">
        <v>510</v>
      </c>
      <c r="F138" s="9" t="n">
        <v>96724050</v>
      </c>
      <c r="G138" s="9" t="n">
        <v>1975</v>
      </c>
      <c r="H138" s="9" t="n">
        <v>352755337</v>
      </c>
      <c r="I138" s="9" t="n">
        <v>971</v>
      </c>
      <c r="J138" s="9" t="n">
        <v>173430599</v>
      </c>
    </row>
    <row r="139" customFormat="false" ht="15.75" hidden="false" customHeight="false" outlineLevel="0" collapsed="false">
      <c r="A139" s="7" t="s">
        <v>147</v>
      </c>
      <c r="B139" s="7" t="n">
        <v>6</v>
      </c>
      <c r="C139" s="9" t="n">
        <v>294</v>
      </c>
      <c r="D139" s="9" t="n">
        <v>26874894</v>
      </c>
      <c r="E139" s="9" t="n">
        <v>441</v>
      </c>
      <c r="F139" s="9" t="n">
        <v>27463600</v>
      </c>
      <c r="G139" s="9" t="n">
        <v>1</v>
      </c>
      <c r="H139" s="9" t="n">
        <v>74313</v>
      </c>
      <c r="I139" s="9" t="n">
        <v>734</v>
      </c>
      <c r="J139" s="9" t="n">
        <v>54264181</v>
      </c>
    </row>
    <row r="140" customFormat="false" ht="15.75" hidden="false" customHeight="false" outlineLevel="0" collapsed="false">
      <c r="A140" s="7" t="s">
        <v>148</v>
      </c>
      <c r="B140" s="7" t="n">
        <v>6</v>
      </c>
      <c r="C140" s="9" t="n">
        <v>1374</v>
      </c>
      <c r="D140" s="9" t="n">
        <v>156541189</v>
      </c>
      <c r="E140" s="9" t="n">
        <v>100</v>
      </c>
      <c r="F140" s="9" t="n">
        <v>11400000</v>
      </c>
      <c r="G140" s="9" t="n">
        <v>22</v>
      </c>
      <c r="H140" s="9" t="n">
        <v>2506585</v>
      </c>
      <c r="I140" s="9" t="n">
        <v>1452</v>
      </c>
      <c r="J140" s="9" t="n">
        <v>165434604</v>
      </c>
    </row>
    <row r="141" customFormat="false" ht="15.75" hidden="false" customHeight="false" outlineLevel="0" collapsed="false">
      <c r="A141" s="7" t="s">
        <v>149</v>
      </c>
      <c r="B141" s="7" t="n">
        <v>6</v>
      </c>
      <c r="C141" s="9" t="n">
        <v>5499</v>
      </c>
      <c r="D141" s="9" t="n">
        <v>1044084747</v>
      </c>
      <c r="E141" s="9" t="n">
        <v>1000</v>
      </c>
      <c r="F141" s="9" t="n">
        <v>189655000</v>
      </c>
      <c r="G141" s="9" t="n">
        <v>2496</v>
      </c>
      <c r="H141" s="9" t="n">
        <v>473828960</v>
      </c>
      <c r="I141" s="9" t="n">
        <v>4003</v>
      </c>
      <c r="J141" s="9" t="n">
        <v>759910787</v>
      </c>
    </row>
    <row r="142" customFormat="false" ht="15.75" hidden="false" customHeight="false" outlineLevel="0" collapsed="false">
      <c r="A142" s="7" t="s">
        <v>150</v>
      </c>
      <c r="B142" s="7" t="n">
        <v>6</v>
      </c>
      <c r="C142" s="9" t="n">
        <v>0</v>
      </c>
      <c r="D142" s="9" t="n">
        <v>0</v>
      </c>
      <c r="E142" s="9" t="n">
        <v>0</v>
      </c>
      <c r="F142" s="9" t="n">
        <v>0</v>
      </c>
      <c r="G142" s="9" t="n">
        <v>0</v>
      </c>
      <c r="H142" s="9" t="n">
        <v>0</v>
      </c>
      <c r="I142" s="9" t="n">
        <v>0</v>
      </c>
      <c r="J142" s="9" t="n">
        <v>0</v>
      </c>
    </row>
    <row r="143" customFormat="false" ht="15.75" hidden="false" customHeight="false" outlineLevel="0" collapsed="false">
      <c r="A143" s="7" t="s">
        <v>151</v>
      </c>
      <c r="B143" s="7" t="n">
        <v>6</v>
      </c>
      <c r="C143" s="9" t="n">
        <v>259</v>
      </c>
      <c r="D143" s="9" t="n">
        <v>49197189</v>
      </c>
      <c r="E143" s="9" t="n">
        <v>0</v>
      </c>
      <c r="F143" s="9" t="n">
        <v>0</v>
      </c>
      <c r="G143" s="9" t="n">
        <v>0</v>
      </c>
      <c r="H143" s="9" t="n">
        <v>0</v>
      </c>
      <c r="I143" s="9" t="n">
        <v>259</v>
      </c>
      <c r="J143" s="9" t="n">
        <v>49197189</v>
      </c>
    </row>
    <row r="144" customFormat="false" ht="15.75" hidden="false" customHeight="false" outlineLevel="0" collapsed="false">
      <c r="A144" s="7" t="s">
        <v>152</v>
      </c>
      <c r="B144" s="7" t="n">
        <v>6</v>
      </c>
      <c r="C144" s="9" t="n">
        <v>0</v>
      </c>
      <c r="D144" s="9" t="n">
        <v>0</v>
      </c>
      <c r="E144" s="9" t="n">
        <v>0</v>
      </c>
      <c r="F144" s="9" t="n">
        <v>0</v>
      </c>
      <c r="G144" s="9" t="n">
        <v>0</v>
      </c>
      <c r="H144" s="9" t="n">
        <v>0</v>
      </c>
      <c r="I144" s="9" t="n">
        <v>0</v>
      </c>
      <c r="J144" s="9" t="n">
        <v>0</v>
      </c>
    </row>
    <row r="145" customFormat="false" ht="15.75" hidden="false" customHeight="false" outlineLevel="0" collapsed="false">
      <c r="A145" s="7" t="s">
        <v>153</v>
      </c>
      <c r="B145" s="7" t="n">
        <v>6</v>
      </c>
      <c r="C145" s="9" t="n">
        <v>0</v>
      </c>
      <c r="D145" s="9" t="n">
        <v>0</v>
      </c>
      <c r="E145" s="9" t="n">
        <v>0</v>
      </c>
      <c r="F145" s="9" t="n">
        <v>0</v>
      </c>
      <c r="G145" s="9" t="n">
        <v>0</v>
      </c>
      <c r="H145" s="9" t="n">
        <v>0</v>
      </c>
      <c r="I145" s="9" t="n">
        <v>0</v>
      </c>
      <c r="J145" s="9" t="n">
        <v>0</v>
      </c>
    </row>
    <row r="146" customFormat="false" ht="15.75" hidden="false" customHeight="false" outlineLevel="0" collapsed="false">
      <c r="A146" s="7" t="s">
        <v>154</v>
      </c>
      <c r="B146" s="7" t="n">
        <v>6</v>
      </c>
      <c r="C146" s="9" t="n">
        <v>0</v>
      </c>
      <c r="D146" s="9" t="n">
        <v>0</v>
      </c>
      <c r="E146" s="9" t="n">
        <v>0</v>
      </c>
      <c r="F146" s="9" t="n">
        <v>0</v>
      </c>
      <c r="G146" s="9" t="n">
        <v>0</v>
      </c>
      <c r="H146" s="9" t="n">
        <v>0</v>
      </c>
      <c r="I146" s="9" t="n">
        <v>0</v>
      </c>
      <c r="J146" s="9" t="n">
        <v>0</v>
      </c>
    </row>
    <row r="147" customFormat="false" ht="15.75" hidden="false" customHeight="false" outlineLevel="0" collapsed="false">
      <c r="A147" s="7" t="s">
        <v>155</v>
      </c>
      <c r="B147" s="7" t="n">
        <v>6</v>
      </c>
      <c r="C147" s="9" t="n">
        <v>224</v>
      </c>
      <c r="D147" s="9" t="n">
        <v>64951888</v>
      </c>
      <c r="E147" s="9" t="n">
        <v>0</v>
      </c>
      <c r="F147" s="9" t="n">
        <v>0</v>
      </c>
      <c r="G147" s="9" t="n">
        <v>0</v>
      </c>
      <c r="H147" s="9" t="n">
        <v>0</v>
      </c>
      <c r="I147" s="9" t="n">
        <v>224</v>
      </c>
      <c r="J147" s="9" t="n">
        <v>64951888</v>
      </c>
    </row>
    <row r="148" customFormat="false" ht="15.75" hidden="false" customHeight="false" outlineLevel="0" collapsed="false">
      <c r="A148" s="7" t="s">
        <v>156</v>
      </c>
      <c r="B148" s="7" t="n">
        <v>6</v>
      </c>
      <c r="C148" s="9" t="n">
        <v>0</v>
      </c>
      <c r="D148" s="9" t="n">
        <v>0</v>
      </c>
      <c r="E148" s="9" t="n">
        <v>0</v>
      </c>
      <c r="F148" s="9" t="n">
        <v>0</v>
      </c>
      <c r="G148" s="9" t="n">
        <v>0</v>
      </c>
      <c r="H148" s="9" t="n">
        <v>0</v>
      </c>
      <c r="I148" s="9" t="n">
        <v>0</v>
      </c>
      <c r="J148" s="9" t="n">
        <v>0</v>
      </c>
    </row>
    <row r="149" customFormat="false" ht="15.75" hidden="false" customHeight="false" outlineLevel="0" collapsed="false">
      <c r="A149" s="7" t="s">
        <v>157</v>
      </c>
      <c r="B149" s="7" t="n">
        <v>6</v>
      </c>
      <c r="C149" s="9" t="n">
        <v>0</v>
      </c>
      <c r="D149" s="9" t="n">
        <v>0</v>
      </c>
      <c r="E149" s="9" t="n">
        <v>0</v>
      </c>
      <c r="F149" s="9" t="n">
        <v>0</v>
      </c>
      <c r="G149" s="9" t="n">
        <v>0</v>
      </c>
      <c r="H149" s="9" t="n">
        <v>0</v>
      </c>
      <c r="I149" s="9" t="n">
        <v>0</v>
      </c>
      <c r="J149" s="9" t="n">
        <v>0</v>
      </c>
    </row>
    <row r="150" customFormat="false" ht="15.75" hidden="false" customHeight="false" outlineLevel="0" collapsed="false">
      <c r="A150" s="7" t="s">
        <v>158</v>
      </c>
      <c r="B150" s="7" t="n">
        <v>6</v>
      </c>
      <c r="C150" s="9" t="n">
        <v>133</v>
      </c>
      <c r="D150" s="9" t="n">
        <v>28422312</v>
      </c>
      <c r="E150" s="9" t="n">
        <v>0</v>
      </c>
      <c r="F150" s="9" t="n">
        <v>0</v>
      </c>
      <c r="G150" s="9" t="n">
        <v>0</v>
      </c>
      <c r="H150" s="9" t="n">
        <v>0</v>
      </c>
      <c r="I150" s="9" t="n">
        <v>133</v>
      </c>
      <c r="J150" s="9" t="n">
        <v>28422312</v>
      </c>
    </row>
    <row r="151" customFormat="false" ht="15.75" hidden="false" customHeight="false" outlineLevel="0" collapsed="false">
      <c r="A151" s="7" t="s">
        <v>159</v>
      </c>
      <c r="B151" s="7" t="n">
        <v>6</v>
      </c>
      <c r="C151" s="9" t="n">
        <v>83</v>
      </c>
      <c r="D151" s="9" t="n">
        <v>18269863</v>
      </c>
      <c r="E151" s="9" t="n">
        <v>0</v>
      </c>
      <c r="F151" s="9" t="n">
        <v>0</v>
      </c>
      <c r="G151" s="9" t="n">
        <v>2</v>
      </c>
      <c r="H151" s="9" t="n">
        <v>440242</v>
      </c>
      <c r="I151" s="9" t="n">
        <v>81</v>
      </c>
      <c r="J151" s="9" t="n">
        <v>17829621</v>
      </c>
    </row>
    <row r="152" customFormat="false" ht="15.75" hidden="false" customHeight="false" outlineLevel="0" collapsed="false">
      <c r="A152" s="7" t="s">
        <v>160</v>
      </c>
      <c r="B152" s="7" t="n">
        <v>6</v>
      </c>
      <c r="C152" s="9" t="n">
        <v>57</v>
      </c>
      <c r="D152" s="9" t="n">
        <v>15066896</v>
      </c>
      <c r="E152" s="9" t="n">
        <v>0</v>
      </c>
      <c r="F152" s="9" t="n">
        <v>0</v>
      </c>
      <c r="G152" s="9" t="n">
        <v>6</v>
      </c>
      <c r="H152" s="9" t="n">
        <v>1584716</v>
      </c>
      <c r="I152" s="9" t="n">
        <v>51</v>
      </c>
      <c r="J152" s="9" t="n">
        <v>13482180</v>
      </c>
    </row>
    <row r="153" customFormat="false" ht="15.75" hidden="false" customHeight="false" outlineLevel="0" collapsed="false">
      <c r="A153" s="7" t="s">
        <v>161</v>
      </c>
      <c r="B153" s="7" t="n">
        <v>6</v>
      </c>
      <c r="C153" s="9" t="n">
        <v>40</v>
      </c>
      <c r="D153" s="9" t="n">
        <v>9285800</v>
      </c>
      <c r="E153" s="9" t="n">
        <v>0</v>
      </c>
      <c r="F153" s="9" t="n">
        <v>0</v>
      </c>
      <c r="G153" s="9" t="n">
        <v>0</v>
      </c>
      <c r="H153" s="9" t="n">
        <v>0</v>
      </c>
      <c r="I153" s="9" t="n">
        <v>40</v>
      </c>
      <c r="J153" s="9" t="n">
        <v>9285800</v>
      </c>
    </row>
    <row r="154" customFormat="false" ht="15.75" hidden="false" customHeight="false" outlineLevel="0" collapsed="false">
      <c r="A154" s="7" t="s">
        <v>162</v>
      </c>
      <c r="B154" s="7" t="n">
        <v>6</v>
      </c>
      <c r="C154" s="9" t="n">
        <v>1021</v>
      </c>
      <c r="D154" s="9" t="n">
        <v>322728911</v>
      </c>
      <c r="E154" s="9" t="n">
        <v>0</v>
      </c>
      <c r="F154" s="9" t="n">
        <v>0</v>
      </c>
      <c r="G154" s="9" t="n">
        <v>0</v>
      </c>
      <c r="H154" s="9" t="n">
        <v>0</v>
      </c>
      <c r="I154" s="9" t="n">
        <v>1021</v>
      </c>
      <c r="J154" s="9" t="n">
        <v>322728911</v>
      </c>
    </row>
    <row r="155" customFormat="false" ht="15.75" hidden="false" customHeight="false" outlineLevel="0" collapsed="false">
      <c r="A155" s="7" t="s">
        <v>163</v>
      </c>
      <c r="B155" s="7" t="n">
        <v>6</v>
      </c>
      <c r="C155" s="9" t="n">
        <v>384</v>
      </c>
      <c r="D155" s="9" t="n">
        <v>121378944</v>
      </c>
      <c r="E155" s="9" t="n">
        <v>110</v>
      </c>
      <c r="F155" s="9" t="n">
        <v>34770010</v>
      </c>
      <c r="G155" s="9" t="n">
        <v>0</v>
      </c>
      <c r="H155" s="9" t="n">
        <v>0</v>
      </c>
      <c r="I155" s="9" t="n">
        <v>494</v>
      </c>
      <c r="J155" s="9" t="n">
        <v>156148954</v>
      </c>
    </row>
    <row r="156" customFormat="false" ht="15.75" hidden="false" customHeight="false" outlineLevel="0" collapsed="false">
      <c r="A156" s="7" t="s">
        <v>164</v>
      </c>
      <c r="B156" s="7" t="n">
        <v>6</v>
      </c>
      <c r="C156" s="9" t="n">
        <v>95</v>
      </c>
      <c r="D156" s="9" t="n">
        <v>13696836</v>
      </c>
      <c r="E156" s="9" t="n">
        <v>0</v>
      </c>
      <c r="F156" s="9" t="n">
        <v>0</v>
      </c>
      <c r="G156" s="9" t="n">
        <v>18</v>
      </c>
      <c r="H156" s="9" t="n">
        <v>2595190</v>
      </c>
      <c r="I156" s="9" t="n">
        <v>77</v>
      </c>
      <c r="J156" s="9" t="n">
        <v>11101646</v>
      </c>
    </row>
    <row r="157" customFormat="false" ht="15.75" hidden="false" customHeight="false" outlineLevel="0" collapsed="false">
      <c r="A157" s="7" t="s">
        <v>165</v>
      </c>
      <c r="B157" s="7" t="n">
        <v>6</v>
      </c>
      <c r="C157" s="9" t="n">
        <v>203</v>
      </c>
      <c r="D157" s="9" t="n">
        <v>30591302</v>
      </c>
      <c r="E157" s="9" t="n">
        <v>20</v>
      </c>
      <c r="F157" s="9" t="n">
        <v>3171280</v>
      </c>
      <c r="G157" s="9" t="n">
        <v>33</v>
      </c>
      <c r="H157" s="9" t="n">
        <v>4996257</v>
      </c>
      <c r="I157" s="9" t="n">
        <v>190</v>
      </c>
      <c r="J157" s="9" t="n">
        <v>28766325</v>
      </c>
    </row>
    <row r="158" customFormat="false" ht="15.75" hidden="false" customHeight="false" outlineLevel="0" collapsed="false">
      <c r="A158" s="7" t="s">
        <v>166</v>
      </c>
      <c r="B158" s="7" t="n">
        <v>6</v>
      </c>
      <c r="C158" s="9" t="n">
        <v>0</v>
      </c>
      <c r="D158" s="9" t="n">
        <v>0</v>
      </c>
      <c r="E158" s="9" t="n">
        <v>15</v>
      </c>
      <c r="F158" s="9" t="n">
        <v>2105835</v>
      </c>
      <c r="G158" s="9" t="n">
        <v>15</v>
      </c>
      <c r="H158" s="9" t="n">
        <v>2105835</v>
      </c>
      <c r="I158" s="9" t="n">
        <v>0</v>
      </c>
      <c r="J158" s="9" t="n">
        <v>0</v>
      </c>
    </row>
    <row r="159" customFormat="false" ht="15.75" hidden="false" customHeight="false" outlineLevel="0" collapsed="false">
      <c r="A159" s="7" t="s">
        <v>167</v>
      </c>
      <c r="B159" s="7" t="n">
        <v>6</v>
      </c>
      <c r="C159" s="9" t="n">
        <v>0</v>
      </c>
      <c r="D159" s="9" t="n">
        <v>0</v>
      </c>
      <c r="E159" s="9" t="n">
        <v>0</v>
      </c>
      <c r="F159" s="9" t="n">
        <v>0</v>
      </c>
      <c r="G159" s="9" t="n">
        <v>0</v>
      </c>
      <c r="H159" s="9" t="n">
        <v>0</v>
      </c>
      <c r="I159" s="9" t="n">
        <v>0</v>
      </c>
      <c r="J159" s="9" t="n">
        <v>0</v>
      </c>
    </row>
    <row r="160" customFormat="false" ht="15.75" hidden="false" customHeight="false" outlineLevel="0" collapsed="false">
      <c r="A160" s="7" t="s">
        <v>168</v>
      </c>
      <c r="B160" s="7" t="n">
        <v>6</v>
      </c>
      <c r="C160" s="9" t="n">
        <v>726</v>
      </c>
      <c r="D160" s="9" t="n">
        <v>132419230</v>
      </c>
      <c r="E160" s="9" t="n">
        <v>120</v>
      </c>
      <c r="F160" s="9" t="n">
        <v>21888000</v>
      </c>
      <c r="G160" s="9" t="n">
        <v>0</v>
      </c>
      <c r="H160" s="9" t="n">
        <v>0</v>
      </c>
      <c r="I160" s="9" t="n">
        <v>846</v>
      </c>
      <c r="J160" s="9" t="n">
        <v>154307230</v>
      </c>
    </row>
    <row r="161" customFormat="false" ht="15.75" hidden="false" customHeight="false" outlineLevel="0" collapsed="false">
      <c r="A161" s="7" t="s">
        <v>169</v>
      </c>
      <c r="B161" s="7" t="n">
        <v>6</v>
      </c>
      <c r="C161" s="9" t="n">
        <v>974</v>
      </c>
      <c r="D161" s="9" t="n">
        <v>172484554</v>
      </c>
      <c r="E161" s="9" t="n">
        <v>0</v>
      </c>
      <c r="F161" s="9" t="n">
        <v>0</v>
      </c>
      <c r="G161" s="9" t="n">
        <v>5</v>
      </c>
      <c r="H161" s="9" t="n">
        <v>885444</v>
      </c>
      <c r="I161" s="9" t="n">
        <v>969</v>
      </c>
      <c r="J161" s="9" t="n">
        <v>171599110</v>
      </c>
    </row>
    <row r="162" customFormat="false" ht="15.75" hidden="false" customHeight="false" outlineLevel="0" collapsed="false">
      <c r="A162" s="7" t="s">
        <v>170</v>
      </c>
      <c r="B162" s="7" t="n">
        <v>6</v>
      </c>
      <c r="C162" s="9" t="n">
        <v>124</v>
      </c>
      <c r="D162" s="9" t="n">
        <v>34054864</v>
      </c>
      <c r="E162" s="9" t="n">
        <v>245</v>
      </c>
      <c r="F162" s="9" t="n">
        <v>67285820</v>
      </c>
      <c r="G162" s="9" t="n">
        <v>0</v>
      </c>
      <c r="H162" s="9" t="n">
        <v>0</v>
      </c>
      <c r="I162" s="9" t="n">
        <v>369</v>
      </c>
      <c r="J162" s="9" t="n">
        <v>101340684</v>
      </c>
    </row>
    <row r="163" customFormat="false" ht="15.75" hidden="false" customHeight="false" outlineLevel="0" collapsed="false">
      <c r="A163" s="7" t="s">
        <v>171</v>
      </c>
      <c r="B163" s="7" t="n">
        <v>6</v>
      </c>
      <c r="C163" s="9" t="n">
        <v>0</v>
      </c>
      <c r="D163" s="9" t="n">
        <v>0</v>
      </c>
      <c r="E163" s="9" t="n">
        <v>1</v>
      </c>
      <c r="F163" s="9" t="n">
        <v>274444</v>
      </c>
      <c r="G163" s="9" t="n">
        <v>1</v>
      </c>
      <c r="H163" s="9" t="n">
        <v>274444</v>
      </c>
      <c r="I163" s="9" t="n">
        <v>0</v>
      </c>
      <c r="J163" s="9" t="n">
        <v>0</v>
      </c>
    </row>
    <row r="164" customFormat="false" ht="15.75" hidden="false" customHeight="false" outlineLevel="0" collapsed="false">
      <c r="A164" s="7" t="s">
        <v>172</v>
      </c>
      <c r="B164" s="7" t="n">
        <v>6</v>
      </c>
      <c r="C164" s="9" t="n">
        <v>0</v>
      </c>
      <c r="D164" s="9" t="n">
        <v>0</v>
      </c>
      <c r="E164" s="9" t="n">
        <v>0</v>
      </c>
      <c r="F164" s="9" t="n">
        <v>0</v>
      </c>
      <c r="G164" s="9" t="n">
        <v>0</v>
      </c>
      <c r="H164" s="9" t="n">
        <v>0</v>
      </c>
      <c r="I164" s="9" t="n">
        <v>0</v>
      </c>
      <c r="J164" s="9" t="n">
        <v>0</v>
      </c>
    </row>
    <row r="165" customFormat="false" ht="15.75" hidden="false" customHeight="false" outlineLevel="0" collapsed="false">
      <c r="A165" s="7" t="s">
        <v>173</v>
      </c>
      <c r="B165" s="7" t="n">
        <v>6</v>
      </c>
      <c r="C165" s="9" t="n">
        <v>0</v>
      </c>
      <c r="D165" s="9" t="n">
        <v>0</v>
      </c>
      <c r="E165" s="9" t="n">
        <v>0</v>
      </c>
      <c r="F165" s="9" t="n">
        <v>0</v>
      </c>
      <c r="G165" s="9" t="n">
        <v>0</v>
      </c>
      <c r="H165" s="9" t="n">
        <v>0</v>
      </c>
      <c r="I165" s="9" t="n">
        <v>0</v>
      </c>
      <c r="J165" s="9" t="n">
        <v>0</v>
      </c>
    </row>
    <row r="166" customFormat="false" ht="15.75" hidden="false" customHeight="false" outlineLevel="0" collapsed="false">
      <c r="A166" s="7" t="s">
        <v>174</v>
      </c>
      <c r="B166" s="7" t="n">
        <v>6</v>
      </c>
      <c r="C166" s="9" t="n">
        <v>100</v>
      </c>
      <c r="D166" s="9" t="n">
        <v>27457840</v>
      </c>
      <c r="E166" s="9" t="n">
        <v>0</v>
      </c>
      <c r="F166" s="9" t="n">
        <v>0</v>
      </c>
      <c r="G166" s="9" t="n">
        <v>0</v>
      </c>
      <c r="H166" s="9" t="n">
        <v>0</v>
      </c>
      <c r="I166" s="9" t="n">
        <v>100</v>
      </c>
      <c r="J166" s="9" t="n">
        <v>27457840</v>
      </c>
    </row>
    <row r="167" customFormat="false" ht="15.75" hidden="false" customHeight="false" outlineLevel="0" collapsed="false">
      <c r="A167" s="7" t="s">
        <v>175</v>
      </c>
      <c r="B167" s="7" t="n">
        <v>6</v>
      </c>
      <c r="C167" s="9" t="n">
        <v>0</v>
      </c>
      <c r="D167" s="9" t="n">
        <v>0</v>
      </c>
      <c r="E167" s="9" t="n">
        <v>18</v>
      </c>
      <c r="F167" s="9" t="n">
        <v>2849994</v>
      </c>
      <c r="G167" s="9" t="n">
        <v>18</v>
      </c>
      <c r="H167" s="9" t="n">
        <v>2849994</v>
      </c>
      <c r="I167" s="9" t="n">
        <v>0</v>
      </c>
      <c r="J167" s="9" t="n">
        <v>0</v>
      </c>
    </row>
    <row r="168" customFormat="false" ht="15.75" hidden="false" customHeight="false" outlineLevel="0" collapsed="false">
      <c r="A168" s="7" t="s">
        <v>176</v>
      </c>
      <c r="B168" s="7" t="n">
        <v>6</v>
      </c>
      <c r="C168" s="9" t="n">
        <v>0</v>
      </c>
      <c r="D168" s="9" t="n">
        <v>0</v>
      </c>
      <c r="E168" s="9" t="n">
        <v>5</v>
      </c>
      <c r="F168" s="9" t="n">
        <v>915455</v>
      </c>
      <c r="G168" s="9" t="n">
        <v>5</v>
      </c>
      <c r="H168" s="9" t="n">
        <v>915455</v>
      </c>
      <c r="I168" s="9" t="n">
        <v>0</v>
      </c>
      <c r="J168" s="9" t="n">
        <v>0</v>
      </c>
    </row>
    <row r="169" customFormat="false" ht="15.75" hidden="false" customHeight="false" outlineLevel="0" collapsed="false">
      <c r="A169" s="7" t="s">
        <v>177</v>
      </c>
      <c r="B169" s="7" t="n">
        <v>6</v>
      </c>
      <c r="C169" s="9" t="n">
        <v>0</v>
      </c>
      <c r="D169" s="9" t="n">
        <v>0</v>
      </c>
      <c r="E169" s="9" t="n">
        <v>0</v>
      </c>
      <c r="F169" s="9" t="n">
        <v>0</v>
      </c>
      <c r="G169" s="9" t="n">
        <v>0</v>
      </c>
      <c r="H169" s="9" t="n">
        <v>0</v>
      </c>
      <c r="I169" s="9" t="n">
        <v>0</v>
      </c>
      <c r="J169" s="9" t="n">
        <v>0</v>
      </c>
    </row>
    <row r="170" customFormat="false" ht="15.75" hidden="false" customHeight="false" outlineLevel="0" collapsed="false">
      <c r="A170" s="7" t="s">
        <v>178</v>
      </c>
      <c r="B170" s="7" t="n">
        <v>6</v>
      </c>
      <c r="C170" s="9" t="n">
        <v>0</v>
      </c>
      <c r="D170" s="9" t="n">
        <v>0</v>
      </c>
      <c r="E170" s="9" t="n">
        <v>0</v>
      </c>
      <c r="F170" s="9" t="n">
        <v>0</v>
      </c>
      <c r="G170" s="9" t="n">
        <v>0</v>
      </c>
      <c r="H170" s="9" t="n">
        <v>0</v>
      </c>
      <c r="I170" s="9" t="n">
        <v>0</v>
      </c>
      <c r="J170" s="9" t="n">
        <v>0</v>
      </c>
    </row>
    <row r="171" customFormat="false" ht="15.75" hidden="false" customHeight="false" outlineLevel="0" collapsed="false">
      <c r="A171" s="7" t="s">
        <v>179</v>
      </c>
      <c r="B171" s="7" t="n">
        <v>6</v>
      </c>
      <c r="C171" s="9" t="n">
        <v>36122</v>
      </c>
      <c r="D171" s="9" t="n">
        <v>179262920</v>
      </c>
      <c r="E171" s="9" t="n">
        <v>10932</v>
      </c>
      <c r="F171" s="9" t="n">
        <v>58914000</v>
      </c>
      <c r="G171" s="9" t="n">
        <v>34944</v>
      </c>
      <c r="H171" s="9" t="n">
        <v>176878784</v>
      </c>
      <c r="I171" s="9" t="n">
        <v>12110</v>
      </c>
      <c r="J171" s="9" t="n">
        <v>61298136</v>
      </c>
    </row>
    <row r="172" customFormat="false" ht="15.75" hidden="false" customHeight="false" outlineLevel="0" collapsed="false">
      <c r="A172" s="7" t="s">
        <v>180</v>
      </c>
      <c r="B172" s="7" t="n">
        <v>6</v>
      </c>
      <c r="C172" s="9" t="n">
        <v>0</v>
      </c>
      <c r="D172" s="9" t="n">
        <v>0</v>
      </c>
      <c r="E172" s="9" t="n">
        <v>0</v>
      </c>
      <c r="F172" s="9" t="n">
        <v>0</v>
      </c>
      <c r="G172" s="9" t="n">
        <v>0</v>
      </c>
      <c r="H172" s="9" t="n">
        <v>0</v>
      </c>
      <c r="I172" s="9" t="n">
        <v>0</v>
      </c>
      <c r="J172" s="9" t="n">
        <v>0</v>
      </c>
    </row>
    <row r="173" customFormat="false" ht="15.75" hidden="false" customHeight="false" outlineLevel="0" collapsed="false">
      <c r="A173" s="7" t="s">
        <v>181</v>
      </c>
      <c r="B173" s="7" t="n">
        <v>6</v>
      </c>
      <c r="C173" s="9" t="n">
        <v>447</v>
      </c>
      <c r="D173" s="9" t="n">
        <v>21857032</v>
      </c>
      <c r="E173" s="9" t="n">
        <v>675</v>
      </c>
      <c r="F173" s="9" t="n">
        <v>34687575</v>
      </c>
      <c r="G173" s="9" t="n">
        <v>1005</v>
      </c>
      <c r="H173" s="9" t="n">
        <v>50648244</v>
      </c>
      <c r="I173" s="9" t="n">
        <v>117</v>
      </c>
      <c r="J173" s="9" t="n">
        <v>5896363</v>
      </c>
    </row>
    <row r="174" customFormat="false" ht="15.75" hidden="false" customHeight="false" outlineLevel="0" collapsed="false">
      <c r="A174" s="7" t="s">
        <v>182</v>
      </c>
      <c r="B174" s="7" t="n">
        <v>6</v>
      </c>
      <c r="C174" s="9" t="n">
        <v>20</v>
      </c>
      <c r="D174" s="9" t="n">
        <v>1190400</v>
      </c>
      <c r="E174" s="9" t="n">
        <v>0</v>
      </c>
      <c r="F174" s="9" t="n">
        <v>0</v>
      </c>
      <c r="G174" s="9" t="n">
        <v>0</v>
      </c>
      <c r="H174" s="9" t="n">
        <v>0</v>
      </c>
      <c r="I174" s="9" t="n">
        <v>20</v>
      </c>
      <c r="J174" s="9" t="n">
        <v>1190400</v>
      </c>
    </row>
    <row r="175" customFormat="false" ht="15.75" hidden="false" customHeight="false" outlineLevel="0" collapsed="false">
      <c r="A175" s="7" t="s">
        <v>183</v>
      </c>
      <c r="B175" s="7" t="n">
        <v>6</v>
      </c>
      <c r="C175" s="9" t="n">
        <v>2990</v>
      </c>
      <c r="D175" s="9" t="n">
        <v>162546862</v>
      </c>
      <c r="E175" s="9" t="n">
        <v>208</v>
      </c>
      <c r="F175" s="9" t="n">
        <v>10880000</v>
      </c>
      <c r="G175" s="9" t="n">
        <v>100</v>
      </c>
      <c r="H175" s="9" t="n">
        <v>5422979</v>
      </c>
      <c r="I175" s="9" t="n">
        <v>3098</v>
      </c>
      <c r="J175" s="9" t="n">
        <v>168003883</v>
      </c>
    </row>
    <row r="176" customFormat="false" ht="15.75" hidden="false" customHeight="false" outlineLevel="0" collapsed="false">
      <c r="A176" s="7" t="s">
        <v>184</v>
      </c>
      <c r="B176" s="7" t="n">
        <v>6</v>
      </c>
      <c r="C176" s="9" t="n">
        <v>2988</v>
      </c>
      <c r="D176" s="9" t="n">
        <v>163058836</v>
      </c>
      <c r="E176" s="9" t="n">
        <v>208</v>
      </c>
      <c r="F176" s="9" t="n">
        <v>10880000</v>
      </c>
      <c r="G176" s="9" t="n">
        <v>75</v>
      </c>
      <c r="H176" s="9" t="n">
        <v>4081794</v>
      </c>
      <c r="I176" s="9" t="n">
        <v>3121</v>
      </c>
      <c r="J176" s="9" t="n">
        <v>169857042</v>
      </c>
    </row>
    <row r="177" customFormat="false" ht="15.75" hidden="false" customHeight="false" outlineLevel="0" collapsed="false">
      <c r="A177" s="7" t="s">
        <v>185</v>
      </c>
      <c r="B177" s="7" t="n">
        <v>6</v>
      </c>
      <c r="C177" s="9" t="n">
        <v>55</v>
      </c>
      <c r="D177" s="9" t="n">
        <v>10164723</v>
      </c>
      <c r="E177" s="9" t="n">
        <v>170</v>
      </c>
      <c r="F177" s="9" t="n">
        <v>31268825</v>
      </c>
      <c r="G177" s="9" t="n">
        <v>225</v>
      </c>
      <c r="H177" s="9" t="n">
        <v>41433548</v>
      </c>
      <c r="I177" s="9" t="n">
        <v>0</v>
      </c>
      <c r="J177" s="9" t="n">
        <v>0</v>
      </c>
    </row>
    <row r="178" customFormat="false" ht="15.75" hidden="false" customHeight="false" outlineLevel="0" collapsed="false">
      <c r="A178" s="7" t="s">
        <v>186</v>
      </c>
      <c r="B178" s="7" t="n">
        <v>6</v>
      </c>
      <c r="C178" s="9" t="n">
        <v>0</v>
      </c>
      <c r="D178" s="9" t="n">
        <v>0</v>
      </c>
      <c r="E178" s="9" t="n">
        <v>3200</v>
      </c>
      <c r="F178" s="9" t="n">
        <v>142430909</v>
      </c>
      <c r="G178" s="9" t="n">
        <v>2640</v>
      </c>
      <c r="H178" s="9" t="n">
        <v>118240711</v>
      </c>
      <c r="I178" s="9" t="n">
        <v>560</v>
      </c>
      <c r="J178" s="9" t="n">
        <v>24190198</v>
      </c>
    </row>
    <row r="179" customFormat="false" ht="15.75" hidden="false" customHeight="false" outlineLevel="0" collapsed="false">
      <c r="A179" s="7" t="s">
        <v>187</v>
      </c>
      <c r="B179" s="7" t="n">
        <v>6</v>
      </c>
      <c r="C179" s="9" t="n">
        <v>0</v>
      </c>
      <c r="D179" s="9" t="n">
        <v>0</v>
      </c>
      <c r="E179" s="9" t="n">
        <v>585</v>
      </c>
      <c r="F179" s="9" t="n">
        <v>23692500</v>
      </c>
      <c r="G179" s="9" t="n">
        <v>585</v>
      </c>
      <c r="H179" s="9" t="n">
        <v>23692500</v>
      </c>
      <c r="I179" s="9" t="n">
        <v>0</v>
      </c>
      <c r="J179" s="9" t="n">
        <v>0</v>
      </c>
    </row>
    <row r="180" customFormat="false" ht="15.75" hidden="false" customHeight="false" outlineLevel="0" collapsed="false">
      <c r="A180" s="7" t="s">
        <v>188</v>
      </c>
      <c r="B180" s="7" t="n">
        <v>6</v>
      </c>
      <c r="C180" s="9" t="n">
        <v>3372</v>
      </c>
      <c r="D180" s="9" t="n">
        <v>620995126</v>
      </c>
      <c r="E180" s="9" t="n">
        <v>2000</v>
      </c>
      <c r="F180" s="9" t="n">
        <v>364610000</v>
      </c>
      <c r="G180" s="9" t="n">
        <v>2320</v>
      </c>
      <c r="H180" s="9" t="n">
        <v>425652251</v>
      </c>
      <c r="I180" s="9" t="n">
        <v>3052</v>
      </c>
      <c r="J180" s="9" t="n">
        <v>559952875</v>
      </c>
    </row>
    <row r="181" customFormat="false" ht="15.75" hidden="false" customHeight="false" outlineLevel="0" collapsed="false">
      <c r="A181" s="7" t="s">
        <v>189</v>
      </c>
      <c r="B181" s="7" t="n">
        <v>6</v>
      </c>
      <c r="C181" s="9" t="n">
        <v>0</v>
      </c>
      <c r="D181" s="9" t="n">
        <v>0</v>
      </c>
      <c r="E181" s="9" t="n">
        <v>150</v>
      </c>
      <c r="F181" s="9" t="n">
        <v>6662337</v>
      </c>
      <c r="G181" s="9" t="n">
        <v>150</v>
      </c>
      <c r="H181" s="9" t="n">
        <v>6662337</v>
      </c>
      <c r="I181" s="9" t="n">
        <v>0</v>
      </c>
      <c r="J181" s="9" t="n">
        <v>0</v>
      </c>
    </row>
    <row r="182" customFormat="false" ht="15.75" hidden="false" customHeight="false" outlineLevel="0" collapsed="false">
      <c r="A182" s="7" t="s">
        <v>190</v>
      </c>
      <c r="B182" s="7" t="n">
        <v>6</v>
      </c>
      <c r="C182" s="9" t="n">
        <v>4179</v>
      </c>
      <c r="D182" s="9" t="n">
        <v>121437525</v>
      </c>
      <c r="E182" s="9" t="n">
        <v>2100</v>
      </c>
      <c r="F182" s="9" t="n">
        <v>60648000</v>
      </c>
      <c r="G182" s="9" t="n">
        <v>5985</v>
      </c>
      <c r="H182" s="9" t="n">
        <v>173559781</v>
      </c>
      <c r="I182" s="9" t="n">
        <v>294</v>
      </c>
      <c r="J182" s="9" t="n">
        <v>8525744</v>
      </c>
    </row>
    <row r="183" customFormat="false" ht="15.75" hidden="false" customHeight="false" outlineLevel="0" collapsed="false">
      <c r="A183" s="7" t="s">
        <v>191</v>
      </c>
      <c r="B183" s="7" t="n">
        <v>6</v>
      </c>
      <c r="C183" s="9" t="n">
        <v>26465</v>
      </c>
      <c r="D183" s="9" t="n">
        <v>651919112</v>
      </c>
      <c r="E183" s="9" t="n">
        <v>36600</v>
      </c>
      <c r="F183" s="9" t="n">
        <v>1050510000</v>
      </c>
      <c r="G183" s="9" t="n">
        <v>37743</v>
      </c>
      <c r="H183" s="9" t="n">
        <v>1082162949</v>
      </c>
      <c r="I183" s="9" t="n">
        <v>25322</v>
      </c>
      <c r="J183" s="9" t="n">
        <v>620266163</v>
      </c>
    </row>
    <row r="184" customFormat="false" ht="15.75" hidden="false" customHeight="false" outlineLevel="0" collapsed="false">
      <c r="A184" s="7" t="s">
        <v>192</v>
      </c>
      <c r="B184" s="7" t="n">
        <v>6</v>
      </c>
      <c r="C184" s="9" t="n">
        <v>2700</v>
      </c>
      <c r="D184" s="9" t="n">
        <v>19585618</v>
      </c>
      <c r="E184" s="9" t="n">
        <v>1500</v>
      </c>
      <c r="F184" s="9" t="n">
        <v>10830000</v>
      </c>
      <c r="G184" s="9" t="n">
        <v>4200</v>
      </c>
      <c r="H184" s="9" t="n">
        <v>30415618</v>
      </c>
      <c r="I184" s="9" t="n">
        <v>0</v>
      </c>
      <c r="J184" s="9" t="n">
        <v>0</v>
      </c>
    </row>
    <row r="185" customFormat="false" ht="15.75" hidden="false" customHeight="false" outlineLevel="0" collapsed="false">
      <c r="A185" s="7" t="s">
        <v>193</v>
      </c>
      <c r="B185" s="7" t="n">
        <v>6</v>
      </c>
      <c r="C185" s="9" t="n">
        <v>0</v>
      </c>
      <c r="D185" s="9" t="n">
        <v>0</v>
      </c>
      <c r="E185" s="9" t="n">
        <v>0</v>
      </c>
      <c r="F185" s="9" t="n">
        <v>0</v>
      </c>
      <c r="G185" s="9" t="n">
        <v>0</v>
      </c>
      <c r="H185" s="9" t="n">
        <v>0</v>
      </c>
      <c r="I185" s="9" t="n">
        <v>0</v>
      </c>
      <c r="J185" s="9" t="n">
        <v>0</v>
      </c>
    </row>
    <row r="186" customFormat="false" ht="15.75" hidden="false" customHeight="false" outlineLevel="0" collapsed="false">
      <c r="A186" s="7" t="s">
        <v>194</v>
      </c>
      <c r="B186" s="7" t="n">
        <v>6</v>
      </c>
      <c r="C186" s="9" t="n">
        <v>33070</v>
      </c>
      <c r="D186" s="9" t="n">
        <v>126055450</v>
      </c>
      <c r="E186" s="9" t="n">
        <v>180000</v>
      </c>
      <c r="F186" s="9" t="n">
        <v>1299600000</v>
      </c>
      <c r="G186" s="9" t="n">
        <v>19050</v>
      </c>
      <c r="H186" s="9" t="n">
        <v>137959172</v>
      </c>
      <c r="I186" s="9" t="n">
        <v>194020</v>
      </c>
      <c r="J186" s="9" t="n">
        <v>1287696278</v>
      </c>
    </row>
    <row r="187" customFormat="false" ht="15.75" hidden="false" customHeight="false" outlineLevel="0" collapsed="false">
      <c r="A187" s="7" t="s">
        <v>195</v>
      </c>
      <c r="B187" s="7" t="n">
        <v>6</v>
      </c>
      <c r="C187" s="9" t="n">
        <v>0</v>
      </c>
      <c r="D187" s="9" t="n">
        <v>0</v>
      </c>
      <c r="E187" s="9" t="n">
        <v>0</v>
      </c>
      <c r="F187" s="9" t="n">
        <v>0</v>
      </c>
      <c r="G187" s="9" t="n">
        <v>0</v>
      </c>
      <c r="H187" s="9" t="n">
        <v>0</v>
      </c>
      <c r="I187" s="9" t="n">
        <v>0</v>
      </c>
      <c r="J187" s="9" t="n">
        <v>0</v>
      </c>
    </row>
    <row r="188" customFormat="false" ht="15.75" hidden="false" customHeight="false" outlineLevel="0" collapsed="false">
      <c r="A188" s="7" t="s">
        <v>196</v>
      </c>
      <c r="B188" s="7" t="n">
        <v>6</v>
      </c>
      <c r="C188" s="9" t="n">
        <v>380</v>
      </c>
      <c r="D188" s="9" t="n">
        <v>63766627</v>
      </c>
      <c r="E188" s="9" t="n">
        <v>145</v>
      </c>
      <c r="F188" s="9" t="n">
        <v>24332002</v>
      </c>
      <c r="G188" s="9" t="n">
        <v>525</v>
      </c>
      <c r="H188" s="9" t="n">
        <v>88098629</v>
      </c>
      <c r="I188" s="9" t="n">
        <v>0</v>
      </c>
      <c r="J188" s="9" t="n">
        <v>0</v>
      </c>
    </row>
    <row r="189" customFormat="false" ht="15.75" hidden="false" customHeight="false" outlineLevel="0" collapsed="false">
      <c r="A189" s="7" t="s">
        <v>197</v>
      </c>
      <c r="B189" s="7" t="n">
        <v>6</v>
      </c>
      <c r="C189" s="9" t="n">
        <v>330</v>
      </c>
      <c r="D189" s="9" t="n">
        <v>2388571</v>
      </c>
      <c r="E189" s="9" t="n">
        <v>600</v>
      </c>
      <c r="F189" s="9" t="n">
        <v>4332000</v>
      </c>
      <c r="G189" s="9" t="n">
        <v>300</v>
      </c>
      <c r="H189" s="9" t="n">
        <v>2167926</v>
      </c>
      <c r="I189" s="9" t="n">
        <v>630</v>
      </c>
      <c r="J189" s="9" t="n">
        <v>4552645</v>
      </c>
    </row>
    <row r="190" customFormat="false" ht="15.75" hidden="false" customHeight="false" outlineLevel="0" collapsed="false">
      <c r="A190" s="7" t="s">
        <v>198</v>
      </c>
      <c r="B190" s="7" t="n">
        <v>6</v>
      </c>
      <c r="C190" s="9" t="n">
        <v>0</v>
      </c>
      <c r="D190" s="9" t="n">
        <v>0</v>
      </c>
      <c r="E190" s="9" t="n">
        <v>0</v>
      </c>
      <c r="F190" s="9" t="n">
        <v>0</v>
      </c>
      <c r="G190" s="9" t="n">
        <v>0</v>
      </c>
      <c r="H190" s="9" t="n">
        <v>0</v>
      </c>
      <c r="I190" s="9" t="n">
        <v>0</v>
      </c>
      <c r="J190" s="9" t="n">
        <v>0</v>
      </c>
    </row>
    <row r="191" customFormat="false" ht="15.75" hidden="false" customHeight="false" outlineLevel="0" collapsed="false">
      <c r="A191" s="7" t="s">
        <v>199</v>
      </c>
      <c r="B191" s="7" t="n">
        <v>6</v>
      </c>
      <c r="C191" s="9" t="n">
        <v>77660</v>
      </c>
      <c r="D191" s="9" t="n">
        <v>0</v>
      </c>
      <c r="E191" s="9" t="n">
        <v>0</v>
      </c>
      <c r="F191" s="9" t="n">
        <v>0</v>
      </c>
      <c r="G191" s="9" t="n">
        <v>0</v>
      </c>
      <c r="H191" s="9" t="n">
        <v>0</v>
      </c>
      <c r="I191" s="9" t="n">
        <v>77660</v>
      </c>
      <c r="J191" s="9" t="n">
        <v>0</v>
      </c>
    </row>
    <row r="192" customFormat="false" ht="15.75" hidden="false" customHeight="false" outlineLevel="0" collapsed="false">
      <c r="A192" s="7" t="s">
        <v>200</v>
      </c>
      <c r="B192" s="7" t="n">
        <v>6</v>
      </c>
      <c r="C192" s="9" t="n">
        <v>72</v>
      </c>
      <c r="D192" s="9" t="n">
        <v>504000</v>
      </c>
      <c r="E192" s="9" t="n">
        <v>0</v>
      </c>
      <c r="F192" s="9" t="n">
        <v>0</v>
      </c>
      <c r="G192" s="9" t="n">
        <v>0</v>
      </c>
      <c r="H192" s="9" t="n">
        <v>0</v>
      </c>
      <c r="I192" s="9" t="n">
        <v>72</v>
      </c>
      <c r="J192" s="9" t="n">
        <v>504000</v>
      </c>
    </row>
    <row r="193" customFormat="false" ht="15.75" hidden="false" customHeight="false" outlineLevel="0" collapsed="false">
      <c r="A193" s="7" t="s">
        <v>201</v>
      </c>
      <c r="B193" s="7" t="n">
        <v>6</v>
      </c>
      <c r="C193" s="9" t="n">
        <v>1440</v>
      </c>
      <c r="D193" s="9" t="n">
        <v>21537059</v>
      </c>
      <c r="E193" s="9" t="n">
        <v>120</v>
      </c>
      <c r="F193" s="9" t="n">
        <v>1909080</v>
      </c>
      <c r="G193" s="9" t="n">
        <v>0</v>
      </c>
      <c r="H193" s="9" t="n">
        <v>0</v>
      </c>
      <c r="I193" s="9" t="n">
        <v>1560</v>
      </c>
      <c r="J193" s="9" t="n">
        <v>23446139</v>
      </c>
    </row>
    <row r="194" customFormat="false" ht="15.75" hidden="false" customHeight="false" outlineLevel="0" collapsed="false">
      <c r="A194" s="7" t="s">
        <v>202</v>
      </c>
      <c r="B194" s="7" t="n">
        <v>6</v>
      </c>
      <c r="C194" s="9" t="n">
        <v>0</v>
      </c>
      <c r="D194" s="9" t="n">
        <v>0</v>
      </c>
      <c r="E194" s="9" t="n">
        <v>0</v>
      </c>
      <c r="F194" s="9" t="n">
        <v>0</v>
      </c>
      <c r="G194" s="9" t="n">
        <v>0</v>
      </c>
      <c r="H194" s="9" t="n">
        <v>0</v>
      </c>
      <c r="I194" s="9" t="n">
        <v>0</v>
      </c>
      <c r="J194" s="9" t="n">
        <v>0</v>
      </c>
    </row>
    <row r="195" customFormat="false" ht="15.75" hidden="false" customHeight="false" outlineLevel="0" collapsed="false">
      <c r="A195" s="7" t="s">
        <v>203</v>
      </c>
      <c r="B195" s="7" t="n">
        <v>6</v>
      </c>
      <c r="C195" s="9" t="n">
        <v>5894</v>
      </c>
      <c r="D195" s="9" t="n">
        <v>69177878</v>
      </c>
      <c r="E195" s="9" t="n">
        <v>0</v>
      </c>
      <c r="F195" s="9" t="n">
        <v>0</v>
      </c>
      <c r="G195" s="9" t="n">
        <v>0</v>
      </c>
      <c r="H195" s="9" t="n">
        <v>0</v>
      </c>
      <c r="I195" s="9" t="n">
        <v>5894</v>
      </c>
      <c r="J195" s="9" t="n">
        <v>69177878</v>
      </c>
    </row>
    <row r="196" customFormat="false" ht="15.75" hidden="false" customHeight="false" outlineLevel="0" collapsed="false">
      <c r="A196" s="7" t="s">
        <v>204</v>
      </c>
      <c r="B196" s="7" t="n">
        <v>6</v>
      </c>
      <c r="C196" s="9" t="n">
        <v>6663</v>
      </c>
      <c r="D196" s="9" t="n">
        <v>184995311</v>
      </c>
      <c r="E196" s="9" t="n">
        <v>216</v>
      </c>
      <c r="F196" s="9" t="n">
        <v>0</v>
      </c>
      <c r="G196" s="9" t="n">
        <v>720</v>
      </c>
      <c r="H196" s="9" t="n">
        <v>19362789</v>
      </c>
      <c r="I196" s="9" t="n">
        <v>6159</v>
      </c>
      <c r="J196" s="9" t="n">
        <v>165632522</v>
      </c>
    </row>
    <row r="197" customFormat="false" ht="15.75" hidden="false" customHeight="false" outlineLevel="0" collapsed="false">
      <c r="A197" s="7" t="s">
        <v>205</v>
      </c>
      <c r="B197" s="7" t="n">
        <v>6</v>
      </c>
      <c r="C197" s="9" t="n">
        <v>1344</v>
      </c>
      <c r="D197" s="9" t="n">
        <v>86507204</v>
      </c>
      <c r="E197" s="9" t="n">
        <v>96</v>
      </c>
      <c r="F197" s="9" t="n">
        <v>0</v>
      </c>
      <c r="G197" s="9" t="n">
        <v>100</v>
      </c>
      <c r="H197" s="9" t="n">
        <v>6007445</v>
      </c>
      <c r="I197" s="9" t="n">
        <v>1340</v>
      </c>
      <c r="J197" s="9" t="n">
        <v>80499759</v>
      </c>
    </row>
    <row r="198" customFormat="false" ht="15.75" hidden="false" customHeight="false" outlineLevel="0" collapsed="false">
      <c r="A198" s="7" t="s">
        <v>206</v>
      </c>
      <c r="B198" s="7" t="n">
        <v>6</v>
      </c>
      <c r="C198" s="9" t="n">
        <v>984</v>
      </c>
      <c r="D198" s="9" t="n">
        <v>30837260</v>
      </c>
      <c r="E198" s="9" t="n">
        <v>0</v>
      </c>
      <c r="F198" s="9" t="n">
        <v>0</v>
      </c>
      <c r="G198" s="9" t="n">
        <v>30</v>
      </c>
      <c r="H198" s="9" t="n">
        <v>940160</v>
      </c>
      <c r="I198" s="9" t="n">
        <v>954</v>
      </c>
      <c r="J198" s="9" t="n">
        <v>29897100</v>
      </c>
    </row>
    <row r="199" customFormat="false" ht="15.75" hidden="false" customHeight="false" outlineLevel="0" collapsed="false">
      <c r="A199" s="7" t="s">
        <v>207</v>
      </c>
      <c r="B199" s="7" t="n">
        <v>6</v>
      </c>
      <c r="C199" s="9" t="n">
        <v>1080</v>
      </c>
      <c r="D199" s="9" t="n">
        <v>4609440</v>
      </c>
      <c r="E199" s="9" t="n">
        <v>0</v>
      </c>
      <c r="F199" s="9" t="n">
        <v>0</v>
      </c>
      <c r="G199" s="9" t="n">
        <v>0</v>
      </c>
      <c r="H199" s="9" t="n">
        <v>0</v>
      </c>
      <c r="I199" s="9" t="n">
        <v>1080</v>
      </c>
      <c r="J199" s="9" t="n">
        <v>4609440</v>
      </c>
    </row>
    <row r="200" customFormat="false" ht="15.75" hidden="false" customHeight="false" outlineLevel="0" collapsed="false">
      <c r="A200" s="7" t="s">
        <v>208</v>
      </c>
      <c r="B200" s="7" t="n">
        <v>6</v>
      </c>
      <c r="C200" s="9" t="n">
        <v>1877</v>
      </c>
      <c r="D200" s="9" t="n">
        <v>17350105</v>
      </c>
      <c r="E200" s="9" t="n">
        <v>216</v>
      </c>
      <c r="F200" s="9" t="n">
        <v>0</v>
      </c>
      <c r="G200" s="9" t="n">
        <v>0</v>
      </c>
      <c r="H200" s="9" t="n">
        <v>0</v>
      </c>
      <c r="I200" s="9" t="n">
        <v>2093</v>
      </c>
      <c r="J200" s="9" t="n">
        <v>17350105</v>
      </c>
    </row>
    <row r="201" customFormat="false" ht="15.75" hidden="false" customHeight="false" outlineLevel="0" collapsed="false">
      <c r="A201" s="7" t="s">
        <v>209</v>
      </c>
      <c r="B201" s="7" t="n">
        <v>6</v>
      </c>
      <c r="C201" s="9" t="n">
        <v>0</v>
      </c>
      <c r="D201" s="9" t="n">
        <v>0</v>
      </c>
      <c r="E201" s="9" t="n">
        <v>12</v>
      </c>
      <c r="F201" s="9" t="n">
        <v>700920</v>
      </c>
      <c r="G201" s="9" t="n">
        <v>0</v>
      </c>
      <c r="H201" s="9" t="n">
        <v>0</v>
      </c>
      <c r="I201" s="9" t="n">
        <v>12</v>
      </c>
      <c r="J201" s="9" t="n">
        <v>700920</v>
      </c>
    </row>
    <row r="202" customFormat="false" ht="15.75" hidden="false" customHeight="false" outlineLevel="0" collapsed="false">
      <c r="A202" s="7" t="s">
        <v>210</v>
      </c>
      <c r="B202" s="7" t="n">
        <v>6</v>
      </c>
      <c r="C202" s="9" t="n">
        <v>625</v>
      </c>
      <c r="D202" s="9" t="n">
        <v>6930861</v>
      </c>
      <c r="E202" s="9" t="n">
        <v>0</v>
      </c>
      <c r="F202" s="9" t="n">
        <v>0</v>
      </c>
      <c r="G202" s="9" t="n">
        <v>0</v>
      </c>
      <c r="H202" s="9" t="n">
        <v>0</v>
      </c>
      <c r="I202" s="9" t="n">
        <v>625</v>
      </c>
      <c r="J202" s="9" t="n">
        <v>6930861</v>
      </c>
    </row>
    <row r="203" customFormat="false" ht="15.75" hidden="false" customHeight="false" outlineLevel="0" collapsed="false">
      <c r="A203" s="7" t="s">
        <v>211</v>
      </c>
      <c r="B203" s="7" t="n">
        <v>6</v>
      </c>
      <c r="C203" s="9" t="n">
        <v>0</v>
      </c>
      <c r="D203" s="9" t="n">
        <v>0</v>
      </c>
      <c r="E203" s="9" t="n">
        <v>0</v>
      </c>
      <c r="F203" s="9" t="n">
        <v>0</v>
      </c>
      <c r="G203" s="9" t="n">
        <v>0</v>
      </c>
      <c r="H203" s="9" t="n">
        <v>0</v>
      </c>
      <c r="I203" s="9" t="n">
        <v>0</v>
      </c>
      <c r="J203" s="9" t="n">
        <v>0</v>
      </c>
    </row>
    <row r="204" customFormat="false" ht="15.75" hidden="false" customHeight="false" outlineLevel="0" collapsed="false">
      <c r="A204" s="7" t="s">
        <v>212</v>
      </c>
      <c r="B204" s="7" t="n">
        <v>6</v>
      </c>
      <c r="C204" s="9" t="n">
        <v>10671</v>
      </c>
      <c r="D204" s="9" t="n">
        <v>132491073</v>
      </c>
      <c r="E204" s="9" t="n">
        <v>1562</v>
      </c>
      <c r="F204" s="9" t="n">
        <v>0</v>
      </c>
      <c r="G204" s="9" t="n">
        <v>4900</v>
      </c>
      <c r="H204" s="9" t="n">
        <v>53070077</v>
      </c>
      <c r="I204" s="9" t="n">
        <v>7333</v>
      </c>
      <c r="J204" s="9" t="n">
        <v>79420996</v>
      </c>
    </row>
    <row r="205" customFormat="false" ht="15.75" hidden="false" customHeight="false" outlineLevel="0" collapsed="false">
      <c r="A205" s="7" t="s">
        <v>213</v>
      </c>
      <c r="B205" s="7" t="n">
        <v>6</v>
      </c>
      <c r="C205" s="9" t="n">
        <v>4320</v>
      </c>
      <c r="D205" s="9" t="n">
        <v>91769760</v>
      </c>
      <c r="E205" s="9" t="n">
        <v>0</v>
      </c>
      <c r="F205" s="9" t="n">
        <v>0</v>
      </c>
      <c r="G205" s="9" t="n">
        <v>300</v>
      </c>
      <c r="H205" s="9" t="n">
        <v>6372900</v>
      </c>
      <c r="I205" s="9" t="n">
        <v>4020</v>
      </c>
      <c r="J205" s="9" t="n">
        <v>85396860</v>
      </c>
    </row>
    <row r="206" customFormat="false" ht="15.75" hidden="false" customHeight="false" outlineLevel="0" collapsed="false">
      <c r="A206" s="7" t="s">
        <v>214</v>
      </c>
      <c r="B206" s="7" t="n">
        <v>6</v>
      </c>
      <c r="C206" s="9" t="n">
        <v>12973</v>
      </c>
      <c r="D206" s="9" t="n">
        <v>301934905</v>
      </c>
      <c r="E206" s="9" t="n">
        <v>4644</v>
      </c>
      <c r="F206" s="9" t="n">
        <v>88696800</v>
      </c>
      <c r="G206" s="9" t="n">
        <v>5380</v>
      </c>
      <c r="H206" s="9" t="n">
        <v>119293783</v>
      </c>
      <c r="I206" s="9" t="n">
        <v>12237</v>
      </c>
      <c r="J206" s="9" t="n">
        <v>271337922</v>
      </c>
    </row>
    <row r="207" customFormat="false" ht="15.75" hidden="false" customHeight="false" outlineLevel="0" collapsed="false">
      <c r="A207" s="7" t="s">
        <v>215</v>
      </c>
      <c r="B207" s="7" t="n">
        <v>6</v>
      </c>
      <c r="C207" s="9" t="n">
        <v>6160</v>
      </c>
      <c r="D207" s="9" t="n">
        <v>262908800</v>
      </c>
      <c r="E207" s="9" t="n">
        <v>960</v>
      </c>
      <c r="F207" s="9" t="n">
        <v>40972800</v>
      </c>
      <c r="G207" s="9" t="n">
        <v>0</v>
      </c>
      <c r="H207" s="9" t="n">
        <v>0</v>
      </c>
      <c r="I207" s="9" t="n">
        <v>7120</v>
      </c>
      <c r="J207" s="9" t="n">
        <v>303881600</v>
      </c>
    </row>
    <row r="208" customFormat="false" ht="15.75" hidden="false" customHeight="false" outlineLevel="0" collapsed="false">
      <c r="A208" s="7" t="s">
        <v>216</v>
      </c>
      <c r="B208" s="7" t="n">
        <v>6</v>
      </c>
      <c r="C208" s="9" t="n">
        <v>0</v>
      </c>
      <c r="D208" s="9" t="n">
        <v>0</v>
      </c>
      <c r="E208" s="9" t="n">
        <v>0</v>
      </c>
      <c r="F208" s="9" t="n">
        <v>0</v>
      </c>
      <c r="G208" s="9" t="n">
        <v>0</v>
      </c>
      <c r="H208" s="9" t="n">
        <v>0</v>
      </c>
      <c r="I208" s="9" t="n">
        <v>0</v>
      </c>
      <c r="J208" s="9" t="n">
        <v>0</v>
      </c>
    </row>
    <row r="209" customFormat="false" ht="15.75" hidden="false" customHeight="false" outlineLevel="0" collapsed="false">
      <c r="A209" s="7" t="s">
        <v>217</v>
      </c>
      <c r="B209" s="7" t="n">
        <v>6</v>
      </c>
      <c r="C209" s="9" t="n">
        <v>10</v>
      </c>
      <c r="D209" s="9" t="n">
        <v>1775003</v>
      </c>
      <c r="E209" s="9" t="n">
        <v>0</v>
      </c>
      <c r="F209" s="9" t="n">
        <v>0</v>
      </c>
      <c r="G209" s="9" t="n">
        <v>0</v>
      </c>
      <c r="H209" s="9" t="n">
        <v>0</v>
      </c>
      <c r="I209" s="9" t="n">
        <v>10</v>
      </c>
      <c r="J209" s="9" t="n">
        <v>1775003</v>
      </c>
    </row>
    <row r="210" customFormat="false" ht="15.75" hidden="false" customHeight="false" outlineLevel="0" collapsed="false">
      <c r="A210" s="7" t="s">
        <v>218</v>
      </c>
      <c r="B210" s="7" t="n">
        <v>6</v>
      </c>
      <c r="C210" s="9" t="n">
        <v>0</v>
      </c>
      <c r="D210" s="9" t="n">
        <v>0</v>
      </c>
      <c r="E210" s="9" t="n">
        <v>0</v>
      </c>
      <c r="F210" s="9" t="n">
        <v>0</v>
      </c>
      <c r="G210" s="9" t="n">
        <v>0</v>
      </c>
      <c r="H210" s="9" t="n">
        <v>0</v>
      </c>
      <c r="I210" s="9" t="n">
        <v>0</v>
      </c>
      <c r="J210" s="9" t="n">
        <v>0</v>
      </c>
    </row>
    <row r="211" customFormat="false" ht="15.75" hidden="false" customHeight="false" outlineLevel="0" collapsed="false">
      <c r="A211" s="7" t="s">
        <v>219</v>
      </c>
      <c r="B211" s="7" t="n">
        <v>6</v>
      </c>
      <c r="C211" s="9" t="n">
        <v>0</v>
      </c>
      <c r="D211" s="9" t="n">
        <v>0</v>
      </c>
      <c r="E211" s="9" t="n">
        <v>0</v>
      </c>
      <c r="F211" s="9" t="n">
        <v>0</v>
      </c>
      <c r="G211" s="9" t="n">
        <v>0</v>
      </c>
      <c r="H211" s="9" t="n">
        <v>0</v>
      </c>
      <c r="I211" s="9" t="n">
        <v>0</v>
      </c>
      <c r="J211" s="9" t="n">
        <v>0</v>
      </c>
    </row>
    <row r="212" customFormat="false" ht="15.75" hidden="false" customHeight="false" outlineLevel="0" collapsed="false">
      <c r="A212" s="7" t="s">
        <v>220</v>
      </c>
      <c r="B212" s="7" t="n">
        <v>6</v>
      </c>
      <c r="C212" s="9" t="n">
        <v>0</v>
      </c>
      <c r="D212" s="9" t="n">
        <v>0</v>
      </c>
      <c r="E212" s="9" t="n">
        <v>0</v>
      </c>
      <c r="F212" s="9" t="n">
        <v>0</v>
      </c>
      <c r="G212" s="9" t="n">
        <v>0</v>
      </c>
      <c r="H212" s="9" t="n">
        <v>0</v>
      </c>
      <c r="I212" s="9" t="n">
        <v>0</v>
      </c>
      <c r="J212" s="9" t="n">
        <v>0</v>
      </c>
    </row>
    <row r="213" customFormat="false" ht="15.75" hidden="false" customHeight="false" outlineLevel="0" collapsed="false">
      <c r="A213" s="7" t="s">
        <v>221</v>
      </c>
      <c r="B213" s="7" t="n">
        <v>6</v>
      </c>
      <c r="C213" s="9" t="n">
        <v>4964</v>
      </c>
      <c r="D213" s="9" t="n">
        <v>96113488</v>
      </c>
      <c r="E213" s="9" t="n">
        <v>1800</v>
      </c>
      <c r="F213" s="9" t="n">
        <v>35443800</v>
      </c>
      <c r="G213" s="9" t="n">
        <v>50</v>
      </c>
      <c r="H213" s="9" t="n">
        <v>972481</v>
      </c>
      <c r="I213" s="9" t="n">
        <v>6714</v>
      </c>
      <c r="J213" s="9" t="n">
        <v>130584807</v>
      </c>
    </row>
    <row r="214" customFormat="false" ht="15.75" hidden="false" customHeight="false" outlineLevel="0" collapsed="false">
      <c r="A214" s="7" t="s">
        <v>222</v>
      </c>
      <c r="B214" s="7" t="n">
        <v>6</v>
      </c>
      <c r="C214" s="9" t="n">
        <v>2761</v>
      </c>
      <c r="D214" s="9" t="n">
        <v>62907138</v>
      </c>
      <c r="E214" s="9" t="n">
        <v>2880</v>
      </c>
      <c r="F214" s="9" t="n">
        <v>69001920</v>
      </c>
      <c r="G214" s="9" t="n">
        <v>20</v>
      </c>
      <c r="H214" s="9" t="n">
        <v>467680</v>
      </c>
      <c r="I214" s="9" t="n">
        <v>5621</v>
      </c>
      <c r="J214" s="9" t="n">
        <v>131441378</v>
      </c>
    </row>
    <row r="215" customFormat="false" ht="15.75" hidden="false" customHeight="false" outlineLevel="0" collapsed="false">
      <c r="A215" s="7" t="s">
        <v>223</v>
      </c>
      <c r="B215" s="7" t="n">
        <v>6</v>
      </c>
      <c r="C215" s="9" t="n">
        <v>865</v>
      </c>
      <c r="D215" s="9" t="n">
        <v>37407424</v>
      </c>
      <c r="E215" s="9" t="n">
        <v>144</v>
      </c>
      <c r="F215" s="9" t="n">
        <v>6229728</v>
      </c>
      <c r="G215" s="9" t="n">
        <v>0</v>
      </c>
      <c r="H215" s="9" t="n">
        <v>0</v>
      </c>
      <c r="I215" s="9" t="n">
        <v>1009</v>
      </c>
      <c r="J215" s="9" t="n">
        <v>43637152</v>
      </c>
    </row>
    <row r="216" customFormat="false" ht="15.75" hidden="false" customHeight="false" outlineLevel="0" collapsed="false">
      <c r="A216" s="7" t="s">
        <v>224</v>
      </c>
      <c r="B216" s="7" t="n">
        <v>6</v>
      </c>
      <c r="C216" s="9" t="n">
        <v>336</v>
      </c>
      <c r="D216" s="9" t="n">
        <v>6713952</v>
      </c>
      <c r="E216" s="9" t="n">
        <v>0</v>
      </c>
      <c r="F216" s="9" t="n">
        <v>0</v>
      </c>
      <c r="G216" s="9" t="n">
        <v>0</v>
      </c>
      <c r="H216" s="9" t="n">
        <v>0</v>
      </c>
      <c r="I216" s="9" t="n">
        <v>336</v>
      </c>
      <c r="J216" s="9" t="n">
        <v>6713952</v>
      </c>
    </row>
    <row r="217" customFormat="false" ht="15.75" hidden="false" customHeight="false" outlineLevel="0" collapsed="false">
      <c r="A217" s="7" t="s">
        <v>225</v>
      </c>
      <c r="B217" s="7" t="n">
        <v>6</v>
      </c>
      <c r="C217" s="9" t="n">
        <v>0</v>
      </c>
      <c r="D217" s="9" t="n">
        <v>0</v>
      </c>
      <c r="E217" s="9" t="n">
        <v>0</v>
      </c>
      <c r="F217" s="9" t="n">
        <v>0</v>
      </c>
      <c r="G217" s="9" t="n">
        <v>0</v>
      </c>
      <c r="H217" s="9" t="n">
        <v>0</v>
      </c>
      <c r="I217" s="9" t="n">
        <v>0</v>
      </c>
      <c r="J217" s="9" t="n">
        <v>0</v>
      </c>
    </row>
    <row r="218" customFormat="false" ht="15.75" hidden="false" customHeight="false" outlineLevel="0" collapsed="false">
      <c r="A218" s="7" t="s">
        <v>226</v>
      </c>
      <c r="B218" s="7" t="n">
        <v>6</v>
      </c>
      <c r="C218" s="9" t="n">
        <v>360</v>
      </c>
      <c r="D218" s="9" t="n">
        <v>7553196</v>
      </c>
      <c r="E218" s="9" t="n">
        <v>0</v>
      </c>
      <c r="F218" s="9" t="n">
        <v>0</v>
      </c>
      <c r="G218" s="9" t="n">
        <v>0</v>
      </c>
      <c r="H218" s="9" t="n">
        <v>0</v>
      </c>
      <c r="I218" s="9" t="n">
        <v>360</v>
      </c>
      <c r="J218" s="9" t="n">
        <v>7553196</v>
      </c>
    </row>
    <row r="219" customFormat="false" ht="15.75" hidden="false" customHeight="false" outlineLevel="0" collapsed="false">
      <c r="A219" s="7" t="s">
        <v>227</v>
      </c>
      <c r="B219" s="7" t="n">
        <v>6</v>
      </c>
      <c r="C219" s="9" t="n">
        <v>491</v>
      </c>
      <c r="D219" s="9" t="n">
        <v>0</v>
      </c>
      <c r="E219" s="9" t="n">
        <v>0</v>
      </c>
      <c r="F219" s="9" t="n">
        <v>0</v>
      </c>
      <c r="G219" s="9" t="n">
        <v>0</v>
      </c>
      <c r="H219" s="9" t="n">
        <v>0</v>
      </c>
      <c r="I219" s="9" t="n">
        <v>491</v>
      </c>
      <c r="J219" s="9" t="n">
        <v>0</v>
      </c>
    </row>
    <row r="220" customFormat="false" ht="15.75" hidden="false" customHeight="false" outlineLevel="0" collapsed="false">
      <c r="A220" s="7" t="s">
        <v>228</v>
      </c>
      <c r="B220" s="7" t="n">
        <v>6</v>
      </c>
      <c r="C220" s="9" t="n">
        <v>1211</v>
      </c>
      <c r="D220" s="9" t="n">
        <v>107289876</v>
      </c>
      <c r="E220" s="9" t="n">
        <v>20</v>
      </c>
      <c r="F220" s="9" t="n">
        <v>1756160</v>
      </c>
      <c r="G220" s="9" t="n">
        <v>0</v>
      </c>
      <c r="H220" s="9" t="n">
        <v>0</v>
      </c>
      <c r="I220" s="9" t="n">
        <v>1231</v>
      </c>
      <c r="J220" s="9" t="n">
        <v>109046036</v>
      </c>
    </row>
    <row r="221" customFormat="false" ht="15.75" hidden="false" customHeight="false" outlineLevel="0" collapsed="false">
      <c r="A221" s="7" t="s">
        <v>229</v>
      </c>
      <c r="B221" s="7" t="n">
        <v>6</v>
      </c>
      <c r="C221" s="9" t="n">
        <v>2013</v>
      </c>
      <c r="D221" s="9" t="n">
        <v>184442121</v>
      </c>
      <c r="E221" s="9" t="n">
        <v>120</v>
      </c>
      <c r="F221" s="9" t="n">
        <v>9806370</v>
      </c>
      <c r="G221" s="9" t="n">
        <v>129</v>
      </c>
      <c r="H221" s="9" t="n">
        <v>11747799</v>
      </c>
      <c r="I221" s="9" t="n">
        <v>2004</v>
      </c>
      <c r="J221" s="9" t="n">
        <v>182500692</v>
      </c>
    </row>
    <row r="222" customFormat="false" ht="15.75" hidden="false" customHeight="false" outlineLevel="0" collapsed="false">
      <c r="A222" s="7" t="s">
        <v>230</v>
      </c>
      <c r="B222" s="7" t="n">
        <v>6</v>
      </c>
      <c r="C222" s="9" t="n">
        <v>0</v>
      </c>
      <c r="D222" s="9" t="n">
        <v>0</v>
      </c>
      <c r="E222" s="9" t="n">
        <v>0</v>
      </c>
      <c r="F222" s="9" t="n">
        <v>0</v>
      </c>
      <c r="G222" s="9" t="n">
        <v>0</v>
      </c>
      <c r="H222" s="9" t="n">
        <v>0</v>
      </c>
      <c r="I222" s="9" t="n">
        <v>0</v>
      </c>
      <c r="J222" s="9" t="n">
        <v>0</v>
      </c>
    </row>
    <row r="223" customFormat="false" ht="15.75" hidden="false" customHeight="false" outlineLevel="0" collapsed="false">
      <c r="A223" s="7" t="s">
        <v>231</v>
      </c>
      <c r="B223" s="7" t="n">
        <v>6</v>
      </c>
      <c r="C223" s="9" t="n">
        <v>0</v>
      </c>
      <c r="D223" s="9" t="n">
        <v>0</v>
      </c>
      <c r="E223" s="9" t="n">
        <v>0</v>
      </c>
      <c r="F223" s="9" t="n">
        <v>0</v>
      </c>
      <c r="G223" s="9" t="n">
        <v>0</v>
      </c>
      <c r="H223" s="9" t="n">
        <v>0</v>
      </c>
      <c r="I223" s="9" t="n">
        <v>0</v>
      </c>
      <c r="J223" s="9" t="n">
        <v>0</v>
      </c>
    </row>
    <row r="224" customFormat="false" ht="15.75" hidden="false" customHeight="false" outlineLevel="0" collapsed="false">
      <c r="A224" s="7" t="s">
        <v>232</v>
      </c>
      <c r="B224" s="7" t="n">
        <v>6</v>
      </c>
      <c r="C224" s="9" t="n">
        <v>991</v>
      </c>
      <c r="D224" s="9" t="n">
        <v>61506006</v>
      </c>
      <c r="E224" s="9" t="n">
        <v>200</v>
      </c>
      <c r="F224" s="9" t="n">
        <v>12703740</v>
      </c>
      <c r="G224" s="9" t="n">
        <v>0</v>
      </c>
      <c r="H224" s="9" t="n">
        <v>0</v>
      </c>
      <c r="I224" s="9" t="n">
        <v>1191</v>
      </c>
      <c r="J224" s="9" t="n">
        <v>74209746</v>
      </c>
    </row>
    <row r="225" customFormat="false" ht="15.75" hidden="false" customHeight="false" outlineLevel="0" collapsed="false">
      <c r="A225" s="7" t="s">
        <v>233</v>
      </c>
      <c r="B225" s="7" t="n">
        <v>6</v>
      </c>
      <c r="C225" s="9" t="n">
        <v>1560</v>
      </c>
      <c r="D225" s="9" t="n">
        <v>94488745</v>
      </c>
      <c r="E225" s="9" t="n">
        <v>1000</v>
      </c>
      <c r="F225" s="9" t="n">
        <v>62720000</v>
      </c>
      <c r="G225" s="9" t="n">
        <v>0</v>
      </c>
      <c r="H225" s="9" t="n">
        <v>0</v>
      </c>
      <c r="I225" s="9" t="n">
        <v>2560</v>
      </c>
      <c r="J225" s="9" t="n">
        <v>157208745</v>
      </c>
    </row>
    <row r="226" customFormat="false" ht="15.75" hidden="false" customHeight="false" outlineLevel="0" collapsed="false">
      <c r="A226" s="7" t="s">
        <v>234</v>
      </c>
      <c r="B226" s="7" t="n">
        <v>6</v>
      </c>
      <c r="C226" s="9" t="n">
        <v>10991</v>
      </c>
      <c r="D226" s="9" t="n">
        <v>623487683</v>
      </c>
      <c r="E226" s="9" t="n">
        <v>6210</v>
      </c>
      <c r="F226" s="9" t="n">
        <v>370625220</v>
      </c>
      <c r="G226" s="9" t="n">
        <v>1863</v>
      </c>
      <c r="H226" s="9" t="n">
        <v>107670039</v>
      </c>
      <c r="I226" s="9" t="n">
        <v>15338</v>
      </c>
      <c r="J226" s="9" t="n">
        <v>886442864</v>
      </c>
    </row>
    <row r="227" customFormat="false" ht="15.75" hidden="false" customHeight="false" outlineLevel="0" collapsed="false">
      <c r="A227" s="7" t="s">
        <v>235</v>
      </c>
      <c r="B227" s="7" t="n">
        <v>6</v>
      </c>
      <c r="C227" s="9" t="n">
        <v>1068</v>
      </c>
      <c r="D227" s="9" t="n">
        <v>73909328</v>
      </c>
      <c r="E227" s="9" t="n">
        <v>80</v>
      </c>
      <c r="F227" s="9" t="n">
        <v>5644800</v>
      </c>
      <c r="G227" s="9" t="n">
        <v>670</v>
      </c>
      <c r="H227" s="9" t="n">
        <v>46429674</v>
      </c>
      <c r="I227" s="9" t="n">
        <v>478</v>
      </c>
      <c r="J227" s="9" t="n">
        <v>33124454</v>
      </c>
    </row>
    <row r="228" customFormat="false" ht="15.75" hidden="false" customHeight="false" outlineLevel="0" collapsed="false">
      <c r="A228" s="7" t="s">
        <v>236</v>
      </c>
      <c r="B228" s="7" t="n">
        <v>6</v>
      </c>
      <c r="C228" s="9" t="n">
        <v>0</v>
      </c>
      <c r="D228" s="9" t="n">
        <v>0</v>
      </c>
      <c r="E228" s="9" t="n">
        <v>0</v>
      </c>
      <c r="F228" s="9" t="n">
        <v>0</v>
      </c>
      <c r="G228" s="9" t="n">
        <v>0</v>
      </c>
      <c r="H228" s="9" t="n">
        <v>0</v>
      </c>
      <c r="I228" s="9" t="n">
        <v>0</v>
      </c>
      <c r="J228" s="9" t="n">
        <v>0</v>
      </c>
    </row>
    <row r="229" customFormat="false" ht="15.75" hidden="false" customHeight="false" outlineLevel="0" collapsed="false">
      <c r="A229" s="7" t="s">
        <v>237</v>
      </c>
      <c r="B229" s="7" t="n">
        <v>6</v>
      </c>
      <c r="C229" s="9" t="n">
        <v>276</v>
      </c>
      <c r="D229" s="9" t="n">
        <v>2253020</v>
      </c>
      <c r="E229" s="9" t="n">
        <v>0</v>
      </c>
      <c r="F229" s="9" t="n">
        <v>0</v>
      </c>
      <c r="G229" s="9" t="n">
        <v>19</v>
      </c>
      <c r="H229" s="9" t="n">
        <v>155099</v>
      </c>
      <c r="I229" s="9" t="n">
        <v>257</v>
      </c>
      <c r="J229" s="9" t="n">
        <v>2097921</v>
      </c>
    </row>
    <row r="230" customFormat="false" ht="15.75" hidden="false" customHeight="false" outlineLevel="0" collapsed="false">
      <c r="A230" s="7" t="s">
        <v>238</v>
      </c>
      <c r="B230" s="7" t="n">
        <v>6</v>
      </c>
      <c r="C230" s="9" t="n">
        <v>1005</v>
      </c>
      <c r="D230" s="9" t="n">
        <v>57620791</v>
      </c>
      <c r="E230" s="9" t="n">
        <v>46</v>
      </c>
      <c r="F230" s="9" t="n">
        <v>2695000</v>
      </c>
      <c r="G230" s="9" t="n">
        <v>130</v>
      </c>
      <c r="H230" s="9" t="n">
        <v>7460564</v>
      </c>
      <c r="I230" s="9" t="n">
        <v>921</v>
      </c>
      <c r="J230" s="9" t="n">
        <v>52855227</v>
      </c>
    </row>
    <row r="231" customFormat="false" ht="15.75" hidden="false" customHeight="false" outlineLevel="0" collapsed="false">
      <c r="A231" s="7" t="s">
        <v>239</v>
      </c>
      <c r="B231" s="7" t="n">
        <v>6</v>
      </c>
      <c r="C231" s="9" t="n">
        <v>0</v>
      </c>
      <c r="D231" s="9" t="n">
        <v>0</v>
      </c>
      <c r="E231" s="9" t="n">
        <v>816</v>
      </c>
      <c r="F231" s="9" t="n">
        <v>97104000</v>
      </c>
      <c r="G231" s="9" t="n">
        <v>816</v>
      </c>
      <c r="H231" s="9" t="n">
        <v>97104000</v>
      </c>
      <c r="I231" s="9" t="n">
        <v>0</v>
      </c>
      <c r="J231" s="9" t="n">
        <v>0</v>
      </c>
    </row>
    <row r="232" customFormat="false" ht="15.75" hidden="false" customHeight="false" outlineLevel="0" collapsed="false">
      <c r="A232" s="7" t="s">
        <v>240</v>
      </c>
      <c r="B232" s="7" t="n">
        <v>6</v>
      </c>
      <c r="C232" s="9" t="n">
        <v>4996</v>
      </c>
      <c r="D232" s="9" t="n">
        <v>468862502</v>
      </c>
      <c r="E232" s="9" t="n">
        <v>1173</v>
      </c>
      <c r="F232" s="9" t="n">
        <v>109619370</v>
      </c>
      <c r="G232" s="9" t="n">
        <v>4036</v>
      </c>
      <c r="H232" s="9" t="n">
        <v>378465365</v>
      </c>
      <c r="I232" s="9" t="n">
        <v>2133</v>
      </c>
      <c r="J232" s="9" t="n">
        <v>200016507</v>
      </c>
    </row>
    <row r="233" customFormat="false" ht="15.75" hidden="false" customHeight="false" outlineLevel="0" collapsed="false">
      <c r="A233" s="7" t="s">
        <v>241</v>
      </c>
      <c r="B233" s="7" t="n">
        <v>6</v>
      </c>
      <c r="C233" s="9" t="n">
        <v>1632</v>
      </c>
      <c r="D233" s="9" t="n">
        <v>129190780</v>
      </c>
      <c r="E233" s="9" t="n">
        <v>158</v>
      </c>
      <c r="F233" s="9" t="n">
        <v>13117104</v>
      </c>
      <c r="G233" s="9" t="n">
        <v>44</v>
      </c>
      <c r="H233" s="9" t="n">
        <v>3498071</v>
      </c>
      <c r="I233" s="9" t="n">
        <v>1746</v>
      </c>
      <c r="J233" s="9" t="n">
        <v>138809813</v>
      </c>
    </row>
    <row r="234" customFormat="false" ht="15.75" hidden="false" customHeight="false" outlineLevel="0" collapsed="false">
      <c r="A234" s="7" t="s">
        <v>242</v>
      </c>
      <c r="B234" s="7" t="n">
        <v>6</v>
      </c>
      <c r="C234" s="9" t="n">
        <v>2061</v>
      </c>
      <c r="D234" s="9" t="n">
        <v>141564300</v>
      </c>
      <c r="E234" s="9" t="n">
        <v>53</v>
      </c>
      <c r="F234" s="9" t="n">
        <v>3797010</v>
      </c>
      <c r="G234" s="9" t="n">
        <v>0</v>
      </c>
      <c r="H234" s="9" t="n">
        <v>0</v>
      </c>
      <c r="I234" s="9" t="n">
        <v>2114</v>
      </c>
      <c r="J234" s="9" t="n">
        <v>145361310</v>
      </c>
    </row>
    <row r="235" customFormat="false" ht="15.75" hidden="false" customHeight="false" outlineLevel="0" collapsed="false">
      <c r="A235" s="7" t="s">
        <v>243</v>
      </c>
      <c r="B235" s="7" t="n">
        <v>6</v>
      </c>
      <c r="C235" s="9" t="n">
        <v>1393</v>
      </c>
      <c r="D235" s="9" t="n">
        <v>130585455</v>
      </c>
      <c r="E235" s="9" t="n">
        <v>43</v>
      </c>
      <c r="F235" s="9" t="n">
        <v>3268790</v>
      </c>
      <c r="G235" s="9" t="n">
        <v>63</v>
      </c>
      <c r="H235" s="9" t="n">
        <v>5872436</v>
      </c>
      <c r="I235" s="9" t="n">
        <v>1373</v>
      </c>
      <c r="J235" s="9" t="n">
        <v>127981809</v>
      </c>
    </row>
    <row r="236" customFormat="false" ht="15.75" hidden="false" customHeight="false" outlineLevel="0" collapsed="false">
      <c r="A236" s="7" t="s">
        <v>244</v>
      </c>
      <c r="B236" s="7" t="n">
        <v>6</v>
      </c>
      <c r="C236" s="9" t="n">
        <v>36</v>
      </c>
      <c r="D236" s="9" t="n">
        <v>3161088</v>
      </c>
      <c r="E236" s="9" t="n">
        <v>0</v>
      </c>
      <c r="F236" s="9" t="n">
        <v>0</v>
      </c>
      <c r="G236" s="9" t="n">
        <v>0</v>
      </c>
      <c r="H236" s="9" t="n">
        <v>0</v>
      </c>
      <c r="I236" s="9" t="n">
        <v>36</v>
      </c>
      <c r="J236" s="9" t="n">
        <v>3161088</v>
      </c>
    </row>
    <row r="237" customFormat="false" ht="15.75" hidden="false" customHeight="false" outlineLevel="0" collapsed="false">
      <c r="A237" s="7" t="s">
        <v>245</v>
      </c>
      <c r="B237" s="7" t="n">
        <v>6</v>
      </c>
      <c r="C237" s="9" t="n">
        <v>0</v>
      </c>
      <c r="D237" s="9" t="n">
        <v>0</v>
      </c>
      <c r="E237" s="9" t="n">
        <v>0</v>
      </c>
      <c r="F237" s="9" t="n">
        <v>0</v>
      </c>
      <c r="G237" s="9" t="n">
        <v>0</v>
      </c>
      <c r="H237" s="9" t="n">
        <v>0</v>
      </c>
      <c r="I237" s="9" t="n">
        <v>0</v>
      </c>
      <c r="J237" s="9" t="n">
        <v>0</v>
      </c>
    </row>
    <row r="238" customFormat="false" ht="15.75" hidden="false" customHeight="false" outlineLevel="0" collapsed="false">
      <c r="A238" s="7" t="s">
        <v>246</v>
      </c>
      <c r="B238" s="7" t="n">
        <v>6</v>
      </c>
      <c r="C238" s="9" t="n">
        <v>2553</v>
      </c>
      <c r="D238" s="9" t="n">
        <v>18196611</v>
      </c>
      <c r="E238" s="9" t="n">
        <v>0</v>
      </c>
      <c r="F238" s="9" t="n">
        <v>0</v>
      </c>
      <c r="G238" s="9" t="n">
        <v>20</v>
      </c>
      <c r="H238" s="9" t="n">
        <v>142551</v>
      </c>
      <c r="I238" s="9" t="n">
        <v>2533</v>
      </c>
      <c r="J238" s="9" t="n">
        <v>18054060</v>
      </c>
    </row>
    <row r="239" customFormat="false" ht="15.75" hidden="false" customHeight="false" outlineLevel="0" collapsed="false">
      <c r="A239" s="7" t="s">
        <v>247</v>
      </c>
      <c r="B239" s="7" t="n">
        <v>6</v>
      </c>
      <c r="C239" s="9" t="n">
        <v>24620</v>
      </c>
      <c r="D239" s="9" t="n">
        <v>168000826</v>
      </c>
      <c r="E239" s="9" t="n">
        <v>1826</v>
      </c>
      <c r="F239" s="9" t="n">
        <v>10263658</v>
      </c>
      <c r="G239" s="9" t="n">
        <v>41</v>
      </c>
      <c r="H239" s="9" t="n">
        <v>276369</v>
      </c>
      <c r="I239" s="9" t="n">
        <v>26405</v>
      </c>
      <c r="J239" s="9" t="n">
        <v>177988115</v>
      </c>
    </row>
    <row r="240" customFormat="false" ht="15.75" hidden="false" customHeight="false" outlineLevel="0" collapsed="false">
      <c r="A240" s="7" t="s">
        <v>248</v>
      </c>
      <c r="B240" s="7" t="n">
        <v>6</v>
      </c>
      <c r="C240" s="9" t="n">
        <v>281</v>
      </c>
      <c r="D240" s="9" t="n">
        <v>2002839</v>
      </c>
      <c r="E240" s="9" t="n">
        <v>0</v>
      </c>
      <c r="F240" s="9" t="n">
        <v>0</v>
      </c>
      <c r="G240" s="9" t="n">
        <v>14</v>
      </c>
      <c r="H240" s="9" t="n">
        <v>99786</v>
      </c>
      <c r="I240" s="9" t="n">
        <v>267</v>
      </c>
      <c r="J240" s="9" t="n">
        <v>1903053</v>
      </c>
    </row>
    <row r="241" customFormat="false" ht="15.75" hidden="false" customHeight="false" outlineLevel="0" collapsed="false">
      <c r="A241" s="7" t="s">
        <v>249</v>
      </c>
      <c r="B241" s="7" t="n">
        <v>6</v>
      </c>
      <c r="C241" s="9" t="n">
        <v>285</v>
      </c>
      <c r="D241" s="9" t="n">
        <v>2031349</v>
      </c>
      <c r="E241" s="9" t="n">
        <v>0</v>
      </c>
      <c r="F241" s="9" t="n">
        <v>0</v>
      </c>
      <c r="G241" s="9" t="n">
        <v>4</v>
      </c>
      <c r="H241" s="9" t="n">
        <v>28510</v>
      </c>
      <c r="I241" s="9" t="n">
        <v>281</v>
      </c>
      <c r="J241" s="9" t="n">
        <v>2002839</v>
      </c>
    </row>
    <row r="242" customFormat="false" ht="15.75" hidden="false" customHeight="false" outlineLevel="0" collapsed="false">
      <c r="A242" s="7" t="s">
        <v>250</v>
      </c>
      <c r="B242" s="7" t="n">
        <v>6</v>
      </c>
      <c r="C242" s="9" t="n">
        <v>7297</v>
      </c>
      <c r="D242" s="9" t="n">
        <v>105303590</v>
      </c>
      <c r="E242" s="9" t="n">
        <v>0</v>
      </c>
      <c r="F242" s="9" t="n">
        <v>0</v>
      </c>
      <c r="G242" s="9" t="n">
        <v>1</v>
      </c>
      <c r="H242" s="9" t="n">
        <v>14431</v>
      </c>
      <c r="I242" s="9" t="n">
        <v>7296</v>
      </c>
      <c r="J242" s="9" t="n">
        <v>105289159</v>
      </c>
    </row>
    <row r="243" customFormat="false" ht="15.75" hidden="false" customHeight="false" outlineLevel="0" collapsed="false">
      <c r="A243" s="7" t="s">
        <v>251</v>
      </c>
      <c r="B243" s="7" t="n">
        <v>6</v>
      </c>
      <c r="C243" s="9" t="n">
        <v>0</v>
      </c>
      <c r="D243" s="9" t="n">
        <v>0</v>
      </c>
      <c r="E243" s="9" t="n">
        <v>0</v>
      </c>
      <c r="F243" s="9" t="n">
        <v>0</v>
      </c>
      <c r="G243" s="9" t="n">
        <v>0</v>
      </c>
      <c r="H243" s="9" t="n">
        <v>0</v>
      </c>
      <c r="I243" s="9" t="n">
        <v>0</v>
      </c>
      <c r="J243" s="9" t="n">
        <v>0</v>
      </c>
    </row>
    <row r="244" customFormat="false" ht="15.75" hidden="false" customHeight="false" outlineLevel="0" collapsed="false">
      <c r="A244" s="7" t="s">
        <v>252</v>
      </c>
      <c r="B244" s="7" t="n">
        <v>6</v>
      </c>
      <c r="C244" s="9" t="n">
        <v>0</v>
      </c>
      <c r="D244" s="9" t="n">
        <v>0</v>
      </c>
      <c r="E244" s="9" t="n">
        <v>0</v>
      </c>
      <c r="F244" s="9" t="n">
        <v>0</v>
      </c>
      <c r="G244" s="9" t="n">
        <v>0</v>
      </c>
      <c r="H244" s="9" t="n">
        <v>0</v>
      </c>
      <c r="I244" s="9" t="n">
        <v>0</v>
      </c>
      <c r="J244" s="9" t="n">
        <v>0</v>
      </c>
    </row>
    <row r="245" customFormat="false" ht="15.75" hidden="false" customHeight="false" outlineLevel="0" collapsed="false">
      <c r="A245" s="7" t="s">
        <v>253</v>
      </c>
      <c r="B245" s="7" t="n">
        <v>6</v>
      </c>
      <c r="C245" s="9" t="n">
        <v>0</v>
      </c>
      <c r="D245" s="9" t="n">
        <v>0</v>
      </c>
      <c r="E245" s="9" t="n">
        <v>0</v>
      </c>
      <c r="F245" s="9" t="n">
        <v>0</v>
      </c>
      <c r="G245" s="9" t="n">
        <v>0</v>
      </c>
      <c r="H245" s="9" t="n">
        <v>0</v>
      </c>
      <c r="I245" s="9" t="n">
        <v>0</v>
      </c>
      <c r="J245" s="9" t="n">
        <v>0</v>
      </c>
    </row>
    <row r="246" customFormat="false" ht="15.75" hidden="false" customHeight="false" outlineLevel="0" collapsed="false">
      <c r="A246" s="7" t="s">
        <v>254</v>
      </c>
      <c r="B246" s="7" t="n">
        <v>6</v>
      </c>
      <c r="C246" s="9" t="n">
        <v>133</v>
      </c>
      <c r="D246" s="9" t="n">
        <v>4538267</v>
      </c>
      <c r="E246" s="9" t="n">
        <v>0</v>
      </c>
      <c r="F246" s="9" t="n">
        <v>0</v>
      </c>
      <c r="G246" s="9" t="n">
        <v>65</v>
      </c>
      <c r="H246" s="9" t="n">
        <v>2217950</v>
      </c>
      <c r="I246" s="9" t="n">
        <v>68</v>
      </c>
      <c r="J246" s="9" t="n">
        <v>2320317</v>
      </c>
    </row>
    <row r="247" customFormat="false" ht="15.75" hidden="false" customHeight="false" outlineLevel="0" collapsed="false">
      <c r="A247" s="7" t="s">
        <v>255</v>
      </c>
      <c r="B247" s="7" t="n">
        <v>6</v>
      </c>
      <c r="C247" s="9" t="n">
        <v>0</v>
      </c>
      <c r="D247" s="9" t="n">
        <v>884858</v>
      </c>
      <c r="E247" s="9" t="n">
        <v>0</v>
      </c>
      <c r="F247" s="9" t="n">
        <v>0</v>
      </c>
      <c r="G247" s="9" t="n">
        <v>0</v>
      </c>
      <c r="H247" s="9" t="n">
        <v>0</v>
      </c>
      <c r="I247" s="9" t="n">
        <v>0</v>
      </c>
      <c r="J247" s="9" t="n">
        <v>884858</v>
      </c>
    </row>
    <row r="248" customFormat="false" ht="15.75" hidden="false" customHeight="false" outlineLevel="0" collapsed="false">
      <c r="A248" s="7" t="s">
        <v>256</v>
      </c>
      <c r="B248" s="7" t="n">
        <v>6</v>
      </c>
      <c r="C248" s="9" t="n">
        <v>25</v>
      </c>
      <c r="D248" s="9" t="n">
        <v>696491</v>
      </c>
      <c r="E248" s="9" t="n">
        <v>0</v>
      </c>
      <c r="F248" s="9" t="n">
        <v>0</v>
      </c>
      <c r="G248" s="9" t="n">
        <v>0</v>
      </c>
      <c r="H248" s="9" t="n">
        <v>0</v>
      </c>
      <c r="I248" s="9" t="n">
        <v>25</v>
      </c>
      <c r="J248" s="9" t="n">
        <v>696491</v>
      </c>
    </row>
    <row r="249" customFormat="false" ht="15.75" hidden="false" customHeight="false" outlineLevel="0" collapsed="false">
      <c r="A249" s="7" t="s">
        <v>257</v>
      </c>
      <c r="B249" s="7" t="n">
        <v>6</v>
      </c>
      <c r="C249" s="9" t="n">
        <v>0</v>
      </c>
      <c r="D249" s="9" t="n">
        <v>0</v>
      </c>
      <c r="E249" s="9" t="n">
        <v>0</v>
      </c>
      <c r="F249" s="9" t="n">
        <v>0</v>
      </c>
      <c r="G249" s="9" t="n">
        <v>0</v>
      </c>
      <c r="H249" s="9" t="n">
        <v>0</v>
      </c>
      <c r="I249" s="9" t="n">
        <v>0</v>
      </c>
      <c r="J249" s="9" t="n">
        <v>0</v>
      </c>
    </row>
    <row r="250" customFormat="false" ht="15.75" hidden="false" customHeight="false" outlineLevel="0" collapsed="false">
      <c r="A250" s="7" t="s">
        <v>258</v>
      </c>
      <c r="B250" s="7" t="n">
        <v>6</v>
      </c>
      <c r="C250" s="9" t="n">
        <v>1285</v>
      </c>
      <c r="D250" s="9" t="n">
        <v>5379181</v>
      </c>
      <c r="E250" s="9" t="n">
        <v>70</v>
      </c>
      <c r="F250" s="9" t="n">
        <v>1072512</v>
      </c>
      <c r="G250" s="9" t="n">
        <v>140</v>
      </c>
      <c r="H250" s="9" t="n">
        <v>2133263</v>
      </c>
      <c r="I250" s="9" t="n">
        <v>1215</v>
      </c>
      <c r="J250" s="9" t="n">
        <v>4318430</v>
      </c>
    </row>
    <row r="251" customFormat="false" ht="15.75" hidden="false" customHeight="false" outlineLevel="0" collapsed="false">
      <c r="A251" s="7" t="s">
        <v>259</v>
      </c>
      <c r="B251" s="7" t="n">
        <v>6</v>
      </c>
      <c r="C251" s="9" t="n">
        <v>110</v>
      </c>
      <c r="D251" s="9" t="n">
        <v>2420810</v>
      </c>
      <c r="E251" s="9" t="n">
        <v>0</v>
      </c>
      <c r="F251" s="9" t="n">
        <v>0</v>
      </c>
      <c r="G251" s="9" t="n">
        <v>0</v>
      </c>
      <c r="H251" s="9" t="n">
        <v>0</v>
      </c>
      <c r="I251" s="9" t="n">
        <v>110</v>
      </c>
      <c r="J251" s="9" t="n">
        <v>2420810</v>
      </c>
    </row>
    <row r="252" customFormat="false" ht="15.75" hidden="false" customHeight="false" outlineLevel="0" collapsed="false">
      <c r="A252" s="7" t="s">
        <v>260</v>
      </c>
      <c r="B252" s="7" t="n">
        <v>6</v>
      </c>
      <c r="C252" s="9" t="n">
        <v>2</v>
      </c>
      <c r="D252" s="9" t="n">
        <v>109792</v>
      </c>
      <c r="E252" s="9" t="n">
        <v>0</v>
      </c>
      <c r="F252" s="9" t="n">
        <v>0</v>
      </c>
      <c r="G252" s="9" t="n">
        <v>0</v>
      </c>
      <c r="H252" s="9" t="n">
        <v>0</v>
      </c>
      <c r="I252" s="9" t="n">
        <v>2</v>
      </c>
      <c r="J252" s="9" t="n">
        <v>109792</v>
      </c>
    </row>
    <row r="253" customFormat="false" ht="15.75" hidden="false" customHeight="false" outlineLevel="0" collapsed="false">
      <c r="A253" s="7" t="s">
        <v>261</v>
      </c>
      <c r="B253" s="7" t="n">
        <v>6</v>
      </c>
      <c r="C253" s="9" t="n">
        <v>0</v>
      </c>
      <c r="D253" s="9" t="n">
        <v>0</v>
      </c>
      <c r="E253" s="9" t="n">
        <v>0</v>
      </c>
      <c r="F253" s="9" t="n">
        <v>0</v>
      </c>
      <c r="G253" s="9" t="n">
        <v>0</v>
      </c>
      <c r="H253" s="9" t="n">
        <v>0</v>
      </c>
      <c r="I253" s="9" t="n">
        <v>0</v>
      </c>
      <c r="J253" s="9" t="n">
        <v>0</v>
      </c>
    </row>
    <row r="254" customFormat="false" ht="15.75" hidden="false" customHeight="false" outlineLevel="0" collapsed="false">
      <c r="A254" s="7" t="s">
        <v>262</v>
      </c>
      <c r="B254" s="7" t="n">
        <v>6</v>
      </c>
      <c r="C254" s="9" t="n">
        <v>0</v>
      </c>
      <c r="D254" s="9" t="n">
        <v>0</v>
      </c>
      <c r="E254" s="9" t="n">
        <v>0</v>
      </c>
      <c r="F254" s="9" t="n">
        <v>0</v>
      </c>
      <c r="G254" s="9" t="n">
        <v>0</v>
      </c>
      <c r="H254" s="9" t="n">
        <v>0</v>
      </c>
      <c r="I254" s="9" t="n">
        <v>0</v>
      </c>
      <c r="J254" s="9" t="n">
        <v>0</v>
      </c>
    </row>
    <row r="255" customFormat="false" ht="15.75" hidden="false" customHeight="false" outlineLevel="0" collapsed="false">
      <c r="A255" s="7" t="s">
        <v>263</v>
      </c>
      <c r="B255" s="7" t="n">
        <v>6</v>
      </c>
      <c r="C255" s="9" t="n">
        <v>0</v>
      </c>
      <c r="D255" s="9" t="n">
        <v>0</v>
      </c>
      <c r="E255" s="9" t="n">
        <v>0</v>
      </c>
      <c r="F255" s="9" t="n">
        <v>0</v>
      </c>
      <c r="G255" s="9" t="n">
        <v>0</v>
      </c>
      <c r="H255" s="9" t="n">
        <v>0</v>
      </c>
      <c r="I255" s="9" t="n">
        <v>0</v>
      </c>
      <c r="J255" s="9" t="n">
        <v>0</v>
      </c>
    </row>
    <row r="256" customFormat="false" ht="15.75" hidden="false" customHeight="false" outlineLevel="0" collapsed="false">
      <c r="A256" s="7" t="s">
        <v>264</v>
      </c>
      <c r="B256" s="7" t="n">
        <v>6</v>
      </c>
      <c r="C256" s="9" t="n">
        <v>0</v>
      </c>
      <c r="D256" s="9" t="n">
        <v>0</v>
      </c>
      <c r="E256" s="9" t="n">
        <v>0</v>
      </c>
      <c r="F256" s="9" t="n">
        <v>0</v>
      </c>
      <c r="G256" s="9" t="n">
        <v>0</v>
      </c>
      <c r="H256" s="9" t="n">
        <v>0</v>
      </c>
      <c r="I256" s="9" t="n">
        <v>0</v>
      </c>
      <c r="J256" s="9" t="n">
        <v>0</v>
      </c>
    </row>
    <row r="257" customFormat="false" ht="15.75" hidden="false" customHeight="false" outlineLevel="0" collapsed="false">
      <c r="A257" s="7" t="s">
        <v>265</v>
      </c>
      <c r="B257" s="7" t="n">
        <v>6</v>
      </c>
      <c r="C257" s="9" t="n">
        <v>0</v>
      </c>
      <c r="D257" s="9" t="n">
        <v>0</v>
      </c>
      <c r="E257" s="9" t="n">
        <v>0</v>
      </c>
      <c r="F257" s="9" t="n">
        <v>0</v>
      </c>
      <c r="G257" s="9" t="n">
        <v>0</v>
      </c>
      <c r="H257" s="9" t="n">
        <v>0</v>
      </c>
      <c r="I257" s="9" t="n">
        <v>0</v>
      </c>
      <c r="J257" s="9" t="n">
        <v>0</v>
      </c>
    </row>
    <row r="258" customFormat="false" ht="15.75" hidden="false" customHeight="false" outlineLevel="0" collapsed="false">
      <c r="A258" s="7" t="s">
        <v>266</v>
      </c>
      <c r="B258" s="7" t="n">
        <v>6</v>
      </c>
      <c r="C258" s="9" t="n">
        <v>0</v>
      </c>
      <c r="D258" s="9" t="n">
        <v>0</v>
      </c>
      <c r="E258" s="9" t="n">
        <v>0</v>
      </c>
      <c r="F258" s="9" t="n">
        <v>0</v>
      </c>
      <c r="G258" s="9" t="n">
        <v>0</v>
      </c>
      <c r="H258" s="9" t="n">
        <v>0</v>
      </c>
      <c r="I258" s="9" t="n">
        <v>0</v>
      </c>
      <c r="J258" s="9" t="n">
        <v>0</v>
      </c>
    </row>
    <row r="259" customFormat="false" ht="15.75" hidden="false" customHeight="false" outlineLevel="0" collapsed="false">
      <c r="A259" s="7" t="s">
        <v>267</v>
      </c>
      <c r="B259" s="7" t="n">
        <v>6</v>
      </c>
      <c r="C259" s="9" t="n">
        <v>1</v>
      </c>
      <c r="D259" s="9" t="n">
        <v>39000</v>
      </c>
      <c r="E259" s="9" t="n">
        <v>0</v>
      </c>
      <c r="F259" s="9" t="n">
        <v>0</v>
      </c>
      <c r="G259" s="9" t="n">
        <v>0</v>
      </c>
      <c r="H259" s="9" t="n">
        <v>0</v>
      </c>
      <c r="I259" s="9" t="n">
        <v>1</v>
      </c>
      <c r="J259" s="9" t="n">
        <v>39000</v>
      </c>
    </row>
    <row r="260" customFormat="false" ht="15.75" hidden="false" customHeight="false" outlineLevel="0" collapsed="false">
      <c r="A260" s="7" t="s">
        <v>268</v>
      </c>
      <c r="B260" s="7" t="n">
        <v>6</v>
      </c>
      <c r="C260" s="9" t="n">
        <v>0</v>
      </c>
      <c r="D260" s="9" t="n">
        <v>0</v>
      </c>
      <c r="E260" s="9" t="n">
        <v>0</v>
      </c>
      <c r="F260" s="9" t="n">
        <v>0</v>
      </c>
      <c r="G260" s="9" t="n">
        <v>0</v>
      </c>
      <c r="H260" s="9" t="n">
        <v>0</v>
      </c>
      <c r="I260" s="9" t="n">
        <v>0</v>
      </c>
      <c r="J260" s="9" t="n">
        <v>0</v>
      </c>
    </row>
    <row r="261" customFormat="false" ht="15.75" hidden="false" customHeight="false" outlineLevel="0" collapsed="false">
      <c r="A261" s="7" t="s">
        <v>269</v>
      </c>
      <c r="B261" s="7" t="n">
        <v>6</v>
      </c>
      <c r="C261" s="9" t="n">
        <v>0</v>
      </c>
      <c r="D261" s="9" t="n">
        <v>0</v>
      </c>
      <c r="E261" s="9" t="n">
        <v>0</v>
      </c>
      <c r="F261" s="9" t="n">
        <v>0</v>
      </c>
      <c r="G261" s="9" t="n">
        <v>0</v>
      </c>
      <c r="H261" s="9" t="n">
        <v>0</v>
      </c>
      <c r="I261" s="9" t="n">
        <v>0</v>
      </c>
      <c r="J261" s="9" t="n">
        <v>0</v>
      </c>
    </row>
    <row r="262" customFormat="false" ht="15.75" hidden="false" customHeight="false" outlineLevel="0" collapsed="false">
      <c r="A262" s="7" t="s">
        <v>270</v>
      </c>
      <c r="B262" s="7" t="n">
        <v>6</v>
      </c>
      <c r="C262" s="9" t="n">
        <v>0</v>
      </c>
      <c r="D262" s="9" t="n">
        <v>0</v>
      </c>
      <c r="E262" s="9" t="n">
        <v>0</v>
      </c>
      <c r="F262" s="9" t="n">
        <v>0</v>
      </c>
      <c r="G262" s="9" t="n">
        <v>0</v>
      </c>
      <c r="H262" s="9" t="n">
        <v>0</v>
      </c>
      <c r="I262" s="9" t="n">
        <v>0</v>
      </c>
      <c r="J262" s="9" t="n">
        <v>0</v>
      </c>
    </row>
    <row r="263" customFormat="false" ht="15.75" hidden="false" customHeight="false" outlineLevel="0" collapsed="false">
      <c r="A263" s="7" t="s">
        <v>271</v>
      </c>
      <c r="B263" s="7" t="n">
        <v>6</v>
      </c>
      <c r="C263" s="9" t="n">
        <v>0</v>
      </c>
      <c r="D263" s="9" t="n">
        <v>0</v>
      </c>
      <c r="E263" s="9" t="n">
        <v>0</v>
      </c>
      <c r="F263" s="9" t="n">
        <v>0</v>
      </c>
      <c r="G263" s="9" t="n">
        <v>0</v>
      </c>
      <c r="H263" s="9" t="n">
        <v>0</v>
      </c>
      <c r="I263" s="9" t="n">
        <v>0</v>
      </c>
      <c r="J263" s="9" t="n">
        <v>0</v>
      </c>
    </row>
    <row r="264" customFormat="false" ht="15.75" hidden="false" customHeight="false" outlineLevel="0" collapsed="false">
      <c r="A264" s="7" t="s">
        <v>272</v>
      </c>
      <c r="B264" s="7" t="n">
        <v>6</v>
      </c>
      <c r="C264" s="9" t="n">
        <v>6</v>
      </c>
      <c r="D264" s="9" t="n">
        <v>794727</v>
      </c>
      <c r="E264" s="9" t="n">
        <v>0</v>
      </c>
      <c r="F264" s="9" t="n">
        <v>0</v>
      </c>
      <c r="G264" s="9" t="n">
        <v>0</v>
      </c>
      <c r="H264" s="9" t="n">
        <v>0</v>
      </c>
      <c r="I264" s="9" t="n">
        <v>6</v>
      </c>
      <c r="J264" s="9" t="n">
        <v>794727</v>
      </c>
    </row>
    <row r="265" customFormat="false" ht="15.75" hidden="false" customHeight="false" outlineLevel="0" collapsed="false">
      <c r="A265" s="7" t="s">
        <v>273</v>
      </c>
      <c r="B265" s="7" t="n">
        <v>6</v>
      </c>
      <c r="C265" s="9" t="n">
        <v>0</v>
      </c>
      <c r="D265" s="9" t="n">
        <v>0</v>
      </c>
      <c r="E265" s="9" t="n">
        <v>0</v>
      </c>
      <c r="F265" s="9" t="n">
        <v>0</v>
      </c>
      <c r="G265" s="9" t="n">
        <v>0</v>
      </c>
      <c r="H265" s="9" t="n">
        <v>0</v>
      </c>
      <c r="I265" s="9" t="n">
        <v>0</v>
      </c>
      <c r="J265" s="9" t="n">
        <v>0</v>
      </c>
    </row>
    <row r="266" customFormat="false" ht="15.75" hidden="false" customHeight="false" outlineLevel="0" collapsed="false">
      <c r="A266" s="7" t="s">
        <v>274</v>
      </c>
      <c r="B266" s="7" t="n">
        <v>6</v>
      </c>
      <c r="C266" s="9" t="n">
        <v>0</v>
      </c>
      <c r="D266" s="9" t="n">
        <v>0</v>
      </c>
      <c r="E266" s="9" t="n">
        <v>0</v>
      </c>
      <c r="F266" s="9" t="n">
        <v>0</v>
      </c>
      <c r="G266" s="9" t="n">
        <v>0</v>
      </c>
      <c r="H266" s="9" t="n">
        <v>0</v>
      </c>
      <c r="I266" s="9" t="n">
        <v>0</v>
      </c>
      <c r="J266" s="9" t="n">
        <v>0</v>
      </c>
    </row>
    <row r="267" customFormat="false" ht="15.75" hidden="false" customHeight="false" outlineLevel="0" collapsed="false">
      <c r="A267" s="7" t="s">
        <v>275</v>
      </c>
      <c r="B267" s="7" t="n">
        <v>6</v>
      </c>
      <c r="C267" s="9" t="n">
        <v>0</v>
      </c>
      <c r="D267" s="9" t="n">
        <v>0</v>
      </c>
      <c r="E267" s="9" t="n">
        <v>0</v>
      </c>
      <c r="F267" s="9" t="n">
        <v>0</v>
      </c>
      <c r="G267" s="9" t="n">
        <v>0</v>
      </c>
      <c r="H267" s="9" t="n">
        <v>0</v>
      </c>
      <c r="I267" s="9" t="n">
        <v>0</v>
      </c>
      <c r="J267" s="9" t="n">
        <v>0</v>
      </c>
    </row>
    <row r="268" customFormat="false" ht="15.75" hidden="false" customHeight="false" outlineLevel="0" collapsed="false">
      <c r="A268" s="7" t="s">
        <v>276</v>
      </c>
      <c r="B268" s="7" t="n">
        <v>6</v>
      </c>
      <c r="C268" s="9" t="n">
        <v>0</v>
      </c>
      <c r="D268" s="9" t="n">
        <v>0</v>
      </c>
      <c r="E268" s="9" t="n">
        <v>0</v>
      </c>
      <c r="F268" s="9" t="n">
        <v>0</v>
      </c>
      <c r="G268" s="9" t="n">
        <v>0</v>
      </c>
      <c r="H268" s="9" t="n">
        <v>0</v>
      </c>
      <c r="I268" s="9" t="n">
        <v>0</v>
      </c>
      <c r="J268" s="9" t="n">
        <v>0</v>
      </c>
    </row>
    <row r="269" customFormat="false" ht="15.75" hidden="false" customHeight="false" outlineLevel="0" collapsed="false">
      <c r="A269" s="7" t="s">
        <v>277</v>
      </c>
      <c r="B269" s="7" t="n">
        <v>6</v>
      </c>
      <c r="C269" s="9" t="n">
        <v>0</v>
      </c>
      <c r="D269" s="9" t="n">
        <v>0</v>
      </c>
      <c r="E269" s="9" t="n">
        <v>0</v>
      </c>
      <c r="F269" s="9" t="n">
        <v>0</v>
      </c>
      <c r="G269" s="9" t="n">
        <v>0</v>
      </c>
      <c r="H269" s="9" t="n">
        <v>0</v>
      </c>
      <c r="I269" s="9" t="n">
        <v>0</v>
      </c>
      <c r="J269" s="9" t="n">
        <v>0</v>
      </c>
    </row>
    <row r="270" customFormat="false" ht="15.75" hidden="false" customHeight="false" outlineLevel="0" collapsed="false">
      <c r="A270" s="7" t="s">
        <v>278</v>
      </c>
      <c r="B270" s="7" t="n">
        <v>6</v>
      </c>
      <c r="C270" s="9" t="n">
        <v>0</v>
      </c>
      <c r="D270" s="9" t="n">
        <v>0</v>
      </c>
      <c r="E270" s="9" t="n">
        <v>0</v>
      </c>
      <c r="F270" s="9" t="n">
        <v>0</v>
      </c>
      <c r="G270" s="9" t="n">
        <v>0</v>
      </c>
      <c r="H270" s="9" t="n">
        <v>0</v>
      </c>
      <c r="I270" s="9" t="n">
        <v>0</v>
      </c>
      <c r="J270" s="9" t="n">
        <v>0</v>
      </c>
    </row>
    <row r="271" customFormat="false" ht="15.75" hidden="false" customHeight="false" outlineLevel="0" collapsed="false">
      <c r="A271" s="7" t="s">
        <v>279</v>
      </c>
      <c r="B271" s="7" t="n">
        <v>6</v>
      </c>
      <c r="C271" s="9" t="n">
        <v>0</v>
      </c>
      <c r="D271" s="9" t="n">
        <v>0</v>
      </c>
      <c r="E271" s="9" t="n">
        <v>0</v>
      </c>
      <c r="F271" s="9" t="n">
        <v>0</v>
      </c>
      <c r="G271" s="9" t="n">
        <v>0</v>
      </c>
      <c r="H271" s="9" t="n">
        <v>0</v>
      </c>
      <c r="I271" s="9" t="n">
        <v>0</v>
      </c>
      <c r="J271" s="9" t="n">
        <v>0</v>
      </c>
    </row>
    <row r="272" customFormat="false" ht="15.75" hidden="false" customHeight="false" outlineLevel="0" collapsed="false">
      <c r="A272" s="7" t="s">
        <v>280</v>
      </c>
      <c r="B272" s="7" t="n">
        <v>6</v>
      </c>
      <c r="C272" s="9" t="n">
        <v>0</v>
      </c>
      <c r="D272" s="9" t="n">
        <v>0</v>
      </c>
      <c r="E272" s="9" t="n">
        <v>0</v>
      </c>
      <c r="F272" s="9" t="n">
        <v>0</v>
      </c>
      <c r="G272" s="9" t="n">
        <v>0</v>
      </c>
      <c r="H272" s="9" t="n">
        <v>0</v>
      </c>
      <c r="I272" s="9" t="n">
        <v>0</v>
      </c>
      <c r="J272" s="9" t="n">
        <v>0</v>
      </c>
    </row>
    <row r="273" customFormat="false" ht="15.75" hidden="false" customHeight="false" outlineLevel="0" collapsed="false">
      <c r="A273" s="7" t="s">
        <v>281</v>
      </c>
      <c r="B273" s="7" t="n">
        <v>6</v>
      </c>
      <c r="C273" s="9" t="n">
        <v>43</v>
      </c>
      <c r="D273" s="9" t="n">
        <v>756124</v>
      </c>
      <c r="E273" s="9" t="n">
        <v>20</v>
      </c>
      <c r="F273" s="9" t="n">
        <v>352800</v>
      </c>
      <c r="G273" s="9" t="n">
        <v>20</v>
      </c>
      <c r="H273" s="9" t="n">
        <v>352039</v>
      </c>
      <c r="I273" s="9" t="n">
        <v>43</v>
      </c>
      <c r="J273" s="9" t="n">
        <v>756885</v>
      </c>
    </row>
    <row r="274" customFormat="false" ht="15.75" hidden="false" customHeight="false" outlineLevel="0" collapsed="false">
      <c r="A274" s="7" t="s">
        <v>282</v>
      </c>
      <c r="B274" s="7" t="n">
        <v>6</v>
      </c>
      <c r="C274" s="9" t="n">
        <v>18</v>
      </c>
      <c r="D274" s="9" t="n">
        <v>1234800</v>
      </c>
      <c r="E274" s="9" t="n">
        <v>10</v>
      </c>
      <c r="F274" s="9" t="n">
        <v>705600</v>
      </c>
      <c r="G274" s="9" t="n">
        <v>0</v>
      </c>
      <c r="H274" s="9" t="n">
        <v>0</v>
      </c>
      <c r="I274" s="9" t="n">
        <v>28</v>
      </c>
      <c r="J274" s="9" t="n">
        <v>1940400</v>
      </c>
    </row>
    <row r="275" customFormat="false" ht="15.75" hidden="false" customHeight="false" outlineLevel="0" collapsed="false">
      <c r="A275" s="7" t="s">
        <v>283</v>
      </c>
      <c r="B275" s="7" t="n">
        <v>6</v>
      </c>
      <c r="C275" s="9" t="n">
        <v>1800</v>
      </c>
      <c r="D275" s="9" t="n">
        <v>31252244</v>
      </c>
      <c r="E275" s="9" t="n">
        <v>494</v>
      </c>
      <c r="F275" s="9" t="n">
        <v>16537920</v>
      </c>
      <c r="G275" s="9" t="n">
        <v>530</v>
      </c>
      <c r="H275" s="9" t="n">
        <v>18187483</v>
      </c>
      <c r="I275" s="9" t="n">
        <v>1764</v>
      </c>
      <c r="J275" s="9" t="n">
        <v>29602681</v>
      </c>
    </row>
    <row r="276" customFormat="false" ht="15.75" hidden="false" customHeight="false" outlineLevel="0" collapsed="false">
      <c r="A276" s="7" t="s">
        <v>284</v>
      </c>
      <c r="B276" s="7" t="n">
        <v>6</v>
      </c>
      <c r="C276" s="9" t="n">
        <v>145</v>
      </c>
      <c r="D276" s="9" t="n">
        <v>6540614</v>
      </c>
      <c r="E276" s="9" t="n">
        <v>0</v>
      </c>
      <c r="F276" s="9" t="n">
        <v>0</v>
      </c>
      <c r="G276" s="9" t="n">
        <v>0</v>
      </c>
      <c r="H276" s="9" t="n">
        <v>0</v>
      </c>
      <c r="I276" s="9" t="n">
        <v>145</v>
      </c>
      <c r="J276" s="9" t="n">
        <v>6540614</v>
      </c>
    </row>
    <row r="277" customFormat="false" ht="15.75" hidden="false" customHeight="false" outlineLevel="0" collapsed="false">
      <c r="A277" s="7" t="s">
        <v>285</v>
      </c>
      <c r="B277" s="7" t="n">
        <v>6</v>
      </c>
      <c r="C277" s="9" t="n">
        <v>5</v>
      </c>
      <c r="D277" s="9" t="n">
        <v>586595</v>
      </c>
      <c r="E277" s="9" t="n">
        <v>0</v>
      </c>
      <c r="F277" s="9" t="n">
        <v>0</v>
      </c>
      <c r="G277" s="9" t="n">
        <v>0</v>
      </c>
      <c r="H277" s="9" t="n">
        <v>0</v>
      </c>
      <c r="I277" s="9" t="n">
        <v>5</v>
      </c>
      <c r="J277" s="9" t="n">
        <v>586595</v>
      </c>
    </row>
    <row r="278" customFormat="false" ht="15.75" hidden="false" customHeight="false" outlineLevel="0" collapsed="false">
      <c r="A278" s="7" t="s">
        <v>286</v>
      </c>
      <c r="B278" s="7" t="n">
        <v>6</v>
      </c>
      <c r="C278" s="9" t="n">
        <v>8</v>
      </c>
      <c r="D278" s="9" t="n">
        <v>847410</v>
      </c>
      <c r="E278" s="9" t="n">
        <v>0</v>
      </c>
      <c r="F278" s="9" t="n">
        <v>0</v>
      </c>
      <c r="G278" s="9" t="n">
        <v>0</v>
      </c>
      <c r="H278" s="9" t="n">
        <v>0</v>
      </c>
      <c r="I278" s="9" t="n">
        <v>8</v>
      </c>
      <c r="J278" s="9" t="n">
        <v>847410</v>
      </c>
    </row>
    <row r="279" customFormat="false" ht="15.75" hidden="false" customHeight="false" outlineLevel="0" collapsed="false">
      <c r="A279" s="7" t="s">
        <v>287</v>
      </c>
      <c r="B279" s="7" t="n">
        <v>6</v>
      </c>
      <c r="C279" s="9" t="n">
        <v>8</v>
      </c>
      <c r="D279" s="9" t="n">
        <v>888480</v>
      </c>
      <c r="E279" s="9" t="n">
        <v>0</v>
      </c>
      <c r="F279" s="9" t="n">
        <v>0</v>
      </c>
      <c r="G279" s="9" t="n">
        <v>0</v>
      </c>
      <c r="H279" s="9" t="n">
        <v>0</v>
      </c>
      <c r="I279" s="9" t="n">
        <v>8</v>
      </c>
      <c r="J279" s="9" t="n">
        <v>888480</v>
      </c>
    </row>
    <row r="280" customFormat="false" ht="15.75" hidden="false" customHeight="false" outlineLevel="0" collapsed="false">
      <c r="A280" s="7" t="s">
        <v>288</v>
      </c>
      <c r="B280" s="7" t="n">
        <v>6</v>
      </c>
      <c r="C280" s="9" t="n">
        <v>0</v>
      </c>
      <c r="D280" s="9" t="n">
        <v>0</v>
      </c>
      <c r="E280" s="9" t="n">
        <v>36</v>
      </c>
      <c r="F280" s="9" t="n">
        <v>850896</v>
      </c>
      <c r="G280" s="9" t="n">
        <v>0</v>
      </c>
      <c r="H280" s="9" t="n">
        <v>0</v>
      </c>
      <c r="I280" s="9" t="n">
        <v>36</v>
      </c>
      <c r="J280" s="9" t="n">
        <v>850896</v>
      </c>
    </row>
    <row r="281" customFormat="false" ht="15.75" hidden="false" customHeight="false" outlineLevel="0" collapsed="false">
      <c r="A281" s="7" t="s">
        <v>289</v>
      </c>
      <c r="B281" s="7" t="n">
        <v>6</v>
      </c>
      <c r="C281" s="9" t="n">
        <v>5241</v>
      </c>
      <c r="D281" s="9" t="n">
        <v>18544800</v>
      </c>
      <c r="E281" s="9" t="n">
        <v>0</v>
      </c>
      <c r="F281" s="9" t="n">
        <v>0</v>
      </c>
      <c r="G281" s="9" t="n">
        <v>0</v>
      </c>
      <c r="H281" s="9" t="n">
        <v>0</v>
      </c>
      <c r="I281" s="9" t="n">
        <v>5241</v>
      </c>
      <c r="J281" s="9" t="n">
        <v>18544800</v>
      </c>
    </row>
    <row r="282" customFormat="false" ht="15.75" hidden="false" customHeight="false" outlineLevel="0" collapsed="false">
      <c r="A282" s="7" t="s">
        <v>290</v>
      </c>
      <c r="B282" s="7" t="n">
        <v>6</v>
      </c>
      <c r="C282" s="9" t="n">
        <v>2062</v>
      </c>
      <c r="D282" s="9" t="n">
        <v>183494522</v>
      </c>
      <c r="E282" s="9" t="n">
        <v>396</v>
      </c>
      <c r="F282" s="9" t="n">
        <v>35237664</v>
      </c>
      <c r="G282" s="9" t="n">
        <v>303</v>
      </c>
      <c r="H282" s="9" t="n">
        <v>26963325</v>
      </c>
      <c r="I282" s="9" t="n">
        <v>2155</v>
      </c>
      <c r="J282" s="9" t="n">
        <v>191768861</v>
      </c>
    </row>
    <row r="283" customFormat="false" ht="15.75" hidden="false" customHeight="false" outlineLevel="0" collapsed="false">
      <c r="A283" s="7" t="s">
        <v>291</v>
      </c>
      <c r="B283" s="7" t="n">
        <v>6</v>
      </c>
      <c r="C283" s="9" t="n">
        <v>4641</v>
      </c>
      <c r="D283" s="9" t="n">
        <v>433337501</v>
      </c>
      <c r="E283" s="9" t="n">
        <v>578</v>
      </c>
      <c r="F283" s="9" t="n">
        <v>53991630</v>
      </c>
      <c r="G283" s="9" t="n">
        <v>2419</v>
      </c>
      <c r="H283" s="9" t="n">
        <v>225876445</v>
      </c>
      <c r="I283" s="9" t="n">
        <v>2800</v>
      </c>
      <c r="J283" s="9" t="n">
        <v>261452686</v>
      </c>
    </row>
    <row r="284" customFormat="false" ht="15.75" hidden="false" customHeight="false" outlineLevel="0" collapsed="false">
      <c r="A284" s="7" t="s">
        <v>292</v>
      </c>
      <c r="B284" s="7" t="n">
        <v>6</v>
      </c>
      <c r="C284" s="9" t="n">
        <v>1432</v>
      </c>
      <c r="D284" s="9" t="n">
        <v>99306144</v>
      </c>
      <c r="E284" s="9" t="n">
        <v>198</v>
      </c>
      <c r="F284" s="9" t="n">
        <v>17618832</v>
      </c>
      <c r="G284" s="9" t="n">
        <v>36</v>
      </c>
      <c r="H284" s="9" t="n">
        <v>2582392</v>
      </c>
      <c r="I284" s="9" t="n">
        <v>1594</v>
      </c>
      <c r="J284" s="9" t="n">
        <v>114342584</v>
      </c>
    </row>
    <row r="285" customFormat="false" ht="15.75" hidden="false" customHeight="false" outlineLevel="0" collapsed="false">
      <c r="A285" s="7"/>
      <c r="B285" s="7"/>
      <c r="C285" s="6"/>
      <c r="D285" s="6" t="n">
        <v>16272004374</v>
      </c>
      <c r="E285" s="6"/>
      <c r="F285" s="6" t="n">
        <v>6671492500</v>
      </c>
      <c r="G285" s="6"/>
      <c r="H285" s="6" t="n">
        <v>6167307223</v>
      </c>
      <c r="I285" s="6"/>
      <c r="J285" s="6" t="n">
        <v>16776189651</v>
      </c>
    </row>
  </sheetData>
  <mergeCells count="4">
    <mergeCell ref="C1:D1"/>
    <mergeCell ref="E1:F1"/>
    <mergeCell ref="G1:H1"/>
    <mergeCell ref="I1:J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W285"/>
  <sheetViews>
    <sheetView showFormulas="false" showGridLines="true" showRowColHeaders="true" showZeros="true" rightToLeft="false" tabSelected="false" showOutlineSymbols="true" defaultGridColor="true" view="normal" topLeftCell="A274" colorId="64" zoomScale="100" zoomScaleNormal="100" zoomScalePageLayoutView="100" workbookViewId="0">
      <selection pane="topLeft" activeCell="A274" activeCellId="0" sqref="A274"/>
    </sheetView>
  </sheetViews>
  <sheetFormatPr defaultColWidth="12.5703125" defaultRowHeight="15.75" customHeight="true" zeroHeight="false" outlineLevelRow="0" outlineLevelCol="0"/>
  <cols>
    <col collapsed="false" customWidth="true" hidden="false" outlineLevel="0" max="1" min="1" style="0" width="36.29"/>
    <col collapsed="false" customWidth="true" hidden="false" outlineLevel="0" max="2" min="2" style="0" width="5.71"/>
    <col collapsed="false" customWidth="true" hidden="false" outlineLevel="0" max="3" min="3" style="0" width="11.57"/>
    <col collapsed="false" customWidth="true" hidden="false" outlineLevel="0" max="5" min="5" style="0" width="13.57"/>
    <col collapsed="false" customWidth="true" hidden="false" outlineLevel="0" max="6" min="6" style="0" width="11.57"/>
    <col collapsed="false" customWidth="true" hidden="false" outlineLevel="0" max="7" min="7" style="0" width="13.15"/>
    <col collapsed="false" customWidth="true" hidden="false" outlineLevel="0" max="9" min="8" style="0" width="12.42"/>
  </cols>
  <sheetData>
    <row r="1" customFormat="false" ht="15.75" hidden="false" customHeight="false" outlineLevel="0" collapsed="false">
      <c r="A1" s="1"/>
      <c r="B1" s="2"/>
      <c r="C1" s="3" t="s">
        <v>0</v>
      </c>
      <c r="D1" s="3"/>
      <c r="E1" s="3" t="s">
        <v>1</v>
      </c>
      <c r="F1" s="3"/>
      <c r="G1" s="3" t="s">
        <v>2</v>
      </c>
      <c r="H1" s="3"/>
      <c r="I1" s="3" t="s">
        <v>3</v>
      </c>
      <c r="J1" s="3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</row>
    <row r="2" customFormat="false" ht="15.75" hidden="false" customHeight="false" outlineLevel="0" collapsed="false">
      <c r="A2" s="4" t="s">
        <v>4</v>
      </c>
      <c r="B2" s="5" t="s">
        <v>5</v>
      </c>
      <c r="C2" s="6" t="s">
        <v>6</v>
      </c>
      <c r="D2" s="6" t="s">
        <v>7</v>
      </c>
      <c r="E2" s="6" t="s">
        <v>8</v>
      </c>
      <c r="F2" s="6" t="s">
        <v>9</v>
      </c>
      <c r="G2" s="6" t="s">
        <v>6</v>
      </c>
      <c r="H2" s="6" t="s">
        <v>10</v>
      </c>
      <c r="I2" s="6" t="s">
        <v>6</v>
      </c>
      <c r="J2" s="6" t="s">
        <v>9</v>
      </c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</row>
    <row r="3" customFormat="false" ht="15.75" hidden="false" customHeight="false" outlineLevel="0" collapsed="false">
      <c r="A3" s="7" t="s">
        <v>11</v>
      </c>
      <c r="B3" s="7" t="n">
        <v>7</v>
      </c>
      <c r="C3" s="9" t="n">
        <v>201</v>
      </c>
      <c r="D3" s="9" t="n">
        <v>5539500</v>
      </c>
      <c r="E3" s="9" t="n">
        <v>70</v>
      </c>
      <c r="F3" s="9" t="n">
        <v>1914336</v>
      </c>
      <c r="G3" s="9" t="n">
        <v>125</v>
      </c>
      <c r="H3" s="9" t="n">
        <v>3438116</v>
      </c>
      <c r="I3" s="9" t="n">
        <v>146</v>
      </c>
      <c r="J3" s="9" t="n">
        <v>4015720</v>
      </c>
    </row>
    <row r="4" customFormat="false" ht="15.75" hidden="false" customHeight="false" outlineLevel="0" collapsed="false">
      <c r="A4" s="7" t="s">
        <v>12</v>
      </c>
      <c r="B4" s="7" t="n">
        <v>7</v>
      </c>
      <c r="C4" s="9" t="n">
        <v>0</v>
      </c>
      <c r="D4" s="9" t="n">
        <v>0</v>
      </c>
      <c r="E4" s="9" t="n">
        <v>0</v>
      </c>
      <c r="F4" s="9" t="n">
        <v>0</v>
      </c>
      <c r="G4" s="9" t="n">
        <v>0</v>
      </c>
      <c r="H4" s="9" t="n">
        <v>0</v>
      </c>
      <c r="I4" s="9" t="n">
        <v>0</v>
      </c>
      <c r="J4" s="9" t="n">
        <v>0</v>
      </c>
    </row>
    <row r="5" customFormat="false" ht="15.75" hidden="false" customHeight="false" outlineLevel="0" collapsed="false">
      <c r="A5" s="7" t="s">
        <v>13</v>
      </c>
      <c r="B5" s="7" t="n">
        <v>7</v>
      </c>
      <c r="C5" s="9" t="n">
        <v>863</v>
      </c>
      <c r="D5" s="9" t="n">
        <v>28305719</v>
      </c>
      <c r="E5" s="9" t="n">
        <v>0</v>
      </c>
      <c r="F5" s="9" t="n">
        <v>0</v>
      </c>
      <c r="G5" s="9" t="n">
        <v>60</v>
      </c>
      <c r="H5" s="9" t="n">
        <v>1968968</v>
      </c>
      <c r="I5" s="9" t="n">
        <v>803</v>
      </c>
      <c r="J5" s="9" t="n">
        <v>26336751</v>
      </c>
    </row>
    <row r="6" customFormat="false" ht="15.75" hidden="false" customHeight="false" outlineLevel="0" collapsed="false">
      <c r="A6" s="7" t="s">
        <v>14</v>
      </c>
      <c r="B6" s="7" t="n">
        <v>7</v>
      </c>
      <c r="C6" s="9" t="n">
        <v>120</v>
      </c>
      <c r="D6" s="9" t="n">
        <v>35752144</v>
      </c>
      <c r="E6" s="9" t="n">
        <v>0</v>
      </c>
      <c r="F6" s="9" t="n">
        <v>0</v>
      </c>
      <c r="G6" s="9" t="n">
        <v>0</v>
      </c>
      <c r="H6" s="9" t="n">
        <v>0</v>
      </c>
      <c r="I6" s="9" t="n">
        <v>120</v>
      </c>
      <c r="J6" s="9" t="n">
        <v>35752144</v>
      </c>
    </row>
    <row r="7" customFormat="false" ht="15.75" hidden="false" customHeight="false" outlineLevel="0" collapsed="false">
      <c r="A7" s="7" t="s">
        <v>15</v>
      </c>
      <c r="B7" s="7" t="n">
        <v>7</v>
      </c>
      <c r="C7" s="9" t="n">
        <v>510</v>
      </c>
      <c r="D7" s="9" t="n">
        <v>69373706</v>
      </c>
      <c r="E7" s="9" t="n">
        <v>0</v>
      </c>
      <c r="F7" s="9" t="n">
        <v>0</v>
      </c>
      <c r="G7" s="9" t="n">
        <v>0</v>
      </c>
      <c r="H7" s="9" t="n">
        <v>0</v>
      </c>
      <c r="I7" s="9" t="n">
        <v>510</v>
      </c>
      <c r="J7" s="9" t="n">
        <v>69373706</v>
      </c>
    </row>
    <row r="8" customFormat="false" ht="15.75" hidden="false" customHeight="false" outlineLevel="0" collapsed="false">
      <c r="A8" s="7" t="s">
        <v>16</v>
      </c>
      <c r="B8" s="7" t="n">
        <v>7</v>
      </c>
      <c r="C8" s="9" t="n">
        <v>344</v>
      </c>
      <c r="D8" s="9" t="n">
        <v>53839916</v>
      </c>
      <c r="E8" s="9" t="n">
        <v>0</v>
      </c>
      <c r="F8" s="9" t="n">
        <v>0</v>
      </c>
      <c r="G8" s="9" t="n">
        <v>0</v>
      </c>
      <c r="H8" s="9" t="n">
        <v>0</v>
      </c>
      <c r="I8" s="9" t="n">
        <v>344</v>
      </c>
      <c r="J8" s="9" t="n">
        <v>53839916</v>
      </c>
    </row>
    <row r="9" customFormat="false" ht="15.75" hidden="false" customHeight="false" outlineLevel="0" collapsed="false">
      <c r="A9" s="7" t="s">
        <v>17</v>
      </c>
      <c r="B9" s="7" t="n">
        <v>7</v>
      </c>
      <c r="C9" s="9" t="n">
        <v>159</v>
      </c>
      <c r="D9" s="9" t="n">
        <v>38049584</v>
      </c>
      <c r="E9" s="9" t="n">
        <v>0</v>
      </c>
      <c r="F9" s="9" t="n">
        <v>0</v>
      </c>
      <c r="G9" s="9" t="n">
        <v>0</v>
      </c>
      <c r="H9" s="9" t="n">
        <v>0</v>
      </c>
      <c r="I9" s="9" t="n">
        <v>159</v>
      </c>
      <c r="J9" s="9" t="n">
        <v>38049584</v>
      </c>
    </row>
    <row r="10" customFormat="false" ht="15.75" hidden="false" customHeight="false" outlineLevel="0" collapsed="false">
      <c r="A10" s="7" t="s">
        <v>18</v>
      </c>
      <c r="B10" s="7" t="n">
        <v>7</v>
      </c>
      <c r="C10" s="9" t="n">
        <v>734</v>
      </c>
      <c r="D10" s="9" t="n">
        <v>15983688</v>
      </c>
      <c r="E10" s="9" t="n">
        <v>0</v>
      </c>
      <c r="F10" s="9" t="n">
        <v>0</v>
      </c>
      <c r="G10" s="9" t="n">
        <v>0</v>
      </c>
      <c r="H10" s="9" t="n">
        <v>0</v>
      </c>
      <c r="I10" s="9" t="n">
        <v>734</v>
      </c>
      <c r="J10" s="9" t="n">
        <v>15983688</v>
      </c>
    </row>
    <row r="11" customFormat="false" ht="15.75" hidden="false" customHeight="false" outlineLevel="0" collapsed="false">
      <c r="A11" s="7" t="s">
        <v>19</v>
      </c>
      <c r="B11" s="7" t="n">
        <v>7</v>
      </c>
      <c r="C11" s="9" t="n">
        <v>180</v>
      </c>
      <c r="D11" s="9" t="n">
        <v>3904035</v>
      </c>
      <c r="E11" s="9" t="n">
        <v>0</v>
      </c>
      <c r="F11" s="9" t="n">
        <v>0</v>
      </c>
      <c r="G11" s="9" t="n">
        <v>0</v>
      </c>
      <c r="H11" s="9" t="n">
        <v>0</v>
      </c>
      <c r="I11" s="9" t="n">
        <v>180</v>
      </c>
      <c r="J11" s="9" t="n">
        <v>3904035</v>
      </c>
    </row>
    <row r="12" customFormat="false" ht="15.75" hidden="false" customHeight="false" outlineLevel="0" collapsed="false">
      <c r="A12" s="7" t="s">
        <v>20</v>
      </c>
      <c r="B12" s="7" t="n">
        <v>7</v>
      </c>
      <c r="C12" s="9" t="n">
        <v>295</v>
      </c>
      <c r="D12" s="9" t="n">
        <v>31404753</v>
      </c>
      <c r="E12" s="9" t="n">
        <v>0</v>
      </c>
      <c r="F12" s="9" t="n">
        <v>0</v>
      </c>
      <c r="G12" s="9" t="n">
        <v>0</v>
      </c>
      <c r="H12" s="9" t="n">
        <v>0</v>
      </c>
      <c r="I12" s="9" t="n">
        <v>295</v>
      </c>
      <c r="J12" s="9" t="n">
        <v>31404753</v>
      </c>
    </row>
    <row r="13" customFormat="false" ht="15.75" hidden="false" customHeight="false" outlineLevel="0" collapsed="false">
      <c r="A13" s="7" t="s">
        <v>21</v>
      </c>
      <c r="B13" s="7" t="n">
        <v>7</v>
      </c>
      <c r="C13" s="9" t="n">
        <v>170</v>
      </c>
      <c r="D13" s="9" t="n">
        <v>40681945</v>
      </c>
      <c r="E13" s="9" t="n">
        <v>0</v>
      </c>
      <c r="F13" s="9" t="n">
        <v>0</v>
      </c>
      <c r="G13" s="9" t="n">
        <v>0</v>
      </c>
      <c r="H13" s="9" t="n">
        <v>0</v>
      </c>
      <c r="I13" s="9" t="n">
        <v>170</v>
      </c>
      <c r="J13" s="9" t="n">
        <v>40681945</v>
      </c>
    </row>
    <row r="14" customFormat="false" ht="15.75" hidden="false" customHeight="false" outlineLevel="0" collapsed="false">
      <c r="A14" s="7" t="s">
        <v>22</v>
      </c>
      <c r="B14" s="7" t="n">
        <v>7</v>
      </c>
      <c r="C14" s="9" t="n">
        <v>18</v>
      </c>
      <c r="D14" s="9" t="n">
        <v>407934</v>
      </c>
      <c r="E14" s="9" t="n">
        <v>0</v>
      </c>
      <c r="F14" s="9" t="n">
        <v>0</v>
      </c>
      <c r="G14" s="9" t="n">
        <v>0</v>
      </c>
      <c r="H14" s="9" t="n">
        <v>0</v>
      </c>
      <c r="I14" s="9" t="n">
        <v>18</v>
      </c>
      <c r="J14" s="9" t="n">
        <v>407934</v>
      </c>
    </row>
    <row r="15" customFormat="false" ht="15.75" hidden="false" customHeight="false" outlineLevel="0" collapsed="false">
      <c r="A15" s="7" t="s">
        <v>23</v>
      </c>
      <c r="B15" s="7" t="n">
        <v>7</v>
      </c>
      <c r="C15" s="9" t="n">
        <v>0</v>
      </c>
      <c r="D15" s="9" t="n">
        <v>0</v>
      </c>
      <c r="E15" s="9" t="n">
        <v>0</v>
      </c>
      <c r="F15" s="9" t="n">
        <v>0</v>
      </c>
      <c r="G15" s="9" t="n">
        <v>0</v>
      </c>
      <c r="H15" s="9" t="n">
        <v>0</v>
      </c>
      <c r="I15" s="9" t="n">
        <v>0</v>
      </c>
      <c r="J15" s="9" t="n">
        <v>0</v>
      </c>
    </row>
    <row r="16" customFormat="false" ht="15.75" hidden="false" customHeight="false" outlineLevel="0" collapsed="false">
      <c r="A16" s="7" t="s">
        <v>24</v>
      </c>
      <c r="B16" s="7" t="n">
        <v>7</v>
      </c>
      <c r="C16" s="9" t="n">
        <v>0</v>
      </c>
      <c r="D16" s="9" t="n">
        <v>0</v>
      </c>
      <c r="E16" s="9" t="n">
        <v>0</v>
      </c>
      <c r="F16" s="9" t="n">
        <v>0</v>
      </c>
      <c r="G16" s="9" t="n">
        <v>0</v>
      </c>
      <c r="H16" s="9" t="n">
        <v>0</v>
      </c>
      <c r="I16" s="9" t="n">
        <v>0</v>
      </c>
      <c r="J16" s="9" t="n">
        <v>0</v>
      </c>
    </row>
    <row r="17" customFormat="false" ht="15.75" hidden="false" customHeight="false" outlineLevel="0" collapsed="false">
      <c r="A17" s="7" t="s">
        <v>25</v>
      </c>
      <c r="B17" s="7" t="n">
        <v>7</v>
      </c>
      <c r="C17" s="9" t="n">
        <v>82</v>
      </c>
      <c r="D17" s="9" t="n">
        <v>1714538</v>
      </c>
      <c r="E17" s="9" t="n">
        <v>35</v>
      </c>
      <c r="F17" s="9" t="n">
        <v>739555</v>
      </c>
      <c r="G17" s="9" t="n">
        <v>97</v>
      </c>
      <c r="H17" s="9" t="n">
        <v>2034590</v>
      </c>
      <c r="I17" s="9" t="n">
        <v>20</v>
      </c>
      <c r="J17" s="9" t="n">
        <v>419503</v>
      </c>
    </row>
    <row r="18" customFormat="false" ht="15.75" hidden="false" customHeight="false" outlineLevel="0" collapsed="false">
      <c r="A18" s="7" t="s">
        <v>26</v>
      </c>
      <c r="B18" s="7" t="n">
        <v>7</v>
      </c>
      <c r="C18" s="9" t="n">
        <v>110</v>
      </c>
      <c r="D18" s="9" t="n">
        <v>2800050</v>
      </c>
      <c r="E18" s="9" t="n">
        <v>44</v>
      </c>
      <c r="F18" s="9" t="n">
        <v>1131324</v>
      </c>
      <c r="G18" s="9" t="n">
        <v>130</v>
      </c>
      <c r="H18" s="9" t="n">
        <v>3318692</v>
      </c>
      <c r="I18" s="9" t="n">
        <v>24</v>
      </c>
      <c r="J18" s="9" t="n">
        <v>612682</v>
      </c>
    </row>
    <row r="19" customFormat="false" ht="15.75" hidden="false" customHeight="false" outlineLevel="0" collapsed="false">
      <c r="A19" s="7" t="s">
        <v>27</v>
      </c>
      <c r="B19" s="7" t="n">
        <v>7</v>
      </c>
      <c r="C19" s="9" t="n">
        <v>162</v>
      </c>
      <c r="D19" s="9" t="n">
        <v>4945440</v>
      </c>
      <c r="E19" s="9" t="n">
        <v>0</v>
      </c>
      <c r="F19" s="9" t="n">
        <v>0</v>
      </c>
      <c r="G19" s="9" t="n">
        <v>80</v>
      </c>
      <c r="H19" s="9" t="n">
        <v>2442193</v>
      </c>
      <c r="I19" s="9" t="n">
        <v>82</v>
      </c>
      <c r="J19" s="9" t="n">
        <v>2503247</v>
      </c>
    </row>
    <row r="20" customFormat="false" ht="15.75" hidden="false" customHeight="false" outlineLevel="0" collapsed="false">
      <c r="A20" s="7" t="s">
        <v>28</v>
      </c>
      <c r="B20" s="7" t="n">
        <v>7</v>
      </c>
      <c r="C20" s="9" t="n">
        <v>0</v>
      </c>
      <c r="D20" s="9" t="n">
        <v>0</v>
      </c>
      <c r="E20" s="9" t="n">
        <v>0</v>
      </c>
      <c r="F20" s="9" t="n">
        <v>0</v>
      </c>
      <c r="G20" s="9" t="n">
        <v>0</v>
      </c>
      <c r="H20" s="9" t="n">
        <v>0</v>
      </c>
      <c r="I20" s="9" t="n">
        <v>0</v>
      </c>
      <c r="J20" s="9" t="n">
        <v>0</v>
      </c>
    </row>
    <row r="21" customFormat="false" ht="15.75" hidden="false" customHeight="false" outlineLevel="0" collapsed="false">
      <c r="A21" s="7" t="s">
        <v>29</v>
      </c>
      <c r="B21" s="7" t="n">
        <v>7</v>
      </c>
      <c r="C21" s="9" t="n">
        <v>210</v>
      </c>
      <c r="D21" s="9" t="n">
        <v>55497330</v>
      </c>
      <c r="E21" s="9" t="n">
        <v>0</v>
      </c>
      <c r="F21" s="9" t="n">
        <v>0</v>
      </c>
      <c r="G21" s="9" t="n">
        <v>0</v>
      </c>
      <c r="H21" s="9" t="n">
        <v>0</v>
      </c>
      <c r="I21" s="9" t="n">
        <v>210</v>
      </c>
      <c r="J21" s="9" t="n">
        <v>55497330</v>
      </c>
    </row>
    <row r="22" customFormat="false" ht="15.75" hidden="false" customHeight="false" outlineLevel="0" collapsed="false">
      <c r="A22" s="7" t="s">
        <v>30</v>
      </c>
      <c r="B22" s="7" t="n">
        <v>7</v>
      </c>
      <c r="C22" s="9" t="n">
        <v>114</v>
      </c>
      <c r="D22" s="9" t="n">
        <v>23160334</v>
      </c>
      <c r="E22" s="9" t="n">
        <v>0</v>
      </c>
      <c r="F22" s="9" t="n">
        <v>0</v>
      </c>
      <c r="G22" s="9" t="n">
        <v>0</v>
      </c>
      <c r="H22" s="9" t="n">
        <v>0</v>
      </c>
      <c r="I22" s="9" t="n">
        <v>114</v>
      </c>
      <c r="J22" s="9" t="n">
        <v>23160334</v>
      </c>
    </row>
    <row r="23" customFormat="false" ht="15.75" hidden="false" customHeight="false" outlineLevel="0" collapsed="false">
      <c r="A23" s="7" t="s">
        <v>31</v>
      </c>
      <c r="B23" s="7" t="n">
        <v>7</v>
      </c>
      <c r="C23" s="9" t="n">
        <v>0</v>
      </c>
      <c r="D23" s="9" t="n">
        <v>0</v>
      </c>
      <c r="E23" s="9" t="n">
        <v>0</v>
      </c>
      <c r="F23" s="9" t="n">
        <v>0</v>
      </c>
      <c r="G23" s="9" t="n">
        <v>0</v>
      </c>
      <c r="H23" s="9" t="n">
        <v>0</v>
      </c>
      <c r="I23" s="9" t="n">
        <v>0</v>
      </c>
      <c r="J23" s="9" t="n">
        <v>0</v>
      </c>
    </row>
    <row r="24" customFormat="false" ht="15.75" hidden="false" customHeight="false" outlineLevel="0" collapsed="false">
      <c r="A24" s="7" t="s">
        <v>32</v>
      </c>
      <c r="B24" s="7" t="n">
        <v>7</v>
      </c>
      <c r="C24" s="9" t="n">
        <v>0</v>
      </c>
      <c r="D24" s="9" t="n">
        <v>0</v>
      </c>
      <c r="E24" s="9" t="n">
        <v>0</v>
      </c>
      <c r="F24" s="9" t="n">
        <v>0</v>
      </c>
      <c r="G24" s="9" t="n">
        <v>0</v>
      </c>
      <c r="H24" s="9" t="n">
        <v>0</v>
      </c>
      <c r="I24" s="9" t="n">
        <v>0</v>
      </c>
      <c r="J24" s="9" t="n">
        <v>0</v>
      </c>
    </row>
    <row r="25" customFormat="false" ht="15.75" hidden="false" customHeight="false" outlineLevel="0" collapsed="false">
      <c r="A25" s="7" t="s">
        <v>33</v>
      </c>
      <c r="B25" s="7" t="n">
        <v>7</v>
      </c>
      <c r="C25" s="9" t="n">
        <v>76</v>
      </c>
      <c r="D25" s="9" t="n">
        <v>9285800</v>
      </c>
      <c r="E25" s="9" t="n">
        <v>0</v>
      </c>
      <c r="F25" s="9" t="n">
        <v>0</v>
      </c>
      <c r="G25" s="9" t="n">
        <v>0</v>
      </c>
      <c r="H25" s="9" t="n">
        <v>0</v>
      </c>
      <c r="I25" s="9" t="n">
        <v>76</v>
      </c>
      <c r="J25" s="9" t="n">
        <v>9285800</v>
      </c>
    </row>
    <row r="26" customFormat="false" ht="15.75" hidden="false" customHeight="false" outlineLevel="0" collapsed="false">
      <c r="A26" s="7" t="s">
        <v>34</v>
      </c>
      <c r="B26" s="7" t="n">
        <v>7</v>
      </c>
      <c r="C26" s="9" t="n">
        <v>20</v>
      </c>
      <c r="D26" s="9" t="n">
        <v>4642900</v>
      </c>
      <c r="E26" s="9" t="n">
        <v>0</v>
      </c>
      <c r="F26" s="9" t="n">
        <v>0</v>
      </c>
      <c r="G26" s="9" t="n">
        <v>0</v>
      </c>
      <c r="H26" s="9" t="n">
        <v>0</v>
      </c>
      <c r="I26" s="9" t="n">
        <v>20</v>
      </c>
      <c r="J26" s="9" t="n">
        <v>4642900</v>
      </c>
    </row>
    <row r="27" customFormat="false" ht="15.75" hidden="false" customHeight="false" outlineLevel="0" collapsed="false">
      <c r="A27" s="7" t="s">
        <v>35</v>
      </c>
      <c r="B27" s="7" t="n">
        <v>7</v>
      </c>
      <c r="C27" s="9" t="n">
        <v>0</v>
      </c>
      <c r="D27" s="9" t="n">
        <v>0</v>
      </c>
      <c r="E27" s="9" t="n">
        <v>0</v>
      </c>
      <c r="F27" s="9" t="n">
        <v>0</v>
      </c>
      <c r="G27" s="9" t="n">
        <v>0</v>
      </c>
      <c r="H27" s="9" t="n">
        <v>0</v>
      </c>
      <c r="I27" s="9" t="n">
        <v>0</v>
      </c>
      <c r="J27" s="9" t="n">
        <v>0</v>
      </c>
    </row>
    <row r="28" customFormat="false" ht="15.75" hidden="false" customHeight="false" outlineLevel="0" collapsed="false">
      <c r="A28" s="7" t="s">
        <v>36</v>
      </c>
      <c r="B28" s="7" t="n">
        <v>7</v>
      </c>
      <c r="C28" s="9" t="n">
        <v>40</v>
      </c>
      <c r="D28" s="9" t="n">
        <v>1818200</v>
      </c>
      <c r="E28" s="9" t="n">
        <v>0</v>
      </c>
      <c r="F28" s="9" t="n">
        <v>0</v>
      </c>
      <c r="G28" s="9" t="n">
        <v>0</v>
      </c>
      <c r="H28" s="9" t="n">
        <v>0</v>
      </c>
      <c r="I28" s="9" t="n">
        <v>40</v>
      </c>
      <c r="J28" s="9" t="n">
        <v>1818200</v>
      </c>
    </row>
    <row r="29" customFormat="false" ht="15.75" hidden="false" customHeight="false" outlineLevel="0" collapsed="false">
      <c r="A29" s="7" t="s">
        <v>37</v>
      </c>
      <c r="B29" s="7" t="n">
        <v>7</v>
      </c>
      <c r="C29" s="9" t="n">
        <v>2119</v>
      </c>
      <c r="D29" s="9" t="n">
        <v>116667022</v>
      </c>
      <c r="E29" s="9" t="n">
        <v>5440</v>
      </c>
      <c r="F29" s="9" t="n">
        <v>302893760</v>
      </c>
      <c r="G29" s="9" t="n">
        <v>6088</v>
      </c>
      <c r="H29" s="9" t="n">
        <v>337913221</v>
      </c>
      <c r="I29" s="9" t="n">
        <v>1471</v>
      </c>
      <c r="J29" s="9" t="n">
        <v>81647561</v>
      </c>
    </row>
    <row r="30" customFormat="false" ht="15.75" hidden="false" customHeight="false" outlineLevel="0" collapsed="false">
      <c r="A30" s="7" t="s">
        <v>38</v>
      </c>
      <c r="B30" s="7" t="n">
        <v>7</v>
      </c>
      <c r="C30" s="9" t="n">
        <v>278198</v>
      </c>
      <c r="D30" s="9" t="n">
        <v>389779096</v>
      </c>
      <c r="E30" s="9" t="n">
        <v>12420</v>
      </c>
      <c r="F30" s="9" t="n">
        <v>387603360</v>
      </c>
      <c r="G30" s="9" t="n">
        <v>18432</v>
      </c>
      <c r="H30" s="9" t="n">
        <v>574201453</v>
      </c>
      <c r="I30" s="9" t="n">
        <v>272186</v>
      </c>
      <c r="J30" s="9" t="n">
        <v>203181003</v>
      </c>
    </row>
    <row r="31" customFormat="false" ht="15.75" hidden="false" customHeight="false" outlineLevel="0" collapsed="false">
      <c r="A31" s="7" t="s">
        <v>39</v>
      </c>
      <c r="B31" s="7" t="n">
        <v>7</v>
      </c>
      <c r="C31" s="9" t="n">
        <v>29975</v>
      </c>
      <c r="D31" s="9" t="n">
        <v>193809246</v>
      </c>
      <c r="E31" s="9" t="n">
        <v>1620</v>
      </c>
      <c r="F31" s="9" t="n">
        <v>58618080</v>
      </c>
      <c r="G31" s="9" t="n">
        <v>4115</v>
      </c>
      <c r="H31" s="9" t="n">
        <v>146370112</v>
      </c>
      <c r="I31" s="9" t="n">
        <v>27480</v>
      </c>
      <c r="J31" s="9" t="n">
        <v>106057214</v>
      </c>
    </row>
    <row r="32" customFormat="false" ht="15.75" hidden="false" customHeight="false" outlineLevel="0" collapsed="false">
      <c r="A32" s="7" t="s">
        <v>40</v>
      </c>
      <c r="B32" s="7" t="n">
        <v>7</v>
      </c>
      <c r="C32" s="9" t="n">
        <v>0</v>
      </c>
      <c r="D32" s="9" t="n">
        <v>0</v>
      </c>
      <c r="E32" s="9" t="n">
        <v>1050</v>
      </c>
      <c r="F32" s="9" t="n">
        <v>37993200</v>
      </c>
      <c r="G32" s="9" t="n">
        <v>0</v>
      </c>
      <c r="H32" s="9" t="n">
        <v>0</v>
      </c>
      <c r="I32" s="9" t="n">
        <v>1050</v>
      </c>
      <c r="J32" s="9" t="n">
        <v>37993200</v>
      </c>
    </row>
    <row r="33" customFormat="false" ht="15.75" hidden="false" customHeight="false" outlineLevel="0" collapsed="false">
      <c r="A33" s="7" t="s">
        <v>41</v>
      </c>
      <c r="B33" s="7" t="n">
        <v>7</v>
      </c>
      <c r="C33" s="9" t="n">
        <v>90</v>
      </c>
      <c r="D33" s="9" t="n">
        <v>3256560</v>
      </c>
      <c r="E33" s="9" t="n">
        <v>0</v>
      </c>
      <c r="F33" s="9" t="n">
        <v>0</v>
      </c>
      <c r="G33" s="9" t="n">
        <v>0</v>
      </c>
      <c r="H33" s="9" t="n">
        <v>0</v>
      </c>
      <c r="I33" s="9" t="n">
        <v>90</v>
      </c>
      <c r="J33" s="9" t="n">
        <v>3256560</v>
      </c>
    </row>
    <row r="34" customFormat="false" ht="15.75" hidden="false" customHeight="false" outlineLevel="0" collapsed="false">
      <c r="A34" s="7" t="s">
        <v>42</v>
      </c>
      <c r="B34" s="7" t="n">
        <v>7</v>
      </c>
      <c r="C34" s="9" t="n">
        <v>64</v>
      </c>
      <c r="D34" s="9" t="n">
        <v>3359040</v>
      </c>
      <c r="E34" s="9" t="n">
        <v>0</v>
      </c>
      <c r="F34" s="9" t="n">
        <v>0</v>
      </c>
      <c r="G34" s="9" t="n">
        <v>0</v>
      </c>
      <c r="H34" s="9" t="n">
        <v>0</v>
      </c>
      <c r="I34" s="9" t="n">
        <v>64</v>
      </c>
      <c r="J34" s="9" t="n">
        <v>3359040</v>
      </c>
    </row>
    <row r="35" customFormat="false" ht="15.75" hidden="false" customHeight="false" outlineLevel="0" collapsed="false">
      <c r="A35" s="7" t="s">
        <v>43</v>
      </c>
      <c r="B35" s="7" t="n">
        <v>7</v>
      </c>
      <c r="C35" s="9" t="n">
        <v>0</v>
      </c>
      <c r="D35" s="9" t="n">
        <v>0</v>
      </c>
      <c r="E35" s="9" t="n">
        <v>0</v>
      </c>
      <c r="F35" s="9" t="n">
        <v>0</v>
      </c>
      <c r="G35" s="9" t="n">
        <v>0</v>
      </c>
      <c r="H35" s="9" t="n">
        <v>0</v>
      </c>
      <c r="I35" s="9" t="n">
        <v>0</v>
      </c>
      <c r="J35" s="9" t="n">
        <v>0</v>
      </c>
    </row>
    <row r="36" customFormat="false" ht="15.75" hidden="false" customHeight="false" outlineLevel="0" collapsed="false">
      <c r="A36" s="7" t="s">
        <v>44</v>
      </c>
      <c r="B36" s="7" t="n">
        <v>7</v>
      </c>
      <c r="C36" s="9" t="n">
        <v>8855</v>
      </c>
      <c r="D36" s="9" t="n">
        <v>10815370</v>
      </c>
      <c r="E36" s="9" t="n">
        <v>450</v>
      </c>
      <c r="F36" s="9" t="n">
        <v>16282800</v>
      </c>
      <c r="G36" s="9" t="n">
        <v>30</v>
      </c>
      <c r="H36" s="9" t="n">
        <v>1083596</v>
      </c>
      <c r="I36" s="9" t="n">
        <v>9275</v>
      </c>
      <c r="J36" s="9" t="n">
        <v>26014574</v>
      </c>
    </row>
    <row r="37" customFormat="false" ht="15.75" hidden="false" customHeight="false" outlineLevel="0" collapsed="false">
      <c r="A37" s="7" t="s">
        <v>45</v>
      </c>
      <c r="B37" s="7" t="n">
        <v>7</v>
      </c>
      <c r="C37" s="9" t="n">
        <v>90</v>
      </c>
      <c r="D37" s="9" t="n">
        <v>3166324</v>
      </c>
      <c r="E37" s="9" t="n">
        <v>300</v>
      </c>
      <c r="F37" s="9" t="n">
        <v>10855200</v>
      </c>
      <c r="G37" s="9" t="n">
        <v>0</v>
      </c>
      <c r="H37" s="9" t="n">
        <v>0</v>
      </c>
      <c r="I37" s="9" t="n">
        <v>390</v>
      </c>
      <c r="J37" s="9" t="n">
        <v>14021524</v>
      </c>
    </row>
    <row r="38" customFormat="false" ht="15.75" hidden="false" customHeight="false" outlineLevel="0" collapsed="false">
      <c r="A38" s="7" t="s">
        <v>46</v>
      </c>
      <c r="B38" s="7" t="n">
        <v>7</v>
      </c>
      <c r="C38" s="9" t="n">
        <v>0</v>
      </c>
      <c r="D38" s="9" t="n">
        <v>0</v>
      </c>
      <c r="E38" s="9" t="n">
        <v>45</v>
      </c>
      <c r="F38" s="9" t="n">
        <v>1628280</v>
      </c>
      <c r="G38" s="9" t="n">
        <v>0</v>
      </c>
      <c r="H38" s="9" t="n">
        <v>0</v>
      </c>
      <c r="I38" s="9" t="n">
        <v>45</v>
      </c>
      <c r="J38" s="9" t="n">
        <v>1628280</v>
      </c>
    </row>
    <row r="39" customFormat="false" ht="15.75" hidden="false" customHeight="false" outlineLevel="0" collapsed="false">
      <c r="A39" s="7" t="s">
        <v>47</v>
      </c>
      <c r="B39" s="7" t="n">
        <v>7</v>
      </c>
      <c r="C39" s="9" t="n">
        <v>4750</v>
      </c>
      <c r="D39" s="9" t="n">
        <v>22782351</v>
      </c>
      <c r="E39" s="9" t="n">
        <v>0</v>
      </c>
      <c r="F39" s="9" t="n">
        <v>0</v>
      </c>
      <c r="G39" s="9" t="n">
        <v>0</v>
      </c>
      <c r="H39" s="9" t="n">
        <v>0</v>
      </c>
      <c r="I39" s="9" t="n">
        <v>4750</v>
      </c>
      <c r="J39" s="9" t="n">
        <v>22782351</v>
      </c>
    </row>
    <row r="40" customFormat="false" ht="15.75" hidden="false" customHeight="false" outlineLevel="0" collapsed="false">
      <c r="A40" s="7" t="s">
        <v>48</v>
      </c>
      <c r="B40" s="7" t="n">
        <v>7</v>
      </c>
      <c r="C40" s="9" t="n">
        <v>48</v>
      </c>
      <c r="D40" s="9" t="n">
        <v>1156368</v>
      </c>
      <c r="E40" s="9" t="n">
        <v>0</v>
      </c>
      <c r="F40" s="9" t="n">
        <v>0</v>
      </c>
      <c r="G40" s="9" t="n">
        <v>0</v>
      </c>
      <c r="H40" s="9" t="n">
        <v>0</v>
      </c>
      <c r="I40" s="9" t="n">
        <v>48</v>
      </c>
      <c r="J40" s="9" t="n">
        <v>1156368</v>
      </c>
    </row>
    <row r="41" customFormat="false" ht="15.75" hidden="false" customHeight="false" outlineLevel="0" collapsed="false">
      <c r="A41" s="7" t="s">
        <v>49</v>
      </c>
      <c r="B41" s="7" t="n">
        <v>7</v>
      </c>
      <c r="C41" s="9" t="n">
        <v>3000</v>
      </c>
      <c r="D41" s="9" t="n">
        <v>14288378</v>
      </c>
      <c r="E41" s="9" t="n">
        <v>3240</v>
      </c>
      <c r="F41" s="9" t="n">
        <v>15791880</v>
      </c>
      <c r="G41" s="9" t="n">
        <v>4200</v>
      </c>
      <c r="H41" s="9" t="n">
        <v>20246328</v>
      </c>
      <c r="I41" s="9" t="n">
        <v>2040</v>
      </c>
      <c r="J41" s="9" t="n">
        <v>9833930</v>
      </c>
    </row>
    <row r="42" customFormat="false" ht="15.75" hidden="false" customHeight="false" outlineLevel="0" collapsed="false">
      <c r="A42" s="7" t="s">
        <v>50</v>
      </c>
      <c r="B42" s="7" t="n">
        <v>7</v>
      </c>
      <c r="C42" s="9" t="n">
        <v>1500</v>
      </c>
      <c r="D42" s="9" t="n">
        <v>4773000</v>
      </c>
      <c r="E42" s="9" t="n">
        <v>0</v>
      </c>
      <c r="F42" s="9" t="n">
        <v>0</v>
      </c>
      <c r="G42" s="9" t="n">
        <v>0</v>
      </c>
      <c r="H42" s="9" t="n">
        <v>0</v>
      </c>
      <c r="I42" s="9" t="n">
        <v>1500</v>
      </c>
      <c r="J42" s="9" t="n">
        <v>4773000</v>
      </c>
    </row>
    <row r="43" customFormat="false" ht="15.75" hidden="false" customHeight="false" outlineLevel="0" collapsed="false">
      <c r="A43" s="7" t="s">
        <v>51</v>
      </c>
      <c r="B43" s="7" t="n">
        <v>7</v>
      </c>
      <c r="C43" s="9" t="n">
        <v>1600</v>
      </c>
      <c r="D43" s="9" t="n">
        <v>6090549</v>
      </c>
      <c r="E43" s="9" t="n">
        <v>750</v>
      </c>
      <c r="F43" s="9" t="n">
        <v>3106250</v>
      </c>
      <c r="G43" s="9" t="n">
        <v>350</v>
      </c>
      <c r="H43" s="9" t="n">
        <v>1369736</v>
      </c>
      <c r="I43" s="9" t="n">
        <v>2000</v>
      </c>
      <c r="J43" s="9" t="n">
        <v>7827063</v>
      </c>
    </row>
    <row r="44" customFormat="false" ht="15.75" hidden="false" customHeight="false" outlineLevel="0" collapsed="false">
      <c r="A44" s="7" t="s">
        <v>52</v>
      </c>
      <c r="B44" s="7" t="n">
        <v>7</v>
      </c>
      <c r="C44" s="9" t="n">
        <v>1008</v>
      </c>
      <c r="D44" s="9" t="n">
        <v>22908816</v>
      </c>
      <c r="E44" s="9" t="n">
        <v>528</v>
      </c>
      <c r="F44" s="9" t="n">
        <v>12222144</v>
      </c>
      <c r="G44" s="9" t="n">
        <v>290</v>
      </c>
      <c r="H44" s="9" t="n">
        <v>6632798</v>
      </c>
      <c r="I44" s="9" t="n">
        <v>1246</v>
      </c>
      <c r="J44" s="9" t="n">
        <v>28498162</v>
      </c>
    </row>
    <row r="45" customFormat="false" ht="15.75" hidden="false" customHeight="false" outlineLevel="0" collapsed="false">
      <c r="A45" s="7" t="s">
        <v>53</v>
      </c>
      <c r="B45" s="7" t="n">
        <v>7</v>
      </c>
      <c r="C45" s="9" t="n">
        <v>0</v>
      </c>
      <c r="D45" s="9" t="n">
        <v>0</v>
      </c>
      <c r="E45" s="9" t="n">
        <v>0</v>
      </c>
      <c r="F45" s="9" t="n">
        <v>0</v>
      </c>
      <c r="G45" s="9" t="n">
        <v>0</v>
      </c>
      <c r="H45" s="9" t="n">
        <v>0</v>
      </c>
      <c r="I45" s="9" t="n">
        <v>0</v>
      </c>
      <c r="J45" s="9" t="n">
        <v>0</v>
      </c>
    </row>
    <row r="46" customFormat="false" ht="15.75" hidden="false" customHeight="false" outlineLevel="0" collapsed="false">
      <c r="A46" s="7" t="s">
        <v>54</v>
      </c>
      <c r="B46" s="7" t="n">
        <v>7</v>
      </c>
      <c r="C46" s="9" t="n">
        <v>8079</v>
      </c>
      <c r="D46" s="9" t="n">
        <v>112120988</v>
      </c>
      <c r="E46" s="9" t="n">
        <v>4171</v>
      </c>
      <c r="F46" s="9" t="n">
        <v>59862000</v>
      </c>
      <c r="G46" s="9" t="n">
        <v>8640</v>
      </c>
      <c r="H46" s="9" t="n">
        <v>121300654</v>
      </c>
      <c r="I46" s="9" t="n">
        <v>3610</v>
      </c>
      <c r="J46" s="9" t="n">
        <v>50682334</v>
      </c>
    </row>
    <row r="47" customFormat="false" ht="15.75" hidden="false" customHeight="false" outlineLevel="0" collapsed="false">
      <c r="A47" s="7" t="s">
        <v>55</v>
      </c>
      <c r="B47" s="7" t="n">
        <v>7</v>
      </c>
      <c r="C47" s="9" t="n">
        <v>60</v>
      </c>
      <c r="D47" s="9" t="n">
        <v>5209080</v>
      </c>
      <c r="E47" s="9" t="n">
        <v>60</v>
      </c>
      <c r="F47" s="9" t="n">
        <v>5276616</v>
      </c>
      <c r="G47" s="9" t="n">
        <v>0</v>
      </c>
      <c r="H47" s="9" t="n">
        <v>0</v>
      </c>
      <c r="I47" s="9" t="n">
        <v>120</v>
      </c>
      <c r="J47" s="9" t="n">
        <v>10485696</v>
      </c>
    </row>
    <row r="48" customFormat="false" ht="15.75" hidden="false" customHeight="false" outlineLevel="0" collapsed="false">
      <c r="A48" s="7" t="s">
        <v>56</v>
      </c>
      <c r="B48" s="7" t="n">
        <v>7</v>
      </c>
      <c r="C48" s="9" t="n">
        <v>432</v>
      </c>
      <c r="D48" s="9" t="n">
        <v>4084560</v>
      </c>
      <c r="E48" s="9" t="n">
        <v>240</v>
      </c>
      <c r="F48" s="9" t="n">
        <v>2311200</v>
      </c>
      <c r="G48" s="9" t="n">
        <v>0</v>
      </c>
      <c r="H48" s="9" t="n">
        <v>0</v>
      </c>
      <c r="I48" s="9" t="n">
        <v>672</v>
      </c>
      <c r="J48" s="9" t="n">
        <v>6395760</v>
      </c>
    </row>
    <row r="49" customFormat="false" ht="15.75" hidden="false" customHeight="false" outlineLevel="0" collapsed="false">
      <c r="A49" s="7" t="s">
        <v>57</v>
      </c>
      <c r="B49" s="7" t="n">
        <v>7</v>
      </c>
      <c r="C49" s="9" t="n">
        <v>840</v>
      </c>
      <c r="D49" s="9" t="n">
        <v>13854600</v>
      </c>
      <c r="E49" s="9" t="n">
        <v>240</v>
      </c>
      <c r="F49" s="9" t="n">
        <v>4222320</v>
      </c>
      <c r="G49" s="9" t="n">
        <v>0</v>
      </c>
      <c r="H49" s="9" t="n">
        <v>0</v>
      </c>
      <c r="I49" s="9" t="n">
        <v>1080</v>
      </c>
      <c r="J49" s="9" t="n">
        <v>18076920</v>
      </c>
    </row>
    <row r="50" customFormat="false" ht="15.75" hidden="false" customHeight="false" outlineLevel="0" collapsed="false">
      <c r="A50" s="7" t="s">
        <v>58</v>
      </c>
      <c r="B50" s="7" t="n">
        <v>7</v>
      </c>
      <c r="C50" s="9" t="n">
        <v>2244</v>
      </c>
      <c r="D50" s="9" t="n">
        <v>17775023</v>
      </c>
      <c r="E50" s="9" t="n">
        <v>1680</v>
      </c>
      <c r="F50" s="9" t="n">
        <v>14466480</v>
      </c>
      <c r="G50" s="9" t="n">
        <v>840</v>
      </c>
      <c r="H50" s="9" t="n">
        <v>6901851</v>
      </c>
      <c r="I50" s="9" t="n">
        <v>3084</v>
      </c>
      <c r="J50" s="9" t="n">
        <v>25339652</v>
      </c>
    </row>
    <row r="51" customFormat="false" ht="15.75" hidden="false" customHeight="false" outlineLevel="0" collapsed="false">
      <c r="A51" s="7" t="s">
        <v>59</v>
      </c>
      <c r="B51" s="7" t="n">
        <v>7</v>
      </c>
      <c r="C51" s="9" t="n">
        <v>3556</v>
      </c>
      <c r="D51" s="9" t="n">
        <v>47786088</v>
      </c>
      <c r="E51" s="9" t="n">
        <v>3283</v>
      </c>
      <c r="F51" s="9" t="n">
        <v>51564720</v>
      </c>
      <c r="G51" s="9" t="n">
        <v>1120</v>
      </c>
      <c r="H51" s="9" t="n">
        <v>16270347</v>
      </c>
      <c r="I51" s="9" t="n">
        <v>5719</v>
      </c>
      <c r="J51" s="9" t="n">
        <v>83080461</v>
      </c>
    </row>
    <row r="52" customFormat="false" ht="15.75" hidden="false" customHeight="false" outlineLevel="0" collapsed="false">
      <c r="A52" s="7" t="s">
        <v>60</v>
      </c>
      <c r="B52" s="7" t="n">
        <v>7</v>
      </c>
      <c r="C52" s="9" t="n">
        <v>3262</v>
      </c>
      <c r="D52" s="9" t="n">
        <v>107197064</v>
      </c>
      <c r="E52" s="9" t="n">
        <v>778</v>
      </c>
      <c r="F52" s="9" t="n">
        <v>23919420</v>
      </c>
      <c r="G52" s="9" t="n">
        <v>144</v>
      </c>
      <c r="H52" s="9" t="n">
        <v>4673459</v>
      </c>
      <c r="I52" s="9" t="n">
        <v>3896</v>
      </c>
      <c r="J52" s="9" t="n">
        <v>126443025</v>
      </c>
    </row>
    <row r="53" customFormat="false" ht="15.75" hidden="false" customHeight="false" outlineLevel="0" collapsed="false">
      <c r="A53" s="7" t="s">
        <v>61</v>
      </c>
      <c r="B53" s="7" t="n">
        <v>7</v>
      </c>
      <c r="C53" s="9" t="n">
        <v>0</v>
      </c>
      <c r="D53" s="9" t="n">
        <v>0</v>
      </c>
      <c r="E53" s="9" t="n">
        <v>0</v>
      </c>
      <c r="F53" s="9" t="n">
        <v>0</v>
      </c>
      <c r="G53" s="9" t="n">
        <v>0</v>
      </c>
      <c r="H53" s="9" t="n">
        <v>0</v>
      </c>
      <c r="I53" s="9" t="n">
        <v>0</v>
      </c>
      <c r="J53" s="9" t="n">
        <v>0</v>
      </c>
    </row>
    <row r="54" customFormat="false" ht="15.75" hidden="false" customHeight="false" outlineLevel="0" collapsed="false">
      <c r="A54" s="7" t="s">
        <v>62</v>
      </c>
      <c r="B54" s="7" t="n">
        <v>7</v>
      </c>
      <c r="C54" s="9" t="n">
        <v>2404</v>
      </c>
      <c r="D54" s="9" t="n">
        <v>11416943</v>
      </c>
      <c r="E54" s="9" t="n">
        <v>3841</v>
      </c>
      <c r="F54" s="9" t="n">
        <v>18736080</v>
      </c>
      <c r="G54" s="9" t="n">
        <v>0</v>
      </c>
      <c r="H54" s="9" t="n">
        <v>0</v>
      </c>
      <c r="I54" s="9" t="n">
        <v>6245</v>
      </c>
      <c r="J54" s="9" t="n">
        <v>30153023</v>
      </c>
    </row>
    <row r="55" customFormat="false" ht="15.75" hidden="false" customHeight="false" outlineLevel="0" collapsed="false">
      <c r="A55" s="7" t="s">
        <v>63</v>
      </c>
      <c r="B55" s="7" t="n">
        <v>7</v>
      </c>
      <c r="C55" s="9" t="n">
        <v>0</v>
      </c>
      <c r="D55" s="9" t="n">
        <v>0</v>
      </c>
      <c r="E55" s="9" t="n">
        <v>0</v>
      </c>
      <c r="F55" s="9" t="n">
        <v>0</v>
      </c>
      <c r="G55" s="9" t="n">
        <v>0</v>
      </c>
      <c r="H55" s="9" t="n">
        <v>0</v>
      </c>
      <c r="I55" s="9" t="n">
        <v>0</v>
      </c>
      <c r="J55" s="9" t="n">
        <v>0</v>
      </c>
    </row>
    <row r="56" customFormat="false" ht="15.75" hidden="false" customHeight="false" outlineLevel="0" collapsed="false">
      <c r="A56" s="7" t="s">
        <v>64</v>
      </c>
      <c r="B56" s="7" t="n">
        <v>7</v>
      </c>
      <c r="C56" s="9" t="n">
        <v>0</v>
      </c>
      <c r="D56" s="9" t="n">
        <v>0</v>
      </c>
      <c r="E56" s="9" t="n">
        <v>0</v>
      </c>
      <c r="F56" s="9" t="n">
        <v>0</v>
      </c>
      <c r="G56" s="9" t="n">
        <v>0</v>
      </c>
      <c r="H56" s="9" t="n">
        <v>0</v>
      </c>
      <c r="I56" s="9" t="n">
        <v>0</v>
      </c>
      <c r="J56" s="9" t="n">
        <v>0</v>
      </c>
    </row>
    <row r="57" customFormat="false" ht="15.75" hidden="false" customHeight="false" outlineLevel="0" collapsed="false">
      <c r="A57" s="7" t="s">
        <v>65</v>
      </c>
      <c r="B57" s="7" t="n">
        <v>7</v>
      </c>
      <c r="C57" s="9" t="n">
        <v>0</v>
      </c>
      <c r="D57" s="9" t="n">
        <v>0</v>
      </c>
      <c r="E57" s="9" t="n">
        <v>0</v>
      </c>
      <c r="F57" s="9" t="n">
        <v>0</v>
      </c>
      <c r="G57" s="9" t="n">
        <v>0</v>
      </c>
      <c r="H57" s="9" t="n">
        <v>0</v>
      </c>
      <c r="I57" s="9" t="n">
        <v>0</v>
      </c>
      <c r="J57" s="9" t="n">
        <v>0</v>
      </c>
    </row>
    <row r="58" customFormat="false" ht="15.75" hidden="false" customHeight="false" outlineLevel="0" collapsed="false">
      <c r="A58" s="7" t="s">
        <v>66</v>
      </c>
      <c r="B58" s="7" t="n">
        <v>7</v>
      </c>
      <c r="C58" s="9" t="n">
        <v>3396</v>
      </c>
      <c r="D58" s="9" t="n">
        <v>50407719</v>
      </c>
      <c r="E58" s="9" t="n">
        <v>1116</v>
      </c>
      <c r="F58" s="9" t="n">
        <v>17000280</v>
      </c>
      <c r="G58" s="9" t="n">
        <v>3240</v>
      </c>
      <c r="H58" s="9" t="n">
        <v>48404680</v>
      </c>
      <c r="I58" s="9" t="n">
        <v>1272</v>
      </c>
      <c r="J58" s="9" t="n">
        <v>19003319</v>
      </c>
    </row>
    <row r="59" customFormat="false" ht="15.75" hidden="false" customHeight="false" outlineLevel="0" collapsed="false">
      <c r="A59" s="7" t="s">
        <v>67</v>
      </c>
      <c r="B59" s="7" t="n">
        <v>7</v>
      </c>
      <c r="C59" s="9" t="n">
        <v>136</v>
      </c>
      <c r="D59" s="9" t="n">
        <v>985256</v>
      </c>
      <c r="E59" s="9" t="n">
        <v>10</v>
      </c>
      <c r="F59" s="9" t="n">
        <v>0</v>
      </c>
      <c r="G59" s="9" t="n">
        <v>0</v>
      </c>
      <c r="H59" s="9" t="n">
        <v>0</v>
      </c>
      <c r="I59" s="9" t="n">
        <v>146</v>
      </c>
      <c r="J59" s="9" t="n">
        <v>985256</v>
      </c>
    </row>
    <row r="60" customFormat="false" ht="15.75" hidden="false" customHeight="false" outlineLevel="0" collapsed="false">
      <c r="A60" s="7" t="s">
        <v>68</v>
      </c>
      <c r="B60" s="7" t="n">
        <v>7</v>
      </c>
      <c r="C60" s="9" t="n">
        <v>192</v>
      </c>
      <c r="D60" s="9" t="n">
        <v>8564309</v>
      </c>
      <c r="E60" s="9" t="n">
        <v>180</v>
      </c>
      <c r="F60" s="9" t="n">
        <v>8349120</v>
      </c>
      <c r="G60" s="9" t="n">
        <v>0</v>
      </c>
      <c r="H60" s="9" t="n">
        <v>0</v>
      </c>
      <c r="I60" s="9" t="n">
        <v>372</v>
      </c>
      <c r="J60" s="9" t="n">
        <v>16913429</v>
      </c>
    </row>
    <row r="61" customFormat="false" ht="15.75" hidden="false" customHeight="false" outlineLevel="0" collapsed="false">
      <c r="A61" s="7" t="s">
        <v>69</v>
      </c>
      <c r="B61" s="7" t="n">
        <v>7</v>
      </c>
      <c r="C61" s="9" t="n">
        <v>0</v>
      </c>
      <c r="D61" s="9" t="n">
        <v>0</v>
      </c>
      <c r="E61" s="9" t="n">
        <v>0</v>
      </c>
      <c r="F61" s="9" t="n">
        <v>0</v>
      </c>
      <c r="G61" s="9" t="n">
        <v>0</v>
      </c>
      <c r="H61" s="9" t="n">
        <v>0</v>
      </c>
      <c r="I61" s="9" t="n">
        <v>0</v>
      </c>
      <c r="J61" s="9" t="n">
        <v>0</v>
      </c>
    </row>
    <row r="62" customFormat="false" ht="15.75" hidden="false" customHeight="false" outlineLevel="0" collapsed="false">
      <c r="A62" s="7" t="s">
        <v>70</v>
      </c>
      <c r="B62" s="7" t="n">
        <v>7</v>
      </c>
      <c r="C62" s="9" t="n">
        <v>0</v>
      </c>
      <c r="D62" s="9" t="n">
        <v>0</v>
      </c>
      <c r="E62" s="9" t="n">
        <v>0</v>
      </c>
      <c r="F62" s="9" t="n">
        <v>0</v>
      </c>
      <c r="G62" s="9" t="n">
        <v>0</v>
      </c>
      <c r="H62" s="9" t="n">
        <v>0</v>
      </c>
      <c r="I62" s="9" t="n">
        <v>0</v>
      </c>
      <c r="J62" s="9" t="n">
        <v>0</v>
      </c>
    </row>
    <row r="63" customFormat="false" ht="15.75" hidden="false" customHeight="false" outlineLevel="0" collapsed="false">
      <c r="A63" s="7" t="s">
        <v>71</v>
      </c>
      <c r="B63" s="7" t="n">
        <v>7</v>
      </c>
      <c r="C63" s="9" t="n">
        <v>1200</v>
      </c>
      <c r="D63" s="9" t="n">
        <v>17781600</v>
      </c>
      <c r="E63" s="9" t="n">
        <v>480</v>
      </c>
      <c r="F63" s="9" t="n">
        <v>7521360</v>
      </c>
      <c r="G63" s="9" t="n">
        <v>120</v>
      </c>
      <c r="H63" s="9" t="n">
        <v>1807354</v>
      </c>
      <c r="I63" s="9" t="n">
        <v>1560</v>
      </c>
      <c r="J63" s="9" t="n">
        <v>23495606</v>
      </c>
    </row>
    <row r="64" customFormat="false" ht="15.75" hidden="false" customHeight="false" outlineLevel="0" collapsed="false">
      <c r="A64" s="7" t="s">
        <v>72</v>
      </c>
      <c r="B64" s="7" t="n">
        <v>7</v>
      </c>
      <c r="C64" s="9" t="n">
        <v>3343</v>
      </c>
      <c r="D64" s="9" t="n">
        <v>70351504</v>
      </c>
      <c r="E64" s="9" t="n">
        <v>1206</v>
      </c>
      <c r="F64" s="9" t="n">
        <v>28573440</v>
      </c>
      <c r="G64" s="9" t="n">
        <v>480</v>
      </c>
      <c r="H64" s="9" t="n">
        <v>10438332</v>
      </c>
      <c r="I64" s="9" t="n">
        <v>4069</v>
      </c>
      <c r="J64" s="9" t="n">
        <v>88486612</v>
      </c>
    </row>
    <row r="65" customFormat="false" ht="15.75" hidden="false" customHeight="false" outlineLevel="0" collapsed="false">
      <c r="A65" s="7" t="s">
        <v>73</v>
      </c>
      <c r="B65" s="7" t="n">
        <v>7</v>
      </c>
      <c r="C65" s="9" t="n">
        <v>3587</v>
      </c>
      <c r="D65" s="9" t="n">
        <v>116743655</v>
      </c>
      <c r="E65" s="9" t="n">
        <v>2280</v>
      </c>
      <c r="F65" s="9" t="n">
        <v>77886240</v>
      </c>
      <c r="G65" s="9" t="n">
        <v>1320</v>
      </c>
      <c r="H65" s="9" t="n">
        <v>43789238</v>
      </c>
      <c r="I65" s="9" t="n">
        <v>4547</v>
      </c>
      <c r="J65" s="9" t="n">
        <v>150840657</v>
      </c>
    </row>
    <row r="66" customFormat="false" ht="15.75" hidden="false" customHeight="false" outlineLevel="0" collapsed="false">
      <c r="A66" s="7" t="s">
        <v>74</v>
      </c>
      <c r="B66" s="7" t="n">
        <v>7</v>
      </c>
      <c r="C66" s="9" t="n">
        <v>3120</v>
      </c>
      <c r="D66" s="9" t="n">
        <v>45173706</v>
      </c>
      <c r="E66" s="9" t="n">
        <v>2160</v>
      </c>
      <c r="F66" s="9" t="n">
        <v>31870800</v>
      </c>
      <c r="G66" s="9" t="n">
        <v>1272</v>
      </c>
      <c r="H66" s="9" t="n">
        <v>18560722</v>
      </c>
      <c r="I66" s="9" t="n">
        <v>4008</v>
      </c>
      <c r="J66" s="9" t="n">
        <v>58483784</v>
      </c>
    </row>
    <row r="67" customFormat="false" ht="15.75" hidden="false" customHeight="false" outlineLevel="0" collapsed="false">
      <c r="A67" s="7" t="s">
        <v>75</v>
      </c>
      <c r="B67" s="7" t="n">
        <v>7</v>
      </c>
      <c r="C67" s="9" t="n">
        <v>6960</v>
      </c>
      <c r="D67" s="9" t="n">
        <v>2405760</v>
      </c>
      <c r="E67" s="9" t="n">
        <v>0</v>
      </c>
      <c r="F67" s="9" t="n">
        <v>0</v>
      </c>
      <c r="G67" s="9" t="n">
        <v>0</v>
      </c>
      <c r="H67" s="9" t="n">
        <v>0</v>
      </c>
      <c r="I67" s="9" t="n">
        <v>6960</v>
      </c>
      <c r="J67" s="9" t="n">
        <v>2405760</v>
      </c>
    </row>
    <row r="68" customFormat="false" ht="15.75" hidden="false" customHeight="false" outlineLevel="0" collapsed="false">
      <c r="A68" s="7" t="s">
        <v>76</v>
      </c>
      <c r="B68" s="7" t="n">
        <v>7</v>
      </c>
      <c r="C68" s="9" t="n">
        <v>90</v>
      </c>
      <c r="D68" s="9" t="n">
        <v>4628571</v>
      </c>
      <c r="E68" s="9" t="n">
        <v>33</v>
      </c>
      <c r="F68" s="9" t="n">
        <v>1741674</v>
      </c>
      <c r="G68" s="9" t="n">
        <v>0</v>
      </c>
      <c r="H68" s="9" t="n">
        <v>0</v>
      </c>
      <c r="I68" s="9" t="n">
        <v>123</v>
      </c>
      <c r="J68" s="9" t="n">
        <v>6370245</v>
      </c>
    </row>
    <row r="69" customFormat="false" ht="15.75" hidden="false" customHeight="false" outlineLevel="0" collapsed="false">
      <c r="A69" s="7" t="s">
        <v>77</v>
      </c>
      <c r="B69" s="7" t="n">
        <v>7</v>
      </c>
      <c r="C69" s="9" t="n">
        <v>204</v>
      </c>
      <c r="D69" s="9" t="n">
        <v>1112820</v>
      </c>
      <c r="E69" s="9" t="n">
        <v>96</v>
      </c>
      <c r="F69" s="9" t="n">
        <v>604416</v>
      </c>
      <c r="G69" s="9" t="n">
        <v>12</v>
      </c>
      <c r="H69" s="9" t="n">
        <v>68689</v>
      </c>
      <c r="I69" s="9" t="n">
        <v>288</v>
      </c>
      <c r="J69" s="9" t="n">
        <v>1648547</v>
      </c>
    </row>
    <row r="70" customFormat="false" ht="15.75" hidden="false" customHeight="false" outlineLevel="0" collapsed="false">
      <c r="A70" s="7" t="s">
        <v>78</v>
      </c>
      <c r="B70" s="7" t="n">
        <v>7</v>
      </c>
      <c r="C70" s="9" t="n">
        <v>3464</v>
      </c>
      <c r="D70" s="9" t="n">
        <v>15057886</v>
      </c>
      <c r="E70" s="9" t="n">
        <v>1461</v>
      </c>
      <c r="F70" s="9" t="n">
        <v>7951440</v>
      </c>
      <c r="G70" s="9" t="n">
        <v>0</v>
      </c>
      <c r="H70" s="9" t="n">
        <v>0</v>
      </c>
      <c r="I70" s="9" t="n">
        <v>4925</v>
      </c>
      <c r="J70" s="9" t="n">
        <v>23009326</v>
      </c>
    </row>
    <row r="71" customFormat="false" ht="15.75" hidden="false" customHeight="false" outlineLevel="0" collapsed="false">
      <c r="A71" s="7" t="s">
        <v>79</v>
      </c>
      <c r="B71" s="7" t="n">
        <v>7</v>
      </c>
      <c r="C71" s="9" t="n">
        <v>1573</v>
      </c>
      <c r="D71" s="9" t="n">
        <v>30829058</v>
      </c>
      <c r="E71" s="9" t="n">
        <v>467</v>
      </c>
      <c r="F71" s="9" t="n">
        <v>9673824</v>
      </c>
      <c r="G71" s="9" t="n">
        <v>0</v>
      </c>
      <c r="H71" s="9" t="n">
        <v>0</v>
      </c>
      <c r="I71" s="9" t="n">
        <v>2040</v>
      </c>
      <c r="J71" s="9" t="n">
        <v>40502882</v>
      </c>
    </row>
    <row r="72" customFormat="false" ht="15.75" hidden="false" customHeight="false" outlineLevel="0" collapsed="false">
      <c r="A72" s="7" t="s">
        <v>80</v>
      </c>
      <c r="B72" s="7" t="n">
        <v>7</v>
      </c>
      <c r="C72" s="9" t="n">
        <v>144</v>
      </c>
      <c r="D72" s="9" t="n">
        <v>1942122</v>
      </c>
      <c r="E72" s="9" t="n">
        <v>72</v>
      </c>
      <c r="F72" s="9" t="n">
        <v>1066680</v>
      </c>
      <c r="G72" s="9" t="n">
        <v>0</v>
      </c>
      <c r="H72" s="9" t="n">
        <v>0</v>
      </c>
      <c r="I72" s="9" t="n">
        <v>216</v>
      </c>
      <c r="J72" s="9" t="n">
        <v>3008802</v>
      </c>
    </row>
    <row r="73" customFormat="false" ht="15.75" hidden="false" customHeight="false" outlineLevel="0" collapsed="false">
      <c r="A73" s="7" t="s">
        <v>81</v>
      </c>
      <c r="B73" s="7" t="n">
        <v>7</v>
      </c>
      <c r="C73" s="9" t="n">
        <v>1872</v>
      </c>
      <c r="D73" s="9" t="n">
        <v>27719640</v>
      </c>
      <c r="E73" s="9" t="n">
        <v>216</v>
      </c>
      <c r="F73" s="9" t="n">
        <v>3400056</v>
      </c>
      <c r="G73" s="9" t="n">
        <v>0</v>
      </c>
      <c r="H73" s="9" t="n">
        <v>0</v>
      </c>
      <c r="I73" s="9" t="n">
        <v>2088</v>
      </c>
      <c r="J73" s="9" t="n">
        <v>31119696</v>
      </c>
    </row>
    <row r="74" customFormat="false" ht="15.75" hidden="false" customHeight="false" outlineLevel="0" collapsed="false">
      <c r="A74" s="7" t="s">
        <v>82</v>
      </c>
      <c r="B74" s="7" t="n">
        <v>7</v>
      </c>
      <c r="C74" s="9" t="n">
        <v>5760</v>
      </c>
      <c r="D74" s="9" t="n">
        <v>41171760</v>
      </c>
      <c r="E74" s="9" t="n">
        <v>1080</v>
      </c>
      <c r="F74" s="9" t="n">
        <v>7951320</v>
      </c>
      <c r="G74" s="9" t="n">
        <v>0</v>
      </c>
      <c r="H74" s="9" t="n">
        <v>0</v>
      </c>
      <c r="I74" s="9" t="n">
        <v>6840</v>
      </c>
      <c r="J74" s="9" t="n">
        <v>49123080</v>
      </c>
    </row>
    <row r="75" customFormat="false" ht="15.75" hidden="false" customHeight="false" outlineLevel="0" collapsed="false">
      <c r="A75" s="7" t="s">
        <v>83</v>
      </c>
      <c r="B75" s="7" t="n">
        <v>7</v>
      </c>
      <c r="C75" s="9" t="n">
        <v>1314</v>
      </c>
      <c r="D75" s="9" t="n">
        <v>9057962</v>
      </c>
      <c r="E75" s="9" t="n">
        <v>360</v>
      </c>
      <c r="F75" s="9" t="n">
        <v>2800080</v>
      </c>
      <c r="G75" s="9" t="n">
        <v>0</v>
      </c>
      <c r="H75" s="9" t="n">
        <v>0</v>
      </c>
      <c r="I75" s="9" t="n">
        <v>1674</v>
      </c>
      <c r="J75" s="9" t="n">
        <v>11858042</v>
      </c>
    </row>
    <row r="76" customFormat="false" ht="15.75" hidden="false" customHeight="false" outlineLevel="0" collapsed="false">
      <c r="A76" s="7" t="s">
        <v>84</v>
      </c>
      <c r="B76" s="7" t="n">
        <v>7</v>
      </c>
      <c r="C76" s="9" t="n">
        <v>17440</v>
      </c>
      <c r="D76" s="9" t="n">
        <v>512070341</v>
      </c>
      <c r="E76" s="9" t="n">
        <v>5904</v>
      </c>
      <c r="F76" s="9" t="n">
        <v>180506880</v>
      </c>
      <c r="G76" s="9" t="n">
        <v>13944</v>
      </c>
      <c r="H76" s="9" t="n">
        <v>413695030</v>
      </c>
      <c r="I76" s="9" t="n">
        <v>9400</v>
      </c>
      <c r="J76" s="9" t="n">
        <v>278882191</v>
      </c>
    </row>
    <row r="77" customFormat="false" ht="15.75" hidden="false" customHeight="false" outlineLevel="0" collapsed="false">
      <c r="A77" s="7" t="s">
        <v>85</v>
      </c>
      <c r="B77" s="7" t="n">
        <v>7</v>
      </c>
      <c r="C77" s="9" t="n">
        <v>9869</v>
      </c>
      <c r="D77" s="9" t="n">
        <v>87775901</v>
      </c>
      <c r="E77" s="9" t="n">
        <v>10220</v>
      </c>
      <c r="F77" s="9" t="n">
        <v>92967840</v>
      </c>
      <c r="G77" s="9" t="n">
        <v>11520</v>
      </c>
      <c r="H77" s="9" t="n">
        <v>103647165</v>
      </c>
      <c r="I77" s="9" t="n">
        <v>8569</v>
      </c>
      <c r="J77" s="9" t="n">
        <v>77096576</v>
      </c>
    </row>
    <row r="78" customFormat="false" ht="15.75" hidden="false" customHeight="false" outlineLevel="0" collapsed="false">
      <c r="A78" s="7" t="s">
        <v>86</v>
      </c>
      <c r="B78" s="7" t="n">
        <v>7</v>
      </c>
      <c r="C78" s="9" t="n">
        <v>63132</v>
      </c>
      <c r="D78" s="9" t="n">
        <v>446356746</v>
      </c>
      <c r="E78" s="9" t="n">
        <v>23476</v>
      </c>
      <c r="F78" s="9" t="n">
        <v>169981920</v>
      </c>
      <c r="G78" s="9" t="n">
        <v>44640</v>
      </c>
      <c r="H78" s="9" t="n">
        <v>317676866</v>
      </c>
      <c r="I78" s="9" t="n">
        <v>41968</v>
      </c>
      <c r="J78" s="9" t="n">
        <v>298661800</v>
      </c>
    </row>
    <row r="79" customFormat="false" ht="15.75" hidden="false" customHeight="false" outlineLevel="0" collapsed="false">
      <c r="A79" s="7" t="s">
        <v>87</v>
      </c>
      <c r="B79" s="7" t="n">
        <v>7</v>
      </c>
      <c r="C79" s="9" t="n">
        <v>13482</v>
      </c>
      <c r="D79" s="9" t="n">
        <v>233105119</v>
      </c>
      <c r="E79" s="9" t="n">
        <v>4944</v>
      </c>
      <c r="F79" s="9" t="n">
        <v>87159960</v>
      </c>
      <c r="G79" s="9" t="n">
        <v>1296</v>
      </c>
      <c r="H79" s="9" t="n">
        <v>22525971</v>
      </c>
      <c r="I79" s="9" t="n">
        <v>17130</v>
      </c>
      <c r="J79" s="9" t="n">
        <v>297739108</v>
      </c>
    </row>
    <row r="80" customFormat="false" ht="15.75" hidden="false" customHeight="false" outlineLevel="0" collapsed="false">
      <c r="A80" s="7" t="s">
        <v>88</v>
      </c>
      <c r="B80" s="7" t="n">
        <v>7</v>
      </c>
      <c r="C80" s="9" t="n">
        <v>768</v>
      </c>
      <c r="D80" s="9" t="n">
        <v>16058112</v>
      </c>
      <c r="E80" s="9" t="n">
        <v>0</v>
      </c>
      <c r="F80" s="9" t="n">
        <v>0</v>
      </c>
      <c r="G80" s="9" t="n">
        <v>0</v>
      </c>
      <c r="H80" s="9" t="n">
        <v>0</v>
      </c>
      <c r="I80" s="9" t="n">
        <v>768</v>
      </c>
      <c r="J80" s="9" t="n">
        <v>16058112</v>
      </c>
    </row>
    <row r="81" customFormat="false" ht="15.75" hidden="false" customHeight="false" outlineLevel="0" collapsed="false">
      <c r="A81" s="7" t="s">
        <v>89</v>
      </c>
      <c r="B81" s="7" t="n">
        <v>7</v>
      </c>
      <c r="C81" s="9" t="n">
        <v>300</v>
      </c>
      <c r="D81" s="9" t="n">
        <v>6931767</v>
      </c>
      <c r="E81" s="9" t="n">
        <v>240</v>
      </c>
      <c r="F81" s="9" t="n">
        <v>5835360</v>
      </c>
      <c r="G81" s="9" t="n">
        <v>420</v>
      </c>
      <c r="H81" s="9" t="n">
        <v>9929988</v>
      </c>
      <c r="I81" s="9" t="n">
        <v>120</v>
      </c>
      <c r="J81" s="9" t="n">
        <v>2837139</v>
      </c>
    </row>
    <row r="82" customFormat="false" ht="15.75" hidden="false" customHeight="false" outlineLevel="0" collapsed="false">
      <c r="A82" s="7" t="s">
        <v>90</v>
      </c>
      <c r="B82" s="7" t="n">
        <v>7</v>
      </c>
      <c r="C82" s="9" t="n">
        <v>3312</v>
      </c>
      <c r="D82" s="9" t="n">
        <v>169647443</v>
      </c>
      <c r="E82" s="9" t="n">
        <v>1110</v>
      </c>
      <c r="F82" s="9" t="n">
        <v>58690950</v>
      </c>
      <c r="G82" s="9" t="n">
        <v>3654</v>
      </c>
      <c r="H82" s="9" t="n">
        <v>188681251</v>
      </c>
      <c r="I82" s="9" t="n">
        <v>768</v>
      </c>
      <c r="J82" s="9" t="n">
        <v>39657142</v>
      </c>
    </row>
    <row r="83" customFormat="false" ht="15.75" hidden="false" customHeight="false" outlineLevel="0" collapsed="false">
      <c r="A83" s="7" t="s">
        <v>91</v>
      </c>
      <c r="B83" s="7" t="n">
        <v>7</v>
      </c>
      <c r="C83" s="9" t="n">
        <v>8377</v>
      </c>
      <c r="D83" s="9" t="n">
        <v>71617089</v>
      </c>
      <c r="E83" s="9" t="n">
        <v>5975</v>
      </c>
      <c r="F83" s="9" t="n">
        <v>53325600</v>
      </c>
      <c r="G83" s="9" t="n">
        <v>8353</v>
      </c>
      <c r="H83" s="9" t="n">
        <v>72717829</v>
      </c>
      <c r="I83" s="9" t="n">
        <v>5999</v>
      </c>
      <c r="J83" s="9" t="n">
        <v>52224860</v>
      </c>
    </row>
    <row r="84" customFormat="false" ht="15.75" hidden="false" customHeight="false" outlineLevel="0" collapsed="false">
      <c r="A84" s="7" t="s">
        <v>92</v>
      </c>
      <c r="B84" s="7" t="n">
        <v>7</v>
      </c>
      <c r="C84" s="9" t="n">
        <v>66400</v>
      </c>
      <c r="D84" s="9" t="n">
        <v>32004800</v>
      </c>
      <c r="E84" s="9" t="n">
        <v>20000</v>
      </c>
      <c r="F84" s="9" t="n">
        <v>9748000</v>
      </c>
      <c r="G84" s="9" t="n">
        <v>74400</v>
      </c>
      <c r="H84" s="9" t="n">
        <v>35953800</v>
      </c>
      <c r="I84" s="9" t="n">
        <v>12000</v>
      </c>
      <c r="J84" s="9" t="n">
        <v>5799000</v>
      </c>
    </row>
    <row r="85" customFormat="false" ht="15.75" hidden="false" customHeight="false" outlineLevel="0" collapsed="false">
      <c r="A85" s="7" t="s">
        <v>93</v>
      </c>
      <c r="B85" s="7" t="n">
        <v>7</v>
      </c>
      <c r="C85" s="9" t="n">
        <v>180</v>
      </c>
      <c r="D85" s="9" t="n">
        <v>9146121</v>
      </c>
      <c r="E85" s="9" t="n">
        <v>60</v>
      </c>
      <c r="F85" s="9" t="n">
        <v>3165420</v>
      </c>
      <c r="G85" s="9" t="n">
        <v>0</v>
      </c>
      <c r="H85" s="9" t="n">
        <v>0</v>
      </c>
      <c r="I85" s="9" t="n">
        <v>240</v>
      </c>
      <c r="J85" s="9" t="n">
        <v>12311541</v>
      </c>
    </row>
    <row r="86" customFormat="false" ht="15.75" hidden="false" customHeight="false" outlineLevel="0" collapsed="false">
      <c r="A86" s="7" t="s">
        <v>94</v>
      </c>
      <c r="B86" s="7" t="n">
        <v>7</v>
      </c>
      <c r="C86" s="9" t="n">
        <v>288</v>
      </c>
      <c r="D86" s="9" t="n">
        <v>2591928</v>
      </c>
      <c r="E86" s="9" t="n">
        <v>48</v>
      </c>
      <c r="F86" s="9" t="n">
        <v>466656</v>
      </c>
      <c r="G86" s="9" t="n">
        <v>0</v>
      </c>
      <c r="H86" s="9" t="n">
        <v>0</v>
      </c>
      <c r="I86" s="9" t="n">
        <v>336</v>
      </c>
      <c r="J86" s="9" t="n">
        <v>3058584</v>
      </c>
    </row>
    <row r="87" customFormat="false" ht="15.75" hidden="false" customHeight="false" outlineLevel="0" collapsed="false">
      <c r="A87" s="7" t="s">
        <v>95</v>
      </c>
      <c r="B87" s="7" t="n">
        <v>7</v>
      </c>
      <c r="C87" s="9" t="n">
        <v>1440</v>
      </c>
      <c r="D87" s="9" t="n">
        <v>11598624</v>
      </c>
      <c r="E87" s="9" t="n">
        <v>360</v>
      </c>
      <c r="F87" s="9" t="n">
        <v>2983572</v>
      </c>
      <c r="G87" s="9" t="n">
        <v>0</v>
      </c>
      <c r="H87" s="9" t="n">
        <v>0</v>
      </c>
      <c r="I87" s="9" t="n">
        <v>1800</v>
      </c>
      <c r="J87" s="9" t="n">
        <v>14582196</v>
      </c>
    </row>
    <row r="88" customFormat="false" ht="15.75" hidden="false" customHeight="false" outlineLevel="0" collapsed="false">
      <c r="A88" s="7" t="s">
        <v>96</v>
      </c>
      <c r="B88" s="7" t="n">
        <v>7</v>
      </c>
      <c r="C88" s="9" t="n">
        <v>441</v>
      </c>
      <c r="D88" s="9" t="n">
        <v>47547947</v>
      </c>
      <c r="E88" s="9" t="n">
        <v>135</v>
      </c>
      <c r="F88" s="9" t="n">
        <v>15592455</v>
      </c>
      <c r="G88" s="9" t="n">
        <v>87</v>
      </c>
      <c r="H88" s="9" t="n">
        <v>9536832</v>
      </c>
      <c r="I88" s="9" t="n">
        <v>489</v>
      </c>
      <c r="J88" s="9" t="n">
        <v>53603570</v>
      </c>
    </row>
    <row r="89" customFormat="false" ht="15.75" hidden="false" customHeight="false" outlineLevel="0" collapsed="false">
      <c r="A89" s="7" t="s">
        <v>97</v>
      </c>
      <c r="B89" s="7" t="n">
        <v>7</v>
      </c>
      <c r="C89" s="9" t="n">
        <v>70400</v>
      </c>
      <c r="D89" s="9" t="n">
        <v>33932800</v>
      </c>
      <c r="E89" s="9" t="n">
        <v>24000</v>
      </c>
      <c r="F89" s="9" t="n">
        <v>11712000</v>
      </c>
      <c r="G89" s="9" t="n">
        <v>78400</v>
      </c>
      <c r="H89" s="9" t="n">
        <v>37908393</v>
      </c>
      <c r="I89" s="9" t="n">
        <v>16000</v>
      </c>
      <c r="J89" s="9" t="n">
        <v>7736407</v>
      </c>
    </row>
    <row r="90" customFormat="false" ht="15.75" hidden="false" customHeight="false" outlineLevel="0" collapsed="false">
      <c r="A90" s="7" t="s">
        <v>98</v>
      </c>
      <c r="B90" s="7" t="n">
        <v>7</v>
      </c>
      <c r="C90" s="9" t="n">
        <v>3168</v>
      </c>
      <c r="D90" s="9" t="n">
        <v>30891576</v>
      </c>
      <c r="E90" s="9" t="n">
        <v>600</v>
      </c>
      <c r="F90" s="9" t="n">
        <v>6333600</v>
      </c>
      <c r="G90" s="9" t="n">
        <v>240</v>
      </c>
      <c r="H90" s="9" t="n">
        <v>2371030</v>
      </c>
      <c r="I90" s="9" t="n">
        <v>3528</v>
      </c>
      <c r="J90" s="9" t="n">
        <v>34854146</v>
      </c>
    </row>
    <row r="91" customFormat="false" ht="15.75" hidden="false" customHeight="false" outlineLevel="0" collapsed="false">
      <c r="A91" s="7" t="s">
        <v>99</v>
      </c>
      <c r="B91" s="7" t="n">
        <v>7</v>
      </c>
      <c r="C91" s="9" t="n">
        <v>0</v>
      </c>
      <c r="D91" s="9" t="n">
        <v>0</v>
      </c>
      <c r="E91" s="9" t="n">
        <v>0</v>
      </c>
      <c r="F91" s="9" t="n">
        <v>0</v>
      </c>
      <c r="G91" s="9" t="n">
        <v>0</v>
      </c>
      <c r="H91" s="9" t="n">
        <v>0</v>
      </c>
      <c r="I91" s="9" t="n">
        <v>0</v>
      </c>
      <c r="J91" s="9" t="n">
        <v>0</v>
      </c>
    </row>
    <row r="92" customFormat="false" ht="15.75" hidden="false" customHeight="false" outlineLevel="0" collapsed="false">
      <c r="A92" s="7" t="s">
        <v>100</v>
      </c>
      <c r="B92" s="7" t="n">
        <v>7</v>
      </c>
      <c r="C92" s="9" t="n">
        <v>4028</v>
      </c>
      <c r="D92" s="9" t="n">
        <v>196909461</v>
      </c>
      <c r="E92" s="9" t="n">
        <v>1229</v>
      </c>
      <c r="F92" s="9" t="n">
        <v>58690950</v>
      </c>
      <c r="G92" s="9" t="n">
        <v>3894</v>
      </c>
      <c r="H92" s="9" t="n">
        <v>189330036</v>
      </c>
      <c r="I92" s="9" t="n">
        <v>1363</v>
      </c>
      <c r="J92" s="9" t="n">
        <v>66270375</v>
      </c>
    </row>
    <row r="93" customFormat="false" ht="15.75" hidden="false" customHeight="false" outlineLevel="0" collapsed="false">
      <c r="A93" s="7" t="s">
        <v>101</v>
      </c>
      <c r="B93" s="7" t="n">
        <v>7</v>
      </c>
      <c r="C93" s="9" t="n">
        <v>11853</v>
      </c>
      <c r="D93" s="9" t="n">
        <v>68083549</v>
      </c>
      <c r="E93" s="9" t="n">
        <v>9930</v>
      </c>
      <c r="F93" s="9" t="n">
        <v>78694320</v>
      </c>
      <c r="G93" s="9" t="n">
        <v>7248</v>
      </c>
      <c r="H93" s="9" t="n">
        <v>48838360</v>
      </c>
      <c r="I93" s="9" t="n">
        <v>14535</v>
      </c>
      <c r="J93" s="9" t="n">
        <v>97939509</v>
      </c>
    </row>
    <row r="94" customFormat="false" ht="15.75" hidden="false" customHeight="false" outlineLevel="0" collapsed="false">
      <c r="A94" s="7" t="s">
        <v>102</v>
      </c>
      <c r="B94" s="7" t="n">
        <v>7</v>
      </c>
      <c r="C94" s="9" t="n">
        <v>984</v>
      </c>
      <c r="D94" s="9" t="n">
        <v>22785400</v>
      </c>
      <c r="E94" s="9" t="n">
        <v>720</v>
      </c>
      <c r="F94" s="9" t="n">
        <v>17559600</v>
      </c>
      <c r="G94" s="9" t="n">
        <v>1200</v>
      </c>
      <c r="H94" s="9" t="n">
        <v>28411973</v>
      </c>
      <c r="I94" s="9" t="n">
        <v>504</v>
      </c>
      <c r="J94" s="9" t="n">
        <v>11933027</v>
      </c>
    </row>
    <row r="95" customFormat="false" ht="15.75" hidden="false" customHeight="false" outlineLevel="0" collapsed="false">
      <c r="A95" s="7" t="s">
        <v>103</v>
      </c>
      <c r="B95" s="7" t="n">
        <v>7</v>
      </c>
      <c r="C95" s="9" t="n">
        <v>3840</v>
      </c>
      <c r="D95" s="9" t="n">
        <v>51255300</v>
      </c>
      <c r="E95" s="9" t="n">
        <v>420</v>
      </c>
      <c r="F95" s="9" t="n">
        <v>2666688</v>
      </c>
      <c r="G95" s="9" t="n">
        <v>0</v>
      </c>
      <c r="H95" s="9" t="n">
        <v>0</v>
      </c>
      <c r="I95" s="9" t="n">
        <v>4260</v>
      </c>
      <c r="J95" s="9" t="n">
        <v>53921988</v>
      </c>
    </row>
    <row r="96" customFormat="false" ht="15.75" hidden="false" customHeight="false" outlineLevel="0" collapsed="false">
      <c r="A96" s="7" t="s">
        <v>104</v>
      </c>
      <c r="B96" s="7" t="n">
        <v>7</v>
      </c>
      <c r="C96" s="9" t="n">
        <v>360</v>
      </c>
      <c r="D96" s="9" t="n">
        <v>6545520</v>
      </c>
      <c r="E96" s="9" t="n">
        <v>0</v>
      </c>
      <c r="F96" s="9" t="n">
        <v>0</v>
      </c>
      <c r="G96" s="9" t="n">
        <v>0</v>
      </c>
      <c r="H96" s="9" t="n">
        <v>0</v>
      </c>
      <c r="I96" s="9" t="n">
        <v>360</v>
      </c>
      <c r="J96" s="9" t="n">
        <v>6545520</v>
      </c>
    </row>
    <row r="97" customFormat="false" ht="15.75" hidden="false" customHeight="false" outlineLevel="0" collapsed="false">
      <c r="A97" s="7" t="s">
        <v>105</v>
      </c>
      <c r="B97" s="7" t="n">
        <v>7</v>
      </c>
      <c r="C97" s="9" t="n">
        <v>420</v>
      </c>
      <c r="D97" s="9" t="n">
        <v>21097560</v>
      </c>
      <c r="E97" s="9" t="n">
        <v>60</v>
      </c>
      <c r="F97" s="9" t="n">
        <v>3165420</v>
      </c>
      <c r="G97" s="9" t="n">
        <v>30</v>
      </c>
      <c r="H97" s="9" t="n">
        <v>1516436</v>
      </c>
      <c r="I97" s="9" t="n">
        <v>450</v>
      </c>
      <c r="J97" s="9" t="n">
        <v>22746544</v>
      </c>
    </row>
    <row r="98" customFormat="false" ht="15.75" hidden="false" customHeight="false" outlineLevel="0" collapsed="false">
      <c r="A98" s="7" t="s">
        <v>106</v>
      </c>
      <c r="B98" s="7" t="n">
        <v>7</v>
      </c>
      <c r="C98" s="9" t="n">
        <v>960</v>
      </c>
      <c r="D98" s="9" t="n">
        <v>8552520</v>
      </c>
      <c r="E98" s="9" t="n">
        <v>312</v>
      </c>
      <c r="F98" s="9" t="n">
        <v>3012024</v>
      </c>
      <c r="G98" s="9" t="n">
        <v>0</v>
      </c>
      <c r="H98" s="9" t="n">
        <v>0</v>
      </c>
      <c r="I98" s="9" t="n">
        <v>1272</v>
      </c>
      <c r="J98" s="9" t="n">
        <v>11564544</v>
      </c>
    </row>
    <row r="99" customFormat="false" ht="15.75" hidden="false" customHeight="false" outlineLevel="0" collapsed="false">
      <c r="A99" s="7" t="s">
        <v>107</v>
      </c>
      <c r="B99" s="7" t="n">
        <v>7</v>
      </c>
      <c r="C99" s="9" t="n">
        <v>508</v>
      </c>
      <c r="D99" s="9" t="n">
        <v>1341900</v>
      </c>
      <c r="E99" s="9" t="n">
        <v>32</v>
      </c>
      <c r="F99" s="9" t="n">
        <v>0</v>
      </c>
      <c r="G99" s="9" t="n">
        <v>0</v>
      </c>
      <c r="H99" s="9" t="n">
        <v>0</v>
      </c>
      <c r="I99" s="9" t="n">
        <v>540</v>
      </c>
      <c r="J99" s="9" t="n">
        <v>1341900</v>
      </c>
    </row>
    <row r="100" customFormat="false" ht="15.75" hidden="false" customHeight="false" outlineLevel="0" collapsed="false">
      <c r="A100" s="7" t="s">
        <v>108</v>
      </c>
      <c r="B100" s="7" t="n">
        <v>7</v>
      </c>
      <c r="C100" s="9" t="n">
        <v>19595</v>
      </c>
      <c r="D100" s="9" t="n">
        <v>132377367</v>
      </c>
      <c r="E100" s="9" t="n">
        <v>8280</v>
      </c>
      <c r="F100" s="9" t="n">
        <v>60606360</v>
      </c>
      <c r="G100" s="9" t="n">
        <v>576</v>
      </c>
      <c r="H100" s="9" t="n">
        <v>3987753</v>
      </c>
      <c r="I100" s="9" t="n">
        <v>27299</v>
      </c>
      <c r="J100" s="9" t="n">
        <v>188995974</v>
      </c>
    </row>
    <row r="101" customFormat="false" ht="15.75" hidden="false" customHeight="false" outlineLevel="0" collapsed="false">
      <c r="A101" s="7" t="s">
        <v>109</v>
      </c>
      <c r="B101" s="7" t="n">
        <v>7</v>
      </c>
      <c r="C101" s="9" t="n">
        <v>0</v>
      </c>
      <c r="D101" s="9" t="n">
        <v>0</v>
      </c>
      <c r="E101" s="9" t="n">
        <v>0</v>
      </c>
      <c r="F101" s="9" t="n">
        <v>0</v>
      </c>
      <c r="G101" s="9" t="n">
        <v>0</v>
      </c>
      <c r="H101" s="9" t="n">
        <v>0</v>
      </c>
      <c r="I101" s="9" t="n">
        <v>0</v>
      </c>
      <c r="J101" s="9" t="n">
        <v>0</v>
      </c>
    </row>
    <row r="102" customFormat="false" ht="15.75" hidden="false" customHeight="false" outlineLevel="0" collapsed="false">
      <c r="A102" s="7" t="s">
        <v>110</v>
      </c>
      <c r="B102" s="7" t="n">
        <v>7</v>
      </c>
      <c r="C102" s="9" t="n">
        <v>2808</v>
      </c>
      <c r="D102" s="9" t="n">
        <v>47589140</v>
      </c>
      <c r="E102" s="9" t="n">
        <v>900</v>
      </c>
      <c r="F102" s="9" t="n">
        <v>16250400</v>
      </c>
      <c r="G102" s="9" t="n">
        <v>2268</v>
      </c>
      <c r="H102" s="9" t="n">
        <v>39047486</v>
      </c>
      <c r="I102" s="9" t="n">
        <v>1440</v>
      </c>
      <c r="J102" s="9" t="n">
        <v>24792054</v>
      </c>
    </row>
    <row r="103" customFormat="false" ht="15.75" hidden="false" customHeight="false" outlineLevel="0" collapsed="false">
      <c r="A103" s="7" t="s">
        <v>111</v>
      </c>
      <c r="B103" s="7" t="n">
        <v>7</v>
      </c>
      <c r="C103" s="9" t="n">
        <v>4297</v>
      </c>
      <c r="D103" s="9" t="n">
        <v>33713136</v>
      </c>
      <c r="E103" s="9" t="n">
        <v>6617</v>
      </c>
      <c r="F103" s="9" t="n">
        <v>53510400</v>
      </c>
      <c r="G103" s="9" t="n">
        <v>0</v>
      </c>
      <c r="H103" s="9" t="n">
        <v>0</v>
      </c>
      <c r="I103" s="9" t="n">
        <v>10914</v>
      </c>
      <c r="J103" s="9" t="n">
        <v>87223536</v>
      </c>
    </row>
    <row r="104" customFormat="false" ht="15.75" hidden="false" customHeight="false" outlineLevel="0" collapsed="false">
      <c r="A104" s="7" t="s">
        <v>112</v>
      </c>
      <c r="B104" s="7" t="n">
        <v>7</v>
      </c>
      <c r="C104" s="9" t="n">
        <v>4440</v>
      </c>
      <c r="D104" s="9" t="n">
        <v>35208199</v>
      </c>
      <c r="E104" s="9" t="n">
        <v>1320</v>
      </c>
      <c r="F104" s="9" t="n">
        <v>10702080</v>
      </c>
      <c r="G104" s="9" t="n">
        <v>1080</v>
      </c>
      <c r="H104" s="9" t="n">
        <v>8608177</v>
      </c>
      <c r="I104" s="9" t="n">
        <v>4680</v>
      </c>
      <c r="J104" s="9" t="n">
        <v>37302102</v>
      </c>
    </row>
    <row r="105" customFormat="false" ht="15.75" hidden="false" customHeight="false" outlineLevel="0" collapsed="false">
      <c r="A105" s="7" t="s">
        <v>113</v>
      </c>
      <c r="B105" s="7" t="n">
        <v>7</v>
      </c>
      <c r="C105" s="9" t="n">
        <v>96</v>
      </c>
      <c r="D105" s="9" t="n">
        <v>1483680</v>
      </c>
      <c r="E105" s="9" t="n">
        <v>48</v>
      </c>
      <c r="F105" s="9" t="n">
        <v>800016</v>
      </c>
      <c r="G105" s="9" t="n">
        <v>0</v>
      </c>
      <c r="H105" s="9" t="n">
        <v>0</v>
      </c>
      <c r="I105" s="9" t="n">
        <v>144</v>
      </c>
      <c r="J105" s="9" t="n">
        <v>2283696</v>
      </c>
    </row>
    <row r="106" customFormat="false" ht="15.75" hidden="false" customHeight="false" outlineLevel="0" collapsed="false">
      <c r="A106" s="7" t="s">
        <v>114</v>
      </c>
      <c r="B106" s="7" t="n">
        <v>7</v>
      </c>
      <c r="C106" s="9" t="n">
        <v>264</v>
      </c>
      <c r="D106" s="9" t="n">
        <v>4821864</v>
      </c>
      <c r="E106" s="9" t="n">
        <v>0</v>
      </c>
      <c r="F106" s="9" t="n">
        <v>0</v>
      </c>
      <c r="G106" s="9" t="n">
        <v>0</v>
      </c>
      <c r="H106" s="9" t="n">
        <v>0</v>
      </c>
      <c r="I106" s="9" t="n">
        <v>264</v>
      </c>
      <c r="J106" s="9" t="n">
        <v>4821864</v>
      </c>
    </row>
    <row r="107" customFormat="false" ht="15.75" hidden="false" customHeight="false" outlineLevel="0" collapsed="false">
      <c r="A107" s="7" t="s">
        <v>115</v>
      </c>
      <c r="B107" s="7" t="n">
        <v>7</v>
      </c>
      <c r="C107" s="9" t="n">
        <v>0</v>
      </c>
      <c r="D107" s="9" t="n">
        <v>0</v>
      </c>
      <c r="E107" s="9" t="n">
        <v>0</v>
      </c>
      <c r="F107" s="9" t="n">
        <v>0</v>
      </c>
      <c r="G107" s="9" t="n">
        <v>0</v>
      </c>
      <c r="H107" s="9" t="n">
        <v>0</v>
      </c>
      <c r="I107" s="9" t="n">
        <v>0</v>
      </c>
      <c r="J107" s="9" t="n">
        <v>0</v>
      </c>
    </row>
    <row r="108" customFormat="false" ht="15.75" hidden="false" customHeight="false" outlineLevel="0" collapsed="false">
      <c r="A108" s="7" t="s">
        <v>116</v>
      </c>
      <c r="B108" s="7" t="n">
        <v>7</v>
      </c>
      <c r="C108" s="9" t="n">
        <v>0</v>
      </c>
      <c r="D108" s="9" t="n">
        <v>0</v>
      </c>
      <c r="E108" s="9" t="n">
        <v>0</v>
      </c>
      <c r="F108" s="9" t="n">
        <v>0</v>
      </c>
      <c r="G108" s="9" t="n">
        <v>0</v>
      </c>
      <c r="H108" s="9" t="n">
        <v>0</v>
      </c>
      <c r="I108" s="9" t="n">
        <v>0</v>
      </c>
      <c r="J108" s="9" t="n">
        <v>0</v>
      </c>
    </row>
    <row r="109" customFormat="false" ht="15.75" hidden="false" customHeight="false" outlineLevel="0" collapsed="false">
      <c r="A109" s="7" t="s">
        <v>117</v>
      </c>
      <c r="B109" s="7" t="n">
        <v>7</v>
      </c>
      <c r="C109" s="9" t="n">
        <v>72</v>
      </c>
      <c r="D109" s="9" t="n">
        <v>1178208</v>
      </c>
      <c r="E109" s="9" t="n">
        <v>24</v>
      </c>
      <c r="F109" s="9" t="n">
        <v>422232</v>
      </c>
      <c r="G109" s="9" t="n">
        <v>0</v>
      </c>
      <c r="H109" s="9" t="n">
        <v>0</v>
      </c>
      <c r="I109" s="9" t="n">
        <v>96</v>
      </c>
      <c r="J109" s="9" t="n">
        <v>1600440</v>
      </c>
    </row>
    <row r="110" customFormat="false" ht="15.75" hidden="false" customHeight="false" outlineLevel="0" collapsed="false">
      <c r="A110" s="7" t="s">
        <v>118</v>
      </c>
      <c r="B110" s="7" t="n">
        <v>7</v>
      </c>
      <c r="C110" s="9" t="n">
        <v>492</v>
      </c>
      <c r="D110" s="9" t="n">
        <v>19652556</v>
      </c>
      <c r="E110" s="9" t="n">
        <v>240</v>
      </c>
      <c r="F110" s="9" t="n">
        <v>9972792</v>
      </c>
      <c r="G110" s="9" t="n">
        <v>0</v>
      </c>
      <c r="H110" s="9" t="n">
        <v>0</v>
      </c>
      <c r="I110" s="9" t="n">
        <v>732</v>
      </c>
      <c r="J110" s="9" t="n">
        <v>29625348</v>
      </c>
    </row>
    <row r="111" customFormat="false" ht="15.75" hidden="false" customHeight="false" outlineLevel="0" collapsed="false">
      <c r="A111" s="7" t="s">
        <v>119</v>
      </c>
      <c r="B111" s="7" t="n">
        <v>7</v>
      </c>
      <c r="C111" s="9" t="n">
        <v>200</v>
      </c>
      <c r="D111" s="9" t="n">
        <v>4545400</v>
      </c>
      <c r="E111" s="9" t="n">
        <v>120</v>
      </c>
      <c r="F111" s="9" t="n">
        <v>2777760</v>
      </c>
      <c r="G111" s="9" t="n">
        <v>0</v>
      </c>
      <c r="H111" s="9" t="n">
        <v>0</v>
      </c>
      <c r="I111" s="9" t="n">
        <v>320</v>
      </c>
      <c r="J111" s="9" t="n">
        <v>7323160</v>
      </c>
    </row>
    <row r="112" customFormat="false" ht="15.75" hidden="false" customHeight="false" outlineLevel="0" collapsed="false">
      <c r="A112" s="7" t="s">
        <v>120</v>
      </c>
      <c r="B112" s="7" t="n">
        <v>7</v>
      </c>
      <c r="C112" s="9" t="n">
        <v>120</v>
      </c>
      <c r="D112" s="9" t="n">
        <v>2618160</v>
      </c>
      <c r="E112" s="9" t="n">
        <v>40</v>
      </c>
      <c r="F112" s="9" t="n">
        <v>888880</v>
      </c>
      <c r="G112" s="9" t="n">
        <v>0</v>
      </c>
      <c r="H112" s="9" t="n">
        <v>0</v>
      </c>
      <c r="I112" s="9" t="n">
        <v>160</v>
      </c>
      <c r="J112" s="9" t="n">
        <v>3507040</v>
      </c>
    </row>
    <row r="113" customFormat="false" ht="15.75" hidden="false" customHeight="false" outlineLevel="0" collapsed="false">
      <c r="A113" s="7" t="s">
        <v>121</v>
      </c>
      <c r="B113" s="7" t="n">
        <v>7</v>
      </c>
      <c r="C113" s="9" t="n">
        <v>5944</v>
      </c>
      <c r="D113" s="9" t="n">
        <v>67969990</v>
      </c>
      <c r="E113" s="9" t="n">
        <v>2675</v>
      </c>
      <c r="F113" s="9" t="n">
        <v>31620000</v>
      </c>
      <c r="G113" s="9" t="n">
        <v>1080</v>
      </c>
      <c r="H113" s="9" t="n">
        <v>12479080</v>
      </c>
      <c r="I113" s="9" t="n">
        <v>7539</v>
      </c>
      <c r="J113" s="9" t="n">
        <v>87110910</v>
      </c>
    </row>
    <row r="114" customFormat="false" ht="15.75" hidden="false" customHeight="false" outlineLevel="0" collapsed="false">
      <c r="A114" s="7" t="s">
        <v>122</v>
      </c>
      <c r="B114" s="7" t="n">
        <v>7</v>
      </c>
      <c r="C114" s="9" t="n">
        <v>0</v>
      </c>
      <c r="D114" s="9" t="n">
        <v>0</v>
      </c>
      <c r="E114" s="9" t="n">
        <v>0</v>
      </c>
      <c r="F114" s="9" t="n">
        <v>0</v>
      </c>
      <c r="G114" s="9" t="n">
        <v>0</v>
      </c>
      <c r="H114" s="9" t="n">
        <v>0</v>
      </c>
      <c r="I114" s="9" t="n">
        <v>0</v>
      </c>
      <c r="J114" s="9" t="n">
        <v>0</v>
      </c>
    </row>
    <row r="115" customFormat="false" ht="15.75" hidden="false" customHeight="false" outlineLevel="0" collapsed="false">
      <c r="A115" s="7" t="s">
        <v>123</v>
      </c>
      <c r="B115" s="7" t="n">
        <v>7</v>
      </c>
      <c r="C115" s="9" t="n">
        <v>144</v>
      </c>
      <c r="D115" s="9" t="n">
        <v>2421792</v>
      </c>
      <c r="E115" s="9" t="n">
        <v>0</v>
      </c>
      <c r="F115" s="9" t="n">
        <v>0</v>
      </c>
      <c r="G115" s="9" t="n">
        <v>0</v>
      </c>
      <c r="H115" s="9" t="n">
        <v>0</v>
      </c>
      <c r="I115" s="9" t="n">
        <v>144</v>
      </c>
      <c r="J115" s="9" t="n">
        <v>2421792</v>
      </c>
    </row>
    <row r="116" customFormat="false" ht="15.75" hidden="false" customHeight="false" outlineLevel="0" collapsed="false">
      <c r="A116" s="7" t="s">
        <v>124</v>
      </c>
      <c r="B116" s="7" t="n">
        <v>7</v>
      </c>
      <c r="C116" s="9" t="n">
        <v>0</v>
      </c>
      <c r="D116" s="9" t="n">
        <v>0</v>
      </c>
      <c r="E116" s="9" t="n">
        <v>0</v>
      </c>
      <c r="F116" s="9" t="n">
        <v>0</v>
      </c>
      <c r="G116" s="9" t="n">
        <v>0</v>
      </c>
      <c r="H116" s="9" t="n">
        <v>0</v>
      </c>
      <c r="I116" s="9" t="n">
        <v>0</v>
      </c>
      <c r="J116" s="9" t="n">
        <v>0</v>
      </c>
    </row>
    <row r="117" customFormat="false" ht="15.75" hidden="false" customHeight="false" outlineLevel="0" collapsed="false">
      <c r="A117" s="7" t="s">
        <v>125</v>
      </c>
      <c r="B117" s="7" t="n">
        <v>7</v>
      </c>
      <c r="C117" s="9" t="n">
        <v>2172</v>
      </c>
      <c r="D117" s="9" t="n">
        <v>92483174</v>
      </c>
      <c r="E117" s="9" t="n">
        <v>480</v>
      </c>
      <c r="F117" s="9" t="n">
        <v>21555360</v>
      </c>
      <c r="G117" s="9" t="n">
        <v>540</v>
      </c>
      <c r="H117" s="9" t="n">
        <v>23220516</v>
      </c>
      <c r="I117" s="9" t="n">
        <v>2112</v>
      </c>
      <c r="J117" s="9" t="n">
        <v>90818018</v>
      </c>
    </row>
    <row r="118" customFormat="false" ht="15.75" hidden="false" customHeight="false" outlineLevel="0" collapsed="false">
      <c r="A118" s="7" t="s">
        <v>126</v>
      </c>
      <c r="B118" s="7" t="n">
        <v>7</v>
      </c>
      <c r="C118" s="9" t="n">
        <v>40427</v>
      </c>
      <c r="D118" s="9" t="n">
        <v>222464647</v>
      </c>
      <c r="E118" s="9" t="n">
        <v>18300</v>
      </c>
      <c r="F118" s="9" t="n">
        <v>83995200</v>
      </c>
      <c r="G118" s="9" t="n">
        <v>36095</v>
      </c>
      <c r="H118" s="9" t="n">
        <v>188357454</v>
      </c>
      <c r="I118" s="9" t="n">
        <v>22632</v>
      </c>
      <c r="J118" s="9" t="n">
        <v>118102393</v>
      </c>
    </row>
    <row r="119" customFormat="false" ht="15.75" hidden="false" customHeight="false" outlineLevel="0" collapsed="false">
      <c r="A119" s="7" t="s">
        <v>127</v>
      </c>
      <c r="B119" s="7" t="n">
        <v>7</v>
      </c>
      <c r="C119" s="9" t="n">
        <v>7161</v>
      </c>
      <c r="D119" s="9" t="n">
        <v>39764658</v>
      </c>
      <c r="E119" s="9" t="n">
        <v>2230</v>
      </c>
      <c r="F119" s="9" t="n">
        <v>12472080</v>
      </c>
      <c r="G119" s="9" t="n">
        <v>0</v>
      </c>
      <c r="H119" s="9" t="n">
        <v>0</v>
      </c>
      <c r="I119" s="9" t="n">
        <v>9391</v>
      </c>
      <c r="J119" s="9" t="n">
        <v>52236738</v>
      </c>
    </row>
    <row r="120" customFormat="false" ht="15.75" hidden="false" customHeight="false" outlineLevel="0" collapsed="false">
      <c r="A120" s="7" t="s">
        <v>128</v>
      </c>
      <c r="B120" s="7" t="n">
        <v>7</v>
      </c>
      <c r="C120" s="9" t="n">
        <v>1260</v>
      </c>
      <c r="D120" s="9" t="n">
        <v>18900000</v>
      </c>
      <c r="E120" s="9" t="n">
        <v>200</v>
      </c>
      <c r="F120" s="9" t="n">
        <v>3055600</v>
      </c>
      <c r="G120" s="9" t="n">
        <v>100</v>
      </c>
      <c r="H120" s="9" t="n">
        <v>1503808</v>
      </c>
      <c r="I120" s="9" t="n">
        <v>1360</v>
      </c>
      <c r="J120" s="9" t="n">
        <v>20451792</v>
      </c>
    </row>
    <row r="121" customFormat="false" ht="15.75" hidden="false" customHeight="false" outlineLevel="0" collapsed="false">
      <c r="A121" s="7" t="s">
        <v>129</v>
      </c>
      <c r="B121" s="7" t="n">
        <v>7</v>
      </c>
      <c r="C121" s="9" t="n">
        <v>0</v>
      </c>
      <c r="D121" s="9" t="n">
        <v>0</v>
      </c>
      <c r="E121" s="9" t="n">
        <v>0</v>
      </c>
      <c r="F121" s="9" t="n">
        <v>0</v>
      </c>
      <c r="G121" s="9" t="n">
        <v>0</v>
      </c>
      <c r="H121" s="9" t="n">
        <v>0</v>
      </c>
      <c r="I121" s="9" t="n">
        <v>0</v>
      </c>
      <c r="J121" s="9" t="n">
        <v>0</v>
      </c>
    </row>
    <row r="122" customFormat="false" ht="15.75" hidden="false" customHeight="false" outlineLevel="0" collapsed="false">
      <c r="A122" s="7" t="s">
        <v>130</v>
      </c>
      <c r="B122" s="7" t="n">
        <v>7</v>
      </c>
      <c r="C122" s="9" t="n">
        <v>133</v>
      </c>
      <c r="D122" s="9" t="n">
        <v>6226794</v>
      </c>
      <c r="E122" s="9" t="n">
        <v>28</v>
      </c>
      <c r="F122" s="9" t="n">
        <v>1335180</v>
      </c>
      <c r="G122" s="9" t="n">
        <v>133</v>
      </c>
      <c r="H122" s="9" t="n">
        <v>6246848</v>
      </c>
      <c r="I122" s="9" t="n">
        <v>28</v>
      </c>
      <c r="J122" s="9" t="n">
        <v>1315126</v>
      </c>
    </row>
    <row r="123" customFormat="false" ht="15.75" hidden="false" customHeight="false" outlineLevel="0" collapsed="false">
      <c r="A123" s="7" t="s">
        <v>131</v>
      </c>
      <c r="B123" s="7" t="n">
        <v>7</v>
      </c>
      <c r="C123" s="9" t="n">
        <v>88</v>
      </c>
      <c r="D123" s="9" t="n">
        <v>4320008</v>
      </c>
      <c r="E123" s="9" t="n">
        <v>0</v>
      </c>
      <c r="F123" s="9" t="n">
        <v>0</v>
      </c>
      <c r="G123" s="9" t="n">
        <v>25</v>
      </c>
      <c r="H123" s="9" t="n">
        <v>1227275</v>
      </c>
      <c r="I123" s="9" t="n">
        <v>63</v>
      </c>
      <c r="J123" s="9" t="n">
        <v>3092733</v>
      </c>
    </row>
    <row r="124" customFormat="false" ht="15.75" hidden="false" customHeight="false" outlineLevel="0" collapsed="false">
      <c r="A124" s="7" t="s">
        <v>132</v>
      </c>
      <c r="B124" s="7" t="n">
        <v>7</v>
      </c>
      <c r="C124" s="9" t="n">
        <v>190</v>
      </c>
      <c r="D124" s="9" t="n">
        <v>8290840</v>
      </c>
      <c r="E124" s="9" t="n">
        <v>201</v>
      </c>
      <c r="F124" s="9" t="n">
        <v>8933244</v>
      </c>
      <c r="G124" s="9" t="n">
        <v>190</v>
      </c>
      <c r="H124" s="9" t="n">
        <v>8369759</v>
      </c>
      <c r="I124" s="9" t="n">
        <v>201</v>
      </c>
      <c r="J124" s="9" t="n">
        <v>8854325</v>
      </c>
    </row>
    <row r="125" customFormat="false" ht="15.75" hidden="false" customHeight="false" outlineLevel="0" collapsed="false">
      <c r="A125" s="7" t="s">
        <v>133</v>
      </c>
      <c r="B125" s="7" t="n">
        <v>7</v>
      </c>
      <c r="C125" s="9" t="n">
        <v>143</v>
      </c>
      <c r="D125" s="9" t="n">
        <v>5330039</v>
      </c>
      <c r="E125" s="9" t="n">
        <v>38</v>
      </c>
      <c r="F125" s="9" t="n">
        <v>1438454</v>
      </c>
      <c r="G125" s="9" t="n">
        <v>149</v>
      </c>
      <c r="H125" s="9" t="n">
        <v>5571853</v>
      </c>
      <c r="I125" s="9" t="n">
        <v>32</v>
      </c>
      <c r="J125" s="9" t="n">
        <v>1196640</v>
      </c>
    </row>
    <row r="126" customFormat="false" ht="15.75" hidden="false" customHeight="false" outlineLevel="0" collapsed="false">
      <c r="A126" s="7" t="s">
        <v>134</v>
      </c>
      <c r="B126" s="7" t="n">
        <v>7</v>
      </c>
      <c r="C126" s="9" t="n">
        <v>23</v>
      </c>
      <c r="D126" s="9" t="n">
        <v>658628</v>
      </c>
      <c r="E126" s="9" t="n">
        <v>15</v>
      </c>
      <c r="F126" s="9" t="n">
        <v>429540</v>
      </c>
      <c r="G126" s="9" t="n">
        <v>0</v>
      </c>
      <c r="H126" s="9" t="n">
        <v>0</v>
      </c>
      <c r="I126" s="9" t="n">
        <v>38</v>
      </c>
      <c r="J126" s="9" t="n">
        <v>1088168</v>
      </c>
    </row>
    <row r="127" customFormat="false" ht="15.75" hidden="false" customHeight="false" outlineLevel="0" collapsed="false">
      <c r="A127" s="7" t="s">
        <v>135</v>
      </c>
      <c r="B127" s="7" t="n">
        <v>7</v>
      </c>
      <c r="C127" s="9" t="n">
        <v>210</v>
      </c>
      <c r="D127" s="9" t="n">
        <v>38558891</v>
      </c>
      <c r="E127" s="9" t="n">
        <v>160</v>
      </c>
      <c r="F127" s="9" t="n">
        <v>29394880</v>
      </c>
      <c r="G127" s="9" t="n">
        <v>248</v>
      </c>
      <c r="H127" s="9" t="n">
        <v>45547392</v>
      </c>
      <c r="I127" s="9" t="n">
        <v>122</v>
      </c>
      <c r="J127" s="9" t="n">
        <v>22406379</v>
      </c>
    </row>
    <row r="128" customFormat="false" ht="15.75" hidden="false" customHeight="false" outlineLevel="0" collapsed="false">
      <c r="A128" s="7" t="s">
        <v>136</v>
      </c>
      <c r="B128" s="7" t="n">
        <v>7</v>
      </c>
      <c r="C128" s="9" t="n">
        <v>9385</v>
      </c>
      <c r="D128" s="9" t="n">
        <v>138192659</v>
      </c>
      <c r="E128" s="9" t="n">
        <v>3204</v>
      </c>
      <c r="F128" s="9" t="n">
        <v>47267040</v>
      </c>
      <c r="G128" s="9" t="n">
        <v>9840</v>
      </c>
      <c r="H128" s="9" t="n">
        <v>144961747</v>
      </c>
      <c r="I128" s="9" t="n">
        <v>2749</v>
      </c>
      <c r="J128" s="9" t="n">
        <v>40497952</v>
      </c>
    </row>
    <row r="129" customFormat="false" ht="15.75" hidden="false" customHeight="false" outlineLevel="0" collapsed="false">
      <c r="A129" s="7" t="s">
        <v>137</v>
      </c>
      <c r="B129" s="7" t="n">
        <v>7</v>
      </c>
      <c r="C129" s="9" t="n">
        <v>0</v>
      </c>
      <c r="D129" s="9" t="n">
        <v>0</v>
      </c>
      <c r="E129" s="9" t="n">
        <v>0</v>
      </c>
      <c r="F129" s="9" t="n">
        <v>0</v>
      </c>
      <c r="G129" s="9" t="n">
        <v>0</v>
      </c>
      <c r="H129" s="9" t="n">
        <v>0</v>
      </c>
      <c r="I129" s="9" t="n">
        <v>0</v>
      </c>
      <c r="J129" s="9" t="n">
        <v>0</v>
      </c>
    </row>
    <row r="130" customFormat="false" ht="15.75" hidden="false" customHeight="false" outlineLevel="0" collapsed="false">
      <c r="A130" s="7" t="s">
        <v>138</v>
      </c>
      <c r="B130" s="7" t="n">
        <v>7</v>
      </c>
      <c r="C130" s="9" t="n">
        <v>0</v>
      </c>
      <c r="D130" s="9" t="n">
        <v>0</v>
      </c>
      <c r="E130" s="9" t="n">
        <v>0</v>
      </c>
      <c r="F130" s="9" t="n">
        <v>0</v>
      </c>
      <c r="G130" s="9" t="n">
        <v>0</v>
      </c>
      <c r="H130" s="9" t="n">
        <v>0</v>
      </c>
      <c r="I130" s="9" t="n">
        <v>0</v>
      </c>
      <c r="J130" s="9" t="n">
        <v>0</v>
      </c>
    </row>
    <row r="131" customFormat="false" ht="15.75" hidden="false" customHeight="false" outlineLevel="0" collapsed="false">
      <c r="A131" s="7" t="s">
        <v>139</v>
      </c>
      <c r="B131" s="7" t="n">
        <v>7</v>
      </c>
      <c r="C131" s="9" t="n">
        <v>188</v>
      </c>
      <c r="D131" s="9" t="n">
        <v>34137846</v>
      </c>
      <c r="E131" s="9" t="n">
        <v>0</v>
      </c>
      <c r="F131" s="9" t="n">
        <v>0</v>
      </c>
      <c r="G131" s="9" t="n">
        <v>0</v>
      </c>
      <c r="H131" s="9" t="n">
        <v>0</v>
      </c>
      <c r="I131" s="9" t="n">
        <v>188</v>
      </c>
      <c r="J131" s="9" t="n">
        <v>34137846</v>
      </c>
    </row>
    <row r="132" customFormat="false" ht="15.75" hidden="false" customHeight="false" outlineLevel="0" collapsed="false">
      <c r="A132" s="7" t="s">
        <v>140</v>
      </c>
      <c r="B132" s="7" t="n">
        <v>7</v>
      </c>
      <c r="C132" s="9" t="n">
        <v>3681</v>
      </c>
      <c r="D132" s="9" t="n">
        <v>677901227</v>
      </c>
      <c r="E132" s="9" t="n">
        <v>825</v>
      </c>
      <c r="F132" s="9" t="n">
        <v>152190225</v>
      </c>
      <c r="G132" s="9" t="n">
        <v>1306</v>
      </c>
      <c r="H132" s="9" t="n">
        <v>240590199</v>
      </c>
      <c r="I132" s="9" t="n">
        <v>3200</v>
      </c>
      <c r="J132" s="9" t="n">
        <v>589501253</v>
      </c>
    </row>
    <row r="133" customFormat="false" ht="15.75" hidden="false" customHeight="false" outlineLevel="0" collapsed="false">
      <c r="A133" s="7" t="s">
        <v>141</v>
      </c>
      <c r="B133" s="7" t="n">
        <v>7</v>
      </c>
      <c r="C133" s="9" t="n">
        <v>3341</v>
      </c>
      <c r="D133" s="9" t="n">
        <v>500016100</v>
      </c>
      <c r="E133" s="9" t="n">
        <v>1351</v>
      </c>
      <c r="F133" s="9" t="n">
        <v>202920300</v>
      </c>
      <c r="G133" s="9" t="n">
        <v>1892</v>
      </c>
      <c r="H133" s="9" t="n">
        <v>283451762</v>
      </c>
      <c r="I133" s="9" t="n">
        <v>2800</v>
      </c>
      <c r="J133" s="9" t="n">
        <v>419484638</v>
      </c>
    </row>
    <row r="134" customFormat="false" ht="15.75" hidden="false" customHeight="false" outlineLevel="0" collapsed="false">
      <c r="A134" s="7" t="s">
        <v>142</v>
      </c>
      <c r="B134" s="7" t="n">
        <v>7</v>
      </c>
      <c r="C134" s="9" t="n">
        <v>1150</v>
      </c>
      <c r="D134" s="9" t="n">
        <v>211217050</v>
      </c>
      <c r="E134" s="9" t="n">
        <v>0</v>
      </c>
      <c r="F134" s="9" t="n">
        <v>0</v>
      </c>
      <c r="G134" s="9" t="n">
        <v>0</v>
      </c>
      <c r="H134" s="9" t="n">
        <v>0</v>
      </c>
      <c r="I134" s="9" t="n">
        <v>1150</v>
      </c>
      <c r="J134" s="9" t="n">
        <v>211217050</v>
      </c>
    </row>
    <row r="135" customFormat="false" ht="15.75" hidden="false" customHeight="false" outlineLevel="0" collapsed="false">
      <c r="A135" s="7" t="s">
        <v>143</v>
      </c>
      <c r="B135" s="7" t="n">
        <v>7</v>
      </c>
      <c r="C135" s="9" t="n">
        <v>0</v>
      </c>
      <c r="D135" s="9" t="n">
        <v>0</v>
      </c>
      <c r="E135" s="9" t="n">
        <v>0</v>
      </c>
      <c r="F135" s="9" t="n">
        <v>0</v>
      </c>
      <c r="G135" s="9" t="n">
        <v>0</v>
      </c>
      <c r="H135" s="9" t="n">
        <v>0</v>
      </c>
      <c r="I135" s="9" t="n">
        <v>0</v>
      </c>
      <c r="J135" s="9" t="n">
        <v>0</v>
      </c>
    </row>
    <row r="136" customFormat="false" ht="15.75" hidden="false" customHeight="false" outlineLevel="0" collapsed="false">
      <c r="A136" s="7" t="s">
        <v>144</v>
      </c>
      <c r="B136" s="7" t="n">
        <v>7</v>
      </c>
      <c r="C136" s="9" t="n">
        <v>2858</v>
      </c>
      <c r="D136" s="9" t="n">
        <v>521037503</v>
      </c>
      <c r="E136" s="9" t="n">
        <v>450</v>
      </c>
      <c r="F136" s="9" t="n">
        <v>82080000</v>
      </c>
      <c r="G136" s="9" t="n">
        <v>525</v>
      </c>
      <c r="H136" s="9" t="n">
        <v>95718467</v>
      </c>
      <c r="I136" s="9" t="n">
        <v>2783</v>
      </c>
      <c r="J136" s="9" t="n">
        <v>507399036</v>
      </c>
    </row>
    <row r="137" customFormat="false" ht="15.75" hidden="false" customHeight="false" outlineLevel="0" collapsed="false">
      <c r="A137" s="7" t="s">
        <v>145</v>
      </c>
      <c r="B137" s="7" t="n">
        <v>7</v>
      </c>
      <c r="C137" s="9" t="n">
        <v>518</v>
      </c>
      <c r="D137" s="9" t="n">
        <v>92583328</v>
      </c>
      <c r="E137" s="9" t="n">
        <v>0</v>
      </c>
      <c r="F137" s="9" t="n">
        <v>0</v>
      </c>
      <c r="G137" s="9" t="n">
        <v>25</v>
      </c>
      <c r="H137" s="9" t="n">
        <v>4468307</v>
      </c>
      <c r="I137" s="9" t="n">
        <v>493</v>
      </c>
      <c r="J137" s="9" t="n">
        <v>88115021</v>
      </c>
    </row>
    <row r="138" customFormat="false" ht="15.75" hidden="false" customHeight="false" outlineLevel="0" collapsed="false">
      <c r="A138" s="7" t="s">
        <v>146</v>
      </c>
      <c r="B138" s="7" t="n">
        <v>7</v>
      </c>
      <c r="C138" s="9" t="n">
        <v>971</v>
      </c>
      <c r="D138" s="9" t="n">
        <v>173430599</v>
      </c>
      <c r="E138" s="9" t="n">
        <v>0</v>
      </c>
      <c r="F138" s="9" t="n">
        <v>0</v>
      </c>
      <c r="G138" s="9" t="n">
        <v>702</v>
      </c>
      <c r="H138" s="9" t="n">
        <v>125384429</v>
      </c>
      <c r="I138" s="9" t="n">
        <v>269</v>
      </c>
      <c r="J138" s="9" t="n">
        <v>48046170</v>
      </c>
    </row>
    <row r="139" customFormat="false" ht="15.75" hidden="false" customHeight="false" outlineLevel="0" collapsed="false">
      <c r="A139" s="7" t="s">
        <v>147</v>
      </c>
      <c r="B139" s="7" t="n">
        <v>7</v>
      </c>
      <c r="C139" s="9" t="n">
        <v>734</v>
      </c>
      <c r="D139" s="9" t="n">
        <v>54264181</v>
      </c>
      <c r="E139" s="9" t="n">
        <v>51</v>
      </c>
      <c r="F139" s="9" t="n">
        <v>8239080</v>
      </c>
      <c r="G139" s="9" t="n">
        <v>0</v>
      </c>
      <c r="H139" s="9" t="n">
        <v>0</v>
      </c>
      <c r="I139" s="9" t="n">
        <v>785</v>
      </c>
      <c r="J139" s="9" t="n">
        <v>62503261</v>
      </c>
    </row>
    <row r="140" customFormat="false" ht="15.75" hidden="false" customHeight="false" outlineLevel="0" collapsed="false">
      <c r="A140" s="7" t="s">
        <v>148</v>
      </c>
      <c r="B140" s="7" t="n">
        <v>7</v>
      </c>
      <c r="C140" s="9" t="n">
        <v>1452</v>
      </c>
      <c r="D140" s="9" t="n">
        <v>165434604</v>
      </c>
      <c r="E140" s="9" t="n">
        <v>0</v>
      </c>
      <c r="F140" s="9" t="n">
        <v>0</v>
      </c>
      <c r="G140" s="9" t="n">
        <v>0</v>
      </c>
      <c r="H140" s="9" t="n">
        <v>0</v>
      </c>
      <c r="I140" s="9" t="n">
        <v>1452</v>
      </c>
      <c r="J140" s="9" t="n">
        <v>165434604</v>
      </c>
    </row>
    <row r="141" customFormat="false" ht="15.75" hidden="false" customHeight="false" outlineLevel="0" collapsed="false">
      <c r="A141" s="7" t="s">
        <v>149</v>
      </c>
      <c r="B141" s="7" t="n">
        <v>7</v>
      </c>
      <c r="C141" s="9" t="n">
        <v>4003</v>
      </c>
      <c r="D141" s="9" t="n">
        <v>759910787</v>
      </c>
      <c r="E141" s="9" t="n">
        <v>0</v>
      </c>
      <c r="F141" s="9" t="n">
        <v>0</v>
      </c>
      <c r="G141" s="9" t="n">
        <v>684</v>
      </c>
      <c r="H141" s="9" t="n">
        <v>129847359</v>
      </c>
      <c r="I141" s="9" t="n">
        <v>3319</v>
      </c>
      <c r="J141" s="9" t="n">
        <v>630063428</v>
      </c>
    </row>
    <row r="142" customFormat="false" ht="15.75" hidden="false" customHeight="false" outlineLevel="0" collapsed="false">
      <c r="A142" s="7" t="s">
        <v>150</v>
      </c>
      <c r="B142" s="7" t="n">
        <v>7</v>
      </c>
      <c r="C142" s="9" t="n">
        <v>0</v>
      </c>
      <c r="D142" s="9" t="n">
        <v>0</v>
      </c>
      <c r="E142" s="9" t="n">
        <v>0</v>
      </c>
      <c r="F142" s="9" t="n">
        <v>0</v>
      </c>
      <c r="G142" s="9" t="n">
        <v>0</v>
      </c>
      <c r="H142" s="9" t="n">
        <v>0</v>
      </c>
      <c r="I142" s="9" t="n">
        <v>0</v>
      </c>
      <c r="J142" s="9" t="n">
        <v>0</v>
      </c>
    </row>
    <row r="143" customFormat="false" ht="15.75" hidden="false" customHeight="false" outlineLevel="0" collapsed="false">
      <c r="A143" s="7" t="s">
        <v>151</v>
      </c>
      <c r="B143" s="7" t="n">
        <v>7</v>
      </c>
      <c r="C143" s="9" t="n">
        <v>259</v>
      </c>
      <c r="D143" s="9" t="n">
        <v>49197189</v>
      </c>
      <c r="E143" s="9" t="n">
        <v>0</v>
      </c>
      <c r="F143" s="9" t="n">
        <v>0</v>
      </c>
      <c r="G143" s="9" t="n">
        <v>0</v>
      </c>
      <c r="H143" s="9" t="n">
        <v>0</v>
      </c>
      <c r="I143" s="9" t="n">
        <v>259</v>
      </c>
      <c r="J143" s="9" t="n">
        <v>49197189</v>
      </c>
    </row>
    <row r="144" customFormat="false" ht="15.75" hidden="false" customHeight="false" outlineLevel="0" collapsed="false">
      <c r="A144" s="7" t="s">
        <v>152</v>
      </c>
      <c r="B144" s="7" t="n">
        <v>7</v>
      </c>
      <c r="C144" s="9" t="n">
        <v>0</v>
      </c>
      <c r="D144" s="9" t="n">
        <v>0</v>
      </c>
      <c r="E144" s="9" t="n">
        <v>0</v>
      </c>
      <c r="F144" s="9" t="n">
        <v>0</v>
      </c>
      <c r="G144" s="9" t="n">
        <v>0</v>
      </c>
      <c r="H144" s="9" t="n">
        <v>0</v>
      </c>
      <c r="I144" s="9" t="n">
        <v>0</v>
      </c>
      <c r="J144" s="9" t="n">
        <v>0</v>
      </c>
    </row>
    <row r="145" customFormat="false" ht="15.75" hidden="false" customHeight="false" outlineLevel="0" collapsed="false">
      <c r="A145" s="7" t="s">
        <v>153</v>
      </c>
      <c r="B145" s="7" t="n">
        <v>7</v>
      </c>
      <c r="C145" s="9" t="n">
        <v>0</v>
      </c>
      <c r="D145" s="9" t="n">
        <v>0</v>
      </c>
      <c r="E145" s="9" t="n">
        <v>0</v>
      </c>
      <c r="F145" s="9" t="n">
        <v>0</v>
      </c>
      <c r="G145" s="9" t="n">
        <v>0</v>
      </c>
      <c r="H145" s="9" t="n">
        <v>0</v>
      </c>
      <c r="I145" s="9" t="n">
        <v>0</v>
      </c>
      <c r="J145" s="9" t="n">
        <v>0</v>
      </c>
    </row>
    <row r="146" customFormat="false" ht="15.75" hidden="false" customHeight="false" outlineLevel="0" collapsed="false">
      <c r="A146" s="7" t="s">
        <v>154</v>
      </c>
      <c r="B146" s="7" t="n">
        <v>7</v>
      </c>
      <c r="C146" s="9" t="n">
        <v>0</v>
      </c>
      <c r="D146" s="9" t="n">
        <v>0</v>
      </c>
      <c r="E146" s="9" t="n">
        <v>0</v>
      </c>
      <c r="F146" s="9" t="n">
        <v>0</v>
      </c>
      <c r="G146" s="9" t="n">
        <v>0</v>
      </c>
      <c r="H146" s="9" t="n">
        <v>0</v>
      </c>
      <c r="I146" s="9" t="n">
        <v>0</v>
      </c>
      <c r="J146" s="9" t="n">
        <v>0</v>
      </c>
    </row>
    <row r="147" customFormat="false" ht="15.75" hidden="false" customHeight="false" outlineLevel="0" collapsed="false">
      <c r="A147" s="7" t="s">
        <v>155</v>
      </c>
      <c r="B147" s="7" t="n">
        <v>7</v>
      </c>
      <c r="C147" s="9" t="n">
        <v>224</v>
      </c>
      <c r="D147" s="9" t="n">
        <v>64951888</v>
      </c>
      <c r="E147" s="9" t="n">
        <v>0</v>
      </c>
      <c r="F147" s="9" t="n">
        <v>0</v>
      </c>
      <c r="G147" s="9" t="n">
        <v>0</v>
      </c>
      <c r="H147" s="9" t="n">
        <v>0</v>
      </c>
      <c r="I147" s="9" t="n">
        <v>224</v>
      </c>
      <c r="J147" s="9" t="n">
        <v>64951888</v>
      </c>
    </row>
    <row r="148" customFormat="false" ht="15.75" hidden="false" customHeight="false" outlineLevel="0" collapsed="false">
      <c r="A148" s="7" t="s">
        <v>156</v>
      </c>
      <c r="B148" s="7" t="n">
        <v>7</v>
      </c>
      <c r="C148" s="9" t="n">
        <v>0</v>
      </c>
      <c r="D148" s="9" t="n">
        <v>0</v>
      </c>
      <c r="E148" s="9" t="n">
        <v>0</v>
      </c>
      <c r="F148" s="9" t="n">
        <v>0</v>
      </c>
      <c r="G148" s="9" t="n">
        <v>0</v>
      </c>
      <c r="H148" s="9" t="n">
        <v>0</v>
      </c>
      <c r="I148" s="9" t="n">
        <v>0</v>
      </c>
      <c r="J148" s="9" t="n">
        <v>0</v>
      </c>
    </row>
    <row r="149" customFormat="false" ht="15.75" hidden="false" customHeight="false" outlineLevel="0" collapsed="false">
      <c r="A149" s="7" t="s">
        <v>157</v>
      </c>
      <c r="B149" s="7" t="n">
        <v>7</v>
      </c>
      <c r="C149" s="9" t="n">
        <v>0</v>
      </c>
      <c r="D149" s="9" t="n">
        <v>0</v>
      </c>
      <c r="E149" s="9" t="n">
        <v>0</v>
      </c>
      <c r="F149" s="9" t="n">
        <v>0</v>
      </c>
      <c r="G149" s="9" t="n">
        <v>0</v>
      </c>
      <c r="H149" s="9" t="n">
        <v>0</v>
      </c>
      <c r="I149" s="9" t="n">
        <v>0</v>
      </c>
      <c r="J149" s="9" t="n">
        <v>0</v>
      </c>
    </row>
    <row r="150" customFormat="false" ht="15.75" hidden="false" customHeight="false" outlineLevel="0" collapsed="false">
      <c r="A150" s="7" t="s">
        <v>158</v>
      </c>
      <c r="B150" s="7" t="n">
        <v>7</v>
      </c>
      <c r="C150" s="9" t="n">
        <v>133</v>
      </c>
      <c r="D150" s="9" t="n">
        <v>28422312</v>
      </c>
      <c r="E150" s="9" t="n">
        <v>0</v>
      </c>
      <c r="F150" s="9" t="n">
        <v>0</v>
      </c>
      <c r="G150" s="9" t="n">
        <v>0</v>
      </c>
      <c r="H150" s="9" t="n">
        <v>0</v>
      </c>
      <c r="I150" s="9" t="n">
        <v>133</v>
      </c>
      <c r="J150" s="9" t="n">
        <v>28422312</v>
      </c>
    </row>
    <row r="151" customFormat="false" ht="15.75" hidden="false" customHeight="false" outlineLevel="0" collapsed="false">
      <c r="A151" s="7" t="s">
        <v>159</v>
      </c>
      <c r="B151" s="7" t="n">
        <v>7</v>
      </c>
      <c r="C151" s="9" t="n">
        <v>81</v>
      </c>
      <c r="D151" s="9" t="n">
        <v>17829621</v>
      </c>
      <c r="E151" s="9" t="n">
        <v>0</v>
      </c>
      <c r="F151" s="9" t="n">
        <v>0</v>
      </c>
      <c r="G151" s="9" t="n">
        <v>0</v>
      </c>
      <c r="H151" s="9" t="n">
        <v>0</v>
      </c>
      <c r="I151" s="9" t="n">
        <v>81</v>
      </c>
      <c r="J151" s="9" t="n">
        <v>17829621</v>
      </c>
    </row>
    <row r="152" customFormat="false" ht="15.75" hidden="false" customHeight="false" outlineLevel="0" collapsed="false">
      <c r="A152" s="7" t="s">
        <v>160</v>
      </c>
      <c r="B152" s="7" t="n">
        <v>7</v>
      </c>
      <c r="C152" s="9" t="n">
        <v>51</v>
      </c>
      <c r="D152" s="9" t="n">
        <v>13482180</v>
      </c>
      <c r="E152" s="9" t="n">
        <v>0</v>
      </c>
      <c r="F152" s="9" t="n">
        <v>0</v>
      </c>
      <c r="G152" s="9" t="n">
        <v>0</v>
      </c>
      <c r="H152" s="9" t="n">
        <v>0</v>
      </c>
      <c r="I152" s="9" t="n">
        <v>51</v>
      </c>
      <c r="J152" s="9" t="n">
        <v>13482180</v>
      </c>
    </row>
    <row r="153" customFormat="false" ht="15.75" hidden="false" customHeight="false" outlineLevel="0" collapsed="false">
      <c r="A153" s="7" t="s">
        <v>161</v>
      </c>
      <c r="B153" s="7" t="n">
        <v>7</v>
      </c>
      <c r="C153" s="9" t="n">
        <v>40</v>
      </c>
      <c r="D153" s="9" t="n">
        <v>9285800</v>
      </c>
      <c r="E153" s="9" t="n">
        <v>0</v>
      </c>
      <c r="F153" s="9" t="n">
        <v>0</v>
      </c>
      <c r="G153" s="9" t="n">
        <v>0</v>
      </c>
      <c r="H153" s="9" t="n">
        <v>0</v>
      </c>
      <c r="I153" s="9" t="n">
        <v>40</v>
      </c>
      <c r="J153" s="9" t="n">
        <v>9285800</v>
      </c>
    </row>
    <row r="154" customFormat="false" ht="15.75" hidden="false" customHeight="false" outlineLevel="0" collapsed="false">
      <c r="A154" s="7" t="s">
        <v>162</v>
      </c>
      <c r="B154" s="7" t="n">
        <v>7</v>
      </c>
      <c r="C154" s="9" t="n">
        <v>1021</v>
      </c>
      <c r="D154" s="9" t="n">
        <v>322728911</v>
      </c>
      <c r="E154" s="9" t="n">
        <v>0</v>
      </c>
      <c r="F154" s="9" t="n">
        <v>0</v>
      </c>
      <c r="G154" s="9" t="n">
        <v>0</v>
      </c>
      <c r="H154" s="9" t="n">
        <v>0</v>
      </c>
      <c r="I154" s="9" t="n">
        <v>1021</v>
      </c>
      <c r="J154" s="9" t="n">
        <v>322728911</v>
      </c>
    </row>
    <row r="155" customFormat="false" ht="15.75" hidden="false" customHeight="false" outlineLevel="0" collapsed="false">
      <c r="A155" s="7" t="s">
        <v>163</v>
      </c>
      <c r="B155" s="7" t="n">
        <v>7</v>
      </c>
      <c r="C155" s="9" t="n">
        <v>494</v>
      </c>
      <c r="D155" s="9" t="n">
        <v>156148954</v>
      </c>
      <c r="E155" s="9" t="n">
        <v>253</v>
      </c>
      <c r="F155" s="9" t="n">
        <v>79971023</v>
      </c>
      <c r="G155" s="9" t="n">
        <v>0</v>
      </c>
      <c r="H155" s="9" t="n">
        <v>0</v>
      </c>
      <c r="I155" s="9" t="n">
        <v>747</v>
      </c>
      <c r="J155" s="9" t="n">
        <v>236119977</v>
      </c>
    </row>
    <row r="156" customFormat="false" ht="15.75" hidden="false" customHeight="false" outlineLevel="0" collapsed="false">
      <c r="A156" s="7" t="s">
        <v>164</v>
      </c>
      <c r="B156" s="7" t="n">
        <v>7</v>
      </c>
      <c r="C156" s="9" t="n">
        <v>77</v>
      </c>
      <c r="D156" s="9" t="n">
        <v>11101646</v>
      </c>
      <c r="E156" s="9" t="n">
        <v>0</v>
      </c>
      <c r="F156" s="9" t="n">
        <v>0</v>
      </c>
      <c r="G156" s="9" t="n">
        <v>0</v>
      </c>
      <c r="H156" s="9" t="n">
        <v>0</v>
      </c>
      <c r="I156" s="9" t="n">
        <v>77</v>
      </c>
      <c r="J156" s="9" t="n">
        <v>11101646</v>
      </c>
    </row>
    <row r="157" customFormat="false" ht="15.75" hidden="false" customHeight="false" outlineLevel="0" collapsed="false">
      <c r="A157" s="7" t="s">
        <v>165</v>
      </c>
      <c r="B157" s="7" t="n">
        <v>7</v>
      </c>
      <c r="C157" s="9" t="n">
        <v>190</v>
      </c>
      <c r="D157" s="9" t="n">
        <v>28766325</v>
      </c>
      <c r="E157" s="9" t="n">
        <v>0</v>
      </c>
      <c r="F157" s="9" t="n">
        <v>0</v>
      </c>
      <c r="G157" s="9" t="n">
        <v>0</v>
      </c>
      <c r="H157" s="9" t="n">
        <v>0</v>
      </c>
      <c r="I157" s="9" t="n">
        <v>190</v>
      </c>
      <c r="J157" s="9" t="n">
        <v>28766325</v>
      </c>
    </row>
    <row r="158" customFormat="false" ht="15.75" hidden="false" customHeight="false" outlineLevel="0" collapsed="false">
      <c r="A158" s="7" t="s">
        <v>166</v>
      </c>
      <c r="B158" s="7" t="n">
        <v>7</v>
      </c>
      <c r="C158" s="9" t="n">
        <v>0</v>
      </c>
      <c r="D158" s="9" t="n">
        <v>0</v>
      </c>
      <c r="E158" s="9" t="n">
        <v>0</v>
      </c>
      <c r="F158" s="9" t="n">
        <v>0</v>
      </c>
      <c r="G158" s="9" t="n">
        <v>0</v>
      </c>
      <c r="H158" s="9" t="n">
        <v>0</v>
      </c>
      <c r="I158" s="9" t="n">
        <v>0</v>
      </c>
      <c r="J158" s="9" t="n">
        <v>0</v>
      </c>
    </row>
    <row r="159" customFormat="false" ht="15.75" hidden="false" customHeight="false" outlineLevel="0" collapsed="false">
      <c r="A159" s="7" t="s">
        <v>167</v>
      </c>
      <c r="B159" s="7" t="n">
        <v>7</v>
      </c>
      <c r="C159" s="9" t="n">
        <v>0</v>
      </c>
      <c r="D159" s="9" t="n">
        <v>0</v>
      </c>
      <c r="E159" s="9" t="n">
        <v>0</v>
      </c>
      <c r="F159" s="9" t="n">
        <v>0</v>
      </c>
      <c r="G159" s="9" t="n">
        <v>0</v>
      </c>
      <c r="H159" s="9" t="n">
        <v>0</v>
      </c>
      <c r="I159" s="9" t="n">
        <v>0</v>
      </c>
      <c r="J159" s="9" t="n">
        <v>0</v>
      </c>
    </row>
    <row r="160" customFormat="false" ht="15.75" hidden="false" customHeight="false" outlineLevel="0" collapsed="false">
      <c r="A160" s="7" t="s">
        <v>168</v>
      </c>
      <c r="B160" s="7" t="n">
        <v>7</v>
      </c>
      <c r="C160" s="9" t="n">
        <v>846</v>
      </c>
      <c r="D160" s="9" t="n">
        <v>154307230</v>
      </c>
      <c r="E160" s="9" t="n">
        <v>150</v>
      </c>
      <c r="F160" s="9" t="n">
        <v>27360000</v>
      </c>
      <c r="G160" s="9" t="n">
        <v>0</v>
      </c>
      <c r="H160" s="9" t="n">
        <v>0</v>
      </c>
      <c r="I160" s="9" t="n">
        <v>996</v>
      </c>
      <c r="J160" s="9" t="n">
        <v>181667230</v>
      </c>
    </row>
    <row r="161" customFormat="false" ht="15.75" hidden="false" customHeight="false" outlineLevel="0" collapsed="false">
      <c r="A161" s="7" t="s">
        <v>169</v>
      </c>
      <c r="B161" s="7" t="n">
        <v>7</v>
      </c>
      <c r="C161" s="9" t="n">
        <v>969</v>
      </c>
      <c r="D161" s="9" t="n">
        <v>171599110</v>
      </c>
      <c r="E161" s="9" t="n">
        <v>0</v>
      </c>
      <c r="F161" s="9" t="n">
        <v>0</v>
      </c>
      <c r="G161" s="9" t="n">
        <v>0</v>
      </c>
      <c r="H161" s="9" t="n">
        <v>0</v>
      </c>
      <c r="I161" s="9" t="n">
        <v>969</v>
      </c>
      <c r="J161" s="9" t="n">
        <v>171599110</v>
      </c>
    </row>
    <row r="162" customFormat="false" ht="15.75" hidden="false" customHeight="false" outlineLevel="0" collapsed="false">
      <c r="A162" s="7" t="s">
        <v>170</v>
      </c>
      <c r="B162" s="7" t="n">
        <v>7</v>
      </c>
      <c r="C162" s="9" t="n">
        <v>369</v>
      </c>
      <c r="D162" s="9" t="n">
        <v>101340684</v>
      </c>
      <c r="E162" s="9" t="n">
        <v>0</v>
      </c>
      <c r="F162" s="9" t="n">
        <v>0</v>
      </c>
      <c r="G162" s="9" t="n">
        <v>0</v>
      </c>
      <c r="H162" s="9" t="n">
        <v>0</v>
      </c>
      <c r="I162" s="9" t="n">
        <v>369</v>
      </c>
      <c r="J162" s="9" t="n">
        <v>101340684</v>
      </c>
    </row>
    <row r="163" customFormat="false" ht="15.75" hidden="false" customHeight="false" outlineLevel="0" collapsed="false">
      <c r="A163" s="7" t="s">
        <v>171</v>
      </c>
      <c r="B163" s="7" t="n">
        <v>7</v>
      </c>
      <c r="C163" s="9" t="n">
        <v>0</v>
      </c>
      <c r="D163" s="9" t="n">
        <v>0</v>
      </c>
      <c r="E163" s="9" t="n">
        <v>0</v>
      </c>
      <c r="F163" s="9" t="n">
        <v>0</v>
      </c>
      <c r="G163" s="9" t="n">
        <v>0</v>
      </c>
      <c r="H163" s="9" t="n">
        <v>0</v>
      </c>
      <c r="I163" s="9" t="n">
        <v>0</v>
      </c>
      <c r="J163" s="9" t="n">
        <v>0</v>
      </c>
    </row>
    <row r="164" customFormat="false" ht="15.75" hidden="false" customHeight="false" outlineLevel="0" collapsed="false">
      <c r="A164" s="7" t="s">
        <v>172</v>
      </c>
      <c r="B164" s="7" t="n">
        <v>7</v>
      </c>
      <c r="C164" s="9" t="n">
        <v>0</v>
      </c>
      <c r="D164" s="9" t="n">
        <v>0</v>
      </c>
      <c r="E164" s="9" t="n">
        <v>350</v>
      </c>
      <c r="F164" s="9" t="n">
        <v>65290750</v>
      </c>
      <c r="G164" s="9" t="n">
        <v>0</v>
      </c>
      <c r="H164" s="9" t="n">
        <v>0</v>
      </c>
      <c r="I164" s="9" t="n">
        <v>350</v>
      </c>
      <c r="J164" s="9" t="n">
        <v>65290750</v>
      </c>
    </row>
    <row r="165" customFormat="false" ht="15.75" hidden="false" customHeight="false" outlineLevel="0" collapsed="false">
      <c r="A165" s="7" t="s">
        <v>173</v>
      </c>
      <c r="B165" s="7" t="n">
        <v>7</v>
      </c>
      <c r="C165" s="9" t="n">
        <v>0</v>
      </c>
      <c r="D165" s="9" t="n">
        <v>0</v>
      </c>
      <c r="E165" s="9" t="n">
        <v>302</v>
      </c>
      <c r="F165" s="9" t="n">
        <v>55963500</v>
      </c>
      <c r="G165" s="9" t="n">
        <v>0</v>
      </c>
      <c r="H165" s="9" t="n">
        <v>0</v>
      </c>
      <c r="I165" s="9" t="n">
        <v>302</v>
      </c>
      <c r="J165" s="9" t="n">
        <v>55963500</v>
      </c>
    </row>
    <row r="166" customFormat="false" ht="15.75" hidden="false" customHeight="false" outlineLevel="0" collapsed="false">
      <c r="A166" s="7" t="s">
        <v>174</v>
      </c>
      <c r="B166" s="7" t="n">
        <v>7</v>
      </c>
      <c r="C166" s="9" t="n">
        <v>100</v>
      </c>
      <c r="D166" s="9" t="n">
        <v>27457840</v>
      </c>
      <c r="E166" s="9" t="n">
        <v>0</v>
      </c>
      <c r="F166" s="9" t="n">
        <v>0</v>
      </c>
      <c r="G166" s="9" t="n">
        <v>0</v>
      </c>
      <c r="H166" s="9" t="n">
        <v>0</v>
      </c>
      <c r="I166" s="9" t="n">
        <v>100</v>
      </c>
      <c r="J166" s="9" t="n">
        <v>27457840</v>
      </c>
    </row>
    <row r="167" customFormat="false" ht="15.75" hidden="false" customHeight="false" outlineLevel="0" collapsed="false">
      <c r="A167" s="7" t="s">
        <v>175</v>
      </c>
      <c r="B167" s="7" t="n">
        <v>7</v>
      </c>
      <c r="C167" s="9" t="n">
        <v>0</v>
      </c>
      <c r="D167" s="9" t="n">
        <v>0</v>
      </c>
      <c r="E167" s="9" t="n">
        <v>0</v>
      </c>
      <c r="F167" s="9" t="n">
        <v>0</v>
      </c>
      <c r="G167" s="9" t="n">
        <v>0</v>
      </c>
      <c r="H167" s="9" t="n">
        <v>0</v>
      </c>
      <c r="I167" s="9" t="n">
        <v>0</v>
      </c>
      <c r="J167" s="9" t="n">
        <v>0</v>
      </c>
    </row>
    <row r="168" customFormat="false" ht="15.75" hidden="false" customHeight="false" outlineLevel="0" collapsed="false">
      <c r="A168" s="7" t="s">
        <v>176</v>
      </c>
      <c r="B168" s="7" t="n">
        <v>7</v>
      </c>
      <c r="C168" s="9" t="n">
        <v>0</v>
      </c>
      <c r="D168" s="9" t="n">
        <v>0</v>
      </c>
      <c r="E168" s="9" t="n">
        <v>0</v>
      </c>
      <c r="F168" s="9" t="n">
        <v>0</v>
      </c>
      <c r="G168" s="9" t="n">
        <v>0</v>
      </c>
      <c r="H168" s="9" t="n">
        <v>0</v>
      </c>
      <c r="I168" s="9" t="n">
        <v>0</v>
      </c>
      <c r="J168" s="9" t="n">
        <v>0</v>
      </c>
    </row>
    <row r="169" customFormat="false" ht="15.75" hidden="false" customHeight="false" outlineLevel="0" collapsed="false">
      <c r="A169" s="7" t="s">
        <v>177</v>
      </c>
      <c r="B169" s="7" t="n">
        <v>7</v>
      </c>
      <c r="C169" s="9" t="n">
        <v>0</v>
      </c>
      <c r="D169" s="9" t="n">
        <v>0</v>
      </c>
      <c r="E169" s="9" t="n">
        <v>0</v>
      </c>
      <c r="F169" s="9" t="n">
        <v>0</v>
      </c>
      <c r="G169" s="9" t="n">
        <v>0</v>
      </c>
      <c r="H169" s="9" t="n">
        <v>0</v>
      </c>
      <c r="I169" s="9" t="n">
        <v>0</v>
      </c>
      <c r="J169" s="9" t="n">
        <v>0</v>
      </c>
    </row>
    <row r="170" customFormat="false" ht="15.75" hidden="false" customHeight="false" outlineLevel="0" collapsed="false">
      <c r="A170" s="7" t="s">
        <v>178</v>
      </c>
      <c r="B170" s="7" t="n">
        <v>7</v>
      </c>
      <c r="C170" s="9" t="n">
        <v>0</v>
      </c>
      <c r="D170" s="9" t="n">
        <v>0</v>
      </c>
      <c r="E170" s="9" t="n">
        <v>0</v>
      </c>
      <c r="F170" s="9" t="n">
        <v>0</v>
      </c>
      <c r="G170" s="9" t="n">
        <v>0</v>
      </c>
      <c r="H170" s="9" t="n">
        <v>0</v>
      </c>
      <c r="I170" s="9" t="n">
        <v>0</v>
      </c>
      <c r="J170" s="9" t="n">
        <v>0</v>
      </c>
    </row>
    <row r="171" customFormat="false" ht="15.75" hidden="false" customHeight="false" outlineLevel="0" collapsed="false">
      <c r="A171" s="7" t="s">
        <v>179</v>
      </c>
      <c r="B171" s="7" t="n">
        <v>7</v>
      </c>
      <c r="C171" s="9" t="n">
        <v>12110</v>
      </c>
      <c r="D171" s="9" t="n">
        <v>61298136</v>
      </c>
      <c r="E171" s="9" t="n">
        <v>13187</v>
      </c>
      <c r="F171" s="9" t="n">
        <v>66187200</v>
      </c>
      <c r="G171" s="9" t="n">
        <v>5604</v>
      </c>
      <c r="H171" s="9" t="n">
        <v>28241603</v>
      </c>
      <c r="I171" s="9" t="n">
        <v>19693</v>
      </c>
      <c r="J171" s="9" t="n">
        <v>99243733</v>
      </c>
    </row>
    <row r="172" customFormat="false" ht="15.75" hidden="false" customHeight="false" outlineLevel="0" collapsed="false">
      <c r="A172" s="7" t="s">
        <v>180</v>
      </c>
      <c r="B172" s="7" t="n">
        <v>7</v>
      </c>
      <c r="C172" s="9" t="n">
        <v>0</v>
      </c>
      <c r="D172" s="9" t="n">
        <v>0</v>
      </c>
      <c r="E172" s="9" t="n">
        <v>0</v>
      </c>
      <c r="F172" s="9" t="n">
        <v>0</v>
      </c>
      <c r="G172" s="9" t="n">
        <v>0</v>
      </c>
      <c r="H172" s="9" t="n">
        <v>0</v>
      </c>
      <c r="I172" s="9" t="n">
        <v>0</v>
      </c>
      <c r="J172" s="9" t="n">
        <v>0</v>
      </c>
    </row>
    <row r="173" customFormat="false" ht="15.75" hidden="false" customHeight="false" outlineLevel="0" collapsed="false">
      <c r="A173" s="7" t="s">
        <v>181</v>
      </c>
      <c r="B173" s="7" t="n">
        <v>7</v>
      </c>
      <c r="C173" s="9" t="n">
        <v>117</v>
      </c>
      <c r="D173" s="9" t="n">
        <v>5896363</v>
      </c>
      <c r="E173" s="9" t="n">
        <v>225</v>
      </c>
      <c r="F173" s="9" t="n">
        <v>11562525</v>
      </c>
      <c r="G173" s="9" t="n">
        <v>60</v>
      </c>
      <c r="H173" s="9" t="n">
        <v>3062963</v>
      </c>
      <c r="I173" s="9" t="n">
        <v>282</v>
      </c>
      <c r="J173" s="9" t="n">
        <v>14395925</v>
      </c>
    </row>
    <row r="174" customFormat="false" ht="15.75" hidden="false" customHeight="false" outlineLevel="0" collapsed="false">
      <c r="A174" s="7" t="s">
        <v>182</v>
      </c>
      <c r="B174" s="7" t="n">
        <v>7</v>
      </c>
      <c r="C174" s="9" t="n">
        <v>20</v>
      </c>
      <c r="D174" s="9" t="n">
        <v>1190400</v>
      </c>
      <c r="E174" s="9" t="n">
        <v>0</v>
      </c>
      <c r="F174" s="9" t="n">
        <v>0</v>
      </c>
      <c r="G174" s="9" t="n">
        <v>0</v>
      </c>
      <c r="H174" s="9" t="n">
        <v>0</v>
      </c>
      <c r="I174" s="9" t="n">
        <v>20</v>
      </c>
      <c r="J174" s="9" t="n">
        <v>1190400</v>
      </c>
    </row>
    <row r="175" customFormat="false" ht="15.75" hidden="false" customHeight="false" outlineLevel="0" collapsed="false">
      <c r="A175" s="7" t="s">
        <v>183</v>
      </c>
      <c r="B175" s="7" t="n">
        <v>7</v>
      </c>
      <c r="C175" s="9" t="n">
        <v>3098</v>
      </c>
      <c r="D175" s="9" t="n">
        <v>168003883</v>
      </c>
      <c r="E175" s="9" t="n">
        <v>104</v>
      </c>
      <c r="F175" s="9" t="n">
        <v>5440000</v>
      </c>
      <c r="G175" s="9" t="n">
        <v>395</v>
      </c>
      <c r="H175" s="9" t="n">
        <v>21396107</v>
      </c>
      <c r="I175" s="9" t="n">
        <v>2807</v>
      </c>
      <c r="J175" s="9" t="n">
        <v>152047776</v>
      </c>
    </row>
    <row r="176" customFormat="false" ht="15.75" hidden="false" customHeight="false" outlineLevel="0" collapsed="false">
      <c r="A176" s="7" t="s">
        <v>184</v>
      </c>
      <c r="B176" s="7" t="n">
        <v>7</v>
      </c>
      <c r="C176" s="9" t="n">
        <v>3121</v>
      </c>
      <c r="D176" s="9" t="n">
        <v>169857042</v>
      </c>
      <c r="E176" s="9" t="n">
        <v>156</v>
      </c>
      <c r="F176" s="9" t="n">
        <v>8160000</v>
      </c>
      <c r="G176" s="9" t="n">
        <v>425</v>
      </c>
      <c r="H176" s="9" t="n">
        <v>23087349</v>
      </c>
      <c r="I176" s="9" t="n">
        <v>2852</v>
      </c>
      <c r="J176" s="9" t="n">
        <v>154929693</v>
      </c>
    </row>
    <row r="177" customFormat="false" ht="15.75" hidden="false" customHeight="false" outlineLevel="0" collapsed="false">
      <c r="A177" s="7" t="s">
        <v>185</v>
      </c>
      <c r="B177" s="7" t="n">
        <v>7</v>
      </c>
      <c r="C177" s="9" t="n">
        <v>0</v>
      </c>
      <c r="D177" s="9" t="n">
        <v>0</v>
      </c>
      <c r="E177" s="9" t="n">
        <v>100</v>
      </c>
      <c r="F177" s="9" t="n">
        <v>18414910</v>
      </c>
      <c r="G177" s="9" t="n">
        <v>100</v>
      </c>
      <c r="H177" s="9" t="n">
        <v>18414910</v>
      </c>
      <c r="I177" s="9" t="n">
        <v>0</v>
      </c>
      <c r="J177" s="9" t="n">
        <v>0</v>
      </c>
    </row>
    <row r="178" customFormat="false" ht="15.75" hidden="false" customHeight="false" outlineLevel="0" collapsed="false">
      <c r="A178" s="7" t="s">
        <v>186</v>
      </c>
      <c r="B178" s="7" t="n">
        <v>7</v>
      </c>
      <c r="C178" s="9" t="n">
        <v>560</v>
      </c>
      <c r="D178" s="9" t="n">
        <v>24190198</v>
      </c>
      <c r="E178" s="9" t="n">
        <v>11340</v>
      </c>
      <c r="F178" s="9" t="n">
        <v>498895963</v>
      </c>
      <c r="G178" s="9" t="n">
        <v>11900</v>
      </c>
      <c r="H178" s="9" t="n">
        <v>523086161</v>
      </c>
      <c r="I178" s="9" t="n">
        <v>0</v>
      </c>
      <c r="J178" s="9" t="n">
        <v>0</v>
      </c>
    </row>
    <row r="179" customFormat="false" ht="15.75" hidden="false" customHeight="false" outlineLevel="0" collapsed="false">
      <c r="A179" s="7" t="s">
        <v>187</v>
      </c>
      <c r="B179" s="7" t="n">
        <v>7</v>
      </c>
      <c r="C179" s="9" t="n">
        <v>0</v>
      </c>
      <c r="D179" s="9" t="n">
        <v>0</v>
      </c>
      <c r="E179" s="9" t="n">
        <v>1050</v>
      </c>
      <c r="F179" s="9" t="n">
        <v>37107000</v>
      </c>
      <c r="G179" s="9" t="n">
        <v>0</v>
      </c>
      <c r="H179" s="9" t="n">
        <v>0</v>
      </c>
      <c r="I179" s="9" t="n">
        <v>1050</v>
      </c>
      <c r="J179" s="9" t="n">
        <v>37107000</v>
      </c>
    </row>
    <row r="180" customFormat="false" ht="15.75" hidden="false" customHeight="false" outlineLevel="0" collapsed="false">
      <c r="A180" s="7" t="s">
        <v>188</v>
      </c>
      <c r="B180" s="7" t="n">
        <v>7</v>
      </c>
      <c r="C180" s="9" t="n">
        <v>3052</v>
      </c>
      <c r="D180" s="9" t="n">
        <v>559952875</v>
      </c>
      <c r="E180" s="9" t="n">
        <v>3650</v>
      </c>
      <c r="F180" s="9" t="n">
        <v>653966700</v>
      </c>
      <c r="G180" s="9" t="n">
        <v>4780</v>
      </c>
      <c r="H180" s="9" t="n">
        <v>865791640</v>
      </c>
      <c r="I180" s="9" t="n">
        <v>1922</v>
      </c>
      <c r="J180" s="9" t="n">
        <v>348127935</v>
      </c>
    </row>
    <row r="181" customFormat="false" ht="15.75" hidden="false" customHeight="false" outlineLevel="0" collapsed="false">
      <c r="A181" s="7" t="s">
        <v>189</v>
      </c>
      <c r="B181" s="7" t="n">
        <v>7</v>
      </c>
      <c r="C181" s="9" t="n">
        <v>0</v>
      </c>
      <c r="D181" s="9" t="n">
        <v>0</v>
      </c>
      <c r="E181" s="9" t="n">
        <v>100</v>
      </c>
      <c r="F181" s="9" t="n">
        <v>4337182</v>
      </c>
      <c r="G181" s="9" t="n">
        <v>0</v>
      </c>
      <c r="H181" s="9" t="n">
        <v>0</v>
      </c>
      <c r="I181" s="9" t="n">
        <v>100</v>
      </c>
      <c r="J181" s="9" t="n">
        <v>4337182</v>
      </c>
    </row>
    <row r="182" customFormat="false" ht="15.75" hidden="false" customHeight="false" outlineLevel="0" collapsed="false">
      <c r="A182" s="7" t="s">
        <v>190</v>
      </c>
      <c r="B182" s="7" t="n">
        <v>7</v>
      </c>
      <c r="C182" s="9" t="n">
        <v>294</v>
      </c>
      <c r="D182" s="9" t="n">
        <v>8525744</v>
      </c>
      <c r="E182" s="9" t="n">
        <v>5250</v>
      </c>
      <c r="F182" s="9" t="n">
        <v>148428000</v>
      </c>
      <c r="G182" s="9" t="n">
        <v>4200</v>
      </c>
      <c r="H182" s="9" t="n">
        <v>118904352</v>
      </c>
      <c r="I182" s="9" t="n">
        <v>1344</v>
      </c>
      <c r="J182" s="9" t="n">
        <v>38049392</v>
      </c>
    </row>
    <row r="183" customFormat="false" ht="15.75" hidden="false" customHeight="false" outlineLevel="0" collapsed="false">
      <c r="A183" s="7" t="s">
        <v>191</v>
      </c>
      <c r="B183" s="7" t="n">
        <v>7</v>
      </c>
      <c r="C183" s="9" t="n">
        <v>25322</v>
      </c>
      <c r="D183" s="9" t="n">
        <v>620266163</v>
      </c>
      <c r="E183" s="9" t="n">
        <v>53550</v>
      </c>
      <c r="F183" s="9" t="n">
        <v>1495412100</v>
      </c>
      <c r="G183" s="9" t="n">
        <v>59435</v>
      </c>
      <c r="H183" s="9" t="n">
        <v>1682294657</v>
      </c>
      <c r="I183" s="9" t="n">
        <v>19437</v>
      </c>
      <c r="J183" s="9" t="n">
        <v>433383606</v>
      </c>
    </row>
    <row r="184" customFormat="false" ht="15.75" hidden="false" customHeight="false" outlineLevel="0" collapsed="false">
      <c r="A184" s="7" t="s">
        <v>192</v>
      </c>
      <c r="B184" s="7" t="n">
        <v>7</v>
      </c>
      <c r="C184" s="9" t="n">
        <v>0</v>
      </c>
      <c r="D184" s="9" t="n">
        <v>0</v>
      </c>
      <c r="E184" s="9" t="n">
        <v>6000</v>
      </c>
      <c r="F184" s="9" t="n">
        <v>42408000</v>
      </c>
      <c r="G184" s="9" t="n">
        <v>1500</v>
      </c>
      <c r="H184" s="9" t="n">
        <v>10602000</v>
      </c>
      <c r="I184" s="9" t="n">
        <v>4500</v>
      </c>
      <c r="J184" s="9" t="n">
        <v>31806000</v>
      </c>
    </row>
    <row r="185" customFormat="false" ht="15.75" hidden="false" customHeight="false" outlineLevel="0" collapsed="false">
      <c r="A185" s="7" t="s">
        <v>193</v>
      </c>
      <c r="B185" s="7" t="n">
        <v>7</v>
      </c>
      <c r="C185" s="9" t="n">
        <v>0</v>
      </c>
      <c r="D185" s="9" t="n">
        <v>0</v>
      </c>
      <c r="E185" s="9" t="n">
        <v>0</v>
      </c>
      <c r="F185" s="9" t="n">
        <v>0</v>
      </c>
      <c r="G185" s="9" t="n">
        <v>0</v>
      </c>
      <c r="H185" s="9" t="n">
        <v>0</v>
      </c>
      <c r="I185" s="9" t="n">
        <v>0</v>
      </c>
      <c r="J185" s="9" t="n">
        <v>0</v>
      </c>
    </row>
    <row r="186" customFormat="false" ht="15.75" hidden="false" customHeight="false" outlineLevel="0" collapsed="false">
      <c r="A186" s="7" t="s">
        <v>194</v>
      </c>
      <c r="B186" s="7" t="n">
        <v>7</v>
      </c>
      <c r="C186" s="9" t="n">
        <v>194020</v>
      </c>
      <c r="D186" s="9" t="n">
        <v>1287696278</v>
      </c>
      <c r="E186" s="9" t="n">
        <v>231000</v>
      </c>
      <c r="F186" s="9" t="n">
        <v>1632708000</v>
      </c>
      <c r="G186" s="9" t="n">
        <v>225300</v>
      </c>
      <c r="H186" s="9" t="n">
        <v>1612129868</v>
      </c>
      <c r="I186" s="9" t="n">
        <v>199720</v>
      </c>
      <c r="J186" s="9" t="n">
        <v>1308274410</v>
      </c>
    </row>
    <row r="187" customFormat="false" ht="15.75" hidden="false" customHeight="false" outlineLevel="0" collapsed="false">
      <c r="A187" s="7" t="s">
        <v>195</v>
      </c>
      <c r="B187" s="7" t="n">
        <v>7</v>
      </c>
      <c r="C187" s="9" t="n">
        <v>0</v>
      </c>
      <c r="D187" s="9" t="n">
        <v>0</v>
      </c>
      <c r="E187" s="9" t="n">
        <v>0</v>
      </c>
      <c r="F187" s="9" t="n">
        <v>0</v>
      </c>
      <c r="G187" s="9" t="n">
        <v>0</v>
      </c>
      <c r="H187" s="9" t="n">
        <v>0</v>
      </c>
      <c r="I187" s="9" t="n">
        <v>0</v>
      </c>
      <c r="J187" s="9" t="n">
        <v>0</v>
      </c>
    </row>
    <row r="188" customFormat="false" ht="15.75" hidden="false" customHeight="false" outlineLevel="0" collapsed="false">
      <c r="A188" s="7" t="s">
        <v>196</v>
      </c>
      <c r="B188" s="7" t="n">
        <v>7</v>
      </c>
      <c r="C188" s="9" t="n">
        <v>0</v>
      </c>
      <c r="D188" s="9" t="n">
        <v>0</v>
      </c>
      <c r="E188" s="9" t="n">
        <v>0</v>
      </c>
      <c r="F188" s="9" t="n">
        <v>0</v>
      </c>
      <c r="G188" s="9" t="n">
        <v>0</v>
      </c>
      <c r="H188" s="9" t="n">
        <v>0</v>
      </c>
      <c r="I188" s="9" t="n">
        <v>0</v>
      </c>
      <c r="J188" s="9" t="n">
        <v>0</v>
      </c>
    </row>
    <row r="189" customFormat="false" ht="15.75" hidden="false" customHeight="false" outlineLevel="0" collapsed="false">
      <c r="A189" s="7" t="s">
        <v>197</v>
      </c>
      <c r="B189" s="7" t="n">
        <v>7</v>
      </c>
      <c r="C189" s="9" t="n">
        <v>630</v>
      </c>
      <c r="D189" s="9" t="n">
        <v>4552645</v>
      </c>
      <c r="E189" s="9" t="n">
        <v>300</v>
      </c>
      <c r="F189" s="9" t="n">
        <v>2120400</v>
      </c>
      <c r="G189" s="9" t="n">
        <v>600</v>
      </c>
      <c r="H189" s="9" t="n">
        <v>4305190</v>
      </c>
      <c r="I189" s="9" t="n">
        <v>330</v>
      </c>
      <c r="J189" s="9" t="n">
        <v>2367855</v>
      </c>
    </row>
    <row r="190" customFormat="false" ht="15.75" hidden="false" customHeight="false" outlineLevel="0" collapsed="false">
      <c r="A190" s="7" t="s">
        <v>198</v>
      </c>
      <c r="B190" s="7" t="n">
        <v>7</v>
      </c>
      <c r="C190" s="9" t="n">
        <v>0</v>
      </c>
      <c r="D190" s="9" t="n">
        <v>0</v>
      </c>
      <c r="E190" s="9" t="n">
        <v>0</v>
      </c>
      <c r="F190" s="9" t="n">
        <v>0</v>
      </c>
      <c r="G190" s="9" t="n">
        <v>0</v>
      </c>
      <c r="H190" s="9" t="n">
        <v>0</v>
      </c>
      <c r="I190" s="9" t="n">
        <v>0</v>
      </c>
      <c r="J190" s="9" t="n">
        <v>0</v>
      </c>
    </row>
    <row r="191" customFormat="false" ht="15.75" hidden="false" customHeight="false" outlineLevel="0" collapsed="false">
      <c r="A191" s="7" t="s">
        <v>199</v>
      </c>
      <c r="B191" s="7" t="n">
        <v>7</v>
      </c>
      <c r="C191" s="9" t="n">
        <v>77660</v>
      </c>
      <c r="D191" s="9" t="n">
        <v>0</v>
      </c>
      <c r="E191" s="9" t="n">
        <v>0</v>
      </c>
      <c r="F191" s="9" t="n">
        <v>0</v>
      </c>
      <c r="G191" s="9" t="n">
        <v>0</v>
      </c>
      <c r="H191" s="9" t="n">
        <v>0</v>
      </c>
      <c r="I191" s="9" t="n">
        <v>77660</v>
      </c>
      <c r="J191" s="9" t="n">
        <v>0</v>
      </c>
    </row>
    <row r="192" customFormat="false" ht="15.75" hidden="false" customHeight="false" outlineLevel="0" collapsed="false">
      <c r="A192" s="7" t="s">
        <v>200</v>
      </c>
      <c r="B192" s="7" t="n">
        <v>7</v>
      </c>
      <c r="C192" s="9" t="n">
        <v>72</v>
      </c>
      <c r="D192" s="9" t="n">
        <v>504000</v>
      </c>
      <c r="E192" s="9" t="n">
        <v>0</v>
      </c>
      <c r="F192" s="9" t="n">
        <v>0</v>
      </c>
      <c r="G192" s="9" t="n">
        <v>0</v>
      </c>
      <c r="H192" s="9" t="n">
        <v>0</v>
      </c>
      <c r="I192" s="9" t="n">
        <v>72</v>
      </c>
      <c r="J192" s="9" t="n">
        <v>504000</v>
      </c>
    </row>
    <row r="193" customFormat="false" ht="15.75" hidden="false" customHeight="false" outlineLevel="0" collapsed="false">
      <c r="A193" s="7" t="s">
        <v>201</v>
      </c>
      <c r="B193" s="7" t="n">
        <v>7</v>
      </c>
      <c r="C193" s="9" t="n">
        <v>1560</v>
      </c>
      <c r="D193" s="9" t="n">
        <v>23446139</v>
      </c>
      <c r="E193" s="9" t="n">
        <v>240</v>
      </c>
      <c r="F193" s="9" t="n">
        <v>3853560</v>
      </c>
      <c r="G193" s="9" t="n">
        <v>0</v>
      </c>
      <c r="H193" s="9" t="n">
        <v>0</v>
      </c>
      <c r="I193" s="9" t="n">
        <v>1800</v>
      </c>
      <c r="J193" s="9" t="n">
        <v>27299699</v>
      </c>
    </row>
    <row r="194" customFormat="false" ht="15.75" hidden="false" customHeight="false" outlineLevel="0" collapsed="false">
      <c r="A194" s="7" t="s">
        <v>202</v>
      </c>
      <c r="B194" s="7" t="n">
        <v>7</v>
      </c>
      <c r="C194" s="9" t="n">
        <v>0</v>
      </c>
      <c r="D194" s="9" t="n">
        <v>0</v>
      </c>
      <c r="E194" s="9" t="n">
        <v>0</v>
      </c>
      <c r="F194" s="9" t="n">
        <v>0</v>
      </c>
      <c r="G194" s="9" t="n">
        <v>0</v>
      </c>
      <c r="H194" s="9" t="n">
        <v>0</v>
      </c>
      <c r="I194" s="9" t="n">
        <v>0</v>
      </c>
      <c r="J194" s="9" t="n">
        <v>0</v>
      </c>
    </row>
    <row r="195" customFormat="false" ht="15.75" hidden="false" customHeight="false" outlineLevel="0" collapsed="false">
      <c r="A195" s="7" t="s">
        <v>203</v>
      </c>
      <c r="B195" s="7" t="n">
        <v>7</v>
      </c>
      <c r="C195" s="9" t="n">
        <v>5894</v>
      </c>
      <c r="D195" s="9" t="n">
        <v>69177878</v>
      </c>
      <c r="E195" s="9" t="n">
        <v>338</v>
      </c>
      <c r="F195" s="9" t="n">
        <v>0</v>
      </c>
      <c r="G195" s="9" t="n">
        <v>0</v>
      </c>
      <c r="H195" s="9" t="n">
        <v>0</v>
      </c>
      <c r="I195" s="9" t="n">
        <v>6232</v>
      </c>
      <c r="J195" s="9" t="n">
        <v>69177878</v>
      </c>
    </row>
    <row r="196" customFormat="false" ht="15.75" hidden="false" customHeight="false" outlineLevel="0" collapsed="false">
      <c r="A196" s="7" t="s">
        <v>204</v>
      </c>
      <c r="B196" s="7" t="n">
        <v>7</v>
      </c>
      <c r="C196" s="9" t="n">
        <v>6159</v>
      </c>
      <c r="D196" s="9" t="n">
        <v>165632522</v>
      </c>
      <c r="E196" s="9" t="n">
        <v>144</v>
      </c>
      <c r="F196" s="9" t="n">
        <v>0</v>
      </c>
      <c r="G196" s="9" t="n">
        <v>2890</v>
      </c>
      <c r="H196" s="9" t="n">
        <v>75944469</v>
      </c>
      <c r="I196" s="9" t="n">
        <v>3413</v>
      </c>
      <c r="J196" s="9" t="n">
        <v>89688053</v>
      </c>
    </row>
    <row r="197" customFormat="false" ht="15.75" hidden="false" customHeight="false" outlineLevel="0" collapsed="false">
      <c r="A197" s="7" t="s">
        <v>205</v>
      </c>
      <c r="B197" s="7" t="n">
        <v>7</v>
      </c>
      <c r="C197" s="9" t="n">
        <v>1340</v>
      </c>
      <c r="D197" s="9" t="n">
        <v>80499759</v>
      </c>
      <c r="E197" s="9" t="n">
        <v>2400</v>
      </c>
      <c r="F197" s="9" t="n">
        <v>161097600</v>
      </c>
      <c r="G197" s="9" t="n">
        <v>760</v>
      </c>
      <c r="H197" s="9" t="n">
        <v>49094650</v>
      </c>
      <c r="I197" s="9" t="n">
        <v>2980</v>
      </c>
      <c r="J197" s="9" t="n">
        <v>192502709</v>
      </c>
    </row>
    <row r="198" customFormat="false" ht="15.75" hidden="false" customHeight="false" outlineLevel="0" collapsed="false">
      <c r="A198" s="7" t="s">
        <v>206</v>
      </c>
      <c r="B198" s="7" t="n">
        <v>7</v>
      </c>
      <c r="C198" s="9" t="n">
        <v>954</v>
      </c>
      <c r="D198" s="9" t="n">
        <v>29897100</v>
      </c>
      <c r="E198" s="9" t="n">
        <v>144</v>
      </c>
      <c r="F198" s="9" t="n">
        <v>4732358</v>
      </c>
      <c r="G198" s="9" t="n">
        <v>0</v>
      </c>
      <c r="H198" s="9" t="n">
        <v>0</v>
      </c>
      <c r="I198" s="9" t="n">
        <v>1098</v>
      </c>
      <c r="J198" s="9" t="n">
        <v>34629458</v>
      </c>
    </row>
    <row r="199" customFormat="false" ht="15.75" hidden="false" customHeight="false" outlineLevel="0" collapsed="false">
      <c r="A199" s="7" t="s">
        <v>207</v>
      </c>
      <c r="B199" s="7" t="n">
        <v>7</v>
      </c>
      <c r="C199" s="9" t="n">
        <v>1080</v>
      </c>
      <c r="D199" s="9" t="n">
        <v>4609440</v>
      </c>
      <c r="E199" s="9" t="n">
        <v>576</v>
      </c>
      <c r="F199" s="9" t="n">
        <v>0</v>
      </c>
      <c r="G199" s="9" t="n">
        <v>0</v>
      </c>
      <c r="H199" s="9" t="n">
        <v>0</v>
      </c>
      <c r="I199" s="9" t="n">
        <v>1656</v>
      </c>
      <c r="J199" s="9" t="n">
        <v>4609440</v>
      </c>
    </row>
    <row r="200" customFormat="false" ht="15.75" hidden="false" customHeight="false" outlineLevel="0" collapsed="false">
      <c r="A200" s="7" t="s">
        <v>208</v>
      </c>
      <c r="B200" s="7" t="n">
        <v>7</v>
      </c>
      <c r="C200" s="9" t="n">
        <v>2093</v>
      </c>
      <c r="D200" s="9" t="n">
        <v>17350105</v>
      </c>
      <c r="E200" s="9" t="n">
        <v>0</v>
      </c>
      <c r="F200" s="9" t="n">
        <v>0</v>
      </c>
      <c r="G200" s="9" t="n">
        <v>2080</v>
      </c>
      <c r="H200" s="9" t="n">
        <v>17242340</v>
      </c>
      <c r="I200" s="9" t="n">
        <v>13</v>
      </c>
      <c r="J200" s="9" t="n">
        <v>107765</v>
      </c>
    </row>
    <row r="201" customFormat="false" ht="15.75" hidden="false" customHeight="false" outlineLevel="0" collapsed="false">
      <c r="A201" s="7" t="s">
        <v>209</v>
      </c>
      <c r="B201" s="7" t="n">
        <v>7</v>
      </c>
      <c r="C201" s="9" t="n">
        <v>12</v>
      </c>
      <c r="D201" s="9" t="n">
        <v>700920</v>
      </c>
      <c r="E201" s="9" t="n">
        <v>0</v>
      </c>
      <c r="F201" s="9" t="n">
        <v>0</v>
      </c>
      <c r="G201" s="9" t="n">
        <v>0</v>
      </c>
      <c r="H201" s="9" t="n">
        <v>0</v>
      </c>
      <c r="I201" s="9" t="n">
        <v>12</v>
      </c>
      <c r="J201" s="9" t="n">
        <v>700920</v>
      </c>
    </row>
    <row r="202" customFormat="false" ht="15.75" hidden="false" customHeight="false" outlineLevel="0" collapsed="false">
      <c r="A202" s="7" t="s">
        <v>210</v>
      </c>
      <c r="B202" s="7" t="n">
        <v>7</v>
      </c>
      <c r="C202" s="9" t="n">
        <v>625</v>
      </c>
      <c r="D202" s="9" t="n">
        <v>6930861</v>
      </c>
      <c r="E202" s="9" t="n">
        <v>0</v>
      </c>
      <c r="F202" s="9" t="n">
        <v>0</v>
      </c>
      <c r="G202" s="9" t="n">
        <v>0</v>
      </c>
      <c r="H202" s="9" t="n">
        <v>0</v>
      </c>
      <c r="I202" s="9" t="n">
        <v>625</v>
      </c>
      <c r="J202" s="9" t="n">
        <v>6930861</v>
      </c>
    </row>
    <row r="203" customFormat="false" ht="15.75" hidden="false" customHeight="false" outlineLevel="0" collapsed="false">
      <c r="A203" s="7" t="s">
        <v>211</v>
      </c>
      <c r="B203" s="7" t="n">
        <v>7</v>
      </c>
      <c r="C203" s="9" t="n">
        <v>0</v>
      </c>
      <c r="D203" s="9" t="n">
        <v>0</v>
      </c>
      <c r="E203" s="9" t="n">
        <v>0</v>
      </c>
      <c r="F203" s="9" t="n">
        <v>0</v>
      </c>
      <c r="G203" s="9" t="n">
        <v>0</v>
      </c>
      <c r="H203" s="9" t="n">
        <v>0</v>
      </c>
      <c r="I203" s="9" t="n">
        <v>0</v>
      </c>
      <c r="J203" s="9" t="n">
        <v>0</v>
      </c>
    </row>
    <row r="204" customFormat="false" ht="15.75" hidden="false" customHeight="false" outlineLevel="0" collapsed="false">
      <c r="A204" s="7" t="s">
        <v>212</v>
      </c>
      <c r="B204" s="7" t="n">
        <v>7</v>
      </c>
      <c r="C204" s="9" t="n">
        <v>7333</v>
      </c>
      <c r="D204" s="9" t="n">
        <v>79420996</v>
      </c>
      <c r="E204" s="9" t="n">
        <v>3960</v>
      </c>
      <c r="F204" s="9" t="n">
        <v>49167360</v>
      </c>
      <c r="G204" s="9" t="n">
        <v>9860</v>
      </c>
      <c r="H204" s="9" t="n">
        <v>112271424</v>
      </c>
      <c r="I204" s="9" t="n">
        <v>1433</v>
      </c>
      <c r="J204" s="9" t="n">
        <v>16316932</v>
      </c>
    </row>
    <row r="205" customFormat="false" ht="15.75" hidden="false" customHeight="false" outlineLevel="0" collapsed="false">
      <c r="A205" s="7" t="s">
        <v>213</v>
      </c>
      <c r="B205" s="7" t="n">
        <v>7</v>
      </c>
      <c r="C205" s="9" t="n">
        <v>4020</v>
      </c>
      <c r="D205" s="9" t="n">
        <v>85396860</v>
      </c>
      <c r="E205" s="9" t="n">
        <v>6120</v>
      </c>
      <c r="F205" s="9" t="n">
        <v>130007160</v>
      </c>
      <c r="G205" s="9" t="n">
        <v>0</v>
      </c>
      <c r="H205" s="9" t="n">
        <v>0</v>
      </c>
      <c r="I205" s="9" t="n">
        <v>10140</v>
      </c>
      <c r="J205" s="9" t="n">
        <v>215404020</v>
      </c>
    </row>
    <row r="206" customFormat="false" ht="15.75" hidden="false" customHeight="false" outlineLevel="0" collapsed="false">
      <c r="A206" s="7" t="s">
        <v>214</v>
      </c>
      <c r="B206" s="7" t="n">
        <v>7</v>
      </c>
      <c r="C206" s="9" t="n">
        <v>12237</v>
      </c>
      <c r="D206" s="9" t="n">
        <v>271337922</v>
      </c>
      <c r="E206" s="9" t="n">
        <v>7560</v>
      </c>
      <c r="F206" s="9" t="n">
        <v>186263280</v>
      </c>
      <c r="G206" s="9" t="n">
        <v>5160</v>
      </c>
      <c r="H206" s="9" t="n">
        <v>119271718</v>
      </c>
      <c r="I206" s="9" t="n">
        <v>14637</v>
      </c>
      <c r="J206" s="9" t="n">
        <v>338329484</v>
      </c>
    </row>
    <row r="207" customFormat="false" ht="15.75" hidden="false" customHeight="false" outlineLevel="0" collapsed="false">
      <c r="A207" s="7" t="s">
        <v>215</v>
      </c>
      <c r="B207" s="7" t="n">
        <v>7</v>
      </c>
      <c r="C207" s="9" t="n">
        <v>7120</v>
      </c>
      <c r="D207" s="9" t="n">
        <v>303881600</v>
      </c>
      <c r="E207" s="9" t="n">
        <v>480</v>
      </c>
      <c r="F207" s="9" t="n">
        <v>0</v>
      </c>
      <c r="G207" s="9" t="n">
        <v>0</v>
      </c>
      <c r="H207" s="9" t="n">
        <v>0</v>
      </c>
      <c r="I207" s="9" t="n">
        <v>7600</v>
      </c>
      <c r="J207" s="9" t="n">
        <v>303881600</v>
      </c>
    </row>
    <row r="208" customFormat="false" ht="15.75" hidden="false" customHeight="false" outlineLevel="0" collapsed="false">
      <c r="A208" s="7" t="s">
        <v>216</v>
      </c>
      <c r="B208" s="7" t="n">
        <v>7</v>
      </c>
      <c r="C208" s="9" t="n">
        <v>0</v>
      </c>
      <c r="D208" s="9" t="n">
        <v>0</v>
      </c>
      <c r="E208" s="9" t="n">
        <v>144</v>
      </c>
      <c r="F208" s="9" t="n">
        <v>2500272</v>
      </c>
      <c r="G208" s="9" t="n">
        <v>0</v>
      </c>
      <c r="H208" s="9" t="n">
        <v>0</v>
      </c>
      <c r="I208" s="9" t="n">
        <v>144</v>
      </c>
      <c r="J208" s="9" t="n">
        <v>2500272</v>
      </c>
    </row>
    <row r="209" customFormat="false" ht="15.75" hidden="false" customHeight="false" outlineLevel="0" collapsed="false">
      <c r="A209" s="7" t="s">
        <v>217</v>
      </c>
      <c r="B209" s="7" t="n">
        <v>7</v>
      </c>
      <c r="C209" s="9" t="n">
        <v>10</v>
      </c>
      <c r="D209" s="9" t="n">
        <v>1775003</v>
      </c>
      <c r="E209" s="9" t="n">
        <v>0</v>
      </c>
      <c r="F209" s="9" t="n">
        <v>0</v>
      </c>
      <c r="G209" s="9" t="n">
        <v>0</v>
      </c>
      <c r="H209" s="9" t="n">
        <v>0</v>
      </c>
      <c r="I209" s="9" t="n">
        <v>10</v>
      </c>
      <c r="J209" s="9" t="n">
        <v>1775003</v>
      </c>
    </row>
    <row r="210" customFormat="false" ht="15.75" hidden="false" customHeight="false" outlineLevel="0" collapsed="false">
      <c r="A210" s="7" t="s">
        <v>218</v>
      </c>
      <c r="B210" s="7" t="n">
        <v>7</v>
      </c>
      <c r="C210" s="9" t="n">
        <v>0</v>
      </c>
      <c r="D210" s="9" t="n">
        <v>0</v>
      </c>
      <c r="E210" s="9" t="n">
        <v>0</v>
      </c>
      <c r="F210" s="9" t="n">
        <v>0</v>
      </c>
      <c r="G210" s="9" t="n">
        <v>0</v>
      </c>
      <c r="H210" s="9" t="n">
        <v>0</v>
      </c>
      <c r="I210" s="9" t="n">
        <v>0</v>
      </c>
      <c r="J210" s="9" t="n">
        <v>0</v>
      </c>
    </row>
    <row r="211" customFormat="false" ht="15.75" hidden="false" customHeight="false" outlineLevel="0" collapsed="false">
      <c r="A211" s="7" t="s">
        <v>219</v>
      </c>
      <c r="B211" s="7" t="n">
        <v>7</v>
      </c>
      <c r="C211" s="9" t="n">
        <v>0</v>
      </c>
      <c r="D211" s="9" t="n">
        <v>0</v>
      </c>
      <c r="E211" s="9" t="n">
        <v>0</v>
      </c>
      <c r="F211" s="9" t="n">
        <v>0</v>
      </c>
      <c r="G211" s="9" t="n">
        <v>0</v>
      </c>
      <c r="H211" s="9" t="n">
        <v>0</v>
      </c>
      <c r="I211" s="9" t="n">
        <v>0</v>
      </c>
      <c r="J211" s="9" t="n">
        <v>0</v>
      </c>
    </row>
    <row r="212" customFormat="false" ht="15.75" hidden="false" customHeight="false" outlineLevel="0" collapsed="false">
      <c r="A212" s="7" t="s">
        <v>220</v>
      </c>
      <c r="B212" s="7" t="n">
        <v>7</v>
      </c>
      <c r="C212" s="9" t="n">
        <v>0</v>
      </c>
      <c r="D212" s="9" t="n">
        <v>0</v>
      </c>
      <c r="E212" s="9" t="n">
        <v>0</v>
      </c>
      <c r="F212" s="9" t="n">
        <v>0</v>
      </c>
      <c r="G212" s="9" t="n">
        <v>0</v>
      </c>
      <c r="H212" s="9" t="n">
        <v>0</v>
      </c>
      <c r="I212" s="9" t="n">
        <v>0</v>
      </c>
      <c r="J212" s="9" t="n">
        <v>0</v>
      </c>
    </row>
    <row r="213" customFormat="false" ht="15.75" hidden="false" customHeight="false" outlineLevel="0" collapsed="false">
      <c r="A213" s="7" t="s">
        <v>221</v>
      </c>
      <c r="B213" s="7" t="n">
        <v>7</v>
      </c>
      <c r="C213" s="9" t="n">
        <v>6714</v>
      </c>
      <c r="D213" s="9" t="n">
        <v>130584807</v>
      </c>
      <c r="E213" s="9" t="n">
        <v>0</v>
      </c>
      <c r="F213" s="9" t="n">
        <v>0</v>
      </c>
      <c r="G213" s="9" t="n">
        <v>4200</v>
      </c>
      <c r="H213" s="9" t="n">
        <v>81688440</v>
      </c>
      <c r="I213" s="9" t="n">
        <v>2514</v>
      </c>
      <c r="J213" s="9" t="n">
        <v>48896367</v>
      </c>
    </row>
    <row r="214" customFormat="false" ht="15.75" hidden="false" customHeight="false" outlineLevel="0" collapsed="false">
      <c r="A214" s="7" t="s">
        <v>222</v>
      </c>
      <c r="B214" s="7" t="n">
        <v>7</v>
      </c>
      <c r="C214" s="9" t="n">
        <v>5621</v>
      </c>
      <c r="D214" s="9" t="n">
        <v>131441378</v>
      </c>
      <c r="E214" s="9" t="n">
        <v>504</v>
      </c>
      <c r="F214" s="9" t="n">
        <v>0</v>
      </c>
      <c r="G214" s="9" t="n">
        <v>289</v>
      </c>
      <c r="H214" s="9" t="n">
        <v>6201887</v>
      </c>
      <c r="I214" s="9" t="n">
        <v>5836</v>
      </c>
      <c r="J214" s="9" t="n">
        <v>125239491</v>
      </c>
    </row>
    <row r="215" customFormat="false" ht="15.75" hidden="false" customHeight="false" outlineLevel="0" collapsed="false">
      <c r="A215" s="7" t="s">
        <v>223</v>
      </c>
      <c r="B215" s="7" t="n">
        <v>7</v>
      </c>
      <c r="C215" s="9" t="n">
        <v>1009</v>
      </c>
      <c r="D215" s="9" t="n">
        <v>43637152</v>
      </c>
      <c r="E215" s="9" t="n">
        <v>0</v>
      </c>
      <c r="F215" s="9" t="n">
        <v>0</v>
      </c>
      <c r="G215" s="9" t="n">
        <v>0</v>
      </c>
      <c r="H215" s="9" t="n">
        <v>0</v>
      </c>
      <c r="I215" s="9" t="n">
        <v>1009</v>
      </c>
      <c r="J215" s="9" t="n">
        <v>43637152</v>
      </c>
    </row>
    <row r="216" customFormat="false" ht="15.75" hidden="false" customHeight="false" outlineLevel="0" collapsed="false">
      <c r="A216" s="7" t="s">
        <v>224</v>
      </c>
      <c r="B216" s="7" t="n">
        <v>7</v>
      </c>
      <c r="C216" s="9" t="n">
        <v>336</v>
      </c>
      <c r="D216" s="9" t="n">
        <v>6713952</v>
      </c>
      <c r="E216" s="9" t="n">
        <v>0</v>
      </c>
      <c r="F216" s="9" t="n">
        <v>0</v>
      </c>
      <c r="G216" s="9" t="n">
        <v>0</v>
      </c>
      <c r="H216" s="9" t="n">
        <v>0</v>
      </c>
      <c r="I216" s="9" t="n">
        <v>336</v>
      </c>
      <c r="J216" s="9" t="n">
        <v>6713952</v>
      </c>
    </row>
    <row r="217" customFormat="false" ht="15.75" hidden="false" customHeight="false" outlineLevel="0" collapsed="false">
      <c r="A217" s="7" t="s">
        <v>225</v>
      </c>
      <c r="B217" s="7" t="n">
        <v>7</v>
      </c>
      <c r="C217" s="9" t="n">
        <v>0</v>
      </c>
      <c r="D217" s="9" t="n">
        <v>0</v>
      </c>
      <c r="E217" s="9" t="n">
        <v>0</v>
      </c>
      <c r="F217" s="9" t="n">
        <v>0</v>
      </c>
      <c r="G217" s="9" t="n">
        <v>0</v>
      </c>
      <c r="H217" s="9" t="n">
        <v>0</v>
      </c>
      <c r="I217" s="9" t="n">
        <v>0</v>
      </c>
      <c r="J217" s="9" t="n">
        <v>0</v>
      </c>
    </row>
    <row r="218" customFormat="false" ht="15.75" hidden="false" customHeight="false" outlineLevel="0" collapsed="false">
      <c r="A218" s="7" t="s">
        <v>226</v>
      </c>
      <c r="B218" s="7" t="n">
        <v>7</v>
      </c>
      <c r="C218" s="9" t="n">
        <v>360</v>
      </c>
      <c r="D218" s="9" t="n">
        <v>7553196</v>
      </c>
      <c r="E218" s="9" t="n">
        <v>0</v>
      </c>
      <c r="F218" s="9" t="n">
        <v>0</v>
      </c>
      <c r="G218" s="9" t="n">
        <v>0</v>
      </c>
      <c r="H218" s="9" t="n">
        <v>0</v>
      </c>
      <c r="I218" s="9" t="n">
        <v>360</v>
      </c>
      <c r="J218" s="9" t="n">
        <v>7553196</v>
      </c>
    </row>
    <row r="219" customFormat="false" ht="15.75" hidden="false" customHeight="false" outlineLevel="0" collapsed="false">
      <c r="A219" s="7" t="s">
        <v>227</v>
      </c>
      <c r="B219" s="7" t="n">
        <v>7</v>
      </c>
      <c r="C219" s="9" t="n">
        <v>491</v>
      </c>
      <c r="D219" s="9" t="n">
        <v>0</v>
      </c>
      <c r="E219" s="9" t="n">
        <v>0</v>
      </c>
      <c r="F219" s="9" t="n">
        <v>0</v>
      </c>
      <c r="G219" s="9" t="n">
        <v>1</v>
      </c>
      <c r="H219" s="9" t="n">
        <v>0</v>
      </c>
      <c r="I219" s="9" t="n">
        <v>490</v>
      </c>
      <c r="J219" s="9" t="n">
        <v>0</v>
      </c>
    </row>
    <row r="220" customFormat="false" ht="15.75" hidden="false" customHeight="false" outlineLevel="0" collapsed="false">
      <c r="A220" s="7" t="s">
        <v>228</v>
      </c>
      <c r="B220" s="7" t="n">
        <v>7</v>
      </c>
      <c r="C220" s="9" t="n">
        <v>1231</v>
      </c>
      <c r="D220" s="9" t="n">
        <v>109046036</v>
      </c>
      <c r="E220" s="9" t="n">
        <v>80</v>
      </c>
      <c r="F220" s="9" t="n">
        <v>7024640</v>
      </c>
      <c r="G220" s="9" t="n">
        <v>0</v>
      </c>
      <c r="H220" s="9" t="n">
        <v>0</v>
      </c>
      <c r="I220" s="9" t="n">
        <v>1311</v>
      </c>
      <c r="J220" s="9" t="n">
        <v>116070676</v>
      </c>
    </row>
    <row r="221" customFormat="false" ht="15.75" hidden="false" customHeight="false" outlineLevel="0" collapsed="false">
      <c r="A221" s="7" t="s">
        <v>229</v>
      </c>
      <c r="B221" s="7" t="n">
        <v>7</v>
      </c>
      <c r="C221" s="9" t="n">
        <v>2004</v>
      </c>
      <c r="D221" s="9" t="n">
        <v>182500692</v>
      </c>
      <c r="E221" s="9" t="n">
        <v>290</v>
      </c>
      <c r="F221" s="9" t="n">
        <v>26150320</v>
      </c>
      <c r="G221" s="9" t="n">
        <v>119</v>
      </c>
      <c r="H221" s="9" t="n">
        <v>10823658</v>
      </c>
      <c r="I221" s="9" t="n">
        <v>2175</v>
      </c>
      <c r="J221" s="9" t="n">
        <v>197827354</v>
      </c>
    </row>
    <row r="222" customFormat="false" ht="15.75" hidden="false" customHeight="false" outlineLevel="0" collapsed="false">
      <c r="A222" s="7" t="s">
        <v>230</v>
      </c>
      <c r="B222" s="7" t="n">
        <v>7</v>
      </c>
      <c r="C222" s="9" t="n">
        <v>0</v>
      </c>
      <c r="D222" s="9" t="n">
        <v>0</v>
      </c>
      <c r="E222" s="9" t="n">
        <v>0</v>
      </c>
      <c r="F222" s="9" t="n">
        <v>0</v>
      </c>
      <c r="G222" s="9" t="n">
        <v>0</v>
      </c>
      <c r="H222" s="9" t="n">
        <v>0</v>
      </c>
      <c r="I222" s="9" t="n">
        <v>0</v>
      </c>
      <c r="J222" s="9" t="n">
        <v>0</v>
      </c>
    </row>
    <row r="223" customFormat="false" ht="15.75" hidden="false" customHeight="false" outlineLevel="0" collapsed="false">
      <c r="A223" s="7" t="s">
        <v>231</v>
      </c>
      <c r="B223" s="7" t="n">
        <v>7</v>
      </c>
      <c r="C223" s="9" t="n">
        <v>0</v>
      </c>
      <c r="D223" s="9" t="n">
        <v>0</v>
      </c>
      <c r="E223" s="9" t="n">
        <v>0</v>
      </c>
      <c r="F223" s="9" t="n">
        <v>0</v>
      </c>
      <c r="G223" s="9" t="n">
        <v>0</v>
      </c>
      <c r="H223" s="9" t="n">
        <v>0</v>
      </c>
      <c r="I223" s="9" t="n">
        <v>0</v>
      </c>
      <c r="J223" s="9" t="n">
        <v>0</v>
      </c>
    </row>
    <row r="224" customFormat="false" ht="15.75" hidden="false" customHeight="false" outlineLevel="0" collapsed="false">
      <c r="A224" s="7" t="s">
        <v>232</v>
      </c>
      <c r="B224" s="7" t="n">
        <v>7</v>
      </c>
      <c r="C224" s="9" t="n">
        <v>1191</v>
      </c>
      <c r="D224" s="9" t="n">
        <v>74209746</v>
      </c>
      <c r="E224" s="9" t="n">
        <v>653</v>
      </c>
      <c r="F224" s="9" t="n">
        <v>40651968</v>
      </c>
      <c r="G224" s="9" t="n">
        <v>428</v>
      </c>
      <c r="H224" s="9" t="n">
        <v>26659877</v>
      </c>
      <c r="I224" s="9" t="n">
        <v>1416</v>
      </c>
      <c r="J224" s="9" t="n">
        <v>88201837</v>
      </c>
    </row>
    <row r="225" customFormat="false" ht="15.75" hidden="false" customHeight="false" outlineLevel="0" collapsed="false">
      <c r="A225" s="7" t="s">
        <v>233</v>
      </c>
      <c r="B225" s="7" t="n">
        <v>7</v>
      </c>
      <c r="C225" s="9" t="n">
        <v>2560</v>
      </c>
      <c r="D225" s="9" t="n">
        <v>157208745</v>
      </c>
      <c r="E225" s="9" t="n">
        <v>2151</v>
      </c>
      <c r="F225" s="9" t="n">
        <v>125440000</v>
      </c>
      <c r="G225" s="9" t="n">
        <v>3026</v>
      </c>
      <c r="H225" s="9" t="n">
        <v>181552771</v>
      </c>
      <c r="I225" s="9" t="n">
        <v>1685</v>
      </c>
      <c r="J225" s="9" t="n">
        <v>101095974</v>
      </c>
    </row>
    <row r="226" customFormat="false" ht="15.75" hidden="false" customHeight="false" outlineLevel="0" collapsed="false">
      <c r="A226" s="7" t="s">
        <v>234</v>
      </c>
      <c r="B226" s="7" t="n">
        <v>7</v>
      </c>
      <c r="C226" s="9" t="n">
        <v>15338</v>
      </c>
      <c r="D226" s="9" t="n">
        <v>886442864</v>
      </c>
      <c r="E226" s="9" t="n">
        <v>10430</v>
      </c>
      <c r="F226" s="9" t="n">
        <v>577900806</v>
      </c>
      <c r="G226" s="9" t="n">
        <v>15088</v>
      </c>
      <c r="H226" s="9" t="n">
        <v>857420727</v>
      </c>
      <c r="I226" s="9" t="n">
        <v>10680</v>
      </c>
      <c r="J226" s="9" t="n">
        <v>606922943</v>
      </c>
    </row>
    <row r="227" customFormat="false" ht="15.75" hidden="false" customHeight="false" outlineLevel="0" collapsed="false">
      <c r="A227" s="7" t="s">
        <v>235</v>
      </c>
      <c r="B227" s="7" t="n">
        <v>7</v>
      </c>
      <c r="C227" s="9" t="n">
        <v>478</v>
      </c>
      <c r="D227" s="9" t="n">
        <v>33124454</v>
      </c>
      <c r="E227" s="9" t="n">
        <v>184</v>
      </c>
      <c r="F227" s="9" t="n">
        <v>12983040</v>
      </c>
      <c r="G227" s="9" t="n">
        <v>448</v>
      </c>
      <c r="H227" s="9" t="n">
        <v>31202655</v>
      </c>
      <c r="I227" s="9" t="n">
        <v>214</v>
      </c>
      <c r="J227" s="9" t="n">
        <v>14904839</v>
      </c>
    </row>
    <row r="228" customFormat="false" ht="15.75" hidden="false" customHeight="false" outlineLevel="0" collapsed="false">
      <c r="A228" s="7" t="s">
        <v>236</v>
      </c>
      <c r="B228" s="7" t="n">
        <v>7</v>
      </c>
      <c r="C228" s="9" t="n">
        <v>0</v>
      </c>
      <c r="D228" s="9" t="n">
        <v>0</v>
      </c>
      <c r="E228" s="9" t="n">
        <v>0</v>
      </c>
      <c r="F228" s="9" t="n">
        <v>0</v>
      </c>
      <c r="G228" s="9" t="n">
        <v>0</v>
      </c>
      <c r="H228" s="9" t="n">
        <v>0</v>
      </c>
      <c r="I228" s="9" t="n">
        <v>0</v>
      </c>
      <c r="J228" s="9" t="n">
        <v>0</v>
      </c>
    </row>
    <row r="229" customFormat="false" ht="15.75" hidden="false" customHeight="false" outlineLevel="0" collapsed="false">
      <c r="A229" s="7" t="s">
        <v>237</v>
      </c>
      <c r="B229" s="7" t="n">
        <v>7</v>
      </c>
      <c r="C229" s="9" t="n">
        <v>257</v>
      </c>
      <c r="D229" s="9" t="n">
        <v>2097921</v>
      </c>
      <c r="E229" s="9" t="n">
        <v>0</v>
      </c>
      <c r="F229" s="9" t="n">
        <v>0</v>
      </c>
      <c r="G229" s="9" t="n">
        <v>0</v>
      </c>
      <c r="H229" s="9" t="n">
        <v>0</v>
      </c>
      <c r="I229" s="9" t="n">
        <v>257</v>
      </c>
      <c r="J229" s="9" t="n">
        <v>2097921</v>
      </c>
    </row>
    <row r="230" customFormat="false" ht="15.75" hidden="false" customHeight="false" outlineLevel="0" collapsed="false">
      <c r="A230" s="7" t="s">
        <v>238</v>
      </c>
      <c r="B230" s="7" t="n">
        <v>7</v>
      </c>
      <c r="C230" s="9" t="n">
        <v>921</v>
      </c>
      <c r="D230" s="9" t="n">
        <v>52855227</v>
      </c>
      <c r="E230" s="9" t="n">
        <v>331</v>
      </c>
      <c r="F230" s="9" t="n">
        <v>18864994</v>
      </c>
      <c r="G230" s="9" t="n">
        <v>184</v>
      </c>
      <c r="H230" s="9" t="n">
        <v>10540352</v>
      </c>
      <c r="I230" s="9" t="n">
        <v>1068</v>
      </c>
      <c r="J230" s="9" t="n">
        <v>61179869</v>
      </c>
    </row>
    <row r="231" customFormat="false" ht="15.75" hidden="false" customHeight="false" outlineLevel="0" collapsed="false">
      <c r="A231" s="7" t="s">
        <v>239</v>
      </c>
      <c r="B231" s="7" t="n">
        <v>7</v>
      </c>
      <c r="C231" s="9" t="n">
        <v>0</v>
      </c>
      <c r="D231" s="9" t="n">
        <v>0</v>
      </c>
      <c r="E231" s="9" t="n">
        <v>64</v>
      </c>
      <c r="F231" s="9" t="n">
        <v>7616000</v>
      </c>
      <c r="G231" s="9" t="n">
        <v>64</v>
      </c>
      <c r="H231" s="9" t="n">
        <v>7616000</v>
      </c>
      <c r="I231" s="9" t="n">
        <v>0</v>
      </c>
      <c r="J231" s="9" t="n">
        <v>0</v>
      </c>
    </row>
    <row r="232" customFormat="false" ht="15.75" hidden="false" customHeight="false" outlineLevel="0" collapsed="false">
      <c r="A232" s="7" t="s">
        <v>240</v>
      </c>
      <c r="B232" s="7" t="n">
        <v>7</v>
      </c>
      <c r="C232" s="9" t="n">
        <v>2133</v>
      </c>
      <c r="D232" s="9" t="n">
        <v>200016507</v>
      </c>
      <c r="E232" s="9" t="n">
        <v>2450</v>
      </c>
      <c r="F232" s="9" t="n">
        <v>229055400</v>
      </c>
      <c r="G232" s="9" t="n">
        <v>2548</v>
      </c>
      <c r="H232" s="9" t="n">
        <v>238550124</v>
      </c>
      <c r="I232" s="9" t="n">
        <v>2035</v>
      </c>
      <c r="J232" s="9" t="n">
        <v>190521783</v>
      </c>
    </row>
    <row r="233" customFormat="false" ht="15.75" hidden="false" customHeight="false" outlineLevel="0" collapsed="false">
      <c r="A233" s="7" t="s">
        <v>241</v>
      </c>
      <c r="B233" s="7" t="n">
        <v>7</v>
      </c>
      <c r="C233" s="9" t="n">
        <v>1746</v>
      </c>
      <c r="D233" s="9" t="n">
        <v>138809813</v>
      </c>
      <c r="E233" s="9" t="n">
        <v>463</v>
      </c>
      <c r="F233" s="9" t="n">
        <v>29513484</v>
      </c>
      <c r="G233" s="9" t="n">
        <v>1078</v>
      </c>
      <c r="H233" s="9" t="n">
        <v>82142379</v>
      </c>
      <c r="I233" s="9" t="n">
        <v>1131</v>
      </c>
      <c r="J233" s="9" t="n">
        <v>86180918</v>
      </c>
    </row>
    <row r="234" customFormat="false" ht="15.75" hidden="false" customHeight="false" outlineLevel="0" collapsed="false">
      <c r="A234" s="7" t="s">
        <v>242</v>
      </c>
      <c r="B234" s="7" t="n">
        <v>7</v>
      </c>
      <c r="C234" s="9" t="n">
        <v>2114</v>
      </c>
      <c r="D234" s="9" t="n">
        <v>145361310</v>
      </c>
      <c r="E234" s="9" t="n">
        <v>63</v>
      </c>
      <c r="F234" s="9" t="n">
        <v>4556412</v>
      </c>
      <c r="G234" s="9" t="n">
        <v>1622</v>
      </c>
      <c r="H234" s="9" t="n">
        <v>111698000</v>
      </c>
      <c r="I234" s="9" t="n">
        <v>555</v>
      </c>
      <c r="J234" s="9" t="n">
        <v>38219722</v>
      </c>
    </row>
    <row r="235" customFormat="false" ht="15.75" hidden="false" customHeight="false" outlineLevel="0" collapsed="false">
      <c r="A235" s="7" t="s">
        <v>243</v>
      </c>
      <c r="B235" s="7" t="n">
        <v>7</v>
      </c>
      <c r="C235" s="9" t="n">
        <v>1373</v>
      </c>
      <c r="D235" s="9" t="n">
        <v>127981809</v>
      </c>
      <c r="E235" s="9" t="n">
        <v>180</v>
      </c>
      <c r="F235" s="9" t="n">
        <v>16343950</v>
      </c>
      <c r="G235" s="9" t="n">
        <v>0</v>
      </c>
      <c r="H235" s="9" t="n">
        <v>0</v>
      </c>
      <c r="I235" s="9" t="n">
        <v>1553</v>
      </c>
      <c r="J235" s="9" t="n">
        <v>144325759</v>
      </c>
    </row>
    <row r="236" customFormat="false" ht="15.75" hidden="false" customHeight="false" outlineLevel="0" collapsed="false">
      <c r="A236" s="7" t="s">
        <v>244</v>
      </c>
      <c r="B236" s="7" t="n">
        <v>7</v>
      </c>
      <c r="C236" s="9" t="n">
        <v>36</v>
      </c>
      <c r="D236" s="9" t="n">
        <v>3161088</v>
      </c>
      <c r="E236" s="9" t="n">
        <v>0</v>
      </c>
      <c r="F236" s="9" t="n">
        <v>0</v>
      </c>
      <c r="G236" s="9" t="n">
        <v>0</v>
      </c>
      <c r="H236" s="9" t="n">
        <v>0</v>
      </c>
      <c r="I236" s="9" t="n">
        <v>36</v>
      </c>
      <c r="J236" s="9" t="n">
        <v>3161088</v>
      </c>
    </row>
    <row r="237" customFormat="false" ht="15.75" hidden="false" customHeight="false" outlineLevel="0" collapsed="false">
      <c r="A237" s="7" t="s">
        <v>245</v>
      </c>
      <c r="B237" s="7" t="n">
        <v>7</v>
      </c>
      <c r="C237" s="9" t="n">
        <v>0</v>
      </c>
      <c r="D237" s="9" t="n">
        <v>0</v>
      </c>
      <c r="E237" s="9" t="n">
        <v>0</v>
      </c>
      <c r="F237" s="9" t="n">
        <v>0</v>
      </c>
      <c r="G237" s="9" t="n">
        <v>0</v>
      </c>
      <c r="H237" s="9" t="n">
        <v>0</v>
      </c>
      <c r="I237" s="9" t="n">
        <v>0</v>
      </c>
      <c r="J237" s="9" t="n">
        <v>0</v>
      </c>
    </row>
    <row r="238" customFormat="false" ht="15.75" hidden="false" customHeight="false" outlineLevel="0" collapsed="false">
      <c r="A238" s="7" t="s">
        <v>246</v>
      </c>
      <c r="B238" s="7" t="n">
        <v>7</v>
      </c>
      <c r="C238" s="9" t="n">
        <v>2533</v>
      </c>
      <c r="D238" s="9" t="n">
        <v>18054060</v>
      </c>
      <c r="E238" s="9" t="n">
        <v>480</v>
      </c>
      <c r="F238" s="9" t="n">
        <v>3421219</v>
      </c>
      <c r="G238" s="9" t="n">
        <v>0</v>
      </c>
      <c r="H238" s="9" t="n">
        <v>0</v>
      </c>
      <c r="I238" s="9" t="n">
        <v>3013</v>
      </c>
      <c r="J238" s="9" t="n">
        <v>21475279</v>
      </c>
    </row>
    <row r="239" customFormat="false" ht="15.75" hidden="false" customHeight="false" outlineLevel="0" collapsed="false">
      <c r="A239" s="7" t="s">
        <v>247</v>
      </c>
      <c r="B239" s="7" t="n">
        <v>7</v>
      </c>
      <c r="C239" s="9" t="n">
        <v>26405</v>
      </c>
      <c r="D239" s="9" t="n">
        <v>177988115</v>
      </c>
      <c r="E239" s="9" t="n">
        <v>4703</v>
      </c>
      <c r="F239" s="9" t="n">
        <v>30790972</v>
      </c>
      <c r="G239" s="9" t="n">
        <v>147</v>
      </c>
      <c r="H239" s="9" t="n">
        <v>986580</v>
      </c>
      <c r="I239" s="9" t="n">
        <v>30961</v>
      </c>
      <c r="J239" s="9" t="n">
        <v>207792507</v>
      </c>
    </row>
    <row r="240" customFormat="false" ht="15.75" hidden="false" customHeight="false" outlineLevel="0" collapsed="false">
      <c r="A240" s="7" t="s">
        <v>248</v>
      </c>
      <c r="B240" s="7" t="n">
        <v>7</v>
      </c>
      <c r="C240" s="9" t="n">
        <v>267</v>
      </c>
      <c r="D240" s="9" t="n">
        <v>1903053</v>
      </c>
      <c r="E240" s="9" t="n">
        <v>0</v>
      </c>
      <c r="F240" s="9" t="n">
        <v>0</v>
      </c>
      <c r="G240" s="9" t="n">
        <v>3</v>
      </c>
      <c r="H240" s="9" t="n">
        <v>21383</v>
      </c>
      <c r="I240" s="9" t="n">
        <v>264</v>
      </c>
      <c r="J240" s="9" t="n">
        <v>1881670</v>
      </c>
    </row>
    <row r="241" customFormat="false" ht="15.75" hidden="false" customHeight="false" outlineLevel="0" collapsed="false">
      <c r="A241" s="7" t="s">
        <v>249</v>
      </c>
      <c r="B241" s="7" t="n">
        <v>7</v>
      </c>
      <c r="C241" s="9" t="n">
        <v>281</v>
      </c>
      <c r="D241" s="9" t="n">
        <v>2002839</v>
      </c>
      <c r="E241" s="9" t="n">
        <v>0</v>
      </c>
      <c r="F241" s="9" t="n">
        <v>0</v>
      </c>
      <c r="G241" s="9" t="n">
        <v>0</v>
      </c>
      <c r="H241" s="9" t="n">
        <v>0</v>
      </c>
      <c r="I241" s="9" t="n">
        <v>281</v>
      </c>
      <c r="J241" s="9" t="n">
        <v>2002839</v>
      </c>
    </row>
    <row r="242" customFormat="false" ht="15.75" hidden="false" customHeight="false" outlineLevel="0" collapsed="false">
      <c r="A242" s="7" t="s">
        <v>250</v>
      </c>
      <c r="B242" s="7" t="n">
        <v>7</v>
      </c>
      <c r="C242" s="9" t="n">
        <v>7296</v>
      </c>
      <c r="D242" s="9" t="n">
        <v>105289159</v>
      </c>
      <c r="E242" s="9" t="n">
        <v>2400</v>
      </c>
      <c r="F242" s="9" t="n">
        <v>17106096</v>
      </c>
      <c r="G242" s="9" t="n">
        <v>123</v>
      </c>
      <c r="H242" s="9" t="n">
        <v>1552663</v>
      </c>
      <c r="I242" s="9" t="n">
        <v>9573</v>
      </c>
      <c r="J242" s="9" t="n">
        <v>120842592</v>
      </c>
    </row>
    <row r="243" customFormat="false" ht="15.75" hidden="false" customHeight="false" outlineLevel="0" collapsed="false">
      <c r="A243" s="7" t="s">
        <v>251</v>
      </c>
      <c r="B243" s="7" t="n">
        <v>7</v>
      </c>
      <c r="C243" s="9" t="n">
        <v>0</v>
      </c>
      <c r="D243" s="9" t="n">
        <v>0</v>
      </c>
      <c r="E243" s="9" t="n">
        <v>0</v>
      </c>
      <c r="F243" s="9" t="n">
        <v>0</v>
      </c>
      <c r="G243" s="9" t="n">
        <v>0</v>
      </c>
      <c r="H243" s="9" t="n">
        <v>0</v>
      </c>
      <c r="I243" s="9" t="n">
        <v>0</v>
      </c>
      <c r="J243" s="9" t="n">
        <v>0</v>
      </c>
    </row>
    <row r="244" customFormat="false" ht="15.75" hidden="false" customHeight="false" outlineLevel="0" collapsed="false">
      <c r="A244" s="7" t="s">
        <v>252</v>
      </c>
      <c r="B244" s="7" t="n">
        <v>7</v>
      </c>
      <c r="C244" s="9" t="n">
        <v>0</v>
      </c>
      <c r="D244" s="9" t="n">
        <v>0</v>
      </c>
      <c r="E244" s="9" t="n">
        <v>0</v>
      </c>
      <c r="F244" s="9" t="n">
        <v>0</v>
      </c>
      <c r="G244" s="9" t="n">
        <v>0</v>
      </c>
      <c r="H244" s="9" t="n">
        <v>0</v>
      </c>
      <c r="I244" s="9" t="n">
        <v>0</v>
      </c>
      <c r="J244" s="9" t="n">
        <v>0</v>
      </c>
    </row>
    <row r="245" customFormat="false" ht="15.75" hidden="false" customHeight="false" outlineLevel="0" collapsed="false">
      <c r="A245" s="7" t="s">
        <v>253</v>
      </c>
      <c r="B245" s="7" t="n">
        <v>7</v>
      </c>
      <c r="C245" s="9" t="n">
        <v>0</v>
      </c>
      <c r="D245" s="9" t="n">
        <v>0</v>
      </c>
      <c r="E245" s="9" t="n">
        <v>0</v>
      </c>
      <c r="F245" s="9" t="n">
        <v>0</v>
      </c>
      <c r="G245" s="9" t="n">
        <v>0</v>
      </c>
      <c r="H245" s="9" t="n">
        <v>0</v>
      </c>
      <c r="I245" s="9" t="n">
        <v>0</v>
      </c>
      <c r="J245" s="9" t="n">
        <v>0</v>
      </c>
    </row>
    <row r="246" customFormat="false" ht="15.75" hidden="false" customHeight="false" outlineLevel="0" collapsed="false">
      <c r="A246" s="7" t="s">
        <v>254</v>
      </c>
      <c r="B246" s="7" t="n">
        <v>7</v>
      </c>
      <c r="C246" s="9" t="n">
        <v>68</v>
      </c>
      <c r="D246" s="9" t="n">
        <v>2320317</v>
      </c>
      <c r="E246" s="9" t="n">
        <v>80</v>
      </c>
      <c r="F246" s="9" t="n">
        <v>2749440</v>
      </c>
      <c r="G246" s="9" t="n">
        <v>120</v>
      </c>
      <c r="H246" s="9" t="n">
        <v>4110614</v>
      </c>
      <c r="I246" s="9" t="n">
        <v>28</v>
      </c>
      <c r="J246" s="9" t="n">
        <v>959143</v>
      </c>
    </row>
    <row r="247" customFormat="false" ht="15.75" hidden="false" customHeight="false" outlineLevel="0" collapsed="false">
      <c r="A247" s="7" t="s">
        <v>255</v>
      </c>
      <c r="B247" s="7" t="n">
        <v>7</v>
      </c>
      <c r="C247" s="9" t="n">
        <v>0</v>
      </c>
      <c r="D247" s="9" t="n">
        <v>884858</v>
      </c>
      <c r="E247" s="9" t="n">
        <v>0</v>
      </c>
      <c r="F247" s="9" t="n">
        <v>0</v>
      </c>
      <c r="G247" s="9" t="n">
        <v>0</v>
      </c>
      <c r="H247" s="9" t="n">
        <v>0</v>
      </c>
      <c r="I247" s="9" t="n">
        <v>0</v>
      </c>
      <c r="J247" s="9" t="n">
        <v>884858</v>
      </c>
    </row>
    <row r="248" customFormat="false" ht="15.75" hidden="false" customHeight="false" outlineLevel="0" collapsed="false">
      <c r="A248" s="7" t="s">
        <v>256</v>
      </c>
      <c r="B248" s="7" t="n">
        <v>7</v>
      </c>
      <c r="C248" s="9" t="n">
        <v>25</v>
      </c>
      <c r="D248" s="9" t="n">
        <v>696491</v>
      </c>
      <c r="E248" s="9" t="n">
        <v>0</v>
      </c>
      <c r="F248" s="9" t="n">
        <v>0</v>
      </c>
      <c r="G248" s="9" t="n">
        <v>10</v>
      </c>
      <c r="H248" s="9" t="n">
        <v>278596</v>
      </c>
      <c r="I248" s="9" t="n">
        <v>15</v>
      </c>
      <c r="J248" s="9" t="n">
        <v>417895</v>
      </c>
    </row>
    <row r="249" customFormat="false" ht="15.75" hidden="false" customHeight="false" outlineLevel="0" collapsed="false">
      <c r="A249" s="7" t="s">
        <v>257</v>
      </c>
      <c r="B249" s="7" t="n">
        <v>7</v>
      </c>
      <c r="C249" s="9" t="n">
        <v>0</v>
      </c>
      <c r="D249" s="9" t="n">
        <v>0</v>
      </c>
      <c r="E249" s="9" t="n">
        <v>0</v>
      </c>
      <c r="F249" s="9" t="n">
        <v>0</v>
      </c>
      <c r="G249" s="9" t="n">
        <v>0</v>
      </c>
      <c r="H249" s="9" t="n">
        <v>0</v>
      </c>
      <c r="I249" s="9" t="n">
        <v>0</v>
      </c>
      <c r="J249" s="9" t="n">
        <v>0</v>
      </c>
    </row>
    <row r="250" customFormat="false" ht="15.75" hidden="false" customHeight="false" outlineLevel="0" collapsed="false">
      <c r="A250" s="7" t="s">
        <v>258</v>
      </c>
      <c r="B250" s="7" t="n">
        <v>7</v>
      </c>
      <c r="C250" s="9" t="n">
        <v>1215</v>
      </c>
      <c r="D250" s="9" t="n">
        <v>4318430</v>
      </c>
      <c r="E250" s="9" t="n">
        <v>220</v>
      </c>
      <c r="F250" s="9" t="n">
        <v>3370752</v>
      </c>
      <c r="G250" s="9" t="n">
        <v>280</v>
      </c>
      <c r="H250" s="9" t="n">
        <v>4277420</v>
      </c>
      <c r="I250" s="9" t="n">
        <v>1155</v>
      </c>
      <c r="J250" s="9" t="n">
        <v>3411762</v>
      </c>
    </row>
    <row r="251" customFormat="false" ht="15.75" hidden="false" customHeight="false" outlineLevel="0" collapsed="false">
      <c r="A251" s="7" t="s">
        <v>259</v>
      </c>
      <c r="B251" s="7" t="n">
        <v>7</v>
      </c>
      <c r="C251" s="9" t="n">
        <v>110</v>
      </c>
      <c r="D251" s="9" t="n">
        <v>2420810</v>
      </c>
      <c r="E251" s="9" t="n">
        <v>0</v>
      </c>
      <c r="F251" s="9" t="n">
        <v>0</v>
      </c>
      <c r="G251" s="9" t="n">
        <v>0</v>
      </c>
      <c r="H251" s="9" t="n">
        <v>0</v>
      </c>
      <c r="I251" s="9" t="n">
        <v>110</v>
      </c>
      <c r="J251" s="9" t="n">
        <v>2420810</v>
      </c>
    </row>
    <row r="252" customFormat="false" ht="15.75" hidden="false" customHeight="false" outlineLevel="0" collapsed="false">
      <c r="A252" s="7" t="s">
        <v>260</v>
      </c>
      <c r="B252" s="7" t="n">
        <v>7</v>
      </c>
      <c r="C252" s="9" t="n">
        <v>2</v>
      </c>
      <c r="D252" s="9" t="n">
        <v>109792</v>
      </c>
      <c r="E252" s="9" t="n">
        <v>0</v>
      </c>
      <c r="F252" s="9" t="n">
        <v>0</v>
      </c>
      <c r="G252" s="9" t="n">
        <v>0</v>
      </c>
      <c r="H252" s="9" t="n">
        <v>0</v>
      </c>
      <c r="I252" s="9" t="n">
        <v>2</v>
      </c>
      <c r="J252" s="9" t="n">
        <v>109792</v>
      </c>
    </row>
    <row r="253" customFormat="false" ht="15.75" hidden="false" customHeight="false" outlineLevel="0" collapsed="false">
      <c r="A253" s="7" t="s">
        <v>261</v>
      </c>
      <c r="B253" s="7" t="n">
        <v>7</v>
      </c>
      <c r="C253" s="9" t="n">
        <v>0</v>
      </c>
      <c r="D253" s="9" t="n">
        <v>0</v>
      </c>
      <c r="E253" s="9" t="n">
        <v>0</v>
      </c>
      <c r="F253" s="9" t="n">
        <v>0</v>
      </c>
      <c r="G253" s="9" t="n">
        <v>0</v>
      </c>
      <c r="H253" s="9" t="n">
        <v>0</v>
      </c>
      <c r="I253" s="9" t="n">
        <v>0</v>
      </c>
      <c r="J253" s="9" t="n">
        <v>0</v>
      </c>
    </row>
    <row r="254" customFormat="false" ht="15.75" hidden="false" customHeight="false" outlineLevel="0" collapsed="false">
      <c r="A254" s="7" t="s">
        <v>262</v>
      </c>
      <c r="B254" s="7" t="n">
        <v>7</v>
      </c>
      <c r="C254" s="9" t="n">
        <v>0</v>
      </c>
      <c r="D254" s="9" t="n">
        <v>0</v>
      </c>
      <c r="E254" s="9" t="n">
        <v>0</v>
      </c>
      <c r="F254" s="9" t="n">
        <v>0</v>
      </c>
      <c r="G254" s="9" t="n">
        <v>0</v>
      </c>
      <c r="H254" s="9" t="n">
        <v>0</v>
      </c>
      <c r="I254" s="9" t="n">
        <v>0</v>
      </c>
      <c r="J254" s="9" t="n">
        <v>0</v>
      </c>
    </row>
    <row r="255" customFormat="false" ht="15.75" hidden="false" customHeight="false" outlineLevel="0" collapsed="false">
      <c r="A255" s="7" t="s">
        <v>263</v>
      </c>
      <c r="B255" s="7" t="n">
        <v>7</v>
      </c>
      <c r="C255" s="9" t="n">
        <v>0</v>
      </c>
      <c r="D255" s="9" t="n">
        <v>0</v>
      </c>
      <c r="E255" s="9" t="n">
        <v>0</v>
      </c>
      <c r="F255" s="9" t="n">
        <v>0</v>
      </c>
      <c r="G255" s="9" t="n">
        <v>0</v>
      </c>
      <c r="H255" s="9" t="n">
        <v>0</v>
      </c>
      <c r="I255" s="9" t="n">
        <v>0</v>
      </c>
      <c r="J255" s="9" t="n">
        <v>0</v>
      </c>
    </row>
    <row r="256" customFormat="false" ht="15.75" hidden="false" customHeight="false" outlineLevel="0" collapsed="false">
      <c r="A256" s="7" t="s">
        <v>264</v>
      </c>
      <c r="B256" s="7" t="n">
        <v>7</v>
      </c>
      <c r="C256" s="9" t="n">
        <v>0</v>
      </c>
      <c r="D256" s="9" t="n">
        <v>0</v>
      </c>
      <c r="E256" s="9" t="n">
        <v>0</v>
      </c>
      <c r="F256" s="9" t="n">
        <v>0</v>
      </c>
      <c r="G256" s="9" t="n">
        <v>0</v>
      </c>
      <c r="H256" s="9" t="n">
        <v>0</v>
      </c>
      <c r="I256" s="9" t="n">
        <v>0</v>
      </c>
      <c r="J256" s="9" t="n">
        <v>0</v>
      </c>
    </row>
    <row r="257" customFormat="false" ht="15.75" hidden="false" customHeight="false" outlineLevel="0" collapsed="false">
      <c r="A257" s="7" t="s">
        <v>265</v>
      </c>
      <c r="B257" s="7" t="n">
        <v>7</v>
      </c>
      <c r="C257" s="9" t="n">
        <v>0</v>
      </c>
      <c r="D257" s="9" t="n">
        <v>0</v>
      </c>
      <c r="E257" s="9" t="n">
        <v>0</v>
      </c>
      <c r="F257" s="9" t="n">
        <v>0</v>
      </c>
      <c r="G257" s="9" t="n">
        <v>0</v>
      </c>
      <c r="H257" s="9" t="n">
        <v>0</v>
      </c>
      <c r="I257" s="9" t="n">
        <v>0</v>
      </c>
      <c r="J257" s="9" t="n">
        <v>0</v>
      </c>
    </row>
    <row r="258" customFormat="false" ht="15.75" hidden="false" customHeight="false" outlineLevel="0" collapsed="false">
      <c r="A258" s="7" t="s">
        <v>266</v>
      </c>
      <c r="B258" s="7" t="n">
        <v>7</v>
      </c>
      <c r="C258" s="9" t="n">
        <v>0</v>
      </c>
      <c r="D258" s="9" t="n">
        <v>0</v>
      </c>
      <c r="E258" s="9" t="n">
        <v>0</v>
      </c>
      <c r="F258" s="9" t="n">
        <v>0</v>
      </c>
      <c r="G258" s="9" t="n">
        <v>0</v>
      </c>
      <c r="H258" s="9" t="n">
        <v>0</v>
      </c>
      <c r="I258" s="9" t="n">
        <v>0</v>
      </c>
      <c r="J258" s="9" t="n">
        <v>0</v>
      </c>
    </row>
    <row r="259" customFormat="false" ht="15.75" hidden="false" customHeight="false" outlineLevel="0" collapsed="false">
      <c r="A259" s="7" t="s">
        <v>267</v>
      </c>
      <c r="B259" s="7" t="n">
        <v>7</v>
      </c>
      <c r="C259" s="9" t="n">
        <v>1</v>
      </c>
      <c r="D259" s="9" t="n">
        <v>39000</v>
      </c>
      <c r="E259" s="9" t="n">
        <v>0</v>
      </c>
      <c r="F259" s="9" t="n">
        <v>0</v>
      </c>
      <c r="G259" s="9" t="n">
        <v>0</v>
      </c>
      <c r="H259" s="9" t="n">
        <v>0</v>
      </c>
      <c r="I259" s="9" t="n">
        <v>1</v>
      </c>
      <c r="J259" s="9" t="n">
        <v>39000</v>
      </c>
    </row>
    <row r="260" customFormat="false" ht="15.75" hidden="false" customHeight="false" outlineLevel="0" collapsed="false">
      <c r="A260" s="7" t="s">
        <v>268</v>
      </c>
      <c r="B260" s="7" t="n">
        <v>7</v>
      </c>
      <c r="C260" s="9" t="n">
        <v>0</v>
      </c>
      <c r="D260" s="9" t="n">
        <v>0</v>
      </c>
      <c r="E260" s="9" t="n">
        <v>0</v>
      </c>
      <c r="F260" s="9" t="n">
        <v>0</v>
      </c>
      <c r="G260" s="9" t="n">
        <v>0</v>
      </c>
      <c r="H260" s="9" t="n">
        <v>0</v>
      </c>
      <c r="I260" s="9" t="n">
        <v>0</v>
      </c>
      <c r="J260" s="9" t="n">
        <v>0</v>
      </c>
    </row>
    <row r="261" customFormat="false" ht="15.75" hidden="false" customHeight="false" outlineLevel="0" collapsed="false">
      <c r="A261" s="7" t="s">
        <v>269</v>
      </c>
      <c r="B261" s="7" t="n">
        <v>7</v>
      </c>
      <c r="C261" s="9" t="n">
        <v>0</v>
      </c>
      <c r="D261" s="9" t="n">
        <v>0</v>
      </c>
      <c r="E261" s="9" t="n">
        <v>0</v>
      </c>
      <c r="F261" s="9" t="n">
        <v>0</v>
      </c>
      <c r="G261" s="9" t="n">
        <v>0</v>
      </c>
      <c r="H261" s="9" t="n">
        <v>0</v>
      </c>
      <c r="I261" s="9" t="n">
        <v>0</v>
      </c>
      <c r="J261" s="9" t="n">
        <v>0</v>
      </c>
    </row>
    <row r="262" customFormat="false" ht="15.75" hidden="false" customHeight="false" outlineLevel="0" collapsed="false">
      <c r="A262" s="7" t="s">
        <v>270</v>
      </c>
      <c r="B262" s="7" t="n">
        <v>7</v>
      </c>
      <c r="C262" s="9" t="n">
        <v>0</v>
      </c>
      <c r="D262" s="9" t="n">
        <v>0</v>
      </c>
      <c r="E262" s="9" t="n">
        <v>0</v>
      </c>
      <c r="F262" s="9" t="n">
        <v>0</v>
      </c>
      <c r="G262" s="9" t="n">
        <v>0</v>
      </c>
      <c r="H262" s="9" t="n">
        <v>0</v>
      </c>
      <c r="I262" s="9" t="n">
        <v>0</v>
      </c>
      <c r="J262" s="9" t="n">
        <v>0</v>
      </c>
    </row>
    <row r="263" customFormat="false" ht="15.75" hidden="false" customHeight="false" outlineLevel="0" collapsed="false">
      <c r="A263" s="7" t="s">
        <v>271</v>
      </c>
      <c r="B263" s="7" t="n">
        <v>7</v>
      </c>
      <c r="C263" s="9" t="n">
        <v>0</v>
      </c>
      <c r="D263" s="9" t="n">
        <v>0</v>
      </c>
      <c r="E263" s="9" t="n">
        <v>0</v>
      </c>
      <c r="F263" s="9" t="n">
        <v>0</v>
      </c>
      <c r="G263" s="9" t="n">
        <v>0</v>
      </c>
      <c r="H263" s="9" t="n">
        <v>0</v>
      </c>
      <c r="I263" s="9" t="n">
        <v>0</v>
      </c>
      <c r="J263" s="9" t="n">
        <v>0</v>
      </c>
    </row>
    <row r="264" customFormat="false" ht="15.75" hidden="false" customHeight="false" outlineLevel="0" collapsed="false">
      <c r="A264" s="7" t="s">
        <v>272</v>
      </c>
      <c r="B264" s="7" t="n">
        <v>7</v>
      </c>
      <c r="C264" s="9" t="n">
        <v>6</v>
      </c>
      <c r="D264" s="9" t="n">
        <v>794727</v>
      </c>
      <c r="E264" s="9" t="n">
        <v>0</v>
      </c>
      <c r="F264" s="9" t="n">
        <v>0</v>
      </c>
      <c r="G264" s="9" t="n">
        <v>0</v>
      </c>
      <c r="H264" s="9" t="n">
        <v>0</v>
      </c>
      <c r="I264" s="9" t="n">
        <v>6</v>
      </c>
      <c r="J264" s="9" t="n">
        <v>794727</v>
      </c>
    </row>
    <row r="265" customFormat="false" ht="15.75" hidden="false" customHeight="false" outlineLevel="0" collapsed="false">
      <c r="A265" s="7" t="s">
        <v>273</v>
      </c>
      <c r="B265" s="7" t="n">
        <v>7</v>
      </c>
      <c r="C265" s="9" t="n">
        <v>0</v>
      </c>
      <c r="D265" s="9" t="n">
        <v>0</v>
      </c>
      <c r="E265" s="9" t="n">
        <v>0</v>
      </c>
      <c r="F265" s="9" t="n">
        <v>0</v>
      </c>
      <c r="G265" s="9" t="n">
        <v>0</v>
      </c>
      <c r="H265" s="9" t="n">
        <v>0</v>
      </c>
      <c r="I265" s="9" t="n">
        <v>0</v>
      </c>
      <c r="J265" s="9" t="n">
        <v>0</v>
      </c>
    </row>
    <row r="266" customFormat="false" ht="15.75" hidden="false" customHeight="false" outlineLevel="0" collapsed="false">
      <c r="A266" s="7" t="s">
        <v>274</v>
      </c>
      <c r="B266" s="7" t="n">
        <v>7</v>
      </c>
      <c r="C266" s="9" t="n">
        <v>0</v>
      </c>
      <c r="D266" s="9" t="n">
        <v>0</v>
      </c>
      <c r="E266" s="9" t="n">
        <v>0</v>
      </c>
      <c r="F266" s="9" t="n">
        <v>0</v>
      </c>
      <c r="G266" s="9" t="n">
        <v>0</v>
      </c>
      <c r="H266" s="9" t="n">
        <v>0</v>
      </c>
      <c r="I266" s="9" t="n">
        <v>0</v>
      </c>
      <c r="J266" s="9" t="n">
        <v>0</v>
      </c>
    </row>
    <row r="267" customFormat="false" ht="15.75" hidden="false" customHeight="false" outlineLevel="0" collapsed="false">
      <c r="A267" s="7" t="s">
        <v>275</v>
      </c>
      <c r="B267" s="7" t="n">
        <v>7</v>
      </c>
      <c r="C267" s="9" t="n">
        <v>0</v>
      </c>
      <c r="D267" s="9" t="n">
        <v>0</v>
      </c>
      <c r="E267" s="9" t="n">
        <v>0</v>
      </c>
      <c r="F267" s="9" t="n">
        <v>0</v>
      </c>
      <c r="G267" s="9" t="n">
        <v>0</v>
      </c>
      <c r="H267" s="9" t="n">
        <v>0</v>
      </c>
      <c r="I267" s="9" t="n">
        <v>0</v>
      </c>
      <c r="J267" s="9" t="n">
        <v>0</v>
      </c>
    </row>
    <row r="268" customFormat="false" ht="15.75" hidden="false" customHeight="false" outlineLevel="0" collapsed="false">
      <c r="A268" s="7" t="s">
        <v>276</v>
      </c>
      <c r="B268" s="7" t="n">
        <v>7</v>
      </c>
      <c r="C268" s="9" t="n">
        <v>0</v>
      </c>
      <c r="D268" s="9" t="n">
        <v>0</v>
      </c>
      <c r="E268" s="9" t="n">
        <v>0</v>
      </c>
      <c r="F268" s="9" t="n">
        <v>0</v>
      </c>
      <c r="G268" s="9" t="n">
        <v>0</v>
      </c>
      <c r="H268" s="9" t="n">
        <v>0</v>
      </c>
      <c r="I268" s="9" t="n">
        <v>0</v>
      </c>
      <c r="J268" s="9" t="n">
        <v>0</v>
      </c>
    </row>
    <row r="269" customFormat="false" ht="15.75" hidden="false" customHeight="false" outlineLevel="0" collapsed="false">
      <c r="A269" s="7" t="s">
        <v>277</v>
      </c>
      <c r="B269" s="7" t="n">
        <v>7</v>
      </c>
      <c r="C269" s="9" t="n">
        <v>0</v>
      </c>
      <c r="D269" s="9" t="n">
        <v>0</v>
      </c>
      <c r="E269" s="9" t="n">
        <v>0</v>
      </c>
      <c r="F269" s="9" t="n">
        <v>0</v>
      </c>
      <c r="G269" s="9" t="n">
        <v>0</v>
      </c>
      <c r="H269" s="9" t="n">
        <v>0</v>
      </c>
      <c r="I269" s="9" t="n">
        <v>0</v>
      </c>
      <c r="J269" s="9" t="n">
        <v>0</v>
      </c>
    </row>
    <row r="270" customFormat="false" ht="15.75" hidden="false" customHeight="false" outlineLevel="0" collapsed="false">
      <c r="A270" s="7" t="s">
        <v>278</v>
      </c>
      <c r="B270" s="7" t="n">
        <v>7</v>
      </c>
      <c r="C270" s="9" t="n">
        <v>0</v>
      </c>
      <c r="D270" s="9" t="n">
        <v>0</v>
      </c>
      <c r="E270" s="9" t="n">
        <v>0</v>
      </c>
      <c r="F270" s="9" t="n">
        <v>0</v>
      </c>
      <c r="G270" s="9" t="n">
        <v>0</v>
      </c>
      <c r="H270" s="9" t="n">
        <v>0</v>
      </c>
      <c r="I270" s="9" t="n">
        <v>0</v>
      </c>
      <c r="J270" s="9" t="n">
        <v>0</v>
      </c>
    </row>
    <row r="271" customFormat="false" ht="15.75" hidden="false" customHeight="false" outlineLevel="0" collapsed="false">
      <c r="A271" s="7" t="s">
        <v>279</v>
      </c>
      <c r="B271" s="7" t="n">
        <v>7</v>
      </c>
      <c r="C271" s="9" t="n">
        <v>0</v>
      </c>
      <c r="D271" s="9" t="n">
        <v>0</v>
      </c>
      <c r="E271" s="9" t="n">
        <v>0</v>
      </c>
      <c r="F271" s="9" t="n">
        <v>0</v>
      </c>
      <c r="G271" s="9" t="n">
        <v>0</v>
      </c>
      <c r="H271" s="9" t="n">
        <v>0</v>
      </c>
      <c r="I271" s="9" t="n">
        <v>0</v>
      </c>
      <c r="J271" s="9" t="n">
        <v>0</v>
      </c>
    </row>
    <row r="272" customFormat="false" ht="15.75" hidden="false" customHeight="false" outlineLevel="0" collapsed="false">
      <c r="A272" s="7" t="s">
        <v>280</v>
      </c>
      <c r="B272" s="7" t="n">
        <v>7</v>
      </c>
      <c r="C272" s="9" t="n">
        <v>0</v>
      </c>
      <c r="D272" s="9" t="n">
        <v>0</v>
      </c>
      <c r="E272" s="9" t="n">
        <v>0</v>
      </c>
      <c r="F272" s="9" t="n">
        <v>0</v>
      </c>
      <c r="G272" s="9" t="n">
        <v>0</v>
      </c>
      <c r="H272" s="9" t="n">
        <v>0</v>
      </c>
      <c r="I272" s="9" t="n">
        <v>0</v>
      </c>
      <c r="J272" s="9" t="n">
        <v>0</v>
      </c>
    </row>
    <row r="273" customFormat="false" ht="15.75" hidden="false" customHeight="false" outlineLevel="0" collapsed="false">
      <c r="A273" s="7" t="s">
        <v>281</v>
      </c>
      <c r="B273" s="7" t="n">
        <v>7</v>
      </c>
      <c r="C273" s="9" t="n">
        <v>43</v>
      </c>
      <c r="D273" s="9" t="n">
        <v>756885</v>
      </c>
      <c r="E273" s="9" t="n">
        <v>100</v>
      </c>
      <c r="F273" s="9" t="n">
        <v>1764000</v>
      </c>
      <c r="G273" s="9" t="n">
        <v>120</v>
      </c>
      <c r="H273" s="9" t="n">
        <v>2115428</v>
      </c>
      <c r="I273" s="9" t="n">
        <v>23</v>
      </c>
      <c r="J273" s="9" t="n">
        <v>405457</v>
      </c>
    </row>
    <row r="274" customFormat="false" ht="15.75" hidden="false" customHeight="false" outlineLevel="0" collapsed="false">
      <c r="A274" s="7" t="s">
        <v>282</v>
      </c>
      <c r="B274" s="7" t="n">
        <v>7</v>
      </c>
      <c r="C274" s="9" t="n">
        <v>28</v>
      </c>
      <c r="D274" s="9" t="n">
        <v>1940400</v>
      </c>
      <c r="E274" s="9" t="n">
        <v>10</v>
      </c>
      <c r="F274" s="9" t="n">
        <v>705600</v>
      </c>
      <c r="G274" s="9" t="n">
        <v>10</v>
      </c>
      <c r="H274" s="9" t="n">
        <v>682325</v>
      </c>
      <c r="I274" s="9" t="n">
        <v>28</v>
      </c>
      <c r="J274" s="9" t="n">
        <v>1963675</v>
      </c>
    </row>
    <row r="275" customFormat="false" ht="15.75" hidden="false" customHeight="false" outlineLevel="0" collapsed="false">
      <c r="A275" s="7" t="s">
        <v>283</v>
      </c>
      <c r="B275" s="7" t="n">
        <v>7</v>
      </c>
      <c r="C275" s="9" t="n">
        <v>1764</v>
      </c>
      <c r="D275" s="9" t="n">
        <v>29602681</v>
      </c>
      <c r="E275" s="9" t="n">
        <v>782</v>
      </c>
      <c r="F275" s="9" t="n">
        <v>26964000</v>
      </c>
      <c r="G275" s="9" t="n">
        <v>278</v>
      </c>
      <c r="H275" s="9" t="n">
        <v>9565964</v>
      </c>
      <c r="I275" s="9" t="n">
        <v>2268</v>
      </c>
      <c r="J275" s="9" t="n">
        <v>47000717</v>
      </c>
    </row>
    <row r="276" customFormat="false" ht="15.75" hidden="false" customHeight="false" outlineLevel="0" collapsed="false">
      <c r="A276" s="7" t="s">
        <v>284</v>
      </c>
      <c r="B276" s="7" t="n">
        <v>7</v>
      </c>
      <c r="C276" s="9" t="n">
        <v>145</v>
      </c>
      <c r="D276" s="9" t="n">
        <v>6540614</v>
      </c>
      <c r="E276" s="9" t="n">
        <v>60</v>
      </c>
      <c r="F276" s="9" t="n">
        <v>2761920</v>
      </c>
      <c r="G276" s="9" t="n">
        <v>85</v>
      </c>
      <c r="H276" s="9" t="n">
        <v>3857149</v>
      </c>
      <c r="I276" s="9" t="n">
        <v>120</v>
      </c>
      <c r="J276" s="9" t="n">
        <v>5445385</v>
      </c>
    </row>
    <row r="277" customFormat="false" ht="15.75" hidden="false" customHeight="false" outlineLevel="0" collapsed="false">
      <c r="A277" s="7" t="s">
        <v>285</v>
      </c>
      <c r="B277" s="7" t="n">
        <v>7</v>
      </c>
      <c r="C277" s="9" t="n">
        <v>5</v>
      </c>
      <c r="D277" s="9" t="n">
        <v>586595</v>
      </c>
      <c r="E277" s="9" t="n">
        <v>0</v>
      </c>
      <c r="F277" s="9" t="n">
        <v>0</v>
      </c>
      <c r="G277" s="9" t="n">
        <v>0</v>
      </c>
      <c r="H277" s="9" t="n">
        <v>0</v>
      </c>
      <c r="I277" s="9" t="n">
        <v>5</v>
      </c>
      <c r="J277" s="9" t="n">
        <v>586595</v>
      </c>
    </row>
    <row r="278" customFormat="false" ht="15.75" hidden="false" customHeight="false" outlineLevel="0" collapsed="false">
      <c r="A278" s="7" t="s">
        <v>286</v>
      </c>
      <c r="B278" s="7" t="n">
        <v>7</v>
      </c>
      <c r="C278" s="9" t="n">
        <v>8</v>
      </c>
      <c r="D278" s="9" t="n">
        <v>847410</v>
      </c>
      <c r="E278" s="9" t="n">
        <v>0</v>
      </c>
      <c r="F278" s="9" t="n">
        <v>0</v>
      </c>
      <c r="G278" s="9" t="n">
        <v>0</v>
      </c>
      <c r="H278" s="9" t="n">
        <v>0</v>
      </c>
      <c r="I278" s="9" t="n">
        <v>8</v>
      </c>
      <c r="J278" s="9" t="n">
        <v>847410</v>
      </c>
    </row>
    <row r="279" customFormat="false" ht="15.75" hidden="false" customHeight="false" outlineLevel="0" collapsed="false">
      <c r="A279" s="7" t="s">
        <v>287</v>
      </c>
      <c r="B279" s="7" t="n">
        <v>7</v>
      </c>
      <c r="C279" s="9" t="n">
        <v>8</v>
      </c>
      <c r="D279" s="9" t="n">
        <v>888480</v>
      </c>
      <c r="E279" s="9" t="n">
        <v>0</v>
      </c>
      <c r="F279" s="9" t="n">
        <v>0</v>
      </c>
      <c r="G279" s="9" t="n">
        <v>0</v>
      </c>
      <c r="H279" s="9" t="n">
        <v>0</v>
      </c>
      <c r="I279" s="9" t="n">
        <v>8</v>
      </c>
      <c r="J279" s="9" t="n">
        <v>888480</v>
      </c>
    </row>
    <row r="280" customFormat="false" ht="15.75" hidden="false" customHeight="false" outlineLevel="0" collapsed="false">
      <c r="A280" s="7" t="s">
        <v>288</v>
      </c>
      <c r="B280" s="7" t="n">
        <v>7</v>
      </c>
      <c r="C280" s="9" t="n">
        <v>36</v>
      </c>
      <c r="D280" s="9" t="n">
        <v>850896</v>
      </c>
      <c r="E280" s="9" t="n">
        <v>36</v>
      </c>
      <c r="F280" s="9" t="n">
        <v>866664</v>
      </c>
      <c r="G280" s="9" t="n">
        <v>0</v>
      </c>
      <c r="H280" s="9" t="n">
        <v>0</v>
      </c>
      <c r="I280" s="9" t="n">
        <v>72</v>
      </c>
      <c r="J280" s="9" t="n">
        <v>1717560</v>
      </c>
    </row>
    <row r="281" customFormat="false" ht="15.75" hidden="false" customHeight="false" outlineLevel="0" collapsed="false">
      <c r="A281" s="7" t="s">
        <v>289</v>
      </c>
      <c r="B281" s="7" t="n">
        <v>7</v>
      </c>
      <c r="C281" s="9" t="n">
        <v>5241</v>
      </c>
      <c r="D281" s="9" t="n">
        <v>18544800</v>
      </c>
      <c r="E281" s="9" t="n">
        <v>0</v>
      </c>
      <c r="F281" s="9" t="n">
        <v>0</v>
      </c>
      <c r="G281" s="9" t="n">
        <v>0</v>
      </c>
      <c r="H281" s="9" t="n">
        <v>0</v>
      </c>
      <c r="I281" s="9" t="n">
        <v>5241</v>
      </c>
      <c r="J281" s="9" t="n">
        <v>18544800</v>
      </c>
    </row>
    <row r="282" customFormat="false" ht="15.75" hidden="false" customHeight="false" outlineLevel="0" collapsed="false">
      <c r="A282" s="7" t="s">
        <v>290</v>
      </c>
      <c r="B282" s="7" t="n">
        <v>7</v>
      </c>
      <c r="C282" s="9" t="n">
        <v>2155</v>
      </c>
      <c r="D282" s="9" t="n">
        <v>191768861</v>
      </c>
      <c r="E282" s="9" t="n">
        <v>540</v>
      </c>
      <c r="F282" s="9" t="n">
        <v>48051360</v>
      </c>
      <c r="G282" s="9" t="n">
        <v>234</v>
      </c>
      <c r="H282" s="9" t="n">
        <v>20822980</v>
      </c>
      <c r="I282" s="9" t="n">
        <v>2461</v>
      </c>
      <c r="J282" s="9" t="n">
        <v>218997241</v>
      </c>
    </row>
    <row r="283" customFormat="false" ht="15.75" hidden="false" customHeight="false" outlineLevel="0" collapsed="false">
      <c r="A283" s="7" t="s">
        <v>291</v>
      </c>
      <c r="B283" s="7" t="n">
        <v>7</v>
      </c>
      <c r="C283" s="9" t="n">
        <v>2800</v>
      </c>
      <c r="D283" s="9" t="n">
        <v>261452686</v>
      </c>
      <c r="E283" s="9" t="n">
        <v>1018</v>
      </c>
      <c r="F283" s="9" t="n">
        <v>94485353</v>
      </c>
      <c r="G283" s="9" t="n">
        <v>1344</v>
      </c>
      <c r="H283" s="9" t="n">
        <v>125296156</v>
      </c>
      <c r="I283" s="9" t="n">
        <v>2474</v>
      </c>
      <c r="J283" s="9" t="n">
        <v>230641883</v>
      </c>
    </row>
    <row r="284" customFormat="false" ht="15.75" hidden="false" customHeight="false" outlineLevel="0" collapsed="false">
      <c r="A284" s="7" t="s">
        <v>292</v>
      </c>
      <c r="B284" s="7" t="n">
        <v>7</v>
      </c>
      <c r="C284" s="9" t="n">
        <v>1594</v>
      </c>
      <c r="D284" s="9" t="n">
        <v>114342584</v>
      </c>
      <c r="E284" s="9" t="n">
        <v>436</v>
      </c>
      <c r="F284" s="9" t="n">
        <v>32034240</v>
      </c>
      <c r="G284" s="9" t="n">
        <v>108</v>
      </c>
      <c r="H284" s="9" t="n">
        <v>7787535</v>
      </c>
      <c r="I284" s="9" t="n">
        <v>1922</v>
      </c>
      <c r="J284" s="9" t="n">
        <v>138589289</v>
      </c>
    </row>
    <row r="285" customFormat="false" ht="15.75" hidden="false" customHeight="false" outlineLevel="0" collapsed="false">
      <c r="A285" s="7"/>
      <c r="B285" s="7"/>
      <c r="C285" s="6"/>
      <c r="D285" s="6" t="n">
        <v>16776189651</v>
      </c>
      <c r="E285" s="6"/>
      <c r="F285" s="6" t="n">
        <v>9695173526</v>
      </c>
      <c r="G285" s="6"/>
      <c r="H285" s="6" t="n">
        <v>11337158824</v>
      </c>
      <c r="I285" s="6" t="n">
        <v>1128743</v>
      </c>
      <c r="J285" s="6" t="n">
        <v>15134204353</v>
      </c>
    </row>
  </sheetData>
  <mergeCells count="4">
    <mergeCell ref="C1:D1"/>
    <mergeCell ref="E1:F1"/>
    <mergeCell ref="G1:H1"/>
    <mergeCell ref="I1:J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W285"/>
  <sheetViews>
    <sheetView showFormulas="false" showGridLines="true" showRowColHeaders="true" showZeros="true" rightToLeft="false" tabSelected="false" showOutlineSymbols="true" defaultGridColor="true" view="normal" topLeftCell="A277" colorId="64" zoomScale="100" zoomScaleNormal="100" zoomScalePageLayoutView="100" workbookViewId="0">
      <selection pane="topLeft" activeCell="A277" activeCellId="0" sqref="A277"/>
    </sheetView>
  </sheetViews>
  <sheetFormatPr defaultColWidth="12.5703125" defaultRowHeight="15.75" customHeight="true" zeroHeight="false" outlineLevelRow="0" outlineLevelCol="0"/>
  <sheetData>
    <row r="1" customFormat="false" ht="15.75" hidden="false" customHeight="false" outlineLevel="0" collapsed="false">
      <c r="A1" s="1"/>
      <c r="B1" s="2"/>
      <c r="C1" s="3" t="s">
        <v>0</v>
      </c>
      <c r="D1" s="3"/>
      <c r="E1" s="3" t="s">
        <v>1</v>
      </c>
      <c r="F1" s="3"/>
      <c r="G1" s="3" t="s">
        <v>2</v>
      </c>
      <c r="H1" s="3"/>
      <c r="I1" s="3" t="s">
        <v>3</v>
      </c>
      <c r="J1" s="3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</row>
    <row r="2" customFormat="false" ht="15.75" hidden="false" customHeight="false" outlineLevel="0" collapsed="false">
      <c r="A2" s="4" t="s">
        <v>4</v>
      </c>
      <c r="B2" s="5" t="s">
        <v>5</v>
      </c>
      <c r="C2" s="6" t="s">
        <v>6</v>
      </c>
      <c r="D2" s="6" t="s">
        <v>7</v>
      </c>
      <c r="E2" s="6" t="s">
        <v>8</v>
      </c>
      <c r="F2" s="6" t="s">
        <v>9</v>
      </c>
      <c r="G2" s="6" t="s">
        <v>6</v>
      </c>
      <c r="H2" s="6" t="s">
        <v>10</v>
      </c>
      <c r="I2" s="6" t="s">
        <v>6</v>
      </c>
      <c r="J2" s="6" t="s">
        <v>9</v>
      </c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</row>
    <row r="3" customFormat="false" ht="15.75" hidden="false" customHeight="false" outlineLevel="0" collapsed="false">
      <c r="A3" s="4" t="s">
        <v>11</v>
      </c>
      <c r="B3" s="5" t="n">
        <v>8</v>
      </c>
      <c r="C3" s="6" t="n">
        <v>146</v>
      </c>
      <c r="D3" s="6" t="n">
        <v>4015720</v>
      </c>
      <c r="E3" s="6" t="n">
        <v>100</v>
      </c>
      <c r="F3" s="6" t="n">
        <v>2774400</v>
      </c>
      <c r="G3" s="6" t="n">
        <v>0</v>
      </c>
      <c r="H3" s="6" t="n">
        <v>0</v>
      </c>
      <c r="I3" s="6" t="n">
        <v>246</v>
      </c>
      <c r="J3" s="6" t="n">
        <v>6790120</v>
      </c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</row>
    <row r="4" customFormat="false" ht="15.75" hidden="false" customHeight="false" outlineLevel="0" collapsed="false">
      <c r="A4" s="7" t="s">
        <v>12</v>
      </c>
      <c r="B4" s="7" t="n">
        <v>8</v>
      </c>
      <c r="C4" s="9" t="n">
        <v>0</v>
      </c>
      <c r="D4" s="9" t="n">
        <v>0</v>
      </c>
      <c r="E4" s="9" t="n">
        <v>0</v>
      </c>
      <c r="F4" s="9" t="n">
        <v>0</v>
      </c>
      <c r="G4" s="9" t="n">
        <v>0</v>
      </c>
      <c r="H4" s="9" t="n">
        <v>0</v>
      </c>
      <c r="I4" s="9" t="n">
        <v>0</v>
      </c>
      <c r="J4" s="9" t="n">
        <v>0</v>
      </c>
    </row>
    <row r="5" customFormat="false" ht="15.75" hidden="false" customHeight="false" outlineLevel="0" collapsed="false">
      <c r="A5" s="7" t="s">
        <v>13</v>
      </c>
      <c r="B5" s="7" t="n">
        <v>8</v>
      </c>
      <c r="C5" s="9" t="n">
        <v>803</v>
      </c>
      <c r="D5" s="9" t="n">
        <v>26336751</v>
      </c>
      <c r="E5" s="9" t="n">
        <v>0</v>
      </c>
      <c r="F5" s="9" t="n">
        <v>0</v>
      </c>
      <c r="G5" s="9" t="n">
        <v>0</v>
      </c>
      <c r="H5" s="9" t="n">
        <v>0</v>
      </c>
      <c r="I5" s="9" t="n">
        <v>803</v>
      </c>
      <c r="J5" s="9" t="n">
        <v>26336751</v>
      </c>
    </row>
    <row r="6" customFormat="false" ht="15.75" hidden="false" customHeight="false" outlineLevel="0" collapsed="false">
      <c r="A6" s="7" t="s">
        <v>14</v>
      </c>
      <c r="B6" s="7" t="n">
        <v>8</v>
      </c>
      <c r="C6" s="9" t="n">
        <v>120</v>
      </c>
      <c r="D6" s="9" t="n">
        <v>35752144</v>
      </c>
      <c r="E6" s="9" t="n">
        <v>0</v>
      </c>
      <c r="F6" s="9" t="n">
        <v>0</v>
      </c>
      <c r="G6" s="9" t="n">
        <v>0</v>
      </c>
      <c r="H6" s="9" t="n">
        <v>0</v>
      </c>
      <c r="I6" s="9" t="n">
        <v>120</v>
      </c>
      <c r="J6" s="9" t="n">
        <v>35752144</v>
      </c>
    </row>
    <row r="7" customFormat="false" ht="15.75" hidden="false" customHeight="false" outlineLevel="0" collapsed="false">
      <c r="A7" s="7" t="s">
        <v>15</v>
      </c>
      <c r="B7" s="7" t="n">
        <v>8</v>
      </c>
      <c r="C7" s="9" t="n">
        <v>510</v>
      </c>
      <c r="D7" s="9" t="n">
        <v>69373706</v>
      </c>
      <c r="E7" s="9" t="n">
        <v>0</v>
      </c>
      <c r="F7" s="9" t="n">
        <v>0</v>
      </c>
      <c r="G7" s="9" t="n">
        <v>0</v>
      </c>
      <c r="H7" s="9" t="n">
        <v>0</v>
      </c>
      <c r="I7" s="9" t="n">
        <v>510</v>
      </c>
      <c r="J7" s="9" t="n">
        <v>69373706</v>
      </c>
    </row>
    <row r="8" customFormat="false" ht="15.75" hidden="false" customHeight="false" outlineLevel="0" collapsed="false">
      <c r="A8" s="7" t="s">
        <v>16</v>
      </c>
      <c r="B8" s="7" t="n">
        <v>8</v>
      </c>
      <c r="C8" s="9" t="n">
        <v>344</v>
      </c>
      <c r="D8" s="9" t="n">
        <v>53839916</v>
      </c>
      <c r="E8" s="9" t="n">
        <v>0</v>
      </c>
      <c r="F8" s="9" t="n">
        <v>0</v>
      </c>
      <c r="G8" s="9" t="n">
        <v>0</v>
      </c>
      <c r="H8" s="9" t="n">
        <v>0</v>
      </c>
      <c r="I8" s="9" t="n">
        <v>344</v>
      </c>
      <c r="J8" s="9" t="n">
        <v>53839916</v>
      </c>
    </row>
    <row r="9" customFormat="false" ht="15.75" hidden="false" customHeight="false" outlineLevel="0" collapsed="false">
      <c r="A9" s="7" t="s">
        <v>17</v>
      </c>
      <c r="B9" s="7" t="n">
        <v>8</v>
      </c>
      <c r="C9" s="9" t="n">
        <v>159</v>
      </c>
      <c r="D9" s="9" t="n">
        <v>38049584</v>
      </c>
      <c r="E9" s="9" t="n">
        <v>0</v>
      </c>
      <c r="F9" s="9" t="n">
        <v>0</v>
      </c>
      <c r="G9" s="9" t="n">
        <v>0</v>
      </c>
      <c r="H9" s="9" t="n">
        <v>0</v>
      </c>
      <c r="I9" s="9" t="n">
        <v>159</v>
      </c>
      <c r="J9" s="9" t="n">
        <v>38049584</v>
      </c>
    </row>
    <row r="10" customFormat="false" ht="15.75" hidden="false" customHeight="false" outlineLevel="0" collapsed="false">
      <c r="A10" s="7" t="s">
        <v>18</v>
      </c>
      <c r="B10" s="7" t="n">
        <v>8</v>
      </c>
      <c r="C10" s="9" t="n">
        <v>734</v>
      </c>
      <c r="D10" s="9" t="n">
        <v>15983688</v>
      </c>
      <c r="E10" s="9" t="n">
        <v>0</v>
      </c>
      <c r="F10" s="9" t="n">
        <v>0</v>
      </c>
      <c r="G10" s="9" t="n">
        <v>60</v>
      </c>
      <c r="H10" s="9" t="n">
        <v>1306569</v>
      </c>
      <c r="I10" s="9" t="n">
        <v>674</v>
      </c>
      <c r="J10" s="9" t="n">
        <v>14677119</v>
      </c>
    </row>
    <row r="11" customFormat="false" ht="15.75" hidden="false" customHeight="false" outlineLevel="0" collapsed="false">
      <c r="A11" s="7" t="s">
        <v>19</v>
      </c>
      <c r="B11" s="7" t="n">
        <v>8</v>
      </c>
      <c r="C11" s="9" t="n">
        <v>180</v>
      </c>
      <c r="D11" s="9" t="n">
        <v>3904035</v>
      </c>
      <c r="E11" s="9" t="n">
        <v>0</v>
      </c>
      <c r="F11" s="9" t="n">
        <v>0</v>
      </c>
      <c r="G11" s="9" t="n">
        <v>0</v>
      </c>
      <c r="H11" s="9" t="n">
        <v>0</v>
      </c>
      <c r="I11" s="9" t="n">
        <v>180</v>
      </c>
      <c r="J11" s="9" t="n">
        <v>3904035</v>
      </c>
    </row>
    <row r="12" customFormat="false" ht="15.75" hidden="false" customHeight="false" outlineLevel="0" collapsed="false">
      <c r="A12" s="7" t="s">
        <v>20</v>
      </c>
      <c r="B12" s="7" t="n">
        <v>8</v>
      </c>
      <c r="C12" s="9" t="n">
        <v>295</v>
      </c>
      <c r="D12" s="9" t="n">
        <v>31404753</v>
      </c>
      <c r="E12" s="9" t="n">
        <v>0</v>
      </c>
      <c r="F12" s="9" t="n">
        <v>0</v>
      </c>
      <c r="G12" s="9" t="n">
        <v>0</v>
      </c>
      <c r="H12" s="9" t="n">
        <v>0</v>
      </c>
      <c r="I12" s="9" t="n">
        <v>295</v>
      </c>
      <c r="J12" s="9" t="n">
        <v>31404753</v>
      </c>
    </row>
    <row r="13" customFormat="false" ht="15.75" hidden="false" customHeight="false" outlineLevel="0" collapsed="false">
      <c r="A13" s="7" t="s">
        <v>21</v>
      </c>
      <c r="B13" s="7" t="n">
        <v>8</v>
      </c>
      <c r="C13" s="9" t="n">
        <v>170</v>
      </c>
      <c r="D13" s="9" t="n">
        <v>40681945</v>
      </c>
      <c r="E13" s="9" t="n">
        <v>0</v>
      </c>
      <c r="F13" s="9" t="n">
        <v>0</v>
      </c>
      <c r="G13" s="9" t="n">
        <v>0</v>
      </c>
      <c r="H13" s="9" t="n">
        <v>0</v>
      </c>
      <c r="I13" s="9" t="n">
        <v>170</v>
      </c>
      <c r="J13" s="9" t="n">
        <v>40681945</v>
      </c>
    </row>
    <row r="14" customFormat="false" ht="15.75" hidden="false" customHeight="false" outlineLevel="0" collapsed="false">
      <c r="A14" s="7" t="s">
        <v>22</v>
      </c>
      <c r="B14" s="7" t="n">
        <v>8</v>
      </c>
      <c r="C14" s="9" t="n">
        <v>18</v>
      </c>
      <c r="D14" s="9" t="n">
        <v>407934</v>
      </c>
      <c r="E14" s="9" t="n">
        <v>0</v>
      </c>
      <c r="F14" s="9" t="n">
        <v>0</v>
      </c>
      <c r="G14" s="9" t="n">
        <v>0</v>
      </c>
      <c r="H14" s="9" t="n">
        <v>0</v>
      </c>
      <c r="I14" s="9" t="n">
        <v>18</v>
      </c>
      <c r="J14" s="9" t="n">
        <v>407934</v>
      </c>
    </row>
    <row r="15" customFormat="false" ht="15.75" hidden="false" customHeight="false" outlineLevel="0" collapsed="false">
      <c r="A15" s="7" t="s">
        <v>23</v>
      </c>
      <c r="B15" s="7" t="n">
        <v>8</v>
      </c>
      <c r="C15" s="9" t="n">
        <v>0</v>
      </c>
      <c r="D15" s="9" t="n">
        <v>0</v>
      </c>
      <c r="E15" s="9" t="n">
        <v>0</v>
      </c>
      <c r="F15" s="9" t="n">
        <v>0</v>
      </c>
      <c r="G15" s="9" t="n">
        <v>0</v>
      </c>
      <c r="H15" s="9" t="n">
        <v>0</v>
      </c>
      <c r="I15" s="9" t="n">
        <v>0</v>
      </c>
      <c r="J15" s="9" t="n">
        <v>0</v>
      </c>
    </row>
    <row r="16" customFormat="false" ht="15.75" hidden="false" customHeight="false" outlineLevel="0" collapsed="false">
      <c r="A16" s="7" t="s">
        <v>24</v>
      </c>
      <c r="B16" s="7" t="n">
        <v>8</v>
      </c>
      <c r="C16" s="9" t="n">
        <v>0</v>
      </c>
      <c r="D16" s="9" t="n">
        <v>0</v>
      </c>
      <c r="E16" s="9" t="n">
        <v>0</v>
      </c>
      <c r="F16" s="9" t="n">
        <v>0</v>
      </c>
      <c r="G16" s="9" t="n">
        <v>0</v>
      </c>
      <c r="H16" s="9" t="n">
        <v>0</v>
      </c>
      <c r="I16" s="9" t="n">
        <v>0</v>
      </c>
      <c r="J16" s="9" t="n">
        <v>0</v>
      </c>
    </row>
    <row r="17" customFormat="false" ht="15.75" hidden="false" customHeight="false" outlineLevel="0" collapsed="false">
      <c r="A17" s="7" t="s">
        <v>25</v>
      </c>
      <c r="B17" s="7" t="n">
        <v>8</v>
      </c>
      <c r="C17" s="9" t="n">
        <v>20</v>
      </c>
      <c r="D17" s="9" t="n">
        <v>419503</v>
      </c>
      <c r="E17" s="9" t="n">
        <v>50</v>
      </c>
      <c r="F17" s="9" t="n">
        <v>1059987</v>
      </c>
      <c r="G17" s="9" t="n">
        <v>70</v>
      </c>
      <c r="H17" s="9" t="n">
        <v>1479490</v>
      </c>
      <c r="I17" s="9" t="n">
        <v>0</v>
      </c>
      <c r="J17" s="9" t="n">
        <v>0</v>
      </c>
    </row>
    <row r="18" customFormat="false" ht="15.75" hidden="false" customHeight="false" outlineLevel="0" collapsed="false">
      <c r="A18" s="7" t="s">
        <v>26</v>
      </c>
      <c r="B18" s="7" t="n">
        <v>8</v>
      </c>
      <c r="C18" s="9" t="n">
        <v>24</v>
      </c>
      <c r="D18" s="9" t="n">
        <v>612682</v>
      </c>
      <c r="E18" s="9" t="n">
        <v>60</v>
      </c>
      <c r="F18" s="9" t="n">
        <v>1555560</v>
      </c>
      <c r="G18" s="9" t="n">
        <v>0</v>
      </c>
      <c r="H18" s="9" t="n">
        <v>0</v>
      </c>
      <c r="I18" s="9" t="n">
        <v>84</v>
      </c>
      <c r="J18" s="9" t="n">
        <v>2168242</v>
      </c>
    </row>
    <row r="19" customFormat="false" ht="15.75" hidden="false" customHeight="false" outlineLevel="0" collapsed="false">
      <c r="A19" s="7" t="s">
        <v>27</v>
      </c>
      <c r="B19" s="7" t="n">
        <v>8</v>
      </c>
      <c r="C19" s="9" t="n">
        <v>82</v>
      </c>
      <c r="D19" s="9" t="n">
        <v>2503247</v>
      </c>
      <c r="E19" s="9" t="n">
        <v>20</v>
      </c>
      <c r="F19" s="9" t="n">
        <v>629620</v>
      </c>
      <c r="G19" s="9" t="n">
        <v>65</v>
      </c>
      <c r="H19" s="9" t="n">
        <v>1996435</v>
      </c>
      <c r="I19" s="9" t="n">
        <v>37</v>
      </c>
      <c r="J19" s="9" t="n">
        <v>1136432</v>
      </c>
    </row>
    <row r="20" customFormat="false" ht="15.75" hidden="false" customHeight="false" outlineLevel="0" collapsed="false">
      <c r="A20" s="7" t="s">
        <v>28</v>
      </c>
      <c r="B20" s="7" t="n">
        <v>8</v>
      </c>
      <c r="C20" s="9" t="n">
        <v>0</v>
      </c>
      <c r="D20" s="9" t="n">
        <v>0</v>
      </c>
      <c r="E20" s="9" t="n">
        <v>0</v>
      </c>
      <c r="F20" s="9" t="n">
        <v>0</v>
      </c>
      <c r="G20" s="9" t="n">
        <v>0</v>
      </c>
      <c r="H20" s="9" t="n">
        <v>0</v>
      </c>
      <c r="I20" s="9" t="n">
        <v>0</v>
      </c>
      <c r="J20" s="9" t="n">
        <v>0</v>
      </c>
    </row>
    <row r="21" customFormat="false" ht="15.75" hidden="false" customHeight="false" outlineLevel="0" collapsed="false">
      <c r="A21" s="7" t="s">
        <v>29</v>
      </c>
      <c r="B21" s="7" t="n">
        <v>8</v>
      </c>
      <c r="C21" s="9" t="n">
        <v>210</v>
      </c>
      <c r="D21" s="9" t="n">
        <v>55497330</v>
      </c>
      <c r="E21" s="9" t="n">
        <v>20</v>
      </c>
      <c r="F21" s="9" t="n">
        <v>5285460</v>
      </c>
      <c r="G21" s="9" t="n">
        <v>0</v>
      </c>
      <c r="H21" s="9" t="n">
        <v>0</v>
      </c>
      <c r="I21" s="9" t="n">
        <v>230</v>
      </c>
      <c r="J21" s="9" t="n">
        <v>60782790</v>
      </c>
    </row>
    <row r="22" customFormat="false" ht="15.75" hidden="false" customHeight="false" outlineLevel="0" collapsed="false">
      <c r="A22" s="7" t="s">
        <v>30</v>
      </c>
      <c r="B22" s="7" t="n">
        <v>8</v>
      </c>
      <c r="C22" s="9" t="n">
        <v>114</v>
      </c>
      <c r="D22" s="9" t="n">
        <v>23160334</v>
      </c>
      <c r="E22" s="9" t="n">
        <v>53</v>
      </c>
      <c r="F22" s="9" t="n">
        <v>9223650</v>
      </c>
      <c r="G22" s="9" t="n">
        <v>0</v>
      </c>
      <c r="H22" s="9" t="n">
        <v>0</v>
      </c>
      <c r="I22" s="9" t="n">
        <v>167</v>
      </c>
      <c r="J22" s="9" t="n">
        <v>32383984</v>
      </c>
    </row>
    <row r="23" customFormat="false" ht="15.75" hidden="false" customHeight="false" outlineLevel="0" collapsed="false">
      <c r="A23" s="7" t="s">
        <v>31</v>
      </c>
      <c r="B23" s="7" t="n">
        <v>8</v>
      </c>
      <c r="C23" s="9" t="n">
        <v>0</v>
      </c>
      <c r="D23" s="9" t="n">
        <v>0</v>
      </c>
      <c r="E23" s="9" t="n">
        <v>0</v>
      </c>
      <c r="F23" s="9" t="n">
        <v>0</v>
      </c>
      <c r="G23" s="9" t="n">
        <v>0</v>
      </c>
      <c r="H23" s="9" t="n">
        <v>0</v>
      </c>
      <c r="I23" s="9" t="n">
        <v>0</v>
      </c>
      <c r="J23" s="9" t="n">
        <v>0</v>
      </c>
    </row>
    <row r="24" customFormat="false" ht="15.75" hidden="false" customHeight="false" outlineLevel="0" collapsed="false">
      <c r="A24" s="7" t="s">
        <v>32</v>
      </c>
      <c r="B24" s="7" t="n">
        <v>8</v>
      </c>
      <c r="C24" s="9" t="n">
        <v>0</v>
      </c>
      <c r="D24" s="9" t="n">
        <v>0</v>
      </c>
      <c r="E24" s="9" t="n">
        <v>0</v>
      </c>
      <c r="F24" s="9" t="n">
        <v>0</v>
      </c>
      <c r="G24" s="9" t="n">
        <v>0</v>
      </c>
      <c r="H24" s="9" t="n">
        <v>0</v>
      </c>
      <c r="I24" s="9" t="n">
        <v>0</v>
      </c>
      <c r="J24" s="9" t="n">
        <v>0</v>
      </c>
    </row>
    <row r="25" customFormat="false" ht="15.75" hidden="false" customHeight="false" outlineLevel="0" collapsed="false">
      <c r="A25" s="7" t="s">
        <v>33</v>
      </c>
      <c r="B25" s="7" t="n">
        <v>8</v>
      </c>
      <c r="C25" s="9" t="n">
        <v>76</v>
      </c>
      <c r="D25" s="9" t="n">
        <v>9285800</v>
      </c>
      <c r="E25" s="9" t="n">
        <v>0</v>
      </c>
      <c r="F25" s="9" t="n">
        <v>0</v>
      </c>
      <c r="G25" s="9" t="n">
        <v>0</v>
      </c>
      <c r="H25" s="9" t="n">
        <v>0</v>
      </c>
      <c r="I25" s="9" t="n">
        <v>76</v>
      </c>
      <c r="J25" s="9" t="n">
        <v>9285800</v>
      </c>
    </row>
    <row r="26" customFormat="false" ht="15.75" hidden="false" customHeight="false" outlineLevel="0" collapsed="false">
      <c r="A26" s="7" t="s">
        <v>34</v>
      </c>
      <c r="B26" s="7" t="n">
        <v>8</v>
      </c>
      <c r="C26" s="9" t="n">
        <v>20</v>
      </c>
      <c r="D26" s="9" t="n">
        <v>4642900</v>
      </c>
      <c r="E26" s="9" t="n">
        <v>9</v>
      </c>
      <c r="F26" s="9" t="n">
        <v>0</v>
      </c>
      <c r="G26" s="9" t="n">
        <v>0</v>
      </c>
      <c r="H26" s="9" t="n">
        <v>0</v>
      </c>
      <c r="I26" s="9" t="n">
        <v>29</v>
      </c>
      <c r="J26" s="9" t="n">
        <v>4642900</v>
      </c>
    </row>
    <row r="27" customFormat="false" ht="15.75" hidden="false" customHeight="false" outlineLevel="0" collapsed="false">
      <c r="A27" s="7" t="s">
        <v>35</v>
      </c>
      <c r="B27" s="7" t="n">
        <v>8</v>
      </c>
      <c r="C27" s="9" t="n">
        <v>0</v>
      </c>
      <c r="D27" s="9" t="n">
        <v>0</v>
      </c>
      <c r="E27" s="9" t="n">
        <v>150</v>
      </c>
      <c r="F27" s="9" t="n">
        <v>17100000</v>
      </c>
      <c r="G27" s="9" t="n">
        <v>0</v>
      </c>
      <c r="H27" s="9" t="n">
        <v>0</v>
      </c>
      <c r="I27" s="9" t="n">
        <v>150</v>
      </c>
      <c r="J27" s="9" t="n">
        <v>17100000</v>
      </c>
    </row>
    <row r="28" customFormat="false" ht="15.75" hidden="false" customHeight="false" outlineLevel="0" collapsed="false">
      <c r="A28" s="7" t="s">
        <v>36</v>
      </c>
      <c r="B28" s="7" t="n">
        <v>8</v>
      </c>
      <c r="C28" s="9" t="n">
        <v>40</v>
      </c>
      <c r="D28" s="9" t="n">
        <v>1818200</v>
      </c>
      <c r="E28" s="9" t="n">
        <v>0</v>
      </c>
      <c r="F28" s="9" t="n">
        <v>0</v>
      </c>
      <c r="G28" s="9" t="n">
        <v>0</v>
      </c>
      <c r="H28" s="9" t="n">
        <v>0</v>
      </c>
      <c r="I28" s="9" t="n">
        <v>40</v>
      </c>
      <c r="J28" s="9" t="n">
        <v>1818200</v>
      </c>
    </row>
    <row r="29" customFormat="false" ht="15.75" hidden="false" customHeight="false" outlineLevel="0" collapsed="false">
      <c r="A29" s="7" t="s">
        <v>37</v>
      </c>
      <c r="B29" s="7" t="n">
        <v>8</v>
      </c>
      <c r="C29" s="9" t="n">
        <v>1471</v>
      </c>
      <c r="D29" s="9" t="n">
        <v>81647561</v>
      </c>
      <c r="E29" s="9" t="n">
        <v>4480</v>
      </c>
      <c r="F29" s="9" t="n">
        <v>249441920</v>
      </c>
      <c r="G29" s="9" t="n">
        <v>4746</v>
      </c>
      <c r="H29" s="9" t="n">
        <v>264048173</v>
      </c>
      <c r="I29" s="9" t="n">
        <v>1205</v>
      </c>
      <c r="J29" s="9" t="n">
        <v>67041308</v>
      </c>
    </row>
    <row r="30" customFormat="false" ht="15.75" hidden="false" customHeight="false" outlineLevel="0" collapsed="false">
      <c r="A30" s="7" t="s">
        <v>38</v>
      </c>
      <c r="B30" s="7" t="n">
        <v>8</v>
      </c>
      <c r="C30" s="9" t="n">
        <v>272186</v>
      </c>
      <c r="D30" s="9" t="n">
        <v>203181003</v>
      </c>
      <c r="E30" s="9" t="n">
        <v>11160</v>
      </c>
      <c r="F30" s="9" t="n">
        <v>348281280</v>
      </c>
      <c r="G30" s="9" t="n">
        <v>10908</v>
      </c>
      <c r="H30" s="9" t="n">
        <v>340415455</v>
      </c>
      <c r="I30" s="9" t="n">
        <v>272438</v>
      </c>
      <c r="J30" s="9" t="n">
        <v>211046828</v>
      </c>
    </row>
    <row r="31" customFormat="false" ht="15.75" hidden="false" customHeight="false" outlineLevel="0" collapsed="false">
      <c r="A31" s="7" t="s">
        <v>39</v>
      </c>
      <c r="B31" s="7" t="n">
        <v>8</v>
      </c>
      <c r="C31" s="9" t="n">
        <v>27480</v>
      </c>
      <c r="D31" s="9" t="n">
        <v>106057214</v>
      </c>
      <c r="E31" s="9" t="n">
        <v>1920</v>
      </c>
      <c r="F31" s="9" t="n">
        <v>69473280</v>
      </c>
      <c r="G31" s="9" t="n">
        <v>3375</v>
      </c>
      <c r="H31" s="9" t="n">
        <v>121232739</v>
      </c>
      <c r="I31" s="9" t="n">
        <v>26025</v>
      </c>
      <c r="J31" s="9" t="n">
        <v>54297755</v>
      </c>
    </row>
    <row r="32" customFormat="false" ht="15.75" hidden="false" customHeight="false" outlineLevel="0" collapsed="false">
      <c r="A32" s="7" t="s">
        <v>40</v>
      </c>
      <c r="B32" s="7" t="n">
        <v>8</v>
      </c>
      <c r="C32" s="9" t="n">
        <v>1050</v>
      </c>
      <c r="D32" s="9" t="n">
        <v>37993200</v>
      </c>
      <c r="E32" s="9" t="n">
        <v>1380</v>
      </c>
      <c r="F32" s="9" t="n">
        <v>49933920</v>
      </c>
      <c r="G32" s="9" t="n">
        <v>0</v>
      </c>
      <c r="H32" s="9" t="n">
        <v>0</v>
      </c>
      <c r="I32" s="9" t="n">
        <v>2430</v>
      </c>
      <c r="J32" s="9" t="n">
        <v>87927120</v>
      </c>
    </row>
    <row r="33" customFormat="false" ht="15.75" hidden="false" customHeight="false" outlineLevel="0" collapsed="false">
      <c r="A33" s="7" t="s">
        <v>41</v>
      </c>
      <c r="B33" s="7" t="n">
        <v>8</v>
      </c>
      <c r="C33" s="9" t="n">
        <v>90</v>
      </c>
      <c r="D33" s="9" t="n">
        <v>3256560</v>
      </c>
      <c r="E33" s="9" t="n">
        <v>0</v>
      </c>
      <c r="F33" s="9" t="n">
        <v>0</v>
      </c>
      <c r="G33" s="9" t="n">
        <v>0</v>
      </c>
      <c r="H33" s="9" t="n">
        <v>0</v>
      </c>
      <c r="I33" s="9" t="n">
        <v>90</v>
      </c>
      <c r="J33" s="9" t="n">
        <v>3256560</v>
      </c>
    </row>
    <row r="34" customFormat="false" ht="15.75" hidden="false" customHeight="false" outlineLevel="0" collapsed="false">
      <c r="A34" s="7" t="s">
        <v>42</v>
      </c>
      <c r="B34" s="7" t="n">
        <v>8</v>
      </c>
      <c r="C34" s="9" t="n">
        <v>64</v>
      </c>
      <c r="D34" s="9" t="n">
        <v>3359040</v>
      </c>
      <c r="E34" s="9" t="n">
        <v>64</v>
      </c>
      <c r="F34" s="9" t="n">
        <v>3359040</v>
      </c>
      <c r="G34" s="9" t="n">
        <v>32</v>
      </c>
      <c r="H34" s="9" t="n">
        <v>1589647</v>
      </c>
      <c r="I34" s="9" t="n">
        <v>96</v>
      </c>
      <c r="J34" s="9" t="n">
        <v>5128433</v>
      </c>
    </row>
    <row r="35" customFormat="false" ht="15.75" hidden="false" customHeight="false" outlineLevel="0" collapsed="false">
      <c r="A35" s="7" t="s">
        <v>43</v>
      </c>
      <c r="B35" s="7" t="n">
        <v>8</v>
      </c>
      <c r="C35" s="9" t="n">
        <v>0</v>
      </c>
      <c r="D35" s="9" t="n">
        <v>0</v>
      </c>
      <c r="E35" s="9" t="n">
        <v>0</v>
      </c>
      <c r="F35" s="9" t="n">
        <v>0</v>
      </c>
      <c r="G35" s="9" t="n">
        <v>0</v>
      </c>
      <c r="H35" s="9" t="n">
        <v>0</v>
      </c>
      <c r="I35" s="9" t="n">
        <v>0</v>
      </c>
      <c r="J35" s="9" t="n">
        <v>0</v>
      </c>
    </row>
    <row r="36" customFormat="false" ht="15.75" hidden="false" customHeight="false" outlineLevel="0" collapsed="false">
      <c r="A36" s="7" t="s">
        <v>44</v>
      </c>
      <c r="B36" s="7" t="n">
        <v>8</v>
      </c>
      <c r="C36" s="9" t="n">
        <v>9275</v>
      </c>
      <c r="D36" s="9" t="n">
        <v>26014574</v>
      </c>
      <c r="E36" s="9" t="n">
        <v>615</v>
      </c>
      <c r="F36" s="9" t="n">
        <v>22253160</v>
      </c>
      <c r="G36" s="9" t="n">
        <v>465</v>
      </c>
      <c r="H36" s="9" t="n">
        <v>16812879</v>
      </c>
      <c r="I36" s="9" t="n">
        <v>9425</v>
      </c>
      <c r="J36" s="9" t="n">
        <v>31454855</v>
      </c>
    </row>
    <row r="37" customFormat="false" ht="15.75" hidden="false" customHeight="false" outlineLevel="0" collapsed="false">
      <c r="A37" s="7" t="s">
        <v>45</v>
      </c>
      <c r="B37" s="7" t="n">
        <v>8</v>
      </c>
      <c r="C37" s="9" t="n">
        <v>390</v>
      </c>
      <c r="D37" s="9" t="n">
        <v>14021524</v>
      </c>
      <c r="E37" s="9" t="n">
        <v>840</v>
      </c>
      <c r="F37" s="9" t="n">
        <v>30394560</v>
      </c>
      <c r="G37" s="9" t="n">
        <v>300</v>
      </c>
      <c r="H37" s="9" t="n">
        <v>10833191</v>
      </c>
      <c r="I37" s="9" t="n">
        <v>930</v>
      </c>
      <c r="J37" s="9" t="n">
        <v>33582893</v>
      </c>
    </row>
    <row r="38" customFormat="false" ht="15.75" hidden="false" customHeight="false" outlineLevel="0" collapsed="false">
      <c r="A38" s="7" t="s">
        <v>46</v>
      </c>
      <c r="B38" s="7" t="n">
        <v>8</v>
      </c>
      <c r="C38" s="9" t="n">
        <v>45</v>
      </c>
      <c r="D38" s="9" t="n">
        <v>1628280</v>
      </c>
      <c r="E38" s="9" t="n">
        <v>165</v>
      </c>
      <c r="F38" s="9" t="n">
        <v>5970360</v>
      </c>
      <c r="G38" s="9" t="n">
        <v>0</v>
      </c>
      <c r="H38" s="9" t="n">
        <v>0</v>
      </c>
      <c r="I38" s="9" t="n">
        <v>210</v>
      </c>
      <c r="J38" s="9" t="n">
        <v>7598640</v>
      </c>
    </row>
    <row r="39" customFormat="false" ht="15.75" hidden="false" customHeight="false" outlineLevel="0" collapsed="false">
      <c r="A39" s="7" t="s">
        <v>47</v>
      </c>
      <c r="B39" s="7" t="n">
        <v>8</v>
      </c>
      <c r="C39" s="9" t="n">
        <v>4750</v>
      </c>
      <c r="D39" s="9" t="n">
        <v>22782351</v>
      </c>
      <c r="E39" s="9" t="n">
        <v>1750</v>
      </c>
      <c r="F39" s="9" t="n">
        <v>8912750</v>
      </c>
      <c r="G39" s="9" t="n">
        <v>4750</v>
      </c>
      <c r="H39" s="9" t="n">
        <v>23161805</v>
      </c>
      <c r="I39" s="9" t="n">
        <v>1750</v>
      </c>
      <c r="J39" s="9" t="n">
        <v>8533296</v>
      </c>
    </row>
    <row r="40" customFormat="false" ht="15.75" hidden="false" customHeight="false" outlineLevel="0" collapsed="false">
      <c r="A40" s="7" t="s">
        <v>48</v>
      </c>
      <c r="B40" s="7" t="n">
        <v>8</v>
      </c>
      <c r="C40" s="9" t="n">
        <v>48</v>
      </c>
      <c r="D40" s="9" t="n">
        <v>1156368</v>
      </c>
      <c r="E40" s="9" t="n">
        <v>0</v>
      </c>
      <c r="F40" s="9" t="n">
        <v>0</v>
      </c>
      <c r="G40" s="9" t="n">
        <v>0</v>
      </c>
      <c r="H40" s="9" t="n">
        <v>0</v>
      </c>
      <c r="I40" s="9" t="n">
        <v>48</v>
      </c>
      <c r="J40" s="9" t="n">
        <v>1156368</v>
      </c>
    </row>
    <row r="41" customFormat="false" ht="15.75" hidden="false" customHeight="false" outlineLevel="0" collapsed="false">
      <c r="A41" s="7" t="s">
        <v>49</v>
      </c>
      <c r="B41" s="7" t="n">
        <v>8</v>
      </c>
      <c r="C41" s="9" t="n">
        <v>2040</v>
      </c>
      <c r="D41" s="9" t="n">
        <v>9833930</v>
      </c>
      <c r="E41" s="9" t="n">
        <v>3000</v>
      </c>
      <c r="F41" s="9" t="n">
        <v>14721000</v>
      </c>
      <c r="G41" s="9" t="n">
        <v>600</v>
      </c>
      <c r="H41" s="9" t="n">
        <v>2923206</v>
      </c>
      <c r="I41" s="9" t="n">
        <v>4440</v>
      </c>
      <c r="J41" s="9" t="n">
        <v>21631724</v>
      </c>
    </row>
    <row r="42" customFormat="false" ht="15.75" hidden="false" customHeight="false" outlineLevel="0" collapsed="false">
      <c r="A42" s="7" t="s">
        <v>50</v>
      </c>
      <c r="B42" s="7" t="n">
        <v>8</v>
      </c>
      <c r="C42" s="9" t="n">
        <v>1500</v>
      </c>
      <c r="D42" s="9" t="n">
        <v>4773000</v>
      </c>
      <c r="E42" s="9" t="n">
        <v>0</v>
      </c>
      <c r="F42" s="9" t="n">
        <v>0</v>
      </c>
      <c r="G42" s="9" t="n">
        <v>0</v>
      </c>
      <c r="H42" s="9" t="n">
        <v>0</v>
      </c>
      <c r="I42" s="9" t="n">
        <v>1500</v>
      </c>
      <c r="J42" s="9" t="n">
        <v>4773000</v>
      </c>
    </row>
    <row r="43" customFormat="false" ht="15.75" hidden="false" customHeight="false" outlineLevel="0" collapsed="false">
      <c r="A43" s="7" t="s">
        <v>51</v>
      </c>
      <c r="B43" s="7" t="n">
        <v>8</v>
      </c>
      <c r="C43" s="9" t="n">
        <v>2000</v>
      </c>
      <c r="D43" s="9" t="n">
        <v>7827063</v>
      </c>
      <c r="E43" s="9" t="n">
        <v>1500</v>
      </c>
      <c r="F43" s="9" t="n">
        <v>6250500</v>
      </c>
      <c r="G43" s="9" t="n">
        <v>1500</v>
      </c>
      <c r="H43" s="9" t="n">
        <v>6033241</v>
      </c>
      <c r="I43" s="9" t="n">
        <v>2000</v>
      </c>
      <c r="J43" s="9" t="n">
        <v>8044322</v>
      </c>
    </row>
    <row r="44" customFormat="false" ht="15.75" hidden="false" customHeight="false" outlineLevel="0" collapsed="false">
      <c r="A44" s="7" t="s">
        <v>52</v>
      </c>
      <c r="B44" s="7" t="n">
        <v>8</v>
      </c>
      <c r="C44" s="9" t="n">
        <v>1246</v>
      </c>
      <c r="D44" s="9" t="n">
        <v>28498162</v>
      </c>
      <c r="E44" s="9" t="n">
        <v>336</v>
      </c>
      <c r="F44" s="9" t="n">
        <v>7777728</v>
      </c>
      <c r="G44" s="9" t="n">
        <v>240</v>
      </c>
      <c r="H44" s="9" t="n">
        <v>5503296</v>
      </c>
      <c r="I44" s="9" t="n">
        <v>1342</v>
      </c>
      <c r="J44" s="9" t="n">
        <v>30772594</v>
      </c>
    </row>
    <row r="45" customFormat="false" ht="15.75" hidden="false" customHeight="false" outlineLevel="0" collapsed="false">
      <c r="A45" s="7" t="s">
        <v>53</v>
      </c>
      <c r="B45" s="7" t="n">
        <v>8</v>
      </c>
      <c r="C45" s="9" t="n">
        <v>0</v>
      </c>
      <c r="D45" s="9" t="n">
        <v>0</v>
      </c>
      <c r="E45" s="9" t="n">
        <v>0</v>
      </c>
      <c r="F45" s="9" t="n">
        <v>0</v>
      </c>
      <c r="G45" s="9" t="n">
        <v>0</v>
      </c>
      <c r="H45" s="9" t="n">
        <v>0</v>
      </c>
      <c r="I45" s="9" t="n">
        <v>0</v>
      </c>
      <c r="J45" s="9" t="n">
        <v>0</v>
      </c>
    </row>
    <row r="46" customFormat="false" ht="15.75" hidden="false" customHeight="false" outlineLevel="0" collapsed="false">
      <c r="A46" s="7" t="s">
        <v>54</v>
      </c>
      <c r="B46" s="7" t="n">
        <v>8</v>
      </c>
      <c r="C46" s="9" t="n">
        <v>3610</v>
      </c>
      <c r="D46" s="9" t="n">
        <v>50682334</v>
      </c>
      <c r="E46" s="9" t="n">
        <v>2998</v>
      </c>
      <c r="F46" s="9" t="n">
        <v>42667200</v>
      </c>
      <c r="G46" s="9" t="n">
        <v>2568</v>
      </c>
      <c r="H46" s="9" t="n">
        <v>36277482</v>
      </c>
      <c r="I46" s="9" t="n">
        <v>4040</v>
      </c>
      <c r="J46" s="9" t="n">
        <v>57072052</v>
      </c>
    </row>
    <row r="47" customFormat="false" ht="15.75" hidden="false" customHeight="false" outlineLevel="0" collapsed="false">
      <c r="A47" s="7" t="s">
        <v>55</v>
      </c>
      <c r="B47" s="7" t="n">
        <v>8</v>
      </c>
      <c r="C47" s="9" t="n">
        <v>120</v>
      </c>
      <c r="D47" s="9" t="n">
        <v>10485696</v>
      </c>
      <c r="E47" s="9" t="n">
        <v>30</v>
      </c>
      <c r="F47" s="9" t="n">
        <v>2652780</v>
      </c>
      <c r="G47" s="9" t="n">
        <v>0</v>
      </c>
      <c r="H47" s="9" t="n">
        <v>0</v>
      </c>
      <c r="I47" s="9" t="n">
        <v>150</v>
      </c>
      <c r="J47" s="9" t="n">
        <v>13138476</v>
      </c>
    </row>
    <row r="48" customFormat="false" ht="15.75" hidden="false" customHeight="false" outlineLevel="0" collapsed="false">
      <c r="A48" s="7" t="s">
        <v>56</v>
      </c>
      <c r="B48" s="7" t="n">
        <v>8</v>
      </c>
      <c r="C48" s="9" t="n">
        <v>672</v>
      </c>
      <c r="D48" s="9" t="n">
        <v>6395760</v>
      </c>
      <c r="E48" s="9" t="n">
        <v>240</v>
      </c>
      <c r="F48" s="9" t="n">
        <v>2311200</v>
      </c>
      <c r="G48" s="9" t="n">
        <v>0</v>
      </c>
      <c r="H48" s="9" t="n">
        <v>0</v>
      </c>
      <c r="I48" s="9" t="n">
        <v>912</v>
      </c>
      <c r="J48" s="9" t="n">
        <v>8706960</v>
      </c>
    </row>
    <row r="49" customFormat="false" ht="15.75" hidden="false" customHeight="false" outlineLevel="0" collapsed="false">
      <c r="A49" s="7" t="s">
        <v>57</v>
      </c>
      <c r="B49" s="7" t="n">
        <v>8</v>
      </c>
      <c r="C49" s="9" t="n">
        <v>1080</v>
      </c>
      <c r="D49" s="9" t="n">
        <v>18076920</v>
      </c>
      <c r="E49" s="9" t="n">
        <v>1080</v>
      </c>
      <c r="F49" s="9" t="n">
        <v>19000440</v>
      </c>
      <c r="G49" s="9" t="n">
        <v>0</v>
      </c>
      <c r="H49" s="9" t="n">
        <v>0</v>
      </c>
      <c r="I49" s="9" t="n">
        <v>2160</v>
      </c>
      <c r="J49" s="9" t="n">
        <v>37077360</v>
      </c>
    </row>
    <row r="50" customFormat="false" ht="15.75" hidden="false" customHeight="false" outlineLevel="0" collapsed="false">
      <c r="A50" s="7" t="s">
        <v>58</v>
      </c>
      <c r="B50" s="7" t="n">
        <v>8</v>
      </c>
      <c r="C50" s="9" t="n">
        <v>3084</v>
      </c>
      <c r="D50" s="9" t="n">
        <v>25339652</v>
      </c>
      <c r="E50" s="9" t="n">
        <v>960</v>
      </c>
      <c r="F50" s="9" t="n">
        <v>8266560</v>
      </c>
      <c r="G50" s="9" t="n">
        <v>1620</v>
      </c>
      <c r="H50" s="9" t="n">
        <v>13462429</v>
      </c>
      <c r="I50" s="9" t="n">
        <v>2424</v>
      </c>
      <c r="J50" s="9" t="n">
        <v>20143783</v>
      </c>
    </row>
    <row r="51" customFormat="false" ht="15.75" hidden="false" customHeight="false" outlineLevel="0" collapsed="false">
      <c r="A51" s="7" t="s">
        <v>59</v>
      </c>
      <c r="B51" s="7" t="n">
        <v>8</v>
      </c>
      <c r="C51" s="9" t="n">
        <v>5719</v>
      </c>
      <c r="D51" s="9" t="n">
        <v>83080461</v>
      </c>
      <c r="E51" s="9" t="n">
        <v>4628</v>
      </c>
      <c r="F51" s="9" t="n">
        <v>72001440</v>
      </c>
      <c r="G51" s="9" t="n">
        <v>6708</v>
      </c>
      <c r="H51" s="9" t="n">
        <v>100540194</v>
      </c>
      <c r="I51" s="9" t="n">
        <v>3639</v>
      </c>
      <c r="J51" s="9" t="n">
        <v>54541707</v>
      </c>
    </row>
    <row r="52" customFormat="false" ht="15.75" hidden="false" customHeight="false" outlineLevel="0" collapsed="false">
      <c r="A52" s="7" t="s">
        <v>60</v>
      </c>
      <c r="B52" s="7" t="n">
        <v>8</v>
      </c>
      <c r="C52" s="9" t="n">
        <v>3896</v>
      </c>
      <c r="D52" s="9" t="n">
        <v>126443025</v>
      </c>
      <c r="E52" s="9" t="n">
        <v>813</v>
      </c>
      <c r="F52" s="9" t="n">
        <v>27066528</v>
      </c>
      <c r="G52" s="9" t="n">
        <v>36</v>
      </c>
      <c r="H52" s="9" t="n">
        <v>1173571</v>
      </c>
      <c r="I52" s="9" t="n">
        <v>4673</v>
      </c>
      <c r="J52" s="9" t="n">
        <v>152335982</v>
      </c>
    </row>
    <row r="53" customFormat="false" ht="15.75" hidden="false" customHeight="false" outlineLevel="0" collapsed="false">
      <c r="A53" s="7" t="s">
        <v>61</v>
      </c>
      <c r="B53" s="7" t="n">
        <v>8</v>
      </c>
      <c r="C53" s="9" t="n">
        <v>0</v>
      </c>
      <c r="D53" s="9" t="n">
        <v>0</v>
      </c>
      <c r="E53" s="9" t="n">
        <v>0</v>
      </c>
      <c r="F53" s="9" t="n">
        <v>0</v>
      </c>
      <c r="G53" s="9" t="n">
        <v>0</v>
      </c>
      <c r="H53" s="9" t="n">
        <v>0</v>
      </c>
      <c r="I53" s="9" t="n">
        <v>0</v>
      </c>
      <c r="J53" s="9" t="n">
        <v>0</v>
      </c>
    </row>
    <row r="54" customFormat="false" ht="15.75" hidden="false" customHeight="false" outlineLevel="0" collapsed="false">
      <c r="A54" s="7" t="s">
        <v>62</v>
      </c>
      <c r="B54" s="7" t="n">
        <v>8</v>
      </c>
      <c r="C54" s="9" t="n">
        <v>6245</v>
      </c>
      <c r="D54" s="9" t="n">
        <v>30153023</v>
      </c>
      <c r="E54" s="9" t="n">
        <v>3005</v>
      </c>
      <c r="F54" s="9" t="n">
        <v>14721000</v>
      </c>
      <c r="G54" s="9" t="n">
        <v>3000</v>
      </c>
      <c r="H54" s="9" t="n">
        <v>14553737</v>
      </c>
      <c r="I54" s="9" t="n">
        <v>6250</v>
      </c>
      <c r="J54" s="9" t="n">
        <v>30320286</v>
      </c>
    </row>
    <row r="55" customFormat="false" ht="15.75" hidden="false" customHeight="false" outlineLevel="0" collapsed="false">
      <c r="A55" s="7" t="s">
        <v>63</v>
      </c>
      <c r="B55" s="7" t="n">
        <v>8</v>
      </c>
      <c r="C55" s="9" t="n">
        <v>0</v>
      </c>
      <c r="D55" s="9" t="n">
        <v>0</v>
      </c>
      <c r="E55" s="9" t="n">
        <v>0</v>
      </c>
      <c r="F55" s="9" t="n">
        <v>0</v>
      </c>
      <c r="G55" s="9" t="n">
        <v>0</v>
      </c>
      <c r="H55" s="9" t="n">
        <v>0</v>
      </c>
      <c r="I55" s="9" t="n">
        <v>0</v>
      </c>
      <c r="J55" s="9" t="n">
        <v>0</v>
      </c>
    </row>
    <row r="56" customFormat="false" ht="15.75" hidden="false" customHeight="false" outlineLevel="0" collapsed="false">
      <c r="A56" s="7" t="s">
        <v>64</v>
      </c>
      <c r="B56" s="7" t="n">
        <v>8</v>
      </c>
      <c r="C56" s="9" t="n">
        <v>0</v>
      </c>
      <c r="D56" s="9" t="n">
        <v>0</v>
      </c>
      <c r="E56" s="9" t="n">
        <v>0</v>
      </c>
      <c r="F56" s="9" t="n">
        <v>0</v>
      </c>
      <c r="G56" s="9" t="n">
        <v>0</v>
      </c>
      <c r="H56" s="9" t="n">
        <v>0</v>
      </c>
      <c r="I56" s="9" t="n">
        <v>0</v>
      </c>
      <c r="J56" s="9" t="n">
        <v>0</v>
      </c>
    </row>
    <row r="57" customFormat="false" ht="15.75" hidden="false" customHeight="false" outlineLevel="0" collapsed="false">
      <c r="A57" s="7" t="s">
        <v>65</v>
      </c>
      <c r="B57" s="7" t="n">
        <v>8</v>
      </c>
      <c r="C57" s="9" t="n">
        <v>0</v>
      </c>
      <c r="D57" s="9" t="n">
        <v>0</v>
      </c>
      <c r="E57" s="9" t="n">
        <v>0</v>
      </c>
      <c r="F57" s="9" t="n">
        <v>0</v>
      </c>
      <c r="G57" s="9" t="n">
        <v>0</v>
      </c>
      <c r="H57" s="9" t="n">
        <v>0</v>
      </c>
      <c r="I57" s="9" t="n">
        <v>0</v>
      </c>
      <c r="J57" s="9" t="n">
        <v>0</v>
      </c>
    </row>
    <row r="58" customFormat="false" ht="15.75" hidden="false" customHeight="false" outlineLevel="0" collapsed="false">
      <c r="A58" s="7" t="s">
        <v>66</v>
      </c>
      <c r="B58" s="7" t="n">
        <v>8</v>
      </c>
      <c r="C58" s="9" t="n">
        <v>1272</v>
      </c>
      <c r="D58" s="9" t="n">
        <v>19003319</v>
      </c>
      <c r="E58" s="9" t="n">
        <v>2748</v>
      </c>
      <c r="F58" s="9" t="n">
        <v>42500700</v>
      </c>
      <c r="G58" s="9" t="n">
        <v>2412</v>
      </c>
      <c r="H58" s="9" t="n">
        <v>36902411</v>
      </c>
      <c r="I58" s="9" t="n">
        <v>1608</v>
      </c>
      <c r="J58" s="9" t="n">
        <v>24601608</v>
      </c>
    </row>
    <row r="59" customFormat="false" ht="15.75" hidden="false" customHeight="false" outlineLevel="0" collapsed="false">
      <c r="A59" s="7" t="s">
        <v>67</v>
      </c>
      <c r="B59" s="7" t="n">
        <v>8</v>
      </c>
      <c r="C59" s="9" t="n">
        <v>146</v>
      </c>
      <c r="D59" s="9" t="n">
        <v>985256</v>
      </c>
      <c r="E59" s="9" t="n">
        <v>0</v>
      </c>
      <c r="F59" s="9" t="n">
        <v>0</v>
      </c>
      <c r="G59" s="9" t="n">
        <v>0</v>
      </c>
      <c r="H59" s="9" t="n">
        <v>0</v>
      </c>
      <c r="I59" s="9" t="n">
        <v>146</v>
      </c>
      <c r="J59" s="9" t="n">
        <v>985256</v>
      </c>
    </row>
    <row r="60" customFormat="false" ht="15.75" hidden="false" customHeight="false" outlineLevel="0" collapsed="false">
      <c r="A60" s="7" t="s">
        <v>68</v>
      </c>
      <c r="B60" s="7" t="n">
        <v>8</v>
      </c>
      <c r="C60" s="9" t="n">
        <v>372</v>
      </c>
      <c r="D60" s="9" t="n">
        <v>16913429</v>
      </c>
      <c r="E60" s="9" t="n">
        <v>120</v>
      </c>
      <c r="F60" s="9" t="n">
        <v>5600040</v>
      </c>
      <c r="G60" s="9" t="n">
        <v>0</v>
      </c>
      <c r="H60" s="9" t="n">
        <v>0</v>
      </c>
      <c r="I60" s="9" t="n">
        <v>492</v>
      </c>
      <c r="J60" s="9" t="n">
        <v>22513469</v>
      </c>
    </row>
    <row r="61" customFormat="false" ht="15.75" hidden="false" customHeight="false" outlineLevel="0" collapsed="false">
      <c r="A61" s="7" t="s">
        <v>69</v>
      </c>
      <c r="B61" s="7" t="n">
        <v>8</v>
      </c>
      <c r="C61" s="9" t="n">
        <v>0</v>
      </c>
      <c r="D61" s="9" t="n">
        <v>0</v>
      </c>
      <c r="E61" s="9" t="n">
        <v>0</v>
      </c>
      <c r="F61" s="9" t="n">
        <v>0</v>
      </c>
      <c r="G61" s="9" t="n">
        <v>0</v>
      </c>
      <c r="H61" s="9" t="n">
        <v>0</v>
      </c>
      <c r="I61" s="9" t="n">
        <v>0</v>
      </c>
      <c r="J61" s="9" t="n">
        <v>0</v>
      </c>
    </row>
    <row r="62" customFormat="false" ht="15.75" hidden="false" customHeight="false" outlineLevel="0" collapsed="false">
      <c r="A62" s="7" t="s">
        <v>70</v>
      </c>
      <c r="B62" s="7" t="n">
        <v>8</v>
      </c>
      <c r="C62" s="9" t="n">
        <v>0</v>
      </c>
      <c r="D62" s="9" t="n">
        <v>0</v>
      </c>
      <c r="E62" s="9" t="n">
        <v>0</v>
      </c>
      <c r="F62" s="9" t="n">
        <v>0</v>
      </c>
      <c r="G62" s="9" t="n">
        <v>0</v>
      </c>
      <c r="H62" s="9" t="n">
        <v>0</v>
      </c>
      <c r="I62" s="9" t="n">
        <v>0</v>
      </c>
      <c r="J62" s="9" t="n">
        <v>0</v>
      </c>
    </row>
    <row r="63" customFormat="false" ht="15.75" hidden="false" customHeight="false" outlineLevel="0" collapsed="false">
      <c r="A63" s="7" t="s">
        <v>71</v>
      </c>
      <c r="B63" s="7" t="n">
        <v>8</v>
      </c>
      <c r="C63" s="9" t="n">
        <v>1560</v>
      </c>
      <c r="D63" s="9" t="n">
        <v>23495606</v>
      </c>
      <c r="E63" s="9" t="n">
        <v>480</v>
      </c>
      <c r="F63" s="9" t="n">
        <v>7555680</v>
      </c>
      <c r="G63" s="9" t="n">
        <v>252</v>
      </c>
      <c r="H63" s="9" t="n">
        <v>3835747</v>
      </c>
      <c r="I63" s="9" t="n">
        <v>1788</v>
      </c>
      <c r="J63" s="9" t="n">
        <v>27215539</v>
      </c>
    </row>
    <row r="64" customFormat="false" ht="15.75" hidden="false" customHeight="false" outlineLevel="0" collapsed="false">
      <c r="A64" s="7" t="s">
        <v>72</v>
      </c>
      <c r="B64" s="7" t="n">
        <v>8</v>
      </c>
      <c r="C64" s="9" t="n">
        <v>4069</v>
      </c>
      <c r="D64" s="9" t="n">
        <v>88486612</v>
      </c>
      <c r="E64" s="9" t="n">
        <v>1686</v>
      </c>
      <c r="F64" s="9" t="n">
        <v>40444320</v>
      </c>
      <c r="G64" s="9" t="n">
        <v>3115</v>
      </c>
      <c r="H64" s="9" t="n">
        <v>69786247</v>
      </c>
      <c r="I64" s="9" t="n">
        <v>2640</v>
      </c>
      <c r="J64" s="9" t="n">
        <v>59144685</v>
      </c>
    </row>
    <row r="65" customFormat="false" ht="15.75" hidden="false" customHeight="false" outlineLevel="0" collapsed="false">
      <c r="A65" s="7" t="s">
        <v>73</v>
      </c>
      <c r="B65" s="7" t="n">
        <v>8</v>
      </c>
      <c r="C65" s="9" t="n">
        <v>4547</v>
      </c>
      <c r="D65" s="9" t="n">
        <v>150840657</v>
      </c>
      <c r="E65" s="9" t="n">
        <v>1440</v>
      </c>
      <c r="F65" s="9" t="n">
        <v>49332960</v>
      </c>
      <c r="G65" s="9" t="n">
        <v>2267</v>
      </c>
      <c r="H65" s="9" t="n">
        <v>75796491</v>
      </c>
      <c r="I65" s="9" t="n">
        <v>3720</v>
      </c>
      <c r="J65" s="9" t="n">
        <v>124377126</v>
      </c>
    </row>
    <row r="66" customFormat="false" ht="15.75" hidden="false" customHeight="false" outlineLevel="0" collapsed="false">
      <c r="A66" s="7" t="s">
        <v>74</v>
      </c>
      <c r="B66" s="7" t="n">
        <v>8</v>
      </c>
      <c r="C66" s="9" t="n">
        <v>4008</v>
      </c>
      <c r="D66" s="9" t="n">
        <v>58483784</v>
      </c>
      <c r="E66" s="9" t="n">
        <v>1680</v>
      </c>
      <c r="F66" s="9" t="n">
        <v>24889200</v>
      </c>
      <c r="G66" s="9" t="n">
        <v>0</v>
      </c>
      <c r="H66" s="9" t="n">
        <v>0</v>
      </c>
      <c r="I66" s="9" t="n">
        <v>5688</v>
      </c>
      <c r="J66" s="9" t="n">
        <v>83372984</v>
      </c>
    </row>
    <row r="67" customFormat="false" ht="15.75" hidden="false" customHeight="false" outlineLevel="0" collapsed="false">
      <c r="A67" s="7" t="s">
        <v>75</v>
      </c>
      <c r="B67" s="7" t="n">
        <v>8</v>
      </c>
      <c r="C67" s="9" t="n">
        <v>6960</v>
      </c>
      <c r="D67" s="9" t="n">
        <v>2405760</v>
      </c>
      <c r="E67" s="9" t="n">
        <v>1600</v>
      </c>
      <c r="F67" s="9" t="n">
        <v>592000</v>
      </c>
      <c r="G67" s="9" t="n">
        <v>6400</v>
      </c>
      <c r="H67" s="9" t="n">
        <v>2241316</v>
      </c>
      <c r="I67" s="9" t="n">
        <v>2160</v>
      </c>
      <c r="J67" s="9" t="n">
        <v>756444</v>
      </c>
    </row>
    <row r="68" customFormat="false" ht="15.75" hidden="false" customHeight="false" outlineLevel="0" collapsed="false">
      <c r="A68" s="7" t="s">
        <v>76</v>
      </c>
      <c r="B68" s="7" t="n">
        <v>8</v>
      </c>
      <c r="C68" s="9" t="n">
        <v>123</v>
      </c>
      <c r="D68" s="9" t="n">
        <v>6370245</v>
      </c>
      <c r="E68" s="9" t="n">
        <v>45</v>
      </c>
      <c r="F68" s="9" t="n">
        <v>2375010</v>
      </c>
      <c r="G68" s="9" t="n">
        <v>0</v>
      </c>
      <c r="H68" s="9" t="n">
        <v>0</v>
      </c>
      <c r="I68" s="9" t="n">
        <v>168</v>
      </c>
      <c r="J68" s="9" t="n">
        <v>8745255</v>
      </c>
    </row>
    <row r="69" customFormat="false" ht="15.75" hidden="false" customHeight="false" outlineLevel="0" collapsed="false">
      <c r="A69" s="7" t="s">
        <v>77</v>
      </c>
      <c r="B69" s="7" t="n">
        <v>8</v>
      </c>
      <c r="C69" s="9" t="n">
        <v>288</v>
      </c>
      <c r="D69" s="9" t="n">
        <v>1648547</v>
      </c>
      <c r="E69" s="9" t="n">
        <v>336</v>
      </c>
      <c r="F69" s="9" t="n">
        <v>2115456</v>
      </c>
      <c r="G69" s="9" t="n">
        <v>36</v>
      </c>
      <c r="H69" s="9" t="n">
        <v>217154</v>
      </c>
      <c r="I69" s="9" t="n">
        <v>588</v>
      </c>
      <c r="J69" s="9" t="n">
        <v>3546849</v>
      </c>
    </row>
    <row r="70" customFormat="false" ht="15.75" hidden="false" customHeight="false" outlineLevel="0" collapsed="false">
      <c r="A70" s="7" t="s">
        <v>78</v>
      </c>
      <c r="B70" s="7" t="n">
        <v>8</v>
      </c>
      <c r="C70" s="9" t="n">
        <v>4925</v>
      </c>
      <c r="D70" s="9" t="n">
        <v>23009326</v>
      </c>
      <c r="E70" s="9" t="n">
        <v>1549</v>
      </c>
      <c r="F70" s="9" t="n">
        <v>11999880</v>
      </c>
      <c r="G70" s="9" t="n">
        <v>1728</v>
      </c>
      <c r="H70" s="9" t="n">
        <v>9344441</v>
      </c>
      <c r="I70" s="9" t="n">
        <v>4746</v>
      </c>
      <c r="J70" s="9" t="n">
        <v>25664765</v>
      </c>
    </row>
    <row r="71" customFormat="false" ht="15.75" hidden="false" customHeight="false" outlineLevel="0" collapsed="false">
      <c r="A71" s="7" t="s">
        <v>79</v>
      </c>
      <c r="B71" s="7" t="n">
        <v>8</v>
      </c>
      <c r="C71" s="9" t="n">
        <v>2040</v>
      </c>
      <c r="D71" s="9" t="n">
        <v>40502882</v>
      </c>
      <c r="E71" s="9" t="n">
        <v>37</v>
      </c>
      <c r="F71" s="9" t="n">
        <v>0</v>
      </c>
      <c r="G71" s="9" t="n">
        <v>0</v>
      </c>
      <c r="H71" s="9" t="n">
        <v>0</v>
      </c>
      <c r="I71" s="9" t="n">
        <v>2077</v>
      </c>
      <c r="J71" s="9" t="n">
        <v>40502882</v>
      </c>
    </row>
    <row r="72" customFormat="false" ht="15.75" hidden="false" customHeight="false" outlineLevel="0" collapsed="false">
      <c r="A72" s="7" t="s">
        <v>80</v>
      </c>
      <c r="B72" s="7" t="n">
        <v>8</v>
      </c>
      <c r="C72" s="9" t="n">
        <v>216</v>
      </c>
      <c r="D72" s="9" t="n">
        <v>3008802</v>
      </c>
      <c r="E72" s="9" t="n">
        <v>0</v>
      </c>
      <c r="F72" s="9" t="n">
        <v>0</v>
      </c>
      <c r="G72" s="9" t="n">
        <v>0</v>
      </c>
      <c r="H72" s="9" t="n">
        <v>0</v>
      </c>
      <c r="I72" s="9" t="n">
        <v>216</v>
      </c>
      <c r="J72" s="9" t="n">
        <v>3008802</v>
      </c>
    </row>
    <row r="73" customFormat="false" ht="15.75" hidden="false" customHeight="false" outlineLevel="0" collapsed="false">
      <c r="A73" s="7" t="s">
        <v>81</v>
      </c>
      <c r="B73" s="7" t="n">
        <v>8</v>
      </c>
      <c r="C73" s="9" t="n">
        <v>2088</v>
      </c>
      <c r="D73" s="9" t="n">
        <v>31119696</v>
      </c>
      <c r="E73" s="9" t="n">
        <v>216</v>
      </c>
      <c r="F73" s="9" t="n">
        <v>3400056</v>
      </c>
      <c r="G73" s="9" t="n">
        <v>0</v>
      </c>
      <c r="H73" s="9" t="n">
        <v>0</v>
      </c>
      <c r="I73" s="9" t="n">
        <v>2304</v>
      </c>
      <c r="J73" s="9" t="n">
        <v>34519752</v>
      </c>
    </row>
    <row r="74" customFormat="false" ht="15.75" hidden="false" customHeight="false" outlineLevel="0" collapsed="false">
      <c r="A74" s="7" t="s">
        <v>82</v>
      </c>
      <c r="B74" s="7" t="n">
        <v>8</v>
      </c>
      <c r="C74" s="9" t="n">
        <v>6840</v>
      </c>
      <c r="D74" s="9" t="n">
        <v>49123080</v>
      </c>
      <c r="E74" s="9" t="n">
        <v>1440</v>
      </c>
      <c r="F74" s="9" t="n">
        <v>10666080</v>
      </c>
      <c r="G74" s="9" t="n">
        <v>0</v>
      </c>
      <c r="H74" s="9" t="n">
        <v>0</v>
      </c>
      <c r="I74" s="9" t="n">
        <v>8280</v>
      </c>
      <c r="J74" s="9" t="n">
        <v>59789160</v>
      </c>
    </row>
    <row r="75" customFormat="false" ht="15.75" hidden="false" customHeight="false" outlineLevel="0" collapsed="false">
      <c r="A75" s="7" t="s">
        <v>83</v>
      </c>
      <c r="B75" s="7" t="n">
        <v>8</v>
      </c>
      <c r="C75" s="9" t="n">
        <v>1674</v>
      </c>
      <c r="D75" s="9" t="n">
        <v>11858042</v>
      </c>
      <c r="E75" s="9" t="n">
        <v>0</v>
      </c>
      <c r="F75" s="9" t="n">
        <v>0</v>
      </c>
      <c r="G75" s="9" t="n">
        <v>0</v>
      </c>
      <c r="H75" s="9" t="n">
        <v>0</v>
      </c>
      <c r="I75" s="9" t="n">
        <v>1674</v>
      </c>
      <c r="J75" s="9" t="n">
        <v>11858042</v>
      </c>
    </row>
    <row r="76" customFormat="false" ht="15.75" hidden="false" customHeight="false" outlineLevel="0" collapsed="false">
      <c r="A76" s="7" t="s">
        <v>84</v>
      </c>
      <c r="B76" s="7" t="n">
        <v>8</v>
      </c>
      <c r="C76" s="9" t="n">
        <v>9400</v>
      </c>
      <c r="D76" s="9" t="n">
        <v>278882191</v>
      </c>
      <c r="E76" s="9" t="n">
        <v>8440</v>
      </c>
      <c r="F76" s="9" t="n">
        <v>256884960</v>
      </c>
      <c r="G76" s="9" t="n">
        <v>6114</v>
      </c>
      <c r="H76" s="9" t="n">
        <v>183614370</v>
      </c>
      <c r="I76" s="9" t="n">
        <v>11726</v>
      </c>
      <c r="J76" s="9" t="n">
        <v>352152781</v>
      </c>
    </row>
    <row r="77" customFormat="false" ht="15.75" hidden="false" customHeight="false" outlineLevel="0" collapsed="false">
      <c r="A77" s="7" t="s">
        <v>85</v>
      </c>
      <c r="B77" s="7" t="n">
        <v>8</v>
      </c>
      <c r="C77" s="9" t="n">
        <v>8569</v>
      </c>
      <c r="D77" s="9" t="n">
        <v>77096576</v>
      </c>
      <c r="E77" s="9" t="n">
        <v>11868</v>
      </c>
      <c r="F77" s="9" t="n">
        <v>106663680</v>
      </c>
      <c r="G77" s="9" t="n">
        <v>7614</v>
      </c>
      <c r="H77" s="9" t="n">
        <v>68461643</v>
      </c>
      <c r="I77" s="9" t="n">
        <v>12823</v>
      </c>
      <c r="J77" s="9" t="n">
        <v>115298613</v>
      </c>
    </row>
    <row r="78" customFormat="false" ht="15.75" hidden="false" customHeight="false" outlineLevel="0" collapsed="false">
      <c r="A78" s="7" t="s">
        <v>86</v>
      </c>
      <c r="B78" s="7" t="n">
        <v>8</v>
      </c>
      <c r="C78" s="9" t="n">
        <v>41968</v>
      </c>
      <c r="D78" s="9" t="n">
        <v>298661800</v>
      </c>
      <c r="E78" s="9" t="n">
        <v>37217</v>
      </c>
      <c r="F78" s="9" t="n">
        <v>266652000</v>
      </c>
      <c r="G78" s="9" t="n">
        <v>40320</v>
      </c>
      <c r="H78" s="9" t="n">
        <v>287850634</v>
      </c>
      <c r="I78" s="9" t="n">
        <v>38865</v>
      </c>
      <c r="J78" s="9" t="n">
        <v>277463166</v>
      </c>
    </row>
    <row r="79" customFormat="false" ht="15.75" hidden="false" customHeight="false" outlineLevel="0" collapsed="false">
      <c r="A79" s="7" t="s">
        <v>87</v>
      </c>
      <c r="B79" s="7" t="n">
        <v>8</v>
      </c>
      <c r="C79" s="9" t="n">
        <v>17130</v>
      </c>
      <c r="D79" s="9" t="n">
        <v>297739108</v>
      </c>
      <c r="E79" s="9" t="n">
        <v>6636</v>
      </c>
      <c r="F79" s="9" t="n">
        <v>117002880</v>
      </c>
      <c r="G79" s="9" t="n">
        <v>22752</v>
      </c>
      <c r="H79" s="9" t="n">
        <v>397046609</v>
      </c>
      <c r="I79" s="9" t="n">
        <v>1014</v>
      </c>
      <c r="J79" s="9" t="n">
        <v>17695379</v>
      </c>
    </row>
    <row r="80" customFormat="false" ht="15.75" hidden="false" customHeight="false" outlineLevel="0" collapsed="false">
      <c r="A80" s="7" t="s">
        <v>88</v>
      </c>
      <c r="B80" s="7" t="n">
        <v>8</v>
      </c>
      <c r="C80" s="9" t="n">
        <v>768</v>
      </c>
      <c r="D80" s="9" t="n">
        <v>16058112</v>
      </c>
      <c r="E80" s="9" t="n">
        <v>0</v>
      </c>
      <c r="F80" s="9" t="n">
        <v>0</v>
      </c>
      <c r="G80" s="9" t="n">
        <v>0</v>
      </c>
      <c r="H80" s="9" t="n">
        <v>0</v>
      </c>
      <c r="I80" s="9" t="n">
        <v>768</v>
      </c>
      <c r="J80" s="9" t="n">
        <v>16058112</v>
      </c>
    </row>
    <row r="81" customFormat="false" ht="15.75" hidden="false" customHeight="false" outlineLevel="0" collapsed="false">
      <c r="A81" s="7" t="s">
        <v>89</v>
      </c>
      <c r="B81" s="7" t="n">
        <v>8</v>
      </c>
      <c r="C81" s="9" t="n">
        <v>120</v>
      </c>
      <c r="D81" s="9" t="n">
        <v>2837139</v>
      </c>
      <c r="E81" s="9" t="n">
        <v>120</v>
      </c>
      <c r="F81" s="9" t="n">
        <v>2944440</v>
      </c>
      <c r="G81" s="9" t="n">
        <v>0</v>
      </c>
      <c r="H81" s="9" t="n">
        <v>0</v>
      </c>
      <c r="I81" s="9" t="n">
        <v>240</v>
      </c>
      <c r="J81" s="9" t="n">
        <v>5781579</v>
      </c>
    </row>
    <row r="82" customFormat="false" ht="15.75" hidden="false" customHeight="false" outlineLevel="0" collapsed="false">
      <c r="A82" s="7" t="s">
        <v>90</v>
      </c>
      <c r="B82" s="7" t="n">
        <v>8</v>
      </c>
      <c r="C82" s="9" t="n">
        <v>768</v>
      </c>
      <c r="D82" s="9" t="n">
        <v>39657142</v>
      </c>
      <c r="E82" s="9" t="n">
        <v>1620</v>
      </c>
      <c r="F82" s="9" t="n">
        <v>86250420</v>
      </c>
      <c r="G82" s="9" t="n">
        <v>1914</v>
      </c>
      <c r="H82" s="9" t="n">
        <v>100915861</v>
      </c>
      <c r="I82" s="9" t="n">
        <v>474</v>
      </c>
      <c r="J82" s="9" t="n">
        <v>24991701</v>
      </c>
    </row>
    <row r="83" customFormat="false" ht="15.75" hidden="false" customHeight="false" outlineLevel="0" collapsed="false">
      <c r="A83" s="7" t="s">
        <v>91</v>
      </c>
      <c r="B83" s="7" t="n">
        <v>8</v>
      </c>
      <c r="C83" s="9" t="n">
        <v>5999</v>
      </c>
      <c r="D83" s="9" t="n">
        <v>52224860</v>
      </c>
      <c r="E83" s="9" t="n">
        <v>5029</v>
      </c>
      <c r="F83" s="9" t="n">
        <v>41999040</v>
      </c>
      <c r="G83" s="9" t="n">
        <v>7428</v>
      </c>
      <c r="H83" s="9" t="n">
        <v>63465282</v>
      </c>
      <c r="I83" s="9" t="n">
        <v>3600</v>
      </c>
      <c r="J83" s="9" t="n">
        <v>30758618</v>
      </c>
    </row>
    <row r="84" customFormat="false" ht="15.75" hidden="false" customHeight="false" outlineLevel="0" collapsed="false">
      <c r="A84" s="7" t="s">
        <v>92</v>
      </c>
      <c r="B84" s="7" t="n">
        <v>8</v>
      </c>
      <c r="C84" s="9" t="n">
        <v>12000</v>
      </c>
      <c r="D84" s="9" t="n">
        <v>5799000</v>
      </c>
      <c r="E84" s="9" t="n">
        <v>4000</v>
      </c>
      <c r="F84" s="9" t="n">
        <v>1964000</v>
      </c>
      <c r="G84" s="9" t="n">
        <v>5600</v>
      </c>
      <c r="H84" s="9" t="n">
        <v>2717050</v>
      </c>
      <c r="I84" s="9" t="n">
        <v>10400</v>
      </c>
      <c r="J84" s="9" t="n">
        <v>5045950</v>
      </c>
    </row>
    <row r="85" customFormat="false" ht="15.75" hidden="false" customHeight="false" outlineLevel="0" collapsed="false">
      <c r="A85" s="7" t="s">
        <v>93</v>
      </c>
      <c r="B85" s="7" t="n">
        <v>8</v>
      </c>
      <c r="C85" s="9" t="n">
        <v>240</v>
      </c>
      <c r="D85" s="9" t="n">
        <v>12311541</v>
      </c>
      <c r="E85" s="9" t="n">
        <v>150</v>
      </c>
      <c r="F85" s="9" t="n">
        <v>7986150</v>
      </c>
      <c r="G85" s="9" t="n">
        <v>30</v>
      </c>
      <c r="H85" s="9" t="n">
        <v>1561361</v>
      </c>
      <c r="I85" s="9" t="n">
        <v>360</v>
      </c>
      <c r="J85" s="9" t="n">
        <v>18736330</v>
      </c>
    </row>
    <row r="86" customFormat="false" ht="15.75" hidden="false" customHeight="false" outlineLevel="0" collapsed="false">
      <c r="A86" s="7" t="s">
        <v>94</v>
      </c>
      <c r="B86" s="7" t="n">
        <v>8</v>
      </c>
      <c r="C86" s="9" t="n">
        <v>336</v>
      </c>
      <c r="D86" s="9" t="n">
        <v>3058584</v>
      </c>
      <c r="E86" s="9" t="n">
        <v>48</v>
      </c>
      <c r="F86" s="9" t="n">
        <v>466656</v>
      </c>
      <c r="G86" s="9" t="n">
        <v>0</v>
      </c>
      <c r="H86" s="9" t="n">
        <v>0</v>
      </c>
      <c r="I86" s="9" t="n">
        <v>384</v>
      </c>
      <c r="J86" s="9" t="n">
        <v>3525240</v>
      </c>
    </row>
    <row r="87" customFormat="false" ht="15.75" hidden="false" customHeight="false" outlineLevel="0" collapsed="false">
      <c r="A87" s="7" t="s">
        <v>95</v>
      </c>
      <c r="B87" s="7" t="n">
        <v>8</v>
      </c>
      <c r="C87" s="9" t="n">
        <v>1800</v>
      </c>
      <c r="D87" s="9" t="n">
        <v>14582196</v>
      </c>
      <c r="E87" s="9" t="n">
        <v>252</v>
      </c>
      <c r="F87" s="9" t="n">
        <v>2099916</v>
      </c>
      <c r="G87" s="9" t="n">
        <v>0</v>
      </c>
      <c r="H87" s="9" t="n">
        <v>0</v>
      </c>
      <c r="I87" s="9" t="n">
        <v>2052</v>
      </c>
      <c r="J87" s="9" t="n">
        <v>16682112</v>
      </c>
    </row>
    <row r="88" customFormat="false" ht="15.75" hidden="false" customHeight="false" outlineLevel="0" collapsed="false">
      <c r="A88" s="7" t="s">
        <v>96</v>
      </c>
      <c r="B88" s="7" t="n">
        <v>8</v>
      </c>
      <c r="C88" s="9" t="n">
        <v>489</v>
      </c>
      <c r="D88" s="9" t="n">
        <v>53603570</v>
      </c>
      <c r="E88" s="9" t="n">
        <v>105</v>
      </c>
      <c r="F88" s="9" t="n">
        <v>12201420</v>
      </c>
      <c r="G88" s="9" t="n">
        <v>0</v>
      </c>
      <c r="H88" s="9" t="n">
        <v>0</v>
      </c>
      <c r="I88" s="9" t="n">
        <v>594</v>
      </c>
      <c r="J88" s="9" t="n">
        <v>65804990</v>
      </c>
    </row>
    <row r="89" customFormat="false" ht="15.75" hidden="false" customHeight="false" outlineLevel="0" collapsed="false">
      <c r="A89" s="7" t="s">
        <v>97</v>
      </c>
      <c r="B89" s="7" t="n">
        <v>8</v>
      </c>
      <c r="C89" s="9" t="n">
        <v>16000</v>
      </c>
      <c r="D89" s="9" t="n">
        <v>7736407</v>
      </c>
      <c r="E89" s="9" t="n">
        <v>16000</v>
      </c>
      <c r="F89" s="9" t="n">
        <v>7856000</v>
      </c>
      <c r="G89" s="9" t="n">
        <v>13600</v>
      </c>
      <c r="H89" s="9" t="n">
        <v>6626773</v>
      </c>
      <c r="I89" s="9" t="n">
        <v>18400</v>
      </c>
      <c r="J89" s="9" t="n">
        <v>8965634</v>
      </c>
    </row>
    <row r="90" customFormat="false" ht="15.75" hidden="false" customHeight="false" outlineLevel="0" collapsed="false">
      <c r="A90" s="7" t="s">
        <v>98</v>
      </c>
      <c r="B90" s="7" t="n">
        <v>8</v>
      </c>
      <c r="C90" s="9" t="n">
        <v>3528</v>
      </c>
      <c r="D90" s="9" t="n">
        <v>34854146</v>
      </c>
      <c r="E90" s="9" t="n">
        <v>240</v>
      </c>
      <c r="F90" s="9" t="n">
        <v>2533440</v>
      </c>
      <c r="G90" s="9" t="n">
        <v>360</v>
      </c>
      <c r="H90" s="9" t="n">
        <v>3572062</v>
      </c>
      <c r="I90" s="9" t="n">
        <v>3408</v>
      </c>
      <c r="J90" s="9" t="n">
        <v>33815524</v>
      </c>
    </row>
    <row r="91" customFormat="false" ht="15.75" hidden="false" customHeight="false" outlineLevel="0" collapsed="false">
      <c r="A91" s="7" t="s">
        <v>99</v>
      </c>
      <c r="B91" s="7" t="n">
        <v>8</v>
      </c>
      <c r="C91" s="9" t="n">
        <v>0</v>
      </c>
      <c r="D91" s="9" t="n">
        <v>0</v>
      </c>
      <c r="E91" s="9" t="n">
        <v>0</v>
      </c>
      <c r="F91" s="9" t="n">
        <v>0</v>
      </c>
      <c r="G91" s="9" t="n">
        <v>0</v>
      </c>
      <c r="H91" s="9" t="n">
        <v>0</v>
      </c>
      <c r="I91" s="9" t="n">
        <v>0</v>
      </c>
      <c r="J91" s="9" t="n">
        <v>0</v>
      </c>
    </row>
    <row r="92" customFormat="false" ht="15.75" hidden="false" customHeight="false" outlineLevel="0" collapsed="false">
      <c r="A92" s="7" t="s">
        <v>100</v>
      </c>
      <c r="B92" s="7" t="n">
        <v>8</v>
      </c>
      <c r="C92" s="9" t="n">
        <v>1363</v>
      </c>
      <c r="D92" s="9" t="n">
        <v>66270375</v>
      </c>
      <c r="E92" s="9" t="n">
        <v>2441</v>
      </c>
      <c r="F92" s="9" t="n">
        <v>121389480</v>
      </c>
      <c r="G92" s="9" t="n">
        <v>2424</v>
      </c>
      <c r="H92" s="9" t="n">
        <v>119581359</v>
      </c>
      <c r="I92" s="9" t="n">
        <v>1380</v>
      </c>
      <c r="J92" s="9" t="n">
        <v>68078496</v>
      </c>
    </row>
    <row r="93" customFormat="false" ht="15.75" hidden="false" customHeight="false" outlineLevel="0" collapsed="false">
      <c r="A93" s="7" t="s">
        <v>101</v>
      </c>
      <c r="B93" s="7" t="n">
        <v>8</v>
      </c>
      <c r="C93" s="9" t="n">
        <v>14535</v>
      </c>
      <c r="D93" s="9" t="n">
        <v>97939509</v>
      </c>
      <c r="E93" s="9" t="n">
        <v>6900</v>
      </c>
      <c r="F93" s="9" t="n">
        <v>25666080</v>
      </c>
      <c r="G93" s="9" t="n">
        <v>6768</v>
      </c>
      <c r="H93" s="9" t="n">
        <v>39027881</v>
      </c>
      <c r="I93" s="9" t="n">
        <v>14667</v>
      </c>
      <c r="J93" s="9" t="n">
        <v>84577708</v>
      </c>
    </row>
    <row r="94" customFormat="false" ht="15.75" hidden="false" customHeight="false" outlineLevel="0" collapsed="false">
      <c r="A94" s="7" t="s">
        <v>102</v>
      </c>
      <c r="B94" s="7" t="n">
        <v>8</v>
      </c>
      <c r="C94" s="9" t="n">
        <v>504</v>
      </c>
      <c r="D94" s="9" t="n">
        <v>11933027</v>
      </c>
      <c r="E94" s="9" t="n">
        <v>840</v>
      </c>
      <c r="F94" s="9" t="n">
        <v>20611080</v>
      </c>
      <c r="G94" s="9" t="n">
        <v>1008</v>
      </c>
      <c r="H94" s="9" t="n">
        <v>24408081</v>
      </c>
      <c r="I94" s="9" t="n">
        <v>336</v>
      </c>
      <c r="J94" s="9" t="n">
        <v>8136026</v>
      </c>
    </row>
    <row r="95" customFormat="false" ht="15.75" hidden="false" customHeight="false" outlineLevel="0" collapsed="false">
      <c r="A95" s="7" t="s">
        <v>103</v>
      </c>
      <c r="B95" s="7" t="n">
        <v>8</v>
      </c>
      <c r="C95" s="9" t="n">
        <v>4260</v>
      </c>
      <c r="D95" s="9" t="n">
        <v>53921988</v>
      </c>
      <c r="E95" s="9" t="n">
        <v>418</v>
      </c>
      <c r="F95" s="9" t="n">
        <v>0</v>
      </c>
      <c r="G95" s="9" t="n">
        <v>0</v>
      </c>
      <c r="H95" s="9" t="n">
        <v>0</v>
      </c>
      <c r="I95" s="9" t="n">
        <v>4678</v>
      </c>
      <c r="J95" s="9" t="n">
        <v>53921988</v>
      </c>
    </row>
    <row r="96" customFormat="false" ht="15.75" hidden="false" customHeight="false" outlineLevel="0" collapsed="false">
      <c r="A96" s="7" t="s">
        <v>104</v>
      </c>
      <c r="B96" s="7" t="n">
        <v>8</v>
      </c>
      <c r="C96" s="9" t="n">
        <v>360</v>
      </c>
      <c r="D96" s="9" t="n">
        <v>6545520</v>
      </c>
      <c r="E96" s="9" t="n">
        <v>24</v>
      </c>
      <c r="F96" s="9" t="n">
        <v>466656</v>
      </c>
      <c r="G96" s="9" t="n">
        <v>0</v>
      </c>
      <c r="H96" s="9" t="n">
        <v>0</v>
      </c>
      <c r="I96" s="9" t="n">
        <v>384</v>
      </c>
      <c r="J96" s="9" t="n">
        <v>7012176</v>
      </c>
    </row>
    <row r="97" customFormat="false" ht="15.75" hidden="false" customHeight="false" outlineLevel="0" collapsed="false">
      <c r="A97" s="7" t="s">
        <v>105</v>
      </c>
      <c r="B97" s="7" t="n">
        <v>8</v>
      </c>
      <c r="C97" s="9" t="n">
        <v>450</v>
      </c>
      <c r="D97" s="9" t="n">
        <v>22746544</v>
      </c>
      <c r="E97" s="9" t="n">
        <v>18</v>
      </c>
      <c r="F97" s="9" t="n">
        <v>958338</v>
      </c>
      <c r="G97" s="9" t="n">
        <v>6</v>
      </c>
      <c r="H97" s="9" t="n">
        <v>303909</v>
      </c>
      <c r="I97" s="9" t="n">
        <v>462</v>
      </c>
      <c r="J97" s="9" t="n">
        <v>23400973</v>
      </c>
    </row>
    <row r="98" customFormat="false" ht="15.75" hidden="false" customHeight="false" outlineLevel="0" collapsed="false">
      <c r="A98" s="7" t="s">
        <v>106</v>
      </c>
      <c r="B98" s="7" t="n">
        <v>8</v>
      </c>
      <c r="C98" s="9" t="n">
        <v>1272</v>
      </c>
      <c r="D98" s="9" t="n">
        <v>11564544</v>
      </c>
      <c r="E98" s="9" t="n">
        <v>240</v>
      </c>
      <c r="F98" s="9" t="n">
        <v>2333280</v>
      </c>
      <c r="G98" s="9" t="n">
        <v>240</v>
      </c>
      <c r="H98" s="9" t="n">
        <v>2206004</v>
      </c>
      <c r="I98" s="9" t="n">
        <v>1272</v>
      </c>
      <c r="J98" s="9" t="n">
        <v>11691820</v>
      </c>
    </row>
    <row r="99" customFormat="false" ht="15.75" hidden="false" customHeight="false" outlineLevel="0" collapsed="false">
      <c r="A99" s="7" t="s">
        <v>107</v>
      </c>
      <c r="B99" s="7" t="n">
        <v>8</v>
      </c>
      <c r="C99" s="9" t="n">
        <v>540</v>
      </c>
      <c r="D99" s="9" t="n">
        <v>1341900</v>
      </c>
      <c r="E99" s="9" t="n">
        <v>176</v>
      </c>
      <c r="F99" s="9" t="n">
        <v>0</v>
      </c>
      <c r="G99" s="9" t="n">
        <v>0</v>
      </c>
      <c r="H99" s="9" t="n">
        <v>0</v>
      </c>
      <c r="I99" s="9" t="n">
        <v>716</v>
      </c>
      <c r="J99" s="9" t="n">
        <v>1341900</v>
      </c>
    </row>
    <row r="100" customFormat="false" ht="15.75" hidden="false" customHeight="false" outlineLevel="0" collapsed="false">
      <c r="A100" s="7" t="s">
        <v>108</v>
      </c>
      <c r="B100" s="7" t="n">
        <v>8</v>
      </c>
      <c r="C100" s="9" t="n">
        <v>27299</v>
      </c>
      <c r="D100" s="9" t="n">
        <v>188995974</v>
      </c>
      <c r="E100" s="9" t="n">
        <v>9000</v>
      </c>
      <c r="F100" s="9" t="n">
        <v>66663000</v>
      </c>
      <c r="G100" s="9" t="n">
        <v>5159</v>
      </c>
      <c r="H100" s="9" t="n">
        <v>36335564</v>
      </c>
      <c r="I100" s="9" t="n">
        <v>31140</v>
      </c>
      <c r="J100" s="9" t="n">
        <v>219323410</v>
      </c>
    </row>
    <row r="101" customFormat="false" ht="15.75" hidden="false" customHeight="false" outlineLevel="0" collapsed="false">
      <c r="A101" s="7" t="s">
        <v>109</v>
      </c>
      <c r="B101" s="7" t="n">
        <v>8</v>
      </c>
      <c r="C101" s="9" t="n">
        <v>0</v>
      </c>
      <c r="D101" s="9" t="n">
        <v>0</v>
      </c>
      <c r="E101" s="9" t="n">
        <v>0</v>
      </c>
      <c r="F101" s="9" t="n">
        <v>0</v>
      </c>
      <c r="G101" s="9" t="n">
        <v>0</v>
      </c>
      <c r="H101" s="9" t="n">
        <v>0</v>
      </c>
      <c r="I101" s="9" t="n">
        <v>0</v>
      </c>
      <c r="J101" s="9" t="n">
        <v>0</v>
      </c>
    </row>
    <row r="102" customFormat="false" ht="15.75" hidden="false" customHeight="false" outlineLevel="0" collapsed="false">
      <c r="A102" s="7" t="s">
        <v>110</v>
      </c>
      <c r="B102" s="7" t="n">
        <v>8</v>
      </c>
      <c r="C102" s="9" t="n">
        <v>1440</v>
      </c>
      <c r="D102" s="9" t="n">
        <v>24792054</v>
      </c>
      <c r="E102" s="9" t="n">
        <v>540</v>
      </c>
      <c r="F102" s="9" t="n">
        <v>9750240</v>
      </c>
      <c r="G102" s="9" t="n">
        <v>120</v>
      </c>
      <c r="H102" s="9" t="n">
        <v>2093472</v>
      </c>
      <c r="I102" s="9" t="n">
        <v>1860</v>
      </c>
      <c r="J102" s="9" t="n">
        <v>32448822</v>
      </c>
    </row>
    <row r="103" customFormat="false" ht="15.75" hidden="false" customHeight="false" outlineLevel="0" collapsed="false">
      <c r="A103" s="7" t="s">
        <v>111</v>
      </c>
      <c r="B103" s="7" t="n">
        <v>8</v>
      </c>
      <c r="C103" s="9" t="n">
        <v>10914</v>
      </c>
      <c r="D103" s="9" t="n">
        <v>87223536</v>
      </c>
      <c r="E103" s="9" t="n">
        <v>6000</v>
      </c>
      <c r="F103" s="9" t="n">
        <v>48888000</v>
      </c>
      <c r="G103" s="9" t="n">
        <v>16340</v>
      </c>
      <c r="H103" s="9" t="n">
        <v>131492403</v>
      </c>
      <c r="I103" s="9" t="n">
        <v>574</v>
      </c>
      <c r="J103" s="9" t="n">
        <v>4619133</v>
      </c>
    </row>
    <row r="104" customFormat="false" ht="15.75" hidden="false" customHeight="false" outlineLevel="0" collapsed="false">
      <c r="A104" s="7" t="s">
        <v>112</v>
      </c>
      <c r="B104" s="7" t="n">
        <v>8</v>
      </c>
      <c r="C104" s="9" t="n">
        <v>4680</v>
      </c>
      <c r="D104" s="9" t="n">
        <v>37302102</v>
      </c>
      <c r="E104" s="9" t="n">
        <v>1560</v>
      </c>
      <c r="F104" s="9" t="n">
        <v>12710880</v>
      </c>
      <c r="G104" s="9" t="n">
        <v>5760</v>
      </c>
      <c r="H104" s="9" t="n">
        <v>46165830</v>
      </c>
      <c r="I104" s="9" t="n">
        <v>480</v>
      </c>
      <c r="J104" s="9" t="n">
        <v>3847152</v>
      </c>
    </row>
    <row r="105" customFormat="false" ht="15.75" hidden="false" customHeight="false" outlineLevel="0" collapsed="false">
      <c r="A105" s="7" t="s">
        <v>113</v>
      </c>
      <c r="B105" s="7" t="n">
        <v>8</v>
      </c>
      <c r="C105" s="9" t="n">
        <v>144</v>
      </c>
      <c r="D105" s="9" t="n">
        <v>2283696</v>
      </c>
      <c r="E105" s="9" t="n">
        <v>72</v>
      </c>
      <c r="F105" s="9" t="n">
        <v>1200024</v>
      </c>
      <c r="G105" s="9" t="n">
        <v>0</v>
      </c>
      <c r="H105" s="9" t="n">
        <v>0</v>
      </c>
      <c r="I105" s="9" t="n">
        <v>216</v>
      </c>
      <c r="J105" s="9" t="n">
        <v>3483720</v>
      </c>
    </row>
    <row r="106" customFormat="false" ht="15.75" hidden="false" customHeight="false" outlineLevel="0" collapsed="false">
      <c r="A106" s="7" t="s">
        <v>114</v>
      </c>
      <c r="B106" s="7" t="n">
        <v>8</v>
      </c>
      <c r="C106" s="9" t="n">
        <v>264</v>
      </c>
      <c r="D106" s="9" t="n">
        <v>4821864</v>
      </c>
      <c r="E106" s="9" t="n">
        <v>24</v>
      </c>
      <c r="F106" s="9" t="n">
        <v>466656</v>
      </c>
      <c r="G106" s="9" t="n">
        <v>0</v>
      </c>
      <c r="H106" s="9" t="n">
        <v>0</v>
      </c>
      <c r="I106" s="9" t="n">
        <v>288</v>
      </c>
      <c r="J106" s="9" t="n">
        <v>5288520</v>
      </c>
    </row>
    <row r="107" customFormat="false" ht="15.75" hidden="false" customHeight="false" outlineLevel="0" collapsed="false">
      <c r="A107" s="7" t="s">
        <v>115</v>
      </c>
      <c r="B107" s="7" t="n">
        <v>8</v>
      </c>
      <c r="C107" s="9" t="n">
        <v>0</v>
      </c>
      <c r="D107" s="9" t="n">
        <v>0</v>
      </c>
      <c r="E107" s="9" t="n">
        <v>0</v>
      </c>
      <c r="F107" s="9" t="n">
        <v>0</v>
      </c>
      <c r="G107" s="9" t="n">
        <v>0</v>
      </c>
      <c r="H107" s="9" t="n">
        <v>0</v>
      </c>
      <c r="I107" s="9" t="n">
        <v>0</v>
      </c>
      <c r="J107" s="9" t="n">
        <v>0</v>
      </c>
    </row>
    <row r="108" customFormat="false" ht="15.75" hidden="false" customHeight="false" outlineLevel="0" collapsed="false">
      <c r="A108" s="7" t="s">
        <v>116</v>
      </c>
      <c r="B108" s="7" t="n">
        <v>8</v>
      </c>
      <c r="C108" s="9" t="n">
        <v>0</v>
      </c>
      <c r="D108" s="9" t="n">
        <v>0</v>
      </c>
      <c r="E108" s="9" t="n">
        <v>1925</v>
      </c>
      <c r="F108" s="9" t="n">
        <v>39110400</v>
      </c>
      <c r="G108" s="9" t="n">
        <v>0</v>
      </c>
      <c r="H108" s="9" t="n">
        <v>0</v>
      </c>
      <c r="I108" s="9" t="n">
        <v>1925</v>
      </c>
      <c r="J108" s="9" t="n">
        <v>39110400</v>
      </c>
    </row>
    <row r="109" customFormat="false" ht="15.75" hidden="false" customHeight="false" outlineLevel="0" collapsed="false">
      <c r="A109" s="7" t="s">
        <v>117</v>
      </c>
      <c r="B109" s="7" t="n">
        <v>8</v>
      </c>
      <c r="C109" s="9" t="n">
        <v>96</v>
      </c>
      <c r="D109" s="9" t="n">
        <v>1600440</v>
      </c>
      <c r="E109" s="9" t="n">
        <v>192</v>
      </c>
      <c r="F109" s="9" t="n">
        <v>3377856</v>
      </c>
      <c r="G109" s="9" t="n">
        <v>0</v>
      </c>
      <c r="H109" s="9" t="n">
        <v>0</v>
      </c>
      <c r="I109" s="9" t="n">
        <v>288</v>
      </c>
      <c r="J109" s="9" t="n">
        <v>4978296</v>
      </c>
    </row>
    <row r="110" customFormat="false" ht="15.75" hidden="false" customHeight="false" outlineLevel="0" collapsed="false">
      <c r="A110" s="7" t="s">
        <v>118</v>
      </c>
      <c r="B110" s="7" t="n">
        <v>8</v>
      </c>
      <c r="C110" s="9" t="n">
        <v>732</v>
      </c>
      <c r="D110" s="9" t="n">
        <v>29625348</v>
      </c>
      <c r="E110" s="9" t="n">
        <v>0</v>
      </c>
      <c r="F110" s="9" t="n">
        <v>0</v>
      </c>
      <c r="G110" s="9" t="n">
        <v>6</v>
      </c>
      <c r="H110" s="9" t="n">
        <v>242831</v>
      </c>
      <c r="I110" s="9" t="n">
        <v>726</v>
      </c>
      <c r="J110" s="9" t="n">
        <v>29382517</v>
      </c>
    </row>
    <row r="111" customFormat="false" ht="15.75" hidden="false" customHeight="false" outlineLevel="0" collapsed="false">
      <c r="A111" s="7" t="s">
        <v>119</v>
      </c>
      <c r="B111" s="7" t="n">
        <v>8</v>
      </c>
      <c r="C111" s="9" t="n">
        <v>320</v>
      </c>
      <c r="D111" s="9" t="n">
        <v>7323160</v>
      </c>
      <c r="E111" s="9" t="n">
        <v>0</v>
      </c>
      <c r="F111" s="9" t="n">
        <v>0</v>
      </c>
      <c r="G111" s="9" t="n">
        <v>0</v>
      </c>
      <c r="H111" s="9" t="n">
        <v>0</v>
      </c>
      <c r="I111" s="9" t="n">
        <v>320</v>
      </c>
      <c r="J111" s="9" t="n">
        <v>7323160</v>
      </c>
    </row>
    <row r="112" customFormat="false" ht="15.75" hidden="false" customHeight="false" outlineLevel="0" collapsed="false">
      <c r="A112" s="7" t="s">
        <v>120</v>
      </c>
      <c r="B112" s="7" t="n">
        <v>8</v>
      </c>
      <c r="C112" s="9" t="n">
        <v>160</v>
      </c>
      <c r="D112" s="9" t="n">
        <v>3507040</v>
      </c>
      <c r="E112" s="9" t="n">
        <v>0</v>
      </c>
      <c r="F112" s="9" t="n">
        <v>0</v>
      </c>
      <c r="G112" s="9" t="n">
        <v>0</v>
      </c>
      <c r="H112" s="9" t="n">
        <v>0</v>
      </c>
      <c r="I112" s="9" t="n">
        <v>160</v>
      </c>
      <c r="J112" s="9" t="n">
        <v>3507040</v>
      </c>
    </row>
    <row r="113" customFormat="false" ht="15.75" hidden="false" customHeight="false" outlineLevel="0" collapsed="false">
      <c r="A113" s="7" t="s">
        <v>121</v>
      </c>
      <c r="B113" s="7" t="n">
        <v>8</v>
      </c>
      <c r="C113" s="9" t="n">
        <v>7539</v>
      </c>
      <c r="D113" s="9" t="n">
        <v>87110910</v>
      </c>
      <c r="E113" s="9" t="n">
        <v>1228</v>
      </c>
      <c r="F113" s="9" t="n">
        <v>14444400</v>
      </c>
      <c r="G113" s="9" t="n">
        <v>1392</v>
      </c>
      <c r="H113" s="9" t="n">
        <v>16124671</v>
      </c>
      <c r="I113" s="9" t="n">
        <v>7375</v>
      </c>
      <c r="J113" s="9" t="n">
        <v>85430639</v>
      </c>
    </row>
    <row r="114" customFormat="false" ht="15.75" hidden="false" customHeight="false" outlineLevel="0" collapsed="false">
      <c r="A114" s="7" t="s">
        <v>122</v>
      </c>
      <c r="B114" s="7" t="n">
        <v>8</v>
      </c>
      <c r="C114" s="9" t="n">
        <v>0</v>
      </c>
      <c r="D114" s="9" t="n">
        <v>0</v>
      </c>
      <c r="E114" s="9" t="n">
        <v>0</v>
      </c>
      <c r="F114" s="9" t="n">
        <v>0</v>
      </c>
      <c r="G114" s="9" t="n">
        <v>0</v>
      </c>
      <c r="H114" s="9" t="n">
        <v>0</v>
      </c>
      <c r="I114" s="9" t="n">
        <v>0</v>
      </c>
      <c r="J114" s="9" t="n">
        <v>0</v>
      </c>
    </row>
    <row r="115" customFormat="false" ht="15.75" hidden="false" customHeight="false" outlineLevel="0" collapsed="false">
      <c r="A115" s="7" t="s">
        <v>123</v>
      </c>
      <c r="B115" s="7" t="n">
        <v>8</v>
      </c>
      <c r="C115" s="9" t="n">
        <v>144</v>
      </c>
      <c r="D115" s="9" t="n">
        <v>2421792</v>
      </c>
      <c r="E115" s="9" t="n">
        <v>72</v>
      </c>
      <c r="F115" s="9" t="n">
        <v>1333368</v>
      </c>
      <c r="G115" s="9" t="n">
        <v>0</v>
      </c>
      <c r="H115" s="9" t="n">
        <v>0</v>
      </c>
      <c r="I115" s="9" t="n">
        <v>216</v>
      </c>
      <c r="J115" s="9" t="n">
        <v>3755160</v>
      </c>
    </row>
    <row r="116" customFormat="false" ht="15.75" hidden="false" customHeight="false" outlineLevel="0" collapsed="false">
      <c r="A116" s="7" t="s">
        <v>124</v>
      </c>
      <c r="B116" s="7" t="n">
        <v>8</v>
      </c>
      <c r="C116" s="9" t="n">
        <v>0</v>
      </c>
      <c r="D116" s="9" t="n">
        <v>0</v>
      </c>
      <c r="E116" s="9" t="n">
        <v>72</v>
      </c>
      <c r="F116" s="9" t="n">
        <v>1333368</v>
      </c>
      <c r="G116" s="9" t="n">
        <v>0</v>
      </c>
      <c r="H116" s="9" t="n">
        <v>0</v>
      </c>
      <c r="I116" s="9" t="n">
        <v>72</v>
      </c>
      <c r="J116" s="9" t="n">
        <v>1333368</v>
      </c>
    </row>
    <row r="117" customFormat="false" ht="15.75" hidden="false" customHeight="false" outlineLevel="0" collapsed="false">
      <c r="A117" s="7" t="s">
        <v>125</v>
      </c>
      <c r="B117" s="7" t="n">
        <v>8</v>
      </c>
      <c r="C117" s="9" t="n">
        <v>2112</v>
      </c>
      <c r="D117" s="9" t="n">
        <v>90818018</v>
      </c>
      <c r="E117" s="9" t="n">
        <v>420</v>
      </c>
      <c r="F117" s="9" t="n">
        <v>18860940</v>
      </c>
      <c r="G117" s="9" t="n">
        <v>2212</v>
      </c>
      <c r="H117" s="9" t="n">
        <v>95817478</v>
      </c>
      <c r="I117" s="9" t="n">
        <v>320</v>
      </c>
      <c r="J117" s="9" t="n">
        <v>13861480</v>
      </c>
    </row>
    <row r="118" customFormat="false" ht="15.75" hidden="false" customHeight="false" outlineLevel="0" collapsed="false">
      <c r="A118" s="7" t="s">
        <v>126</v>
      </c>
      <c r="B118" s="7" t="n">
        <v>8</v>
      </c>
      <c r="C118" s="9" t="n">
        <v>22632</v>
      </c>
      <c r="D118" s="9" t="n">
        <v>118102393</v>
      </c>
      <c r="E118" s="9" t="n">
        <v>31769</v>
      </c>
      <c r="F118" s="9" t="n">
        <v>159590880</v>
      </c>
      <c r="G118" s="9" t="n">
        <v>37080</v>
      </c>
      <c r="H118" s="9" t="n">
        <v>189277156</v>
      </c>
      <c r="I118" s="9" t="n">
        <v>17321</v>
      </c>
      <c r="J118" s="9" t="n">
        <v>88416117</v>
      </c>
    </row>
    <row r="119" customFormat="false" ht="15.75" hidden="false" customHeight="false" outlineLevel="0" collapsed="false">
      <c r="A119" s="7" t="s">
        <v>127</v>
      </c>
      <c r="B119" s="7" t="n">
        <v>8</v>
      </c>
      <c r="C119" s="9" t="n">
        <v>9391</v>
      </c>
      <c r="D119" s="9" t="n">
        <v>52236738</v>
      </c>
      <c r="E119" s="9" t="n">
        <v>1335</v>
      </c>
      <c r="F119" s="9" t="n">
        <v>6999600</v>
      </c>
      <c r="G119" s="9" t="n">
        <v>0</v>
      </c>
      <c r="H119" s="9" t="n">
        <v>0</v>
      </c>
      <c r="I119" s="9" t="n">
        <v>10726</v>
      </c>
      <c r="J119" s="9" t="n">
        <v>59236338</v>
      </c>
    </row>
    <row r="120" customFormat="false" ht="15.75" hidden="false" customHeight="false" outlineLevel="0" collapsed="false">
      <c r="A120" s="7" t="s">
        <v>128</v>
      </c>
      <c r="B120" s="7" t="n">
        <v>8</v>
      </c>
      <c r="C120" s="9" t="n">
        <v>1360</v>
      </c>
      <c r="D120" s="9" t="n">
        <v>20451792</v>
      </c>
      <c r="E120" s="9" t="n">
        <v>200</v>
      </c>
      <c r="F120" s="9" t="n">
        <v>3055600</v>
      </c>
      <c r="G120" s="9" t="n">
        <v>500</v>
      </c>
      <c r="H120" s="9" t="n">
        <v>7534421</v>
      </c>
      <c r="I120" s="9" t="n">
        <v>1060</v>
      </c>
      <c r="J120" s="9" t="n">
        <v>15972971</v>
      </c>
    </row>
    <row r="121" customFormat="false" ht="15.75" hidden="false" customHeight="false" outlineLevel="0" collapsed="false">
      <c r="A121" s="7" t="s">
        <v>129</v>
      </c>
      <c r="B121" s="7" t="n">
        <v>8</v>
      </c>
      <c r="C121" s="9" t="n">
        <v>0</v>
      </c>
      <c r="D121" s="9" t="n">
        <v>0</v>
      </c>
      <c r="E121" s="9" t="n">
        <v>0</v>
      </c>
      <c r="F121" s="9" t="n">
        <v>0</v>
      </c>
      <c r="G121" s="9" t="n">
        <v>0</v>
      </c>
      <c r="H121" s="9" t="n">
        <v>0</v>
      </c>
      <c r="I121" s="9" t="n">
        <v>0</v>
      </c>
      <c r="J121" s="9" t="n">
        <v>0</v>
      </c>
    </row>
    <row r="122" customFormat="false" ht="15.75" hidden="false" customHeight="false" outlineLevel="0" collapsed="false">
      <c r="A122" s="7" t="s">
        <v>130</v>
      </c>
      <c r="B122" s="7" t="n">
        <v>8</v>
      </c>
      <c r="C122" s="9" t="n">
        <v>28</v>
      </c>
      <c r="D122" s="9" t="n">
        <v>1315126</v>
      </c>
      <c r="E122" s="9" t="n">
        <v>64</v>
      </c>
      <c r="F122" s="9" t="n">
        <v>3051840</v>
      </c>
      <c r="G122" s="9" t="n">
        <v>0</v>
      </c>
      <c r="H122" s="9" t="n">
        <v>0</v>
      </c>
      <c r="I122" s="9" t="n">
        <v>92</v>
      </c>
      <c r="J122" s="9" t="n">
        <v>4366966</v>
      </c>
    </row>
    <row r="123" customFormat="false" ht="15.75" hidden="false" customHeight="false" outlineLevel="0" collapsed="false">
      <c r="A123" s="7" t="s">
        <v>131</v>
      </c>
      <c r="B123" s="7" t="n">
        <v>8</v>
      </c>
      <c r="C123" s="9" t="n">
        <v>63</v>
      </c>
      <c r="D123" s="9" t="n">
        <v>3092733</v>
      </c>
      <c r="E123" s="9" t="n">
        <v>16</v>
      </c>
      <c r="F123" s="9" t="n">
        <v>800000</v>
      </c>
      <c r="G123" s="9" t="n">
        <v>63</v>
      </c>
      <c r="H123" s="9" t="n">
        <v>3104331</v>
      </c>
      <c r="I123" s="9" t="n">
        <v>16</v>
      </c>
      <c r="J123" s="9" t="n">
        <v>788402</v>
      </c>
    </row>
    <row r="124" customFormat="false" ht="15.75" hidden="false" customHeight="false" outlineLevel="0" collapsed="false">
      <c r="A124" s="7" t="s">
        <v>132</v>
      </c>
      <c r="B124" s="7" t="n">
        <v>8</v>
      </c>
      <c r="C124" s="9" t="n">
        <v>201</v>
      </c>
      <c r="D124" s="9" t="n">
        <v>8854325</v>
      </c>
      <c r="E124" s="9" t="n">
        <v>21</v>
      </c>
      <c r="F124" s="9" t="n">
        <v>925079</v>
      </c>
      <c r="G124" s="9" t="n">
        <v>222</v>
      </c>
      <c r="H124" s="9" t="n">
        <v>9779404</v>
      </c>
      <c r="I124" s="9" t="n">
        <v>0</v>
      </c>
      <c r="J124" s="9" t="n">
        <v>0</v>
      </c>
    </row>
    <row r="125" customFormat="false" ht="15.75" hidden="false" customHeight="false" outlineLevel="0" collapsed="false">
      <c r="A125" s="7" t="s">
        <v>133</v>
      </c>
      <c r="B125" s="7" t="n">
        <v>8</v>
      </c>
      <c r="C125" s="9" t="n">
        <v>32</v>
      </c>
      <c r="D125" s="9" t="n">
        <v>1196640</v>
      </c>
      <c r="E125" s="9" t="n">
        <v>32</v>
      </c>
      <c r="F125" s="9" t="n">
        <v>1214816</v>
      </c>
      <c r="G125" s="9" t="n">
        <v>0</v>
      </c>
      <c r="H125" s="9" t="n">
        <v>0</v>
      </c>
      <c r="I125" s="9" t="n">
        <v>64</v>
      </c>
      <c r="J125" s="9" t="n">
        <v>2411456</v>
      </c>
    </row>
    <row r="126" customFormat="false" ht="15.75" hidden="false" customHeight="false" outlineLevel="0" collapsed="false">
      <c r="A126" s="7" t="s">
        <v>134</v>
      </c>
      <c r="B126" s="7" t="n">
        <v>8</v>
      </c>
      <c r="C126" s="9" t="n">
        <v>38</v>
      </c>
      <c r="D126" s="9" t="n">
        <v>1088168</v>
      </c>
      <c r="E126" s="9" t="n">
        <v>0</v>
      </c>
      <c r="F126" s="9" t="n">
        <v>0</v>
      </c>
      <c r="G126" s="9" t="n">
        <v>0</v>
      </c>
      <c r="H126" s="9" t="n">
        <v>0</v>
      </c>
      <c r="I126" s="9" t="n">
        <v>38</v>
      </c>
      <c r="J126" s="9" t="n">
        <v>1088168</v>
      </c>
    </row>
    <row r="127" customFormat="false" ht="15.75" hidden="false" customHeight="false" outlineLevel="0" collapsed="false">
      <c r="A127" s="7" t="s">
        <v>135</v>
      </c>
      <c r="B127" s="7" t="n">
        <v>8</v>
      </c>
      <c r="C127" s="9" t="n">
        <v>122</v>
      </c>
      <c r="D127" s="9" t="n">
        <v>22406379</v>
      </c>
      <c r="E127" s="9" t="n">
        <v>240</v>
      </c>
      <c r="F127" s="9" t="n">
        <v>44092320</v>
      </c>
      <c r="G127" s="9" t="n">
        <v>248</v>
      </c>
      <c r="H127" s="9" t="n">
        <v>45557120</v>
      </c>
      <c r="I127" s="9" t="n">
        <v>114</v>
      </c>
      <c r="J127" s="9" t="n">
        <v>20941579</v>
      </c>
    </row>
    <row r="128" customFormat="false" ht="15.75" hidden="false" customHeight="false" outlineLevel="0" collapsed="false">
      <c r="A128" s="7" t="s">
        <v>136</v>
      </c>
      <c r="B128" s="7" t="n">
        <v>8</v>
      </c>
      <c r="C128" s="9" t="n">
        <v>2749</v>
      </c>
      <c r="D128" s="9" t="n">
        <v>40497952</v>
      </c>
      <c r="E128" s="9" t="n">
        <v>3112</v>
      </c>
      <c r="F128" s="9" t="n">
        <v>45834000</v>
      </c>
      <c r="G128" s="9" t="n">
        <v>1992</v>
      </c>
      <c r="H128" s="9" t="n">
        <v>29341964</v>
      </c>
      <c r="I128" s="9" t="n">
        <v>3869</v>
      </c>
      <c r="J128" s="9" t="n">
        <v>56989988</v>
      </c>
    </row>
    <row r="129" customFormat="false" ht="15.75" hidden="false" customHeight="false" outlineLevel="0" collapsed="false">
      <c r="A129" s="7" t="s">
        <v>137</v>
      </c>
      <c r="B129" s="7" t="n">
        <v>8</v>
      </c>
      <c r="C129" s="9" t="n">
        <v>0</v>
      </c>
      <c r="D129" s="9" t="n">
        <v>0</v>
      </c>
      <c r="E129" s="9" t="n">
        <v>0</v>
      </c>
      <c r="F129" s="9" t="n">
        <v>0</v>
      </c>
      <c r="G129" s="9" t="n">
        <v>0</v>
      </c>
      <c r="H129" s="9" t="n">
        <v>0</v>
      </c>
      <c r="I129" s="9" t="n">
        <v>0</v>
      </c>
      <c r="J129" s="9" t="n">
        <v>0</v>
      </c>
    </row>
    <row r="130" customFormat="false" ht="15.75" hidden="false" customHeight="false" outlineLevel="0" collapsed="false">
      <c r="A130" s="7" t="s">
        <v>138</v>
      </c>
      <c r="B130" s="7" t="n">
        <v>8</v>
      </c>
      <c r="C130" s="9" t="n">
        <v>0</v>
      </c>
      <c r="D130" s="9" t="n">
        <v>0</v>
      </c>
      <c r="E130" s="9" t="n">
        <v>0</v>
      </c>
      <c r="F130" s="9" t="n">
        <v>0</v>
      </c>
      <c r="G130" s="9" t="n">
        <v>0</v>
      </c>
      <c r="H130" s="9" t="n">
        <v>0</v>
      </c>
      <c r="I130" s="9" t="n">
        <v>0</v>
      </c>
      <c r="J130" s="9" t="n">
        <v>0</v>
      </c>
    </row>
    <row r="131" customFormat="false" ht="15.75" hidden="false" customHeight="false" outlineLevel="0" collapsed="false">
      <c r="A131" s="7" t="s">
        <v>139</v>
      </c>
      <c r="B131" s="7" t="n">
        <v>8</v>
      </c>
      <c r="C131" s="9" t="n">
        <v>188</v>
      </c>
      <c r="D131" s="9" t="n">
        <v>34137846</v>
      </c>
      <c r="E131" s="9" t="n">
        <v>0</v>
      </c>
      <c r="F131" s="9" t="n">
        <v>0</v>
      </c>
      <c r="G131" s="9" t="n">
        <v>0</v>
      </c>
      <c r="H131" s="9" t="n">
        <v>0</v>
      </c>
      <c r="I131" s="9" t="n">
        <v>188</v>
      </c>
      <c r="J131" s="9" t="n">
        <v>34137846</v>
      </c>
    </row>
    <row r="132" customFormat="false" ht="15.75" hidden="false" customHeight="false" outlineLevel="0" collapsed="false">
      <c r="A132" s="7" t="s">
        <v>140</v>
      </c>
      <c r="B132" s="7" t="n">
        <v>8</v>
      </c>
      <c r="C132" s="9" t="n">
        <v>3200</v>
      </c>
      <c r="D132" s="9" t="n">
        <v>589501253</v>
      </c>
      <c r="E132" s="9" t="n">
        <v>1200</v>
      </c>
      <c r="F132" s="9" t="n">
        <v>221367600</v>
      </c>
      <c r="G132" s="9" t="n">
        <v>2460</v>
      </c>
      <c r="H132" s="9" t="n">
        <v>453349404</v>
      </c>
      <c r="I132" s="9" t="n">
        <v>1940</v>
      </c>
      <c r="J132" s="9" t="n">
        <v>357519449</v>
      </c>
    </row>
    <row r="133" customFormat="false" ht="15.75" hidden="false" customHeight="false" outlineLevel="0" collapsed="false">
      <c r="A133" s="7" t="s">
        <v>141</v>
      </c>
      <c r="B133" s="7" t="n">
        <v>8</v>
      </c>
      <c r="C133" s="9" t="n">
        <v>2800</v>
      </c>
      <c r="D133" s="9" t="n">
        <v>419484638</v>
      </c>
      <c r="E133" s="9" t="n">
        <v>2819</v>
      </c>
      <c r="F133" s="9" t="n">
        <v>391082760</v>
      </c>
      <c r="G133" s="9" t="n">
        <v>3360</v>
      </c>
      <c r="H133" s="9" t="n">
        <v>484695935</v>
      </c>
      <c r="I133" s="9" t="n">
        <v>2259</v>
      </c>
      <c r="J133" s="9" t="n">
        <v>325871463</v>
      </c>
    </row>
    <row r="134" customFormat="false" ht="15.75" hidden="false" customHeight="false" outlineLevel="0" collapsed="false">
      <c r="A134" s="7" t="s">
        <v>142</v>
      </c>
      <c r="B134" s="7" t="n">
        <v>8</v>
      </c>
      <c r="C134" s="9" t="n">
        <v>1150</v>
      </c>
      <c r="D134" s="9" t="n">
        <v>211217050</v>
      </c>
      <c r="E134" s="9" t="n">
        <v>0</v>
      </c>
      <c r="F134" s="9" t="n">
        <v>0</v>
      </c>
      <c r="G134" s="9" t="n">
        <v>0</v>
      </c>
      <c r="H134" s="9" t="n">
        <v>0</v>
      </c>
      <c r="I134" s="9" t="n">
        <v>1150</v>
      </c>
      <c r="J134" s="9" t="n">
        <v>211217050</v>
      </c>
    </row>
    <row r="135" customFormat="false" ht="15.75" hidden="false" customHeight="false" outlineLevel="0" collapsed="false">
      <c r="A135" s="7" t="s">
        <v>143</v>
      </c>
      <c r="B135" s="7" t="n">
        <v>8</v>
      </c>
      <c r="C135" s="9" t="n">
        <v>0</v>
      </c>
      <c r="D135" s="9" t="n">
        <v>0</v>
      </c>
      <c r="E135" s="9" t="n">
        <v>0</v>
      </c>
      <c r="F135" s="9" t="n">
        <v>0</v>
      </c>
      <c r="G135" s="9" t="n">
        <v>0</v>
      </c>
      <c r="H135" s="9" t="n">
        <v>0</v>
      </c>
      <c r="I135" s="9" t="n">
        <v>0</v>
      </c>
      <c r="J135" s="9" t="n">
        <v>0</v>
      </c>
    </row>
    <row r="136" customFormat="false" ht="15.75" hidden="false" customHeight="false" outlineLevel="0" collapsed="false">
      <c r="A136" s="7" t="s">
        <v>144</v>
      </c>
      <c r="B136" s="7" t="n">
        <v>8</v>
      </c>
      <c r="C136" s="9" t="n">
        <v>2783</v>
      </c>
      <c r="D136" s="9" t="n">
        <v>507399036</v>
      </c>
      <c r="E136" s="9" t="n">
        <v>270</v>
      </c>
      <c r="F136" s="9" t="n">
        <v>49248000</v>
      </c>
      <c r="G136" s="9" t="n">
        <v>1060</v>
      </c>
      <c r="H136" s="9" t="n">
        <v>193267559</v>
      </c>
      <c r="I136" s="9" t="n">
        <v>1993</v>
      </c>
      <c r="J136" s="9" t="n">
        <v>363379477</v>
      </c>
    </row>
    <row r="137" customFormat="false" ht="15.75" hidden="false" customHeight="false" outlineLevel="0" collapsed="false">
      <c r="A137" s="7" t="s">
        <v>145</v>
      </c>
      <c r="B137" s="7" t="n">
        <v>8</v>
      </c>
      <c r="C137" s="9" t="n">
        <v>493</v>
      </c>
      <c r="D137" s="9" t="n">
        <v>88115021</v>
      </c>
      <c r="E137" s="9" t="n">
        <v>0</v>
      </c>
      <c r="F137" s="9" t="n">
        <v>0</v>
      </c>
      <c r="G137" s="9" t="n">
        <v>50</v>
      </c>
      <c r="H137" s="9" t="n">
        <v>8936615</v>
      </c>
      <c r="I137" s="9" t="n">
        <v>443</v>
      </c>
      <c r="J137" s="9" t="n">
        <v>79178406</v>
      </c>
    </row>
    <row r="138" customFormat="false" ht="15.75" hidden="false" customHeight="false" outlineLevel="0" collapsed="false">
      <c r="A138" s="7" t="s">
        <v>146</v>
      </c>
      <c r="B138" s="7" t="n">
        <v>8</v>
      </c>
      <c r="C138" s="9" t="n">
        <v>269</v>
      </c>
      <c r="D138" s="9" t="n">
        <v>48046170</v>
      </c>
      <c r="E138" s="9" t="n">
        <v>3295</v>
      </c>
      <c r="F138" s="9" t="n">
        <v>623506932</v>
      </c>
      <c r="G138" s="9" t="n">
        <v>3564</v>
      </c>
      <c r="H138" s="9" t="n">
        <v>671553102</v>
      </c>
      <c r="I138" s="9" t="n">
        <v>0</v>
      </c>
      <c r="J138" s="9" t="n">
        <v>0</v>
      </c>
    </row>
    <row r="139" customFormat="false" ht="15.75" hidden="false" customHeight="false" outlineLevel="0" collapsed="false">
      <c r="A139" s="7" t="s">
        <v>147</v>
      </c>
      <c r="B139" s="7" t="n">
        <v>8</v>
      </c>
      <c r="C139" s="9" t="n">
        <v>785</v>
      </c>
      <c r="D139" s="9" t="n">
        <v>62503261</v>
      </c>
      <c r="E139" s="9" t="n">
        <v>103</v>
      </c>
      <c r="F139" s="9" t="n">
        <v>0</v>
      </c>
      <c r="G139" s="9" t="n">
        <v>0</v>
      </c>
      <c r="H139" s="9" t="n">
        <v>0</v>
      </c>
      <c r="I139" s="9" t="n">
        <v>888</v>
      </c>
      <c r="J139" s="9" t="n">
        <v>62503261</v>
      </c>
    </row>
    <row r="140" customFormat="false" ht="15.75" hidden="false" customHeight="false" outlineLevel="0" collapsed="false">
      <c r="A140" s="7" t="s">
        <v>148</v>
      </c>
      <c r="B140" s="7" t="n">
        <v>8</v>
      </c>
      <c r="C140" s="9" t="n">
        <v>1452</v>
      </c>
      <c r="D140" s="9" t="n">
        <v>165434604</v>
      </c>
      <c r="E140" s="9" t="n">
        <v>450</v>
      </c>
      <c r="F140" s="9" t="n">
        <v>51300000</v>
      </c>
      <c r="G140" s="9" t="n">
        <v>1015</v>
      </c>
      <c r="H140" s="9" t="n">
        <v>115660159</v>
      </c>
      <c r="I140" s="9" t="n">
        <v>887</v>
      </c>
      <c r="J140" s="9" t="n">
        <v>101074445</v>
      </c>
    </row>
    <row r="141" customFormat="false" ht="15.75" hidden="false" customHeight="false" outlineLevel="0" collapsed="false">
      <c r="A141" s="7" t="s">
        <v>149</v>
      </c>
      <c r="B141" s="7" t="n">
        <v>8</v>
      </c>
      <c r="C141" s="9" t="n">
        <v>3319</v>
      </c>
      <c r="D141" s="9" t="n">
        <v>630063428</v>
      </c>
      <c r="E141" s="9" t="n">
        <v>1300</v>
      </c>
      <c r="F141" s="9" t="n">
        <v>246551500</v>
      </c>
      <c r="G141" s="9" t="n">
        <v>2724</v>
      </c>
      <c r="H141" s="9" t="n">
        <v>516973168</v>
      </c>
      <c r="I141" s="9" t="n">
        <v>1895</v>
      </c>
      <c r="J141" s="9" t="n">
        <v>359641760</v>
      </c>
    </row>
    <row r="142" customFormat="false" ht="15.75" hidden="false" customHeight="false" outlineLevel="0" collapsed="false">
      <c r="A142" s="7" t="s">
        <v>150</v>
      </c>
      <c r="B142" s="7" t="n">
        <v>8</v>
      </c>
      <c r="C142" s="9" t="n">
        <v>0</v>
      </c>
      <c r="D142" s="9" t="n">
        <v>0</v>
      </c>
      <c r="E142" s="9" t="n">
        <v>0</v>
      </c>
      <c r="F142" s="9" t="n">
        <v>0</v>
      </c>
      <c r="G142" s="9" t="n">
        <v>0</v>
      </c>
      <c r="H142" s="9" t="n">
        <v>0</v>
      </c>
      <c r="I142" s="9" t="n">
        <v>0</v>
      </c>
      <c r="J142" s="9" t="n">
        <v>0</v>
      </c>
    </row>
    <row r="143" customFormat="false" ht="15.75" hidden="false" customHeight="false" outlineLevel="0" collapsed="false">
      <c r="A143" s="7" t="s">
        <v>151</v>
      </c>
      <c r="B143" s="7" t="n">
        <v>8</v>
      </c>
      <c r="C143" s="9" t="n">
        <v>259</v>
      </c>
      <c r="D143" s="9" t="n">
        <v>49197189</v>
      </c>
      <c r="E143" s="9" t="n">
        <v>60</v>
      </c>
      <c r="F143" s="9" t="n">
        <v>11379300</v>
      </c>
      <c r="G143" s="9" t="n">
        <v>0</v>
      </c>
      <c r="H143" s="9" t="n">
        <v>0</v>
      </c>
      <c r="I143" s="9" t="n">
        <v>319</v>
      </c>
      <c r="J143" s="9" t="n">
        <v>60576489</v>
      </c>
    </row>
    <row r="144" customFormat="false" ht="15.75" hidden="false" customHeight="false" outlineLevel="0" collapsed="false">
      <c r="A144" s="7" t="s">
        <v>152</v>
      </c>
      <c r="B144" s="7" t="n">
        <v>8</v>
      </c>
      <c r="C144" s="9" t="n">
        <v>0</v>
      </c>
      <c r="D144" s="9" t="n">
        <v>0</v>
      </c>
      <c r="E144" s="9" t="n">
        <v>0</v>
      </c>
      <c r="F144" s="9" t="n">
        <v>0</v>
      </c>
      <c r="G144" s="9" t="n">
        <v>0</v>
      </c>
      <c r="H144" s="9" t="n">
        <v>0</v>
      </c>
      <c r="I144" s="9" t="n">
        <v>0</v>
      </c>
      <c r="J144" s="9" t="n">
        <v>0</v>
      </c>
    </row>
    <row r="145" customFormat="false" ht="15.75" hidden="false" customHeight="false" outlineLevel="0" collapsed="false">
      <c r="A145" s="7" t="s">
        <v>153</v>
      </c>
      <c r="B145" s="7" t="n">
        <v>8</v>
      </c>
      <c r="C145" s="9" t="n">
        <v>0</v>
      </c>
      <c r="D145" s="9" t="n">
        <v>0</v>
      </c>
      <c r="E145" s="9" t="n">
        <v>0</v>
      </c>
      <c r="F145" s="9" t="n">
        <v>0</v>
      </c>
      <c r="G145" s="9" t="n">
        <v>0</v>
      </c>
      <c r="H145" s="9" t="n">
        <v>0</v>
      </c>
      <c r="I145" s="9" t="n">
        <v>0</v>
      </c>
      <c r="J145" s="9" t="n">
        <v>0</v>
      </c>
    </row>
    <row r="146" customFormat="false" ht="15.75" hidden="false" customHeight="false" outlineLevel="0" collapsed="false">
      <c r="A146" s="7" t="s">
        <v>154</v>
      </c>
      <c r="B146" s="7" t="n">
        <v>8</v>
      </c>
      <c r="C146" s="9" t="n">
        <v>0</v>
      </c>
      <c r="D146" s="9" t="n">
        <v>0</v>
      </c>
      <c r="E146" s="9" t="n">
        <v>0</v>
      </c>
      <c r="F146" s="9" t="n">
        <v>0</v>
      </c>
      <c r="G146" s="9" t="n">
        <v>0</v>
      </c>
      <c r="H146" s="9" t="n">
        <v>0</v>
      </c>
      <c r="I146" s="9" t="n">
        <v>0</v>
      </c>
      <c r="J146" s="9" t="n">
        <v>0</v>
      </c>
    </row>
    <row r="147" customFormat="false" ht="15.75" hidden="false" customHeight="false" outlineLevel="0" collapsed="false">
      <c r="A147" s="7" t="s">
        <v>155</v>
      </c>
      <c r="B147" s="7" t="n">
        <v>8</v>
      </c>
      <c r="C147" s="9" t="n">
        <v>224</v>
      </c>
      <c r="D147" s="9" t="n">
        <v>64951888</v>
      </c>
      <c r="E147" s="9" t="n">
        <v>0</v>
      </c>
      <c r="F147" s="9" t="n">
        <v>0</v>
      </c>
      <c r="G147" s="9" t="n">
        <v>0</v>
      </c>
      <c r="H147" s="9" t="n">
        <v>0</v>
      </c>
      <c r="I147" s="9" t="n">
        <v>224</v>
      </c>
      <c r="J147" s="9" t="n">
        <v>64951888</v>
      </c>
    </row>
    <row r="148" customFormat="false" ht="15.75" hidden="false" customHeight="false" outlineLevel="0" collapsed="false">
      <c r="A148" s="7" t="s">
        <v>156</v>
      </c>
      <c r="B148" s="7" t="n">
        <v>8</v>
      </c>
      <c r="C148" s="9" t="n">
        <v>0</v>
      </c>
      <c r="D148" s="9" t="n">
        <v>0</v>
      </c>
      <c r="E148" s="9" t="n">
        <v>55</v>
      </c>
      <c r="F148" s="9" t="n">
        <v>12071540</v>
      </c>
      <c r="G148" s="9" t="n">
        <v>0</v>
      </c>
      <c r="H148" s="9" t="n">
        <v>0</v>
      </c>
      <c r="I148" s="9" t="n">
        <v>55</v>
      </c>
      <c r="J148" s="9" t="n">
        <v>12071540</v>
      </c>
    </row>
    <row r="149" customFormat="false" ht="15.75" hidden="false" customHeight="false" outlineLevel="0" collapsed="false">
      <c r="A149" s="7" t="s">
        <v>157</v>
      </c>
      <c r="B149" s="7" t="n">
        <v>8</v>
      </c>
      <c r="C149" s="9" t="n">
        <v>0</v>
      </c>
      <c r="D149" s="9" t="n">
        <v>0</v>
      </c>
      <c r="E149" s="9" t="n">
        <v>0</v>
      </c>
      <c r="F149" s="9" t="n">
        <v>0</v>
      </c>
      <c r="G149" s="9" t="n">
        <v>0</v>
      </c>
      <c r="H149" s="9" t="n">
        <v>0</v>
      </c>
      <c r="I149" s="9" t="n">
        <v>0</v>
      </c>
      <c r="J149" s="9" t="n">
        <v>0</v>
      </c>
    </row>
    <row r="150" customFormat="false" ht="15.75" hidden="false" customHeight="false" outlineLevel="0" collapsed="false">
      <c r="A150" s="7" t="s">
        <v>158</v>
      </c>
      <c r="B150" s="7" t="n">
        <v>8</v>
      </c>
      <c r="C150" s="9" t="n">
        <v>133</v>
      </c>
      <c r="D150" s="9" t="n">
        <v>28422312</v>
      </c>
      <c r="E150" s="9" t="n">
        <v>40</v>
      </c>
      <c r="F150" s="9" t="n">
        <v>11607280</v>
      </c>
      <c r="G150" s="9" t="n">
        <v>0</v>
      </c>
      <c r="H150" s="9" t="n">
        <v>0</v>
      </c>
      <c r="I150" s="9" t="n">
        <v>173</v>
      </c>
      <c r="J150" s="9" t="n">
        <v>40029592</v>
      </c>
    </row>
    <row r="151" customFormat="false" ht="15.75" hidden="false" customHeight="false" outlineLevel="0" collapsed="false">
      <c r="A151" s="7" t="s">
        <v>159</v>
      </c>
      <c r="B151" s="7" t="n">
        <v>8</v>
      </c>
      <c r="C151" s="9" t="n">
        <v>81</v>
      </c>
      <c r="D151" s="9" t="n">
        <v>17829621</v>
      </c>
      <c r="E151" s="9" t="n">
        <v>0</v>
      </c>
      <c r="F151" s="9" t="n">
        <v>0</v>
      </c>
      <c r="G151" s="9" t="n">
        <v>0</v>
      </c>
      <c r="H151" s="9" t="n">
        <v>0</v>
      </c>
      <c r="I151" s="9" t="n">
        <v>81</v>
      </c>
      <c r="J151" s="9" t="n">
        <v>17829621</v>
      </c>
    </row>
    <row r="152" customFormat="false" ht="15.75" hidden="false" customHeight="false" outlineLevel="0" collapsed="false">
      <c r="A152" s="7" t="s">
        <v>160</v>
      </c>
      <c r="B152" s="7" t="n">
        <v>8</v>
      </c>
      <c r="C152" s="9" t="n">
        <v>51</v>
      </c>
      <c r="D152" s="9" t="n">
        <v>13482180</v>
      </c>
      <c r="E152" s="9" t="n">
        <v>0</v>
      </c>
      <c r="F152" s="9" t="n">
        <v>0</v>
      </c>
      <c r="G152" s="9" t="n">
        <v>0</v>
      </c>
      <c r="H152" s="9" t="n">
        <v>0</v>
      </c>
      <c r="I152" s="9" t="n">
        <v>51</v>
      </c>
      <c r="J152" s="9" t="n">
        <v>13482180</v>
      </c>
    </row>
    <row r="153" customFormat="false" ht="15.75" hidden="false" customHeight="false" outlineLevel="0" collapsed="false">
      <c r="A153" s="7" t="s">
        <v>161</v>
      </c>
      <c r="B153" s="7" t="n">
        <v>8</v>
      </c>
      <c r="C153" s="9" t="n">
        <v>40</v>
      </c>
      <c r="D153" s="9" t="n">
        <v>9285800</v>
      </c>
      <c r="E153" s="9" t="n">
        <v>0</v>
      </c>
      <c r="F153" s="9" t="n">
        <v>0</v>
      </c>
      <c r="G153" s="9" t="n">
        <v>0</v>
      </c>
      <c r="H153" s="9" t="n">
        <v>0</v>
      </c>
      <c r="I153" s="9" t="n">
        <v>40</v>
      </c>
      <c r="J153" s="9" t="n">
        <v>9285800</v>
      </c>
    </row>
    <row r="154" customFormat="false" ht="15.75" hidden="false" customHeight="false" outlineLevel="0" collapsed="false">
      <c r="A154" s="7" t="s">
        <v>162</v>
      </c>
      <c r="B154" s="7" t="n">
        <v>8</v>
      </c>
      <c r="C154" s="9" t="n">
        <v>1021</v>
      </c>
      <c r="D154" s="9" t="n">
        <v>322728911</v>
      </c>
      <c r="E154" s="9" t="n">
        <v>0</v>
      </c>
      <c r="F154" s="9" t="n">
        <v>0</v>
      </c>
      <c r="G154" s="9" t="n">
        <v>567</v>
      </c>
      <c r="H154" s="9" t="n">
        <v>179223597</v>
      </c>
      <c r="I154" s="9" t="n">
        <v>454</v>
      </c>
      <c r="J154" s="9" t="n">
        <v>143505314</v>
      </c>
    </row>
    <row r="155" customFormat="false" ht="15.75" hidden="false" customHeight="false" outlineLevel="0" collapsed="false">
      <c r="A155" s="7" t="s">
        <v>163</v>
      </c>
      <c r="B155" s="7" t="n">
        <v>8</v>
      </c>
      <c r="C155" s="9" t="n">
        <v>747</v>
      </c>
      <c r="D155" s="9" t="n">
        <v>236119977</v>
      </c>
      <c r="E155" s="9" t="n">
        <v>50</v>
      </c>
      <c r="F155" s="9" t="n">
        <v>15804550</v>
      </c>
      <c r="G155" s="9" t="n">
        <v>95</v>
      </c>
      <c r="H155" s="9" t="n">
        <v>30028645</v>
      </c>
      <c r="I155" s="9" t="n">
        <v>702</v>
      </c>
      <c r="J155" s="9" t="n">
        <v>221895882</v>
      </c>
    </row>
    <row r="156" customFormat="false" ht="15.75" hidden="false" customHeight="false" outlineLevel="0" collapsed="false">
      <c r="A156" s="7" t="s">
        <v>164</v>
      </c>
      <c r="B156" s="7" t="n">
        <v>8</v>
      </c>
      <c r="C156" s="9" t="n">
        <v>77</v>
      </c>
      <c r="D156" s="9" t="n">
        <v>11101646</v>
      </c>
      <c r="E156" s="9" t="n">
        <v>0</v>
      </c>
      <c r="F156" s="9" t="n">
        <v>0</v>
      </c>
      <c r="G156" s="9" t="n">
        <v>0</v>
      </c>
      <c r="H156" s="9" t="n">
        <v>0</v>
      </c>
      <c r="I156" s="9" t="n">
        <v>77</v>
      </c>
      <c r="J156" s="9" t="n">
        <v>11101646</v>
      </c>
    </row>
    <row r="157" customFormat="false" ht="15.75" hidden="false" customHeight="false" outlineLevel="0" collapsed="false">
      <c r="A157" s="7" t="s">
        <v>165</v>
      </c>
      <c r="B157" s="7" t="n">
        <v>8</v>
      </c>
      <c r="C157" s="9" t="n">
        <v>190</v>
      </c>
      <c r="D157" s="9" t="n">
        <v>28766325</v>
      </c>
      <c r="E157" s="9" t="n">
        <v>20</v>
      </c>
      <c r="F157" s="9" t="n">
        <v>3171280</v>
      </c>
      <c r="G157" s="9" t="n">
        <v>0</v>
      </c>
      <c r="H157" s="9" t="n">
        <v>0</v>
      </c>
      <c r="I157" s="9" t="n">
        <v>210</v>
      </c>
      <c r="J157" s="9" t="n">
        <v>31937605</v>
      </c>
    </row>
    <row r="158" customFormat="false" ht="15.75" hidden="false" customHeight="false" outlineLevel="0" collapsed="false">
      <c r="A158" s="7" t="s">
        <v>166</v>
      </c>
      <c r="B158" s="7" t="n">
        <v>8</v>
      </c>
      <c r="C158" s="9" t="n">
        <v>0</v>
      </c>
      <c r="D158" s="9" t="n">
        <v>0</v>
      </c>
      <c r="E158" s="9" t="n">
        <v>0</v>
      </c>
      <c r="F158" s="9" t="n">
        <v>0</v>
      </c>
      <c r="G158" s="9" t="n">
        <v>0</v>
      </c>
      <c r="H158" s="9" t="n">
        <v>0</v>
      </c>
      <c r="I158" s="9" t="n">
        <v>0</v>
      </c>
      <c r="J158" s="9" t="n">
        <v>0</v>
      </c>
    </row>
    <row r="159" customFormat="false" ht="15.75" hidden="false" customHeight="false" outlineLevel="0" collapsed="false">
      <c r="A159" s="7" t="s">
        <v>167</v>
      </c>
      <c r="B159" s="7" t="n">
        <v>8</v>
      </c>
      <c r="C159" s="9" t="n">
        <v>0</v>
      </c>
      <c r="D159" s="9" t="n">
        <v>0</v>
      </c>
      <c r="E159" s="9" t="n">
        <v>0</v>
      </c>
      <c r="F159" s="9" t="n">
        <v>0</v>
      </c>
      <c r="G159" s="9" t="n">
        <v>0</v>
      </c>
      <c r="H159" s="9" t="n">
        <v>0</v>
      </c>
      <c r="I159" s="9" t="n">
        <v>0</v>
      </c>
      <c r="J159" s="9" t="n">
        <v>0</v>
      </c>
    </row>
    <row r="160" customFormat="false" ht="15.75" hidden="false" customHeight="false" outlineLevel="0" collapsed="false">
      <c r="A160" s="7" t="s">
        <v>168</v>
      </c>
      <c r="B160" s="7" t="n">
        <v>8</v>
      </c>
      <c r="C160" s="9" t="n">
        <v>996</v>
      </c>
      <c r="D160" s="9" t="n">
        <v>181667230</v>
      </c>
      <c r="E160" s="9" t="n">
        <v>10</v>
      </c>
      <c r="F160" s="9" t="n">
        <v>1824000</v>
      </c>
      <c r="G160" s="9" t="n">
        <v>10</v>
      </c>
      <c r="H160" s="9" t="n">
        <v>1823968</v>
      </c>
      <c r="I160" s="9" t="n">
        <v>996</v>
      </c>
      <c r="J160" s="9" t="n">
        <v>181667262</v>
      </c>
    </row>
    <row r="161" customFormat="false" ht="15.75" hidden="false" customHeight="false" outlineLevel="0" collapsed="false">
      <c r="A161" s="7" t="s">
        <v>169</v>
      </c>
      <c r="B161" s="7" t="n">
        <v>8</v>
      </c>
      <c r="C161" s="9" t="n">
        <v>969</v>
      </c>
      <c r="D161" s="9" t="n">
        <v>171599110</v>
      </c>
      <c r="E161" s="9" t="n">
        <v>0</v>
      </c>
      <c r="F161" s="9" t="n">
        <v>0</v>
      </c>
      <c r="G161" s="9" t="n">
        <v>110</v>
      </c>
      <c r="H161" s="9" t="n">
        <v>19479775</v>
      </c>
      <c r="I161" s="9" t="n">
        <v>859</v>
      </c>
      <c r="J161" s="9" t="n">
        <v>152119335</v>
      </c>
    </row>
    <row r="162" customFormat="false" ht="15.75" hidden="false" customHeight="false" outlineLevel="0" collapsed="false">
      <c r="A162" s="7" t="s">
        <v>170</v>
      </c>
      <c r="B162" s="7" t="n">
        <v>8</v>
      </c>
      <c r="C162" s="9" t="n">
        <v>369</v>
      </c>
      <c r="D162" s="9" t="n">
        <v>101340684</v>
      </c>
      <c r="E162" s="9" t="n">
        <v>0</v>
      </c>
      <c r="F162" s="9" t="n">
        <v>0</v>
      </c>
      <c r="G162" s="9" t="n">
        <v>0</v>
      </c>
      <c r="H162" s="9" t="n">
        <v>0</v>
      </c>
      <c r="I162" s="9" t="n">
        <v>369</v>
      </c>
      <c r="J162" s="9" t="n">
        <v>101340684</v>
      </c>
    </row>
    <row r="163" customFormat="false" ht="15.75" hidden="false" customHeight="false" outlineLevel="0" collapsed="false">
      <c r="A163" s="7" t="s">
        <v>171</v>
      </c>
      <c r="B163" s="7" t="n">
        <v>8</v>
      </c>
      <c r="C163" s="9" t="n">
        <v>0</v>
      </c>
      <c r="D163" s="9" t="n">
        <v>0</v>
      </c>
      <c r="E163" s="9" t="n">
        <v>0</v>
      </c>
      <c r="F163" s="9" t="n">
        <v>0</v>
      </c>
      <c r="G163" s="9" t="n">
        <v>0</v>
      </c>
      <c r="H163" s="9" t="n">
        <v>0</v>
      </c>
      <c r="I163" s="9" t="n">
        <v>0</v>
      </c>
      <c r="J163" s="9" t="n">
        <v>0</v>
      </c>
    </row>
    <row r="164" customFormat="false" ht="15.75" hidden="false" customHeight="false" outlineLevel="0" collapsed="false">
      <c r="A164" s="7" t="s">
        <v>172</v>
      </c>
      <c r="B164" s="7" t="n">
        <v>8</v>
      </c>
      <c r="C164" s="9" t="n">
        <v>350</v>
      </c>
      <c r="D164" s="9" t="n">
        <v>65290750</v>
      </c>
      <c r="E164" s="9" t="n">
        <v>2</v>
      </c>
      <c r="F164" s="9" t="n">
        <v>0</v>
      </c>
      <c r="G164" s="9" t="n">
        <v>3</v>
      </c>
      <c r="H164" s="9" t="n">
        <v>556455</v>
      </c>
      <c r="I164" s="9" t="n">
        <v>349</v>
      </c>
      <c r="J164" s="9" t="n">
        <v>64734295</v>
      </c>
    </row>
    <row r="165" customFormat="false" ht="15.75" hidden="false" customHeight="false" outlineLevel="0" collapsed="false">
      <c r="A165" s="7" t="s">
        <v>173</v>
      </c>
      <c r="B165" s="7" t="n">
        <v>8</v>
      </c>
      <c r="C165" s="9" t="n">
        <v>302</v>
      </c>
      <c r="D165" s="9" t="n">
        <v>55963500</v>
      </c>
      <c r="E165" s="9" t="n">
        <v>94</v>
      </c>
      <c r="F165" s="9" t="n">
        <v>17535230</v>
      </c>
      <c r="G165" s="9" t="n">
        <v>4</v>
      </c>
      <c r="H165" s="9" t="n">
        <v>742411</v>
      </c>
      <c r="I165" s="9" t="n">
        <v>392</v>
      </c>
      <c r="J165" s="9" t="n">
        <v>72756319</v>
      </c>
    </row>
    <row r="166" customFormat="false" ht="15.75" hidden="false" customHeight="false" outlineLevel="0" collapsed="false">
      <c r="A166" s="7" t="s">
        <v>174</v>
      </c>
      <c r="B166" s="7" t="n">
        <v>8</v>
      </c>
      <c r="C166" s="9" t="n">
        <v>100</v>
      </c>
      <c r="D166" s="9" t="n">
        <v>27457840</v>
      </c>
      <c r="E166" s="9" t="n">
        <v>0</v>
      </c>
      <c r="F166" s="9" t="n">
        <v>0</v>
      </c>
      <c r="G166" s="9" t="n">
        <v>0</v>
      </c>
      <c r="H166" s="9" t="n">
        <v>0</v>
      </c>
      <c r="I166" s="9" t="n">
        <v>100</v>
      </c>
      <c r="J166" s="9" t="n">
        <v>27457840</v>
      </c>
    </row>
    <row r="167" customFormat="false" ht="15.75" hidden="false" customHeight="false" outlineLevel="0" collapsed="false">
      <c r="A167" s="7" t="s">
        <v>175</v>
      </c>
      <c r="B167" s="7" t="n">
        <v>8</v>
      </c>
      <c r="C167" s="9" t="n">
        <v>0</v>
      </c>
      <c r="D167" s="9" t="n">
        <v>0</v>
      </c>
      <c r="E167" s="9" t="n">
        <v>0</v>
      </c>
      <c r="F167" s="9" t="n">
        <v>0</v>
      </c>
      <c r="G167" s="9" t="n">
        <v>0</v>
      </c>
      <c r="H167" s="9" t="n">
        <v>0</v>
      </c>
      <c r="I167" s="9" t="n">
        <v>0</v>
      </c>
      <c r="J167" s="9" t="n">
        <v>0</v>
      </c>
    </row>
    <row r="168" customFormat="false" ht="15.75" hidden="false" customHeight="false" outlineLevel="0" collapsed="false">
      <c r="A168" s="7" t="s">
        <v>176</v>
      </c>
      <c r="B168" s="7" t="n">
        <v>8</v>
      </c>
      <c r="C168" s="9" t="n">
        <v>0</v>
      </c>
      <c r="D168" s="9" t="n">
        <v>0</v>
      </c>
      <c r="E168" s="9" t="n">
        <v>0</v>
      </c>
      <c r="F168" s="9" t="n">
        <v>0</v>
      </c>
      <c r="G168" s="9" t="n">
        <v>0</v>
      </c>
      <c r="H168" s="9" t="n">
        <v>0</v>
      </c>
      <c r="I168" s="9" t="n">
        <v>0</v>
      </c>
      <c r="J168" s="9" t="n">
        <v>0</v>
      </c>
    </row>
    <row r="169" customFormat="false" ht="15.75" hidden="false" customHeight="false" outlineLevel="0" collapsed="false">
      <c r="A169" s="7" t="s">
        <v>177</v>
      </c>
      <c r="B169" s="7" t="n">
        <v>8</v>
      </c>
      <c r="C169" s="9" t="n">
        <v>0</v>
      </c>
      <c r="D169" s="9" t="n">
        <v>0</v>
      </c>
      <c r="E169" s="9" t="n">
        <v>0</v>
      </c>
      <c r="F169" s="9" t="n">
        <v>0</v>
      </c>
      <c r="G169" s="9" t="n">
        <v>0</v>
      </c>
      <c r="H169" s="9" t="n">
        <v>0</v>
      </c>
      <c r="I169" s="9" t="n">
        <v>0</v>
      </c>
      <c r="J169" s="9" t="n">
        <v>0</v>
      </c>
    </row>
    <row r="170" customFormat="false" ht="15.75" hidden="false" customHeight="false" outlineLevel="0" collapsed="false">
      <c r="A170" s="7" t="s">
        <v>178</v>
      </c>
      <c r="B170" s="7" t="n">
        <v>8</v>
      </c>
      <c r="C170" s="9" t="n">
        <v>0</v>
      </c>
      <c r="D170" s="9" t="n">
        <v>0</v>
      </c>
      <c r="E170" s="9" t="n">
        <v>0</v>
      </c>
      <c r="F170" s="9" t="n">
        <v>0</v>
      </c>
      <c r="G170" s="9" t="n">
        <v>0</v>
      </c>
      <c r="H170" s="9" t="n">
        <v>0</v>
      </c>
      <c r="I170" s="9" t="n">
        <v>0</v>
      </c>
      <c r="J170" s="9" t="n">
        <v>0</v>
      </c>
    </row>
    <row r="171" customFormat="false" ht="15.75" hidden="false" customHeight="false" outlineLevel="0" collapsed="false">
      <c r="A171" s="7" t="s">
        <v>179</v>
      </c>
      <c r="B171" s="7" t="n">
        <v>8</v>
      </c>
      <c r="C171" s="9" t="n">
        <v>19693</v>
      </c>
      <c r="D171" s="9" t="n">
        <v>99243733</v>
      </c>
      <c r="E171" s="9" t="n">
        <v>11190</v>
      </c>
      <c r="F171" s="9" t="n">
        <v>46670400</v>
      </c>
      <c r="G171" s="9" t="n">
        <v>15360</v>
      </c>
      <c r="H171" s="9" t="n">
        <v>72572000</v>
      </c>
      <c r="I171" s="9" t="n">
        <v>15523</v>
      </c>
      <c r="J171" s="9" t="n">
        <v>73342133</v>
      </c>
    </row>
    <row r="172" customFormat="false" ht="15.75" hidden="false" customHeight="false" outlineLevel="0" collapsed="false">
      <c r="A172" s="7" t="s">
        <v>180</v>
      </c>
      <c r="B172" s="7" t="n">
        <v>8</v>
      </c>
      <c r="C172" s="9" t="n">
        <v>0</v>
      </c>
      <c r="D172" s="9" t="n">
        <v>0</v>
      </c>
      <c r="E172" s="9" t="n">
        <v>336</v>
      </c>
      <c r="F172" s="9" t="n">
        <v>26402880</v>
      </c>
      <c r="G172" s="9" t="n">
        <v>0</v>
      </c>
      <c r="H172" s="9" t="n">
        <v>0</v>
      </c>
      <c r="I172" s="9" t="n">
        <v>336</v>
      </c>
      <c r="J172" s="9" t="n">
        <v>26402880</v>
      </c>
    </row>
    <row r="173" customFormat="false" ht="15.75" hidden="false" customHeight="false" outlineLevel="0" collapsed="false">
      <c r="A173" s="7" t="s">
        <v>181</v>
      </c>
      <c r="B173" s="7" t="n">
        <v>8</v>
      </c>
      <c r="C173" s="9" t="n">
        <v>282</v>
      </c>
      <c r="D173" s="9" t="n">
        <v>14395925</v>
      </c>
      <c r="E173" s="9" t="n">
        <v>990</v>
      </c>
      <c r="F173" s="9" t="n">
        <v>50875110</v>
      </c>
      <c r="G173" s="9" t="n">
        <v>420</v>
      </c>
      <c r="H173" s="9" t="n">
        <v>21551757</v>
      </c>
      <c r="I173" s="9" t="n">
        <v>852</v>
      </c>
      <c r="J173" s="9" t="n">
        <v>43719278</v>
      </c>
    </row>
    <row r="174" customFormat="false" ht="15.75" hidden="false" customHeight="false" outlineLevel="0" collapsed="false">
      <c r="A174" s="7" t="s">
        <v>182</v>
      </c>
      <c r="B174" s="7" t="n">
        <v>8</v>
      </c>
      <c r="C174" s="9" t="n">
        <v>20</v>
      </c>
      <c r="D174" s="9" t="n">
        <v>1190400</v>
      </c>
      <c r="E174" s="9" t="n">
        <v>0</v>
      </c>
      <c r="F174" s="9" t="n">
        <v>0</v>
      </c>
      <c r="G174" s="9" t="n">
        <v>0</v>
      </c>
      <c r="H174" s="9" t="n">
        <v>0</v>
      </c>
      <c r="I174" s="9" t="n">
        <v>20</v>
      </c>
      <c r="J174" s="9" t="n">
        <v>1190400</v>
      </c>
    </row>
    <row r="175" customFormat="false" ht="15.75" hidden="false" customHeight="false" outlineLevel="0" collapsed="false">
      <c r="A175" s="7" t="s">
        <v>183</v>
      </c>
      <c r="B175" s="7" t="n">
        <v>8</v>
      </c>
      <c r="C175" s="9" t="n">
        <v>2807</v>
      </c>
      <c r="D175" s="9" t="n">
        <v>152047776</v>
      </c>
      <c r="E175" s="9" t="n">
        <v>208</v>
      </c>
      <c r="F175" s="9" t="n">
        <v>10881037</v>
      </c>
      <c r="G175" s="9" t="n">
        <v>220</v>
      </c>
      <c r="H175" s="9" t="n">
        <v>11888670</v>
      </c>
      <c r="I175" s="9" t="n">
        <v>2795</v>
      </c>
      <c r="J175" s="9" t="n">
        <v>151040143</v>
      </c>
    </row>
    <row r="176" customFormat="false" ht="15.75" hidden="false" customHeight="false" outlineLevel="0" collapsed="false">
      <c r="A176" s="7" t="s">
        <v>184</v>
      </c>
      <c r="B176" s="7" t="n">
        <v>8</v>
      </c>
      <c r="C176" s="9" t="n">
        <v>2852</v>
      </c>
      <c r="D176" s="9" t="n">
        <v>154929693</v>
      </c>
      <c r="E176" s="9" t="n">
        <v>208</v>
      </c>
      <c r="F176" s="9" t="n">
        <v>10881037</v>
      </c>
      <c r="G176" s="9" t="n">
        <v>245</v>
      </c>
      <c r="H176" s="9" t="n">
        <v>13275696</v>
      </c>
      <c r="I176" s="9" t="n">
        <v>2815</v>
      </c>
      <c r="J176" s="9" t="n">
        <v>152535034</v>
      </c>
    </row>
    <row r="177" customFormat="false" ht="15.75" hidden="false" customHeight="false" outlineLevel="0" collapsed="false">
      <c r="A177" s="7" t="s">
        <v>185</v>
      </c>
      <c r="B177" s="7" t="n">
        <v>8</v>
      </c>
      <c r="C177" s="9" t="n">
        <v>0</v>
      </c>
      <c r="D177" s="9" t="n">
        <v>0</v>
      </c>
      <c r="E177" s="9" t="n">
        <v>210</v>
      </c>
      <c r="F177" s="9" t="n">
        <v>38760000</v>
      </c>
      <c r="G177" s="9" t="n">
        <v>0</v>
      </c>
      <c r="H177" s="9" t="n">
        <v>0</v>
      </c>
      <c r="I177" s="9" t="n">
        <v>210</v>
      </c>
      <c r="J177" s="9" t="n">
        <v>38760000</v>
      </c>
    </row>
    <row r="178" customFormat="false" ht="15.75" hidden="false" customHeight="false" outlineLevel="0" collapsed="false">
      <c r="A178" s="7" t="s">
        <v>186</v>
      </c>
      <c r="B178" s="7" t="n">
        <v>8</v>
      </c>
      <c r="C178" s="9" t="n">
        <v>0</v>
      </c>
      <c r="D178" s="9" t="n">
        <v>0</v>
      </c>
      <c r="E178" s="9" t="n">
        <v>26400</v>
      </c>
      <c r="F178" s="9" t="n">
        <v>1126225000</v>
      </c>
      <c r="G178" s="9" t="n">
        <v>1360</v>
      </c>
      <c r="H178" s="9" t="n">
        <v>58476718</v>
      </c>
      <c r="I178" s="9" t="n">
        <v>25040</v>
      </c>
      <c r="J178" s="9" t="n">
        <v>1067748282</v>
      </c>
    </row>
    <row r="179" customFormat="false" ht="15.75" hidden="false" customHeight="false" outlineLevel="0" collapsed="false">
      <c r="A179" s="7" t="s">
        <v>187</v>
      </c>
      <c r="B179" s="7" t="n">
        <v>8</v>
      </c>
      <c r="C179" s="9" t="n">
        <v>1050</v>
      </c>
      <c r="D179" s="9" t="n">
        <v>37107000</v>
      </c>
      <c r="E179" s="9" t="n">
        <v>1323</v>
      </c>
      <c r="F179" s="9" t="n">
        <v>47880000</v>
      </c>
      <c r="G179" s="9" t="n">
        <v>105</v>
      </c>
      <c r="H179" s="9" t="n">
        <v>3785346</v>
      </c>
      <c r="I179" s="9" t="n">
        <v>2268</v>
      </c>
      <c r="J179" s="9" t="n">
        <v>81201654</v>
      </c>
    </row>
    <row r="180" customFormat="false" ht="15.75" hidden="false" customHeight="false" outlineLevel="0" collapsed="false">
      <c r="A180" s="7" t="s">
        <v>188</v>
      </c>
      <c r="B180" s="7" t="n">
        <v>8</v>
      </c>
      <c r="C180" s="9" t="n">
        <v>1922</v>
      </c>
      <c r="D180" s="9" t="n">
        <v>348127935</v>
      </c>
      <c r="E180" s="9" t="n">
        <v>1680</v>
      </c>
      <c r="F180" s="9" t="n">
        <v>307040000</v>
      </c>
      <c r="G180" s="9" t="n">
        <v>2636</v>
      </c>
      <c r="H180" s="9" t="n">
        <v>479462153</v>
      </c>
      <c r="I180" s="9" t="n">
        <v>966</v>
      </c>
      <c r="J180" s="9" t="n">
        <v>175705782</v>
      </c>
    </row>
    <row r="181" customFormat="false" ht="15.75" hidden="false" customHeight="false" outlineLevel="0" collapsed="false">
      <c r="A181" s="7" t="s">
        <v>189</v>
      </c>
      <c r="B181" s="7" t="n">
        <v>8</v>
      </c>
      <c r="C181" s="9" t="n">
        <v>100</v>
      </c>
      <c r="D181" s="9" t="n">
        <v>4337182</v>
      </c>
      <c r="E181" s="9" t="n">
        <v>220</v>
      </c>
      <c r="F181" s="9" t="n">
        <v>9327593</v>
      </c>
      <c r="G181" s="9" t="n">
        <v>0</v>
      </c>
      <c r="H181" s="9" t="n">
        <v>0</v>
      </c>
      <c r="I181" s="9" t="n">
        <v>320</v>
      </c>
      <c r="J181" s="9" t="n">
        <v>13664775</v>
      </c>
    </row>
    <row r="182" customFormat="false" ht="15.75" hidden="false" customHeight="false" outlineLevel="0" collapsed="false">
      <c r="A182" s="7" t="s">
        <v>190</v>
      </c>
      <c r="B182" s="7" t="n">
        <v>8</v>
      </c>
      <c r="C182" s="9" t="n">
        <v>1344</v>
      </c>
      <c r="D182" s="9" t="n">
        <v>38049392</v>
      </c>
      <c r="E182" s="9" t="n">
        <v>3276</v>
      </c>
      <c r="F182" s="9" t="n">
        <v>94587686</v>
      </c>
      <c r="G182" s="9" t="n">
        <v>4620</v>
      </c>
      <c r="H182" s="9" t="n">
        <v>132637078</v>
      </c>
      <c r="I182" s="9" t="n">
        <v>0</v>
      </c>
      <c r="J182" s="9" t="n">
        <v>0</v>
      </c>
    </row>
    <row r="183" customFormat="false" ht="15.75" hidden="false" customHeight="false" outlineLevel="0" collapsed="false">
      <c r="A183" s="7" t="s">
        <v>191</v>
      </c>
      <c r="B183" s="7" t="n">
        <v>8</v>
      </c>
      <c r="C183" s="9" t="n">
        <v>19437</v>
      </c>
      <c r="D183" s="9" t="n">
        <v>433383606</v>
      </c>
      <c r="E183" s="9" t="n">
        <v>24885</v>
      </c>
      <c r="F183" s="9" t="n">
        <v>707940000</v>
      </c>
      <c r="G183" s="9" t="n">
        <v>38235</v>
      </c>
      <c r="H183" s="9" t="n">
        <v>1084072731</v>
      </c>
      <c r="I183" s="9" t="n">
        <v>6087</v>
      </c>
      <c r="J183" s="9" t="n">
        <v>57250875</v>
      </c>
    </row>
    <row r="184" customFormat="false" ht="15.75" hidden="false" customHeight="false" outlineLevel="0" collapsed="false">
      <c r="A184" s="7" t="s">
        <v>192</v>
      </c>
      <c r="B184" s="7" t="n">
        <v>8</v>
      </c>
      <c r="C184" s="9" t="n">
        <v>4500</v>
      </c>
      <c r="D184" s="9" t="n">
        <v>31806000</v>
      </c>
      <c r="E184" s="9" t="n">
        <v>3150</v>
      </c>
      <c r="F184" s="9" t="n">
        <v>22800000</v>
      </c>
      <c r="G184" s="9" t="n">
        <v>0</v>
      </c>
      <c r="H184" s="9" t="n">
        <v>0</v>
      </c>
      <c r="I184" s="9" t="n">
        <v>7650</v>
      </c>
      <c r="J184" s="9" t="n">
        <v>54606000</v>
      </c>
    </row>
    <row r="185" customFormat="false" ht="15.75" hidden="false" customHeight="false" outlineLevel="0" collapsed="false">
      <c r="A185" s="7" t="s">
        <v>193</v>
      </c>
      <c r="B185" s="7" t="n">
        <v>8</v>
      </c>
      <c r="C185" s="9" t="n">
        <v>0</v>
      </c>
      <c r="D185" s="9" t="n">
        <v>0</v>
      </c>
      <c r="E185" s="9" t="n">
        <v>0</v>
      </c>
      <c r="F185" s="9" t="n">
        <v>0</v>
      </c>
      <c r="G185" s="9" t="n">
        <v>0</v>
      </c>
      <c r="H185" s="9" t="n">
        <v>0</v>
      </c>
      <c r="I185" s="9" t="n">
        <v>0</v>
      </c>
      <c r="J185" s="9" t="n">
        <v>0</v>
      </c>
    </row>
    <row r="186" customFormat="false" ht="15.75" hidden="false" customHeight="false" outlineLevel="0" collapsed="false">
      <c r="A186" s="7" t="s">
        <v>194</v>
      </c>
      <c r="B186" s="7" t="n">
        <v>8</v>
      </c>
      <c r="C186" s="9" t="n">
        <v>199720</v>
      </c>
      <c r="D186" s="9" t="n">
        <v>1308274410</v>
      </c>
      <c r="E186" s="9" t="n">
        <v>31500</v>
      </c>
      <c r="F186" s="9" t="n">
        <v>228000000</v>
      </c>
      <c r="G186" s="9" t="n">
        <v>176940</v>
      </c>
      <c r="H186" s="9" t="n">
        <v>1267790547</v>
      </c>
      <c r="I186" s="9" t="n">
        <v>54280</v>
      </c>
      <c r="J186" s="9" t="n">
        <v>268483863</v>
      </c>
    </row>
    <row r="187" customFormat="false" ht="15.75" hidden="false" customHeight="false" outlineLevel="0" collapsed="false">
      <c r="A187" s="7" t="s">
        <v>195</v>
      </c>
      <c r="B187" s="7" t="n">
        <v>8</v>
      </c>
      <c r="C187" s="9" t="n">
        <v>0</v>
      </c>
      <c r="D187" s="9" t="n">
        <v>0</v>
      </c>
      <c r="E187" s="9" t="n">
        <v>0</v>
      </c>
      <c r="F187" s="9" t="n">
        <v>0</v>
      </c>
      <c r="G187" s="9" t="n">
        <v>0</v>
      </c>
      <c r="H187" s="9" t="n">
        <v>0</v>
      </c>
      <c r="I187" s="9" t="n">
        <v>0</v>
      </c>
      <c r="J187" s="9" t="n">
        <v>0</v>
      </c>
    </row>
    <row r="188" customFormat="false" ht="15.75" hidden="false" customHeight="false" outlineLevel="0" collapsed="false">
      <c r="A188" s="7" t="s">
        <v>196</v>
      </c>
      <c r="B188" s="7" t="n">
        <v>8</v>
      </c>
      <c r="C188" s="9" t="n">
        <v>0</v>
      </c>
      <c r="D188" s="9" t="n">
        <v>0</v>
      </c>
      <c r="E188" s="9" t="n">
        <v>0</v>
      </c>
      <c r="F188" s="9" t="n">
        <v>0</v>
      </c>
      <c r="G188" s="9" t="n">
        <v>0</v>
      </c>
      <c r="H188" s="9" t="n">
        <v>0</v>
      </c>
      <c r="I188" s="9" t="n">
        <v>0</v>
      </c>
      <c r="J188" s="9" t="n">
        <v>0</v>
      </c>
    </row>
    <row r="189" customFormat="false" ht="15.75" hidden="false" customHeight="false" outlineLevel="0" collapsed="false">
      <c r="A189" s="7" t="s">
        <v>197</v>
      </c>
      <c r="B189" s="7" t="n">
        <v>8</v>
      </c>
      <c r="C189" s="9" t="n">
        <v>330</v>
      </c>
      <c r="D189" s="9" t="n">
        <v>2367855</v>
      </c>
      <c r="E189" s="9" t="n">
        <v>0</v>
      </c>
      <c r="F189" s="9" t="n">
        <v>0</v>
      </c>
      <c r="G189" s="9" t="n">
        <v>0</v>
      </c>
      <c r="H189" s="9" t="n">
        <v>0</v>
      </c>
      <c r="I189" s="9" t="n">
        <v>330</v>
      </c>
      <c r="J189" s="9" t="n">
        <v>2367855</v>
      </c>
    </row>
    <row r="190" customFormat="false" ht="15.75" hidden="false" customHeight="false" outlineLevel="0" collapsed="false">
      <c r="A190" s="7" t="s">
        <v>198</v>
      </c>
      <c r="B190" s="7" t="n">
        <v>8</v>
      </c>
      <c r="C190" s="9" t="n">
        <v>0</v>
      </c>
      <c r="D190" s="9" t="n">
        <v>0</v>
      </c>
      <c r="E190" s="9" t="n">
        <v>0</v>
      </c>
      <c r="F190" s="9" t="n">
        <v>0</v>
      </c>
      <c r="G190" s="9" t="n">
        <v>0</v>
      </c>
      <c r="H190" s="9" t="n">
        <v>0</v>
      </c>
      <c r="I190" s="9" t="n">
        <v>0</v>
      </c>
      <c r="J190" s="9" t="n">
        <v>0</v>
      </c>
    </row>
    <row r="191" customFormat="false" ht="15.75" hidden="false" customHeight="false" outlineLevel="0" collapsed="false">
      <c r="A191" s="7" t="s">
        <v>199</v>
      </c>
      <c r="B191" s="7" t="n">
        <v>8</v>
      </c>
      <c r="C191" s="9" t="n">
        <v>77660</v>
      </c>
      <c r="D191" s="9" t="n">
        <v>0</v>
      </c>
      <c r="E191" s="9" t="n">
        <v>0</v>
      </c>
      <c r="F191" s="9" t="n">
        <v>0</v>
      </c>
      <c r="G191" s="9" t="n">
        <v>0</v>
      </c>
      <c r="H191" s="9" t="n">
        <v>0</v>
      </c>
      <c r="I191" s="9" t="n">
        <v>77660</v>
      </c>
      <c r="J191" s="9" t="n">
        <v>0</v>
      </c>
    </row>
    <row r="192" customFormat="false" ht="15.75" hidden="false" customHeight="false" outlineLevel="0" collapsed="false">
      <c r="A192" s="7" t="s">
        <v>200</v>
      </c>
      <c r="B192" s="7" t="n">
        <v>8</v>
      </c>
      <c r="C192" s="9" t="n">
        <v>72</v>
      </c>
      <c r="D192" s="9" t="n">
        <v>504000</v>
      </c>
      <c r="E192" s="9" t="n">
        <v>0</v>
      </c>
      <c r="F192" s="9" t="n">
        <v>0</v>
      </c>
      <c r="G192" s="9" t="n">
        <v>0</v>
      </c>
      <c r="H192" s="9" t="n">
        <v>0</v>
      </c>
      <c r="I192" s="9" t="n">
        <v>72</v>
      </c>
      <c r="J192" s="9" t="n">
        <v>504000</v>
      </c>
    </row>
    <row r="193" customFormat="false" ht="15.75" hidden="false" customHeight="false" outlineLevel="0" collapsed="false">
      <c r="A193" s="7" t="s">
        <v>201</v>
      </c>
      <c r="B193" s="7" t="n">
        <v>8</v>
      </c>
      <c r="C193" s="9" t="n">
        <v>1800</v>
      </c>
      <c r="D193" s="9" t="n">
        <v>27299699</v>
      </c>
      <c r="E193" s="9" t="n">
        <v>300</v>
      </c>
      <c r="F193" s="9" t="n">
        <v>4861200</v>
      </c>
      <c r="G193" s="9" t="n">
        <v>0</v>
      </c>
      <c r="H193" s="9" t="n">
        <v>0</v>
      </c>
      <c r="I193" s="9" t="n">
        <v>2100</v>
      </c>
      <c r="J193" s="9" t="n">
        <v>32160899</v>
      </c>
    </row>
    <row r="194" customFormat="false" ht="15.75" hidden="false" customHeight="false" outlineLevel="0" collapsed="false">
      <c r="A194" s="7" t="s">
        <v>202</v>
      </c>
      <c r="B194" s="7" t="n">
        <v>8</v>
      </c>
      <c r="C194" s="9" t="n">
        <v>0</v>
      </c>
      <c r="D194" s="9" t="n">
        <v>0</v>
      </c>
      <c r="E194" s="9" t="n">
        <v>0</v>
      </c>
      <c r="F194" s="9" t="n">
        <v>0</v>
      </c>
      <c r="G194" s="9" t="n">
        <v>0</v>
      </c>
      <c r="H194" s="9" t="n">
        <v>0</v>
      </c>
      <c r="I194" s="9" t="n">
        <v>0</v>
      </c>
      <c r="J194" s="9" t="n">
        <v>0</v>
      </c>
    </row>
    <row r="195" customFormat="false" ht="15.75" hidden="false" customHeight="false" outlineLevel="0" collapsed="false">
      <c r="A195" s="7" t="s">
        <v>203</v>
      </c>
      <c r="B195" s="7" t="n">
        <v>8</v>
      </c>
      <c r="C195" s="9" t="n">
        <v>6232</v>
      </c>
      <c r="D195" s="9" t="n">
        <v>69177878</v>
      </c>
      <c r="E195" s="9" t="n">
        <v>1440</v>
      </c>
      <c r="F195" s="9" t="n">
        <v>16901280</v>
      </c>
      <c r="G195" s="9" t="n">
        <v>0</v>
      </c>
      <c r="H195" s="9" t="n">
        <v>0</v>
      </c>
      <c r="I195" s="9" t="n">
        <v>7672</v>
      </c>
      <c r="J195" s="9" t="n">
        <v>86079158</v>
      </c>
    </row>
    <row r="196" customFormat="false" ht="15.75" hidden="false" customHeight="false" outlineLevel="0" collapsed="false">
      <c r="A196" s="7" t="s">
        <v>204</v>
      </c>
      <c r="B196" s="7" t="n">
        <v>8</v>
      </c>
      <c r="C196" s="9" t="n">
        <v>3413</v>
      </c>
      <c r="D196" s="9" t="n">
        <v>89688053</v>
      </c>
      <c r="E196" s="9" t="n">
        <v>4752</v>
      </c>
      <c r="F196" s="9" t="n">
        <v>138283200</v>
      </c>
      <c r="G196" s="9" t="n">
        <v>2740</v>
      </c>
      <c r="H196" s="9" t="n">
        <v>76502294</v>
      </c>
      <c r="I196" s="9" t="n">
        <v>5425</v>
      </c>
      <c r="J196" s="9" t="n">
        <v>151468959</v>
      </c>
    </row>
    <row r="197" customFormat="false" ht="15.75" hidden="false" customHeight="false" outlineLevel="0" collapsed="false">
      <c r="A197" s="7" t="s">
        <v>205</v>
      </c>
      <c r="B197" s="7" t="n">
        <v>8</v>
      </c>
      <c r="C197" s="9" t="n">
        <v>2980</v>
      </c>
      <c r="D197" s="9" t="n">
        <v>192502709</v>
      </c>
      <c r="E197" s="9" t="n">
        <v>240</v>
      </c>
      <c r="F197" s="9" t="n">
        <v>0</v>
      </c>
      <c r="G197" s="9" t="n">
        <v>1990</v>
      </c>
      <c r="H197" s="9" t="n">
        <v>118969066</v>
      </c>
      <c r="I197" s="9" t="n">
        <v>1230</v>
      </c>
      <c r="J197" s="9" t="n">
        <v>73533643</v>
      </c>
    </row>
    <row r="198" customFormat="false" ht="15.75" hidden="false" customHeight="false" outlineLevel="0" collapsed="false">
      <c r="A198" s="7" t="s">
        <v>206</v>
      </c>
      <c r="B198" s="7" t="n">
        <v>8</v>
      </c>
      <c r="C198" s="9" t="n">
        <v>1098</v>
      </c>
      <c r="D198" s="9" t="n">
        <v>34629458</v>
      </c>
      <c r="E198" s="9" t="n">
        <v>96</v>
      </c>
      <c r="F198" s="9" t="n">
        <v>3154906</v>
      </c>
      <c r="G198" s="9" t="n">
        <v>50</v>
      </c>
      <c r="H198" s="9" t="n">
        <v>1582260</v>
      </c>
      <c r="I198" s="9" t="n">
        <v>1144</v>
      </c>
      <c r="J198" s="9" t="n">
        <v>36202104</v>
      </c>
    </row>
    <row r="199" customFormat="false" ht="15.75" hidden="false" customHeight="false" outlineLevel="0" collapsed="false">
      <c r="A199" s="7" t="s">
        <v>207</v>
      </c>
      <c r="B199" s="7" t="n">
        <v>8</v>
      </c>
      <c r="C199" s="9" t="n">
        <v>1656</v>
      </c>
      <c r="D199" s="9" t="n">
        <v>4609440</v>
      </c>
      <c r="E199" s="9" t="n">
        <v>180</v>
      </c>
      <c r="F199" s="9" t="n">
        <v>0</v>
      </c>
      <c r="G199" s="9" t="n">
        <v>0</v>
      </c>
      <c r="H199" s="9" t="n">
        <v>0</v>
      </c>
      <c r="I199" s="9" t="n">
        <v>1836</v>
      </c>
      <c r="J199" s="9" t="n">
        <v>4609440</v>
      </c>
    </row>
    <row r="200" customFormat="false" ht="15.75" hidden="false" customHeight="false" outlineLevel="0" collapsed="false">
      <c r="A200" s="7" t="s">
        <v>208</v>
      </c>
      <c r="B200" s="7" t="n">
        <v>8</v>
      </c>
      <c r="C200" s="9" t="n">
        <v>13</v>
      </c>
      <c r="D200" s="9" t="n">
        <v>107765</v>
      </c>
      <c r="E200" s="9" t="n">
        <v>0</v>
      </c>
      <c r="F200" s="9" t="n">
        <v>0</v>
      </c>
      <c r="G200" s="9" t="n">
        <v>0</v>
      </c>
      <c r="H200" s="9" t="n">
        <v>0</v>
      </c>
      <c r="I200" s="9" t="n">
        <v>13</v>
      </c>
      <c r="J200" s="9" t="n">
        <v>107765</v>
      </c>
    </row>
    <row r="201" customFormat="false" ht="15.75" hidden="false" customHeight="false" outlineLevel="0" collapsed="false">
      <c r="A201" s="7" t="s">
        <v>209</v>
      </c>
      <c r="B201" s="7" t="n">
        <v>8</v>
      </c>
      <c r="C201" s="9" t="n">
        <v>12</v>
      </c>
      <c r="D201" s="9" t="n">
        <v>700920</v>
      </c>
      <c r="E201" s="9" t="n">
        <v>12</v>
      </c>
      <c r="F201" s="9" t="n">
        <v>700920</v>
      </c>
      <c r="G201" s="9" t="n">
        <v>0</v>
      </c>
      <c r="H201" s="9" t="n">
        <v>0</v>
      </c>
      <c r="I201" s="9" t="n">
        <v>24</v>
      </c>
      <c r="J201" s="9" t="n">
        <v>1401840</v>
      </c>
    </row>
    <row r="202" customFormat="false" ht="15.75" hidden="false" customHeight="false" outlineLevel="0" collapsed="false">
      <c r="A202" s="7" t="s">
        <v>210</v>
      </c>
      <c r="B202" s="7" t="n">
        <v>8</v>
      </c>
      <c r="C202" s="9" t="n">
        <v>625</v>
      </c>
      <c r="D202" s="9" t="n">
        <v>6930861</v>
      </c>
      <c r="E202" s="9" t="n">
        <v>0</v>
      </c>
      <c r="F202" s="9" t="n">
        <v>0</v>
      </c>
      <c r="G202" s="9" t="n">
        <v>0</v>
      </c>
      <c r="H202" s="9" t="n">
        <v>0</v>
      </c>
      <c r="I202" s="9" t="n">
        <v>625</v>
      </c>
      <c r="J202" s="9" t="n">
        <v>6930861</v>
      </c>
    </row>
    <row r="203" customFormat="false" ht="15.75" hidden="false" customHeight="false" outlineLevel="0" collapsed="false">
      <c r="A203" s="7" t="s">
        <v>211</v>
      </c>
      <c r="B203" s="7" t="n">
        <v>8</v>
      </c>
      <c r="C203" s="9" t="n">
        <v>0</v>
      </c>
      <c r="D203" s="9" t="n">
        <v>0</v>
      </c>
      <c r="E203" s="9" t="n">
        <v>0</v>
      </c>
      <c r="F203" s="9" t="n">
        <v>0</v>
      </c>
      <c r="G203" s="9" t="n">
        <v>0</v>
      </c>
      <c r="H203" s="9" t="n">
        <v>0</v>
      </c>
      <c r="I203" s="9" t="n">
        <v>0</v>
      </c>
      <c r="J203" s="9" t="n">
        <v>0</v>
      </c>
    </row>
    <row r="204" customFormat="false" ht="15.75" hidden="false" customHeight="false" outlineLevel="0" collapsed="false">
      <c r="A204" s="7" t="s">
        <v>212</v>
      </c>
      <c r="B204" s="7" t="n">
        <v>8</v>
      </c>
      <c r="C204" s="9" t="n">
        <v>1433</v>
      </c>
      <c r="D204" s="9" t="n">
        <v>16316932</v>
      </c>
      <c r="E204" s="9" t="n">
        <v>3024</v>
      </c>
      <c r="F204" s="9" t="n">
        <v>37545984</v>
      </c>
      <c r="G204" s="9" t="n">
        <v>880</v>
      </c>
      <c r="H204" s="9" t="n">
        <v>10634814</v>
      </c>
      <c r="I204" s="9" t="n">
        <v>3577</v>
      </c>
      <c r="J204" s="9" t="n">
        <v>43228102</v>
      </c>
    </row>
    <row r="205" customFormat="false" ht="15.75" hidden="false" customHeight="false" outlineLevel="0" collapsed="false">
      <c r="A205" s="7" t="s">
        <v>213</v>
      </c>
      <c r="B205" s="7" t="n">
        <v>8</v>
      </c>
      <c r="C205" s="9" t="n">
        <v>10140</v>
      </c>
      <c r="D205" s="9" t="n">
        <v>215404020</v>
      </c>
      <c r="E205" s="9" t="n">
        <v>612</v>
      </c>
      <c r="F205" s="9" t="n">
        <v>0</v>
      </c>
      <c r="G205" s="9" t="n">
        <v>0</v>
      </c>
      <c r="H205" s="9" t="n">
        <v>0</v>
      </c>
      <c r="I205" s="9" t="n">
        <v>10752</v>
      </c>
      <c r="J205" s="9" t="n">
        <v>215404020</v>
      </c>
    </row>
    <row r="206" customFormat="false" ht="15.75" hidden="false" customHeight="false" outlineLevel="0" collapsed="false">
      <c r="A206" s="7" t="s">
        <v>214</v>
      </c>
      <c r="B206" s="7" t="n">
        <v>8</v>
      </c>
      <c r="C206" s="9" t="n">
        <v>14637</v>
      </c>
      <c r="D206" s="9" t="n">
        <v>338329484</v>
      </c>
      <c r="E206" s="9" t="n">
        <v>5004</v>
      </c>
      <c r="F206" s="9" t="n">
        <v>102888288</v>
      </c>
      <c r="G206" s="9" t="n">
        <v>7772</v>
      </c>
      <c r="H206" s="9" t="n">
        <v>174591137</v>
      </c>
      <c r="I206" s="9" t="n">
        <v>11869</v>
      </c>
      <c r="J206" s="9" t="n">
        <v>266626635</v>
      </c>
    </row>
    <row r="207" customFormat="false" ht="15.75" hidden="false" customHeight="false" outlineLevel="0" collapsed="false">
      <c r="A207" s="7" t="s">
        <v>215</v>
      </c>
      <c r="B207" s="7" t="n">
        <v>8</v>
      </c>
      <c r="C207" s="9" t="n">
        <v>7600</v>
      </c>
      <c r="D207" s="9" t="n">
        <v>303881600</v>
      </c>
      <c r="E207" s="9" t="n">
        <v>0</v>
      </c>
      <c r="F207" s="9" t="n">
        <v>0</v>
      </c>
      <c r="G207" s="9" t="n">
        <v>0</v>
      </c>
      <c r="H207" s="9" t="n">
        <v>0</v>
      </c>
      <c r="I207" s="9" t="n">
        <v>7600</v>
      </c>
      <c r="J207" s="9" t="n">
        <v>303881600</v>
      </c>
    </row>
    <row r="208" customFormat="false" ht="15.75" hidden="false" customHeight="false" outlineLevel="0" collapsed="false">
      <c r="A208" s="7" t="s">
        <v>216</v>
      </c>
      <c r="B208" s="7" t="n">
        <v>8</v>
      </c>
      <c r="C208" s="9" t="n">
        <v>144</v>
      </c>
      <c r="D208" s="9" t="n">
        <v>2500272</v>
      </c>
      <c r="E208" s="9" t="n">
        <v>144</v>
      </c>
      <c r="F208" s="9" t="n">
        <v>2500272</v>
      </c>
      <c r="G208" s="9" t="n">
        <v>0</v>
      </c>
      <c r="H208" s="9" t="n">
        <v>0</v>
      </c>
      <c r="I208" s="9" t="n">
        <v>288</v>
      </c>
      <c r="J208" s="9" t="n">
        <v>5000544</v>
      </c>
    </row>
    <row r="209" customFormat="false" ht="15.75" hidden="false" customHeight="false" outlineLevel="0" collapsed="false">
      <c r="A209" s="7" t="s">
        <v>217</v>
      </c>
      <c r="B209" s="7" t="n">
        <v>8</v>
      </c>
      <c r="C209" s="9" t="n">
        <v>10</v>
      </c>
      <c r="D209" s="9" t="n">
        <v>1775003</v>
      </c>
      <c r="E209" s="9" t="n">
        <v>0</v>
      </c>
      <c r="F209" s="9" t="n">
        <v>0</v>
      </c>
      <c r="G209" s="9" t="n">
        <v>0</v>
      </c>
      <c r="H209" s="9" t="n">
        <v>0</v>
      </c>
      <c r="I209" s="9" t="n">
        <v>10</v>
      </c>
      <c r="J209" s="9" t="n">
        <v>1775003</v>
      </c>
    </row>
    <row r="210" customFormat="false" ht="15.75" hidden="false" customHeight="false" outlineLevel="0" collapsed="false">
      <c r="A210" s="7" t="s">
        <v>218</v>
      </c>
      <c r="B210" s="7" t="n">
        <v>8</v>
      </c>
      <c r="C210" s="9" t="n">
        <v>0</v>
      </c>
      <c r="D210" s="9" t="n">
        <v>0</v>
      </c>
      <c r="E210" s="9" t="n">
        <v>0</v>
      </c>
      <c r="F210" s="9" t="n">
        <v>0</v>
      </c>
      <c r="G210" s="9" t="n">
        <v>0</v>
      </c>
      <c r="H210" s="9" t="n">
        <v>0</v>
      </c>
      <c r="I210" s="9" t="n">
        <v>0</v>
      </c>
      <c r="J210" s="9" t="n">
        <v>0</v>
      </c>
    </row>
    <row r="211" customFormat="false" ht="15.75" hidden="false" customHeight="false" outlineLevel="0" collapsed="false">
      <c r="A211" s="7" t="s">
        <v>219</v>
      </c>
      <c r="B211" s="7" t="n">
        <v>8</v>
      </c>
      <c r="C211" s="9" t="n">
        <v>0</v>
      </c>
      <c r="D211" s="9" t="n">
        <v>0</v>
      </c>
      <c r="E211" s="9" t="n">
        <v>0</v>
      </c>
      <c r="F211" s="9" t="n">
        <v>0</v>
      </c>
      <c r="G211" s="9" t="n">
        <v>0</v>
      </c>
      <c r="H211" s="9" t="n">
        <v>0</v>
      </c>
      <c r="I211" s="9" t="n">
        <v>0</v>
      </c>
      <c r="J211" s="9" t="n">
        <v>0</v>
      </c>
    </row>
    <row r="212" customFormat="false" ht="15.75" hidden="false" customHeight="false" outlineLevel="0" collapsed="false">
      <c r="A212" s="7" t="s">
        <v>220</v>
      </c>
      <c r="B212" s="7" t="n">
        <v>8</v>
      </c>
      <c r="C212" s="9" t="n">
        <v>0</v>
      </c>
      <c r="D212" s="9" t="n">
        <v>0</v>
      </c>
      <c r="E212" s="9" t="n">
        <v>0</v>
      </c>
      <c r="F212" s="9" t="n">
        <v>0</v>
      </c>
      <c r="G212" s="9" t="n">
        <v>0</v>
      </c>
      <c r="H212" s="9" t="n">
        <v>0</v>
      </c>
      <c r="I212" s="9" t="n">
        <v>0</v>
      </c>
      <c r="J212" s="9" t="n">
        <v>0</v>
      </c>
    </row>
    <row r="213" customFormat="false" ht="15.75" hidden="false" customHeight="false" outlineLevel="0" collapsed="false">
      <c r="A213" s="7" t="s">
        <v>221</v>
      </c>
      <c r="B213" s="7" t="n">
        <v>8</v>
      </c>
      <c r="C213" s="9" t="n">
        <v>2514</v>
      </c>
      <c r="D213" s="9" t="n">
        <v>48896367</v>
      </c>
      <c r="E213" s="9" t="n">
        <v>1080</v>
      </c>
      <c r="F213" s="9" t="n">
        <v>21266280</v>
      </c>
      <c r="G213" s="9" t="n">
        <v>600</v>
      </c>
      <c r="H213" s="9" t="n">
        <v>11713297</v>
      </c>
      <c r="I213" s="9" t="n">
        <v>2994</v>
      </c>
      <c r="J213" s="9" t="n">
        <v>58449350</v>
      </c>
    </row>
    <row r="214" customFormat="false" ht="15.75" hidden="false" customHeight="false" outlineLevel="0" collapsed="false">
      <c r="A214" s="7" t="s">
        <v>222</v>
      </c>
      <c r="B214" s="7" t="n">
        <v>8</v>
      </c>
      <c r="C214" s="9" t="n">
        <v>5836</v>
      </c>
      <c r="D214" s="9" t="n">
        <v>125239491</v>
      </c>
      <c r="E214" s="9" t="n">
        <v>0</v>
      </c>
      <c r="F214" s="9" t="n">
        <v>0</v>
      </c>
      <c r="G214" s="9" t="n">
        <v>4760</v>
      </c>
      <c r="H214" s="9" t="n">
        <v>102148728</v>
      </c>
      <c r="I214" s="9" t="n">
        <v>1076</v>
      </c>
      <c r="J214" s="9" t="n">
        <v>23090763</v>
      </c>
    </row>
    <row r="215" customFormat="false" ht="15.75" hidden="false" customHeight="false" outlineLevel="0" collapsed="false">
      <c r="A215" s="7" t="s">
        <v>223</v>
      </c>
      <c r="B215" s="7" t="n">
        <v>8</v>
      </c>
      <c r="C215" s="9" t="n">
        <v>1009</v>
      </c>
      <c r="D215" s="9" t="n">
        <v>43637152</v>
      </c>
      <c r="E215" s="9" t="n">
        <v>48</v>
      </c>
      <c r="F215" s="9" t="n">
        <v>2076576</v>
      </c>
      <c r="G215" s="9" t="n">
        <v>0</v>
      </c>
      <c r="H215" s="9" t="n">
        <v>0</v>
      </c>
      <c r="I215" s="9" t="n">
        <v>1057</v>
      </c>
      <c r="J215" s="9" t="n">
        <v>45713728</v>
      </c>
    </row>
    <row r="216" customFormat="false" ht="15.75" hidden="false" customHeight="false" outlineLevel="0" collapsed="false">
      <c r="A216" s="7" t="s">
        <v>224</v>
      </c>
      <c r="B216" s="7" t="n">
        <v>8</v>
      </c>
      <c r="C216" s="9" t="n">
        <v>336</v>
      </c>
      <c r="D216" s="9" t="n">
        <v>6713952</v>
      </c>
      <c r="E216" s="9" t="n">
        <v>0</v>
      </c>
      <c r="F216" s="9" t="n">
        <v>0</v>
      </c>
      <c r="G216" s="9" t="n">
        <v>0</v>
      </c>
      <c r="H216" s="9" t="n">
        <v>0</v>
      </c>
      <c r="I216" s="9" t="n">
        <v>336</v>
      </c>
      <c r="J216" s="9" t="n">
        <v>6713952</v>
      </c>
    </row>
    <row r="217" customFormat="false" ht="15.75" hidden="false" customHeight="false" outlineLevel="0" collapsed="false">
      <c r="A217" s="7" t="s">
        <v>225</v>
      </c>
      <c r="B217" s="7" t="n">
        <v>8</v>
      </c>
      <c r="C217" s="9" t="n">
        <v>0</v>
      </c>
      <c r="D217" s="9" t="n">
        <v>0</v>
      </c>
      <c r="E217" s="9" t="n">
        <v>0</v>
      </c>
      <c r="F217" s="9" t="n">
        <v>0</v>
      </c>
      <c r="G217" s="9" t="n">
        <v>0</v>
      </c>
      <c r="H217" s="9" t="n">
        <v>0</v>
      </c>
      <c r="I217" s="9" t="n">
        <v>0</v>
      </c>
      <c r="J217" s="9" t="n">
        <v>0</v>
      </c>
    </row>
    <row r="218" customFormat="false" ht="15.75" hidden="false" customHeight="false" outlineLevel="0" collapsed="false">
      <c r="A218" s="7" t="s">
        <v>226</v>
      </c>
      <c r="B218" s="7" t="n">
        <v>8</v>
      </c>
      <c r="C218" s="9" t="n">
        <v>360</v>
      </c>
      <c r="D218" s="9" t="n">
        <v>7553196</v>
      </c>
      <c r="E218" s="9" t="n">
        <v>0</v>
      </c>
      <c r="F218" s="9" t="n">
        <v>0</v>
      </c>
      <c r="G218" s="9" t="n">
        <v>0</v>
      </c>
      <c r="H218" s="9" t="n">
        <v>0</v>
      </c>
      <c r="I218" s="9" t="n">
        <v>360</v>
      </c>
      <c r="J218" s="9" t="n">
        <v>7553196</v>
      </c>
    </row>
    <row r="219" customFormat="false" ht="15.75" hidden="false" customHeight="false" outlineLevel="0" collapsed="false">
      <c r="A219" s="7" t="s">
        <v>227</v>
      </c>
      <c r="B219" s="7" t="n">
        <v>8</v>
      </c>
      <c r="C219" s="9" t="n">
        <v>490</v>
      </c>
      <c r="D219" s="9" t="n">
        <v>0</v>
      </c>
      <c r="E219" s="9" t="n">
        <v>0</v>
      </c>
      <c r="F219" s="9" t="n">
        <v>0</v>
      </c>
      <c r="G219" s="9" t="n">
        <v>0</v>
      </c>
      <c r="H219" s="9" t="n">
        <v>0</v>
      </c>
      <c r="I219" s="9" t="n">
        <v>490</v>
      </c>
      <c r="J219" s="9" t="n">
        <v>0</v>
      </c>
    </row>
    <row r="220" customFormat="false" ht="15.75" hidden="false" customHeight="false" outlineLevel="0" collapsed="false">
      <c r="A220" s="7" t="s">
        <v>228</v>
      </c>
      <c r="B220" s="7" t="n">
        <v>8</v>
      </c>
      <c r="C220" s="9" t="n">
        <v>1311</v>
      </c>
      <c r="D220" s="9" t="n">
        <v>116070676</v>
      </c>
      <c r="E220" s="9" t="n">
        <v>20</v>
      </c>
      <c r="F220" s="9" t="n">
        <v>1756160</v>
      </c>
      <c r="G220" s="9" t="n">
        <v>380</v>
      </c>
      <c r="H220" s="9" t="n">
        <v>33639517</v>
      </c>
      <c r="I220" s="9" t="n">
        <v>951</v>
      </c>
      <c r="J220" s="9" t="n">
        <v>84187319</v>
      </c>
    </row>
    <row r="221" customFormat="false" ht="15.75" hidden="false" customHeight="false" outlineLevel="0" collapsed="false">
      <c r="A221" s="7" t="s">
        <v>229</v>
      </c>
      <c r="B221" s="7" t="n">
        <v>8</v>
      </c>
      <c r="C221" s="9" t="n">
        <v>2175</v>
      </c>
      <c r="D221" s="9" t="n">
        <v>197827354</v>
      </c>
      <c r="E221" s="9" t="n">
        <v>732</v>
      </c>
      <c r="F221" s="9" t="n">
        <v>65375800</v>
      </c>
      <c r="G221" s="9" t="n">
        <v>532</v>
      </c>
      <c r="H221" s="9" t="n">
        <v>48167897</v>
      </c>
      <c r="I221" s="9" t="n">
        <v>2375</v>
      </c>
      <c r="J221" s="9" t="n">
        <v>215035257</v>
      </c>
    </row>
    <row r="222" customFormat="false" ht="15.75" hidden="false" customHeight="false" outlineLevel="0" collapsed="false">
      <c r="A222" s="7" t="s">
        <v>230</v>
      </c>
      <c r="B222" s="7" t="n">
        <v>8</v>
      </c>
      <c r="C222" s="9" t="n">
        <v>0</v>
      </c>
      <c r="D222" s="9" t="n">
        <v>0</v>
      </c>
      <c r="E222" s="9" t="n">
        <v>0</v>
      </c>
      <c r="F222" s="9" t="n">
        <v>0</v>
      </c>
      <c r="G222" s="9" t="n">
        <v>0</v>
      </c>
      <c r="H222" s="9" t="n">
        <v>0</v>
      </c>
      <c r="I222" s="9" t="n">
        <v>0</v>
      </c>
      <c r="J222" s="9" t="n">
        <v>0</v>
      </c>
    </row>
    <row r="223" customFormat="false" ht="15.75" hidden="false" customHeight="false" outlineLevel="0" collapsed="false">
      <c r="A223" s="7" t="s">
        <v>231</v>
      </c>
      <c r="B223" s="7" t="n">
        <v>8</v>
      </c>
      <c r="C223" s="9" t="n">
        <v>0</v>
      </c>
      <c r="D223" s="9" t="n">
        <v>0</v>
      </c>
      <c r="E223" s="9" t="n">
        <v>0</v>
      </c>
      <c r="F223" s="9" t="n">
        <v>0</v>
      </c>
      <c r="G223" s="9" t="n">
        <v>0</v>
      </c>
      <c r="H223" s="9" t="n">
        <v>0</v>
      </c>
      <c r="I223" s="9" t="n">
        <v>0</v>
      </c>
      <c r="J223" s="9" t="n">
        <v>0</v>
      </c>
    </row>
    <row r="224" customFormat="false" ht="15.75" hidden="false" customHeight="false" outlineLevel="0" collapsed="false">
      <c r="A224" s="7" t="s">
        <v>232</v>
      </c>
      <c r="B224" s="7" t="n">
        <v>8</v>
      </c>
      <c r="C224" s="9" t="n">
        <v>1416</v>
      </c>
      <c r="D224" s="9" t="n">
        <v>88201837</v>
      </c>
      <c r="E224" s="9" t="n">
        <v>922</v>
      </c>
      <c r="F224" s="9" t="n">
        <v>55896456</v>
      </c>
      <c r="G224" s="9" t="n">
        <v>660</v>
      </c>
      <c r="H224" s="9" t="n">
        <v>40677876</v>
      </c>
      <c r="I224" s="9" t="n">
        <v>1678</v>
      </c>
      <c r="J224" s="9" t="n">
        <v>103420417</v>
      </c>
    </row>
    <row r="225" customFormat="false" ht="15.75" hidden="false" customHeight="false" outlineLevel="0" collapsed="false">
      <c r="A225" s="7" t="s">
        <v>233</v>
      </c>
      <c r="B225" s="7" t="n">
        <v>8</v>
      </c>
      <c r="C225" s="9" t="n">
        <v>1685</v>
      </c>
      <c r="D225" s="9" t="n">
        <v>101095974</v>
      </c>
      <c r="E225" s="9" t="n">
        <v>3672</v>
      </c>
      <c r="F225" s="9" t="n">
        <v>213248000</v>
      </c>
      <c r="G225" s="9" t="n">
        <v>0</v>
      </c>
      <c r="H225" s="9" t="n">
        <v>0</v>
      </c>
      <c r="I225" s="9" t="n">
        <v>5357</v>
      </c>
      <c r="J225" s="9" t="n">
        <v>314343974</v>
      </c>
    </row>
    <row r="226" customFormat="false" ht="15.75" hidden="false" customHeight="false" outlineLevel="0" collapsed="false">
      <c r="A226" s="7" t="s">
        <v>234</v>
      </c>
      <c r="B226" s="7" t="n">
        <v>8</v>
      </c>
      <c r="C226" s="9" t="n">
        <v>10680</v>
      </c>
      <c r="D226" s="9" t="n">
        <v>606922943</v>
      </c>
      <c r="E226" s="9" t="n">
        <v>14638</v>
      </c>
      <c r="F226" s="9" t="n">
        <v>851065320</v>
      </c>
      <c r="G226" s="9" t="n">
        <v>17</v>
      </c>
      <c r="H226" s="9" t="n">
        <v>978979</v>
      </c>
      <c r="I226" s="9" t="n">
        <v>25301</v>
      </c>
      <c r="J226" s="9" t="n">
        <v>1457009284</v>
      </c>
    </row>
    <row r="227" customFormat="false" ht="15.75" hidden="false" customHeight="false" outlineLevel="0" collapsed="false">
      <c r="A227" s="7" t="s">
        <v>235</v>
      </c>
      <c r="B227" s="7" t="n">
        <v>8</v>
      </c>
      <c r="C227" s="9" t="n">
        <v>214</v>
      </c>
      <c r="D227" s="9" t="n">
        <v>14904839</v>
      </c>
      <c r="E227" s="9" t="n">
        <v>80</v>
      </c>
      <c r="F227" s="9" t="n">
        <v>5644800</v>
      </c>
      <c r="G227" s="9" t="n">
        <v>80</v>
      </c>
      <c r="H227" s="9" t="n">
        <v>5591739</v>
      </c>
      <c r="I227" s="9" t="n">
        <v>214</v>
      </c>
      <c r="J227" s="9" t="n">
        <v>14957900</v>
      </c>
    </row>
    <row r="228" customFormat="false" ht="15.75" hidden="false" customHeight="false" outlineLevel="0" collapsed="false">
      <c r="A228" s="7" t="s">
        <v>236</v>
      </c>
      <c r="B228" s="7" t="n">
        <v>8</v>
      </c>
      <c r="C228" s="9" t="n">
        <v>0</v>
      </c>
      <c r="D228" s="9" t="n">
        <v>0</v>
      </c>
      <c r="E228" s="9" t="n">
        <v>0</v>
      </c>
      <c r="F228" s="9" t="n">
        <v>0</v>
      </c>
      <c r="G228" s="9" t="n">
        <v>0</v>
      </c>
      <c r="H228" s="9" t="n">
        <v>0</v>
      </c>
      <c r="I228" s="9" t="n">
        <v>0</v>
      </c>
      <c r="J228" s="9" t="n">
        <v>0</v>
      </c>
    </row>
    <row r="229" customFormat="false" ht="15.75" hidden="false" customHeight="false" outlineLevel="0" collapsed="false">
      <c r="A229" s="7" t="s">
        <v>237</v>
      </c>
      <c r="B229" s="7" t="n">
        <v>8</v>
      </c>
      <c r="C229" s="9" t="n">
        <v>257</v>
      </c>
      <c r="D229" s="9" t="n">
        <v>2097921</v>
      </c>
      <c r="E229" s="9" t="n">
        <v>0</v>
      </c>
      <c r="F229" s="9" t="n">
        <v>0</v>
      </c>
      <c r="G229" s="9" t="n">
        <v>0</v>
      </c>
      <c r="H229" s="9" t="n">
        <v>0</v>
      </c>
      <c r="I229" s="9" t="n">
        <v>257</v>
      </c>
      <c r="J229" s="9" t="n">
        <v>2097921</v>
      </c>
    </row>
    <row r="230" customFormat="false" ht="15.75" hidden="false" customHeight="false" outlineLevel="0" collapsed="false">
      <c r="A230" s="7" t="s">
        <v>238</v>
      </c>
      <c r="B230" s="7" t="n">
        <v>8</v>
      </c>
      <c r="C230" s="9" t="n">
        <v>1068</v>
      </c>
      <c r="D230" s="9" t="n">
        <v>61179869</v>
      </c>
      <c r="E230" s="9" t="n">
        <v>516</v>
      </c>
      <c r="F230" s="9" t="n">
        <v>29644989</v>
      </c>
      <c r="G230" s="9" t="n">
        <v>309</v>
      </c>
      <c r="H230" s="9" t="n">
        <v>17717728</v>
      </c>
      <c r="I230" s="9" t="n">
        <v>1275</v>
      </c>
      <c r="J230" s="9" t="n">
        <v>73107130</v>
      </c>
    </row>
    <row r="231" customFormat="false" ht="15.75" hidden="false" customHeight="false" outlineLevel="0" collapsed="false">
      <c r="A231" s="7" t="s">
        <v>239</v>
      </c>
      <c r="B231" s="7" t="n">
        <v>8</v>
      </c>
      <c r="C231" s="9" t="n">
        <v>0</v>
      </c>
      <c r="D231" s="9" t="n">
        <v>0</v>
      </c>
      <c r="E231" s="9" t="n">
        <v>0</v>
      </c>
      <c r="F231" s="9" t="n">
        <v>0</v>
      </c>
      <c r="G231" s="9" t="n">
        <v>0</v>
      </c>
      <c r="H231" s="9" t="n">
        <v>0</v>
      </c>
      <c r="I231" s="9" t="n">
        <v>0</v>
      </c>
      <c r="J231" s="9" t="n">
        <v>0</v>
      </c>
    </row>
    <row r="232" customFormat="false" ht="15.75" hidden="false" customHeight="false" outlineLevel="0" collapsed="false">
      <c r="A232" s="7" t="s">
        <v>240</v>
      </c>
      <c r="B232" s="7" t="n">
        <v>8</v>
      </c>
      <c r="C232" s="9" t="n">
        <v>2035</v>
      </c>
      <c r="D232" s="9" t="n">
        <v>190521783</v>
      </c>
      <c r="E232" s="9" t="n">
        <v>2730</v>
      </c>
      <c r="F232" s="9" t="n">
        <v>255233160</v>
      </c>
      <c r="G232" s="9" t="n">
        <v>1698</v>
      </c>
      <c r="H232" s="9" t="n">
        <v>158844049</v>
      </c>
      <c r="I232" s="9" t="n">
        <v>3067</v>
      </c>
      <c r="J232" s="9" t="n">
        <v>286910894</v>
      </c>
    </row>
    <row r="233" customFormat="false" ht="15.75" hidden="false" customHeight="false" outlineLevel="0" collapsed="false">
      <c r="A233" s="7" t="s">
        <v>241</v>
      </c>
      <c r="B233" s="7" t="n">
        <v>8</v>
      </c>
      <c r="C233" s="9" t="n">
        <v>1131</v>
      </c>
      <c r="D233" s="9" t="n">
        <v>86180918</v>
      </c>
      <c r="E233" s="9" t="n">
        <v>428</v>
      </c>
      <c r="F233" s="9" t="n">
        <v>29580408</v>
      </c>
      <c r="G233" s="9" t="n">
        <v>752</v>
      </c>
      <c r="H233" s="9" t="n">
        <v>55838690</v>
      </c>
      <c r="I233" s="9" t="n">
        <v>807</v>
      </c>
      <c r="J233" s="9" t="n">
        <v>59922636</v>
      </c>
    </row>
    <row r="234" customFormat="false" ht="15.75" hidden="false" customHeight="false" outlineLevel="0" collapsed="false">
      <c r="A234" s="7" t="s">
        <v>242</v>
      </c>
      <c r="B234" s="7" t="n">
        <v>8</v>
      </c>
      <c r="C234" s="9" t="n">
        <v>555</v>
      </c>
      <c r="D234" s="9" t="n">
        <v>38219722</v>
      </c>
      <c r="E234" s="9" t="n">
        <v>126</v>
      </c>
      <c r="F234" s="9" t="n">
        <v>9112824</v>
      </c>
      <c r="G234" s="9" t="n">
        <v>452</v>
      </c>
      <c r="H234" s="9" t="n">
        <v>31416022</v>
      </c>
      <c r="I234" s="9" t="n">
        <v>229</v>
      </c>
      <c r="J234" s="9" t="n">
        <v>15916524</v>
      </c>
    </row>
    <row r="235" customFormat="false" ht="15.75" hidden="false" customHeight="false" outlineLevel="0" collapsed="false">
      <c r="A235" s="7" t="s">
        <v>243</v>
      </c>
      <c r="B235" s="7" t="n">
        <v>8</v>
      </c>
      <c r="C235" s="9" t="n">
        <v>1553</v>
      </c>
      <c r="D235" s="9" t="n">
        <v>144325759</v>
      </c>
      <c r="E235" s="9" t="n">
        <v>253</v>
      </c>
      <c r="F235" s="9" t="n">
        <v>22881530</v>
      </c>
      <c r="G235" s="9" t="n">
        <v>154</v>
      </c>
      <c r="H235" s="9" t="n">
        <v>14257986</v>
      </c>
      <c r="I235" s="9" t="n">
        <v>1652</v>
      </c>
      <c r="J235" s="9" t="n">
        <v>152949303</v>
      </c>
    </row>
    <row r="236" customFormat="false" ht="15.75" hidden="false" customHeight="false" outlineLevel="0" collapsed="false">
      <c r="A236" s="7" t="s">
        <v>244</v>
      </c>
      <c r="B236" s="7" t="n">
        <v>8</v>
      </c>
      <c r="C236" s="9" t="n">
        <v>36</v>
      </c>
      <c r="D236" s="9" t="n">
        <v>3161088</v>
      </c>
      <c r="E236" s="9" t="n">
        <v>4</v>
      </c>
      <c r="F236" s="9" t="n">
        <v>351232</v>
      </c>
      <c r="G236" s="9" t="n">
        <v>0</v>
      </c>
      <c r="H236" s="9" t="n">
        <v>0</v>
      </c>
      <c r="I236" s="9" t="n">
        <v>40</v>
      </c>
      <c r="J236" s="9" t="n">
        <v>3512320</v>
      </c>
    </row>
    <row r="237" customFormat="false" ht="15.75" hidden="false" customHeight="false" outlineLevel="0" collapsed="false">
      <c r="A237" s="7" t="s">
        <v>245</v>
      </c>
      <c r="B237" s="7" t="n">
        <v>8</v>
      </c>
      <c r="C237" s="9" t="n">
        <v>0</v>
      </c>
      <c r="D237" s="9" t="n">
        <v>0</v>
      </c>
      <c r="E237" s="9" t="n">
        <v>0</v>
      </c>
      <c r="F237" s="9" t="n">
        <v>0</v>
      </c>
      <c r="G237" s="9" t="n">
        <v>0</v>
      </c>
      <c r="H237" s="9" t="n">
        <v>0</v>
      </c>
      <c r="I237" s="9" t="n">
        <v>0</v>
      </c>
      <c r="J237" s="9" t="n">
        <v>0</v>
      </c>
    </row>
    <row r="238" customFormat="false" ht="15.75" hidden="false" customHeight="false" outlineLevel="0" collapsed="false">
      <c r="A238" s="7" t="s">
        <v>246</v>
      </c>
      <c r="B238" s="7" t="n">
        <v>8</v>
      </c>
      <c r="C238" s="9" t="n">
        <v>3013</v>
      </c>
      <c r="D238" s="9" t="n">
        <v>21475279</v>
      </c>
      <c r="E238" s="9" t="n">
        <v>1920</v>
      </c>
      <c r="F238" s="9" t="n">
        <v>13684876</v>
      </c>
      <c r="G238" s="9" t="n">
        <v>0</v>
      </c>
      <c r="H238" s="9" t="n">
        <v>0</v>
      </c>
      <c r="I238" s="9" t="n">
        <v>4933</v>
      </c>
      <c r="J238" s="9" t="n">
        <v>35160155</v>
      </c>
    </row>
    <row r="239" customFormat="false" ht="15.75" hidden="false" customHeight="false" outlineLevel="0" collapsed="false">
      <c r="A239" s="7" t="s">
        <v>247</v>
      </c>
      <c r="B239" s="7" t="n">
        <v>8</v>
      </c>
      <c r="C239" s="9" t="n">
        <v>30961</v>
      </c>
      <c r="D239" s="9" t="n">
        <v>207792507</v>
      </c>
      <c r="E239" s="9" t="n">
        <v>4910</v>
      </c>
      <c r="F239" s="9" t="n">
        <v>30790972</v>
      </c>
      <c r="G239" s="9" t="n">
        <v>130</v>
      </c>
      <c r="H239" s="9" t="n">
        <v>864650</v>
      </c>
      <c r="I239" s="9" t="n">
        <v>35741</v>
      </c>
      <c r="J239" s="9" t="n">
        <v>237718829</v>
      </c>
    </row>
    <row r="240" customFormat="false" ht="15.75" hidden="false" customHeight="false" outlineLevel="0" collapsed="false">
      <c r="A240" s="7" t="s">
        <v>248</v>
      </c>
      <c r="B240" s="7" t="n">
        <v>8</v>
      </c>
      <c r="C240" s="9" t="n">
        <v>264</v>
      </c>
      <c r="D240" s="9" t="n">
        <v>1881670</v>
      </c>
      <c r="E240" s="9" t="n">
        <v>0</v>
      </c>
      <c r="F240" s="9" t="n">
        <v>0</v>
      </c>
      <c r="G240" s="9" t="n">
        <v>0</v>
      </c>
      <c r="H240" s="9" t="n">
        <v>0</v>
      </c>
      <c r="I240" s="9" t="n">
        <v>264</v>
      </c>
      <c r="J240" s="9" t="n">
        <v>1881670</v>
      </c>
    </row>
    <row r="241" customFormat="false" ht="15.75" hidden="false" customHeight="false" outlineLevel="0" collapsed="false">
      <c r="A241" s="7" t="s">
        <v>249</v>
      </c>
      <c r="B241" s="7" t="n">
        <v>8</v>
      </c>
      <c r="C241" s="9" t="n">
        <v>281</v>
      </c>
      <c r="D241" s="9" t="n">
        <v>2002839</v>
      </c>
      <c r="E241" s="9" t="n">
        <v>0</v>
      </c>
      <c r="F241" s="9" t="n">
        <v>0</v>
      </c>
      <c r="G241" s="9" t="n">
        <v>0</v>
      </c>
      <c r="H241" s="9" t="n">
        <v>0</v>
      </c>
      <c r="I241" s="9" t="n">
        <v>281</v>
      </c>
      <c r="J241" s="9" t="n">
        <v>2002839</v>
      </c>
    </row>
    <row r="242" customFormat="false" ht="15.75" hidden="false" customHeight="false" outlineLevel="0" collapsed="false">
      <c r="A242" s="7" t="s">
        <v>250</v>
      </c>
      <c r="B242" s="7" t="n">
        <v>8</v>
      </c>
      <c r="C242" s="9" t="n">
        <v>9573</v>
      </c>
      <c r="D242" s="9" t="n">
        <v>120842592</v>
      </c>
      <c r="E242" s="9" t="n">
        <v>2400</v>
      </c>
      <c r="F242" s="9" t="n">
        <v>17106095</v>
      </c>
      <c r="G242" s="9" t="n">
        <v>112</v>
      </c>
      <c r="H242" s="9" t="n">
        <v>1290425</v>
      </c>
      <c r="I242" s="9" t="n">
        <v>11861</v>
      </c>
      <c r="J242" s="9" t="n">
        <v>136658262</v>
      </c>
    </row>
    <row r="243" customFormat="false" ht="15.75" hidden="false" customHeight="false" outlineLevel="0" collapsed="false">
      <c r="A243" s="7" t="s">
        <v>251</v>
      </c>
      <c r="B243" s="7" t="n">
        <v>8</v>
      </c>
      <c r="C243" s="9" t="n">
        <v>0</v>
      </c>
      <c r="D243" s="9" t="n">
        <v>0</v>
      </c>
      <c r="E243" s="9" t="n">
        <v>0</v>
      </c>
      <c r="F243" s="9" t="n">
        <v>0</v>
      </c>
      <c r="G243" s="9" t="n">
        <v>0</v>
      </c>
      <c r="H243" s="9" t="n">
        <v>0</v>
      </c>
      <c r="I243" s="9" t="n">
        <v>0</v>
      </c>
      <c r="J243" s="9" t="n">
        <v>0</v>
      </c>
    </row>
    <row r="244" customFormat="false" ht="15.75" hidden="false" customHeight="false" outlineLevel="0" collapsed="false">
      <c r="A244" s="7" t="s">
        <v>252</v>
      </c>
      <c r="B244" s="7" t="n">
        <v>8</v>
      </c>
      <c r="C244" s="9" t="n">
        <v>0</v>
      </c>
      <c r="D244" s="9" t="n">
        <v>0</v>
      </c>
      <c r="E244" s="9" t="n">
        <v>0</v>
      </c>
      <c r="F244" s="9" t="n">
        <v>0</v>
      </c>
      <c r="G244" s="9" t="n">
        <v>0</v>
      </c>
      <c r="H244" s="9" t="n">
        <v>0</v>
      </c>
      <c r="I244" s="9" t="n">
        <v>0</v>
      </c>
      <c r="J244" s="9" t="n">
        <v>0</v>
      </c>
    </row>
    <row r="245" customFormat="false" ht="15.75" hidden="false" customHeight="false" outlineLevel="0" collapsed="false">
      <c r="A245" s="7" t="s">
        <v>253</v>
      </c>
      <c r="B245" s="7" t="n">
        <v>8</v>
      </c>
      <c r="C245" s="9" t="n">
        <v>0</v>
      </c>
      <c r="D245" s="9" t="n">
        <v>0</v>
      </c>
      <c r="E245" s="9" t="n">
        <v>0</v>
      </c>
      <c r="F245" s="9" t="n">
        <v>0</v>
      </c>
      <c r="G245" s="9" t="n">
        <v>0</v>
      </c>
      <c r="H245" s="9" t="n">
        <v>0</v>
      </c>
      <c r="I245" s="9" t="n">
        <v>0</v>
      </c>
      <c r="J245" s="9" t="n">
        <v>0</v>
      </c>
    </row>
    <row r="246" customFormat="false" ht="15.75" hidden="false" customHeight="false" outlineLevel="0" collapsed="false">
      <c r="A246" s="7" t="s">
        <v>254</v>
      </c>
      <c r="B246" s="7" t="n">
        <v>8</v>
      </c>
      <c r="C246" s="9" t="n">
        <v>28</v>
      </c>
      <c r="D246" s="9" t="n">
        <v>959143</v>
      </c>
      <c r="E246" s="9" t="n">
        <v>200</v>
      </c>
      <c r="F246" s="9" t="n">
        <v>6873600</v>
      </c>
      <c r="G246" s="9" t="n">
        <v>90</v>
      </c>
      <c r="H246" s="9" t="n">
        <v>3091872</v>
      </c>
      <c r="I246" s="9" t="n">
        <v>138</v>
      </c>
      <c r="J246" s="9" t="n">
        <v>4740871</v>
      </c>
    </row>
    <row r="247" customFormat="false" ht="15.75" hidden="false" customHeight="false" outlineLevel="0" collapsed="false">
      <c r="A247" s="7" t="s">
        <v>255</v>
      </c>
      <c r="B247" s="7" t="n">
        <v>8</v>
      </c>
      <c r="C247" s="9" t="n">
        <v>0</v>
      </c>
      <c r="D247" s="9" t="n">
        <v>884858</v>
      </c>
      <c r="E247" s="9" t="n">
        <v>0</v>
      </c>
      <c r="F247" s="9" t="n">
        <v>0</v>
      </c>
      <c r="G247" s="9" t="n">
        <v>0</v>
      </c>
      <c r="H247" s="9" t="n">
        <v>0</v>
      </c>
      <c r="I247" s="9" t="n">
        <v>0</v>
      </c>
      <c r="J247" s="9" t="n">
        <v>884858</v>
      </c>
    </row>
    <row r="248" customFormat="false" ht="15.75" hidden="false" customHeight="false" outlineLevel="0" collapsed="false">
      <c r="A248" s="7" t="s">
        <v>256</v>
      </c>
      <c r="B248" s="7" t="n">
        <v>8</v>
      </c>
      <c r="C248" s="9" t="n">
        <v>15</v>
      </c>
      <c r="D248" s="9" t="n">
        <v>417895</v>
      </c>
      <c r="E248" s="9" t="n">
        <v>50</v>
      </c>
      <c r="F248" s="9" t="n">
        <v>2181840</v>
      </c>
      <c r="G248" s="9" t="n">
        <v>30</v>
      </c>
      <c r="H248" s="9" t="n">
        <v>1199878</v>
      </c>
      <c r="I248" s="9" t="n">
        <v>35</v>
      </c>
      <c r="J248" s="9" t="n">
        <v>1399857</v>
      </c>
    </row>
    <row r="249" customFormat="false" ht="15.75" hidden="false" customHeight="false" outlineLevel="0" collapsed="false">
      <c r="A249" s="7" t="s">
        <v>257</v>
      </c>
      <c r="B249" s="7" t="n">
        <v>8</v>
      </c>
      <c r="C249" s="9" t="n">
        <v>0</v>
      </c>
      <c r="D249" s="9" t="n">
        <v>0</v>
      </c>
      <c r="E249" s="9" t="n">
        <v>5</v>
      </c>
      <c r="F249" s="9" t="n">
        <v>284640</v>
      </c>
      <c r="G249" s="9" t="n">
        <v>0</v>
      </c>
      <c r="H249" s="9" t="n">
        <v>0</v>
      </c>
      <c r="I249" s="9" t="n">
        <v>5</v>
      </c>
      <c r="J249" s="9" t="n">
        <v>284640</v>
      </c>
    </row>
    <row r="250" customFormat="false" ht="15.75" hidden="false" customHeight="false" outlineLevel="0" collapsed="false">
      <c r="A250" s="7" t="s">
        <v>258</v>
      </c>
      <c r="B250" s="7" t="n">
        <v>8</v>
      </c>
      <c r="C250" s="9" t="n">
        <v>1155</v>
      </c>
      <c r="D250" s="9" t="n">
        <v>3411762</v>
      </c>
      <c r="E250" s="9" t="n">
        <v>430</v>
      </c>
      <c r="F250" s="9" t="n">
        <v>6588288</v>
      </c>
      <c r="G250" s="9" t="n">
        <v>320</v>
      </c>
      <c r="H250" s="9" t="n">
        <v>4898409</v>
      </c>
      <c r="I250" s="9" t="n">
        <v>1265</v>
      </c>
      <c r="J250" s="9" t="n">
        <v>5101641</v>
      </c>
    </row>
    <row r="251" customFormat="false" ht="15.75" hidden="false" customHeight="false" outlineLevel="0" collapsed="false">
      <c r="A251" s="7" t="s">
        <v>259</v>
      </c>
      <c r="B251" s="7" t="n">
        <v>8</v>
      </c>
      <c r="C251" s="9" t="n">
        <v>110</v>
      </c>
      <c r="D251" s="9" t="n">
        <v>2420810</v>
      </c>
      <c r="E251" s="9" t="n">
        <v>0</v>
      </c>
      <c r="F251" s="9" t="n">
        <v>0</v>
      </c>
      <c r="G251" s="9" t="n">
        <v>0</v>
      </c>
      <c r="H251" s="9" t="n">
        <v>0</v>
      </c>
      <c r="I251" s="9" t="n">
        <v>110</v>
      </c>
      <c r="J251" s="9" t="n">
        <v>2420810</v>
      </c>
    </row>
    <row r="252" customFormat="false" ht="15.75" hidden="false" customHeight="false" outlineLevel="0" collapsed="false">
      <c r="A252" s="7" t="s">
        <v>260</v>
      </c>
      <c r="B252" s="7" t="n">
        <v>8</v>
      </c>
      <c r="C252" s="9" t="n">
        <v>2</v>
      </c>
      <c r="D252" s="9" t="n">
        <v>109792</v>
      </c>
      <c r="E252" s="9" t="n">
        <v>0</v>
      </c>
      <c r="F252" s="9" t="n">
        <v>0</v>
      </c>
      <c r="G252" s="9" t="n">
        <v>0</v>
      </c>
      <c r="H252" s="9" t="n">
        <v>0</v>
      </c>
      <c r="I252" s="9" t="n">
        <v>2</v>
      </c>
      <c r="J252" s="9" t="n">
        <v>109792</v>
      </c>
    </row>
    <row r="253" customFormat="false" ht="15.75" hidden="false" customHeight="false" outlineLevel="0" collapsed="false">
      <c r="A253" s="7" t="s">
        <v>261</v>
      </c>
      <c r="B253" s="7" t="n">
        <v>8</v>
      </c>
      <c r="C253" s="9" t="n">
        <v>0</v>
      </c>
      <c r="D253" s="9" t="n">
        <v>0</v>
      </c>
      <c r="E253" s="9" t="n">
        <v>0</v>
      </c>
      <c r="F253" s="9" t="n">
        <v>0</v>
      </c>
      <c r="G253" s="9" t="n">
        <v>0</v>
      </c>
      <c r="H253" s="9" t="n">
        <v>0</v>
      </c>
      <c r="I253" s="9" t="n">
        <v>0</v>
      </c>
      <c r="J253" s="9" t="n">
        <v>0</v>
      </c>
    </row>
    <row r="254" customFormat="false" ht="15.75" hidden="false" customHeight="false" outlineLevel="0" collapsed="false">
      <c r="A254" s="7" t="s">
        <v>262</v>
      </c>
      <c r="B254" s="7" t="n">
        <v>8</v>
      </c>
      <c r="C254" s="9" t="n">
        <v>0</v>
      </c>
      <c r="D254" s="9" t="n">
        <v>0</v>
      </c>
      <c r="E254" s="9" t="n">
        <v>0</v>
      </c>
      <c r="F254" s="9" t="n">
        <v>0</v>
      </c>
      <c r="G254" s="9" t="n">
        <v>0</v>
      </c>
      <c r="H254" s="9" t="n">
        <v>0</v>
      </c>
      <c r="I254" s="9" t="n">
        <v>0</v>
      </c>
      <c r="J254" s="9" t="n">
        <v>0</v>
      </c>
    </row>
    <row r="255" customFormat="false" ht="15.75" hidden="false" customHeight="false" outlineLevel="0" collapsed="false">
      <c r="A255" s="7" t="s">
        <v>263</v>
      </c>
      <c r="B255" s="7" t="n">
        <v>8</v>
      </c>
      <c r="C255" s="9" t="n">
        <v>0</v>
      </c>
      <c r="D255" s="9" t="n">
        <v>0</v>
      </c>
      <c r="E255" s="9" t="n">
        <v>0</v>
      </c>
      <c r="F255" s="9" t="n">
        <v>0</v>
      </c>
      <c r="G255" s="9" t="n">
        <v>0</v>
      </c>
      <c r="H255" s="9" t="n">
        <v>0</v>
      </c>
      <c r="I255" s="9" t="n">
        <v>0</v>
      </c>
      <c r="J255" s="9" t="n">
        <v>0</v>
      </c>
    </row>
    <row r="256" customFormat="false" ht="15.75" hidden="false" customHeight="false" outlineLevel="0" collapsed="false">
      <c r="A256" s="7" t="s">
        <v>264</v>
      </c>
      <c r="B256" s="7" t="n">
        <v>8</v>
      </c>
      <c r="C256" s="9" t="n">
        <v>0</v>
      </c>
      <c r="D256" s="9" t="n">
        <v>0</v>
      </c>
      <c r="E256" s="9" t="n">
        <v>0</v>
      </c>
      <c r="F256" s="9" t="n">
        <v>0</v>
      </c>
      <c r="G256" s="9" t="n">
        <v>0</v>
      </c>
      <c r="H256" s="9" t="n">
        <v>0</v>
      </c>
      <c r="I256" s="9" t="n">
        <v>0</v>
      </c>
      <c r="J256" s="9" t="n">
        <v>0</v>
      </c>
    </row>
    <row r="257" customFormat="false" ht="15.75" hidden="false" customHeight="false" outlineLevel="0" collapsed="false">
      <c r="A257" s="7" t="s">
        <v>265</v>
      </c>
      <c r="B257" s="7" t="n">
        <v>8</v>
      </c>
      <c r="C257" s="9" t="n">
        <v>0</v>
      </c>
      <c r="D257" s="9" t="n">
        <v>0</v>
      </c>
      <c r="E257" s="9" t="n">
        <v>0</v>
      </c>
      <c r="F257" s="9" t="n">
        <v>0</v>
      </c>
      <c r="G257" s="9" t="n">
        <v>0</v>
      </c>
      <c r="H257" s="9" t="n">
        <v>0</v>
      </c>
      <c r="I257" s="9" t="n">
        <v>0</v>
      </c>
      <c r="J257" s="9" t="n">
        <v>0</v>
      </c>
    </row>
    <row r="258" customFormat="false" ht="15.75" hidden="false" customHeight="false" outlineLevel="0" collapsed="false">
      <c r="A258" s="7" t="s">
        <v>266</v>
      </c>
      <c r="B258" s="7" t="n">
        <v>8</v>
      </c>
      <c r="C258" s="9" t="n">
        <v>0</v>
      </c>
      <c r="D258" s="9" t="n">
        <v>0</v>
      </c>
      <c r="E258" s="9" t="n">
        <v>0</v>
      </c>
      <c r="F258" s="9" t="n">
        <v>0</v>
      </c>
      <c r="G258" s="9" t="n">
        <v>0</v>
      </c>
      <c r="H258" s="9" t="n">
        <v>0</v>
      </c>
      <c r="I258" s="9" t="n">
        <v>0</v>
      </c>
      <c r="J258" s="9" t="n">
        <v>0</v>
      </c>
    </row>
    <row r="259" customFormat="false" ht="15.75" hidden="false" customHeight="false" outlineLevel="0" collapsed="false">
      <c r="A259" s="7" t="s">
        <v>267</v>
      </c>
      <c r="B259" s="7" t="n">
        <v>8</v>
      </c>
      <c r="C259" s="9" t="n">
        <v>1</v>
      </c>
      <c r="D259" s="9" t="n">
        <v>39000</v>
      </c>
      <c r="E259" s="9" t="n">
        <v>0</v>
      </c>
      <c r="F259" s="9" t="n">
        <v>0</v>
      </c>
      <c r="G259" s="9" t="n">
        <v>0</v>
      </c>
      <c r="H259" s="9" t="n">
        <v>0</v>
      </c>
      <c r="I259" s="9" t="n">
        <v>1</v>
      </c>
      <c r="J259" s="9" t="n">
        <v>39000</v>
      </c>
    </row>
    <row r="260" customFormat="false" ht="15.75" hidden="false" customHeight="false" outlineLevel="0" collapsed="false">
      <c r="A260" s="7" t="s">
        <v>268</v>
      </c>
      <c r="B260" s="7" t="n">
        <v>8</v>
      </c>
      <c r="C260" s="9" t="n">
        <v>0</v>
      </c>
      <c r="D260" s="9" t="n">
        <v>0</v>
      </c>
      <c r="E260" s="9" t="n">
        <v>0</v>
      </c>
      <c r="F260" s="9" t="n">
        <v>0</v>
      </c>
      <c r="G260" s="9" t="n">
        <v>0</v>
      </c>
      <c r="H260" s="9" t="n">
        <v>0</v>
      </c>
      <c r="I260" s="9" t="n">
        <v>0</v>
      </c>
      <c r="J260" s="9" t="n">
        <v>0</v>
      </c>
    </row>
    <row r="261" customFormat="false" ht="15.75" hidden="false" customHeight="false" outlineLevel="0" collapsed="false">
      <c r="A261" s="7" t="s">
        <v>269</v>
      </c>
      <c r="B261" s="7" t="n">
        <v>8</v>
      </c>
      <c r="C261" s="9" t="n">
        <v>0</v>
      </c>
      <c r="D261" s="9" t="n">
        <v>0</v>
      </c>
      <c r="E261" s="9" t="n">
        <v>0</v>
      </c>
      <c r="F261" s="9" t="n">
        <v>0</v>
      </c>
      <c r="G261" s="9" t="n">
        <v>0</v>
      </c>
      <c r="H261" s="9" t="n">
        <v>0</v>
      </c>
      <c r="I261" s="9" t="n">
        <v>0</v>
      </c>
      <c r="J261" s="9" t="n">
        <v>0</v>
      </c>
    </row>
    <row r="262" customFormat="false" ht="15.75" hidden="false" customHeight="false" outlineLevel="0" collapsed="false">
      <c r="A262" s="7" t="s">
        <v>270</v>
      </c>
      <c r="B262" s="7" t="n">
        <v>8</v>
      </c>
      <c r="C262" s="9" t="n">
        <v>0</v>
      </c>
      <c r="D262" s="9" t="n">
        <v>0</v>
      </c>
      <c r="E262" s="9" t="n">
        <v>0</v>
      </c>
      <c r="F262" s="9" t="n">
        <v>0</v>
      </c>
      <c r="G262" s="9" t="n">
        <v>0</v>
      </c>
      <c r="H262" s="9" t="n">
        <v>0</v>
      </c>
      <c r="I262" s="9" t="n">
        <v>0</v>
      </c>
      <c r="J262" s="9" t="n">
        <v>0</v>
      </c>
    </row>
    <row r="263" customFormat="false" ht="15.75" hidden="false" customHeight="false" outlineLevel="0" collapsed="false">
      <c r="A263" s="7" t="s">
        <v>271</v>
      </c>
      <c r="B263" s="7" t="n">
        <v>8</v>
      </c>
      <c r="C263" s="9" t="n">
        <v>0</v>
      </c>
      <c r="D263" s="9" t="n">
        <v>0</v>
      </c>
      <c r="E263" s="9" t="n">
        <v>0</v>
      </c>
      <c r="F263" s="9" t="n">
        <v>0</v>
      </c>
      <c r="G263" s="9" t="n">
        <v>0</v>
      </c>
      <c r="H263" s="9" t="n">
        <v>0</v>
      </c>
      <c r="I263" s="9" t="n">
        <v>0</v>
      </c>
      <c r="J263" s="9" t="n">
        <v>0</v>
      </c>
    </row>
    <row r="264" customFormat="false" ht="15.75" hidden="false" customHeight="false" outlineLevel="0" collapsed="false">
      <c r="A264" s="7" t="s">
        <v>272</v>
      </c>
      <c r="B264" s="7" t="n">
        <v>8</v>
      </c>
      <c r="C264" s="9" t="n">
        <v>6</v>
      </c>
      <c r="D264" s="9" t="n">
        <v>794727</v>
      </c>
      <c r="E264" s="9" t="n">
        <v>2</v>
      </c>
      <c r="F264" s="9" t="n">
        <v>270545</v>
      </c>
      <c r="G264" s="9" t="n">
        <v>0</v>
      </c>
      <c r="H264" s="9" t="n">
        <v>0</v>
      </c>
      <c r="I264" s="9" t="n">
        <v>8</v>
      </c>
      <c r="J264" s="9" t="n">
        <v>1065272</v>
      </c>
    </row>
    <row r="265" customFormat="false" ht="15.75" hidden="false" customHeight="false" outlineLevel="0" collapsed="false">
      <c r="A265" s="7" t="s">
        <v>273</v>
      </c>
      <c r="B265" s="7" t="n">
        <v>8</v>
      </c>
      <c r="C265" s="9" t="n">
        <v>0</v>
      </c>
      <c r="D265" s="9" t="n">
        <v>0</v>
      </c>
      <c r="E265" s="9" t="n">
        <v>0</v>
      </c>
      <c r="F265" s="9" t="n">
        <v>0</v>
      </c>
      <c r="G265" s="9" t="n">
        <v>0</v>
      </c>
      <c r="H265" s="9" t="n">
        <v>0</v>
      </c>
      <c r="I265" s="9" t="n">
        <v>0</v>
      </c>
      <c r="J265" s="9" t="n">
        <v>0</v>
      </c>
    </row>
    <row r="266" customFormat="false" ht="15.75" hidden="false" customHeight="false" outlineLevel="0" collapsed="false">
      <c r="A266" s="7" t="s">
        <v>274</v>
      </c>
      <c r="B266" s="7" t="n">
        <v>8</v>
      </c>
      <c r="C266" s="9" t="n">
        <v>0</v>
      </c>
      <c r="D266" s="9" t="n">
        <v>0</v>
      </c>
      <c r="E266" s="9" t="n">
        <v>0</v>
      </c>
      <c r="F266" s="9" t="n">
        <v>0</v>
      </c>
      <c r="G266" s="9" t="n">
        <v>0</v>
      </c>
      <c r="H266" s="9" t="n">
        <v>0</v>
      </c>
      <c r="I266" s="9" t="n">
        <v>0</v>
      </c>
      <c r="J266" s="9" t="n">
        <v>0</v>
      </c>
    </row>
    <row r="267" customFormat="false" ht="15.75" hidden="false" customHeight="false" outlineLevel="0" collapsed="false">
      <c r="A267" s="7" t="s">
        <v>275</v>
      </c>
      <c r="B267" s="7" t="n">
        <v>8</v>
      </c>
      <c r="C267" s="9" t="n">
        <v>0</v>
      </c>
      <c r="D267" s="9" t="n">
        <v>0</v>
      </c>
      <c r="E267" s="9" t="n">
        <v>0</v>
      </c>
      <c r="F267" s="9" t="n">
        <v>0</v>
      </c>
      <c r="G267" s="9" t="n">
        <v>0</v>
      </c>
      <c r="H267" s="9" t="n">
        <v>0</v>
      </c>
      <c r="I267" s="9" t="n">
        <v>0</v>
      </c>
      <c r="J267" s="9" t="n">
        <v>0</v>
      </c>
    </row>
    <row r="268" customFormat="false" ht="15.75" hidden="false" customHeight="false" outlineLevel="0" collapsed="false">
      <c r="A268" s="7" t="s">
        <v>276</v>
      </c>
      <c r="B268" s="7" t="n">
        <v>8</v>
      </c>
      <c r="C268" s="9" t="n">
        <v>0</v>
      </c>
      <c r="D268" s="9" t="n">
        <v>0</v>
      </c>
      <c r="E268" s="9" t="n">
        <v>0</v>
      </c>
      <c r="F268" s="9" t="n">
        <v>0</v>
      </c>
      <c r="G268" s="9" t="n">
        <v>0</v>
      </c>
      <c r="H268" s="9" t="n">
        <v>0</v>
      </c>
      <c r="I268" s="9" t="n">
        <v>0</v>
      </c>
      <c r="J268" s="9" t="n">
        <v>0</v>
      </c>
    </row>
    <row r="269" customFormat="false" ht="15.75" hidden="false" customHeight="false" outlineLevel="0" collapsed="false">
      <c r="A269" s="7" t="s">
        <v>277</v>
      </c>
      <c r="B269" s="7" t="n">
        <v>8</v>
      </c>
      <c r="C269" s="9" t="n">
        <v>0</v>
      </c>
      <c r="D269" s="9" t="n">
        <v>0</v>
      </c>
      <c r="E269" s="9" t="n">
        <v>0</v>
      </c>
      <c r="F269" s="9" t="n">
        <v>0</v>
      </c>
      <c r="G269" s="9" t="n">
        <v>0</v>
      </c>
      <c r="H269" s="9" t="n">
        <v>0</v>
      </c>
      <c r="I269" s="9" t="n">
        <v>0</v>
      </c>
      <c r="J269" s="9" t="n">
        <v>0</v>
      </c>
    </row>
    <row r="270" customFormat="false" ht="15.75" hidden="false" customHeight="false" outlineLevel="0" collapsed="false">
      <c r="A270" s="7" t="s">
        <v>278</v>
      </c>
      <c r="B270" s="7" t="n">
        <v>8</v>
      </c>
      <c r="C270" s="9" t="n">
        <v>0</v>
      </c>
      <c r="D270" s="9" t="n">
        <v>0</v>
      </c>
      <c r="E270" s="9" t="n">
        <v>0</v>
      </c>
      <c r="F270" s="9" t="n">
        <v>0</v>
      </c>
      <c r="G270" s="9" t="n">
        <v>0</v>
      </c>
      <c r="H270" s="9" t="n">
        <v>0</v>
      </c>
      <c r="I270" s="9" t="n">
        <v>0</v>
      </c>
      <c r="J270" s="9" t="n">
        <v>0</v>
      </c>
    </row>
    <row r="271" customFormat="false" ht="15.75" hidden="false" customHeight="false" outlineLevel="0" collapsed="false">
      <c r="A271" s="7" t="s">
        <v>279</v>
      </c>
      <c r="B271" s="7" t="n">
        <v>8</v>
      </c>
      <c r="C271" s="9" t="n">
        <v>0</v>
      </c>
      <c r="D271" s="9" t="n">
        <v>0</v>
      </c>
      <c r="E271" s="9" t="n">
        <v>0</v>
      </c>
      <c r="F271" s="9" t="n">
        <v>0</v>
      </c>
      <c r="G271" s="9" t="n">
        <v>0</v>
      </c>
      <c r="H271" s="9" t="n">
        <v>0</v>
      </c>
      <c r="I271" s="9" t="n">
        <v>0</v>
      </c>
      <c r="J271" s="9" t="n">
        <v>0</v>
      </c>
    </row>
    <row r="272" customFormat="false" ht="15.75" hidden="false" customHeight="false" outlineLevel="0" collapsed="false">
      <c r="A272" s="7" t="s">
        <v>280</v>
      </c>
      <c r="B272" s="7" t="n">
        <v>8</v>
      </c>
      <c r="C272" s="9" t="n">
        <v>0</v>
      </c>
      <c r="D272" s="9" t="n">
        <v>0</v>
      </c>
      <c r="E272" s="9" t="n">
        <v>0</v>
      </c>
      <c r="F272" s="9" t="n">
        <v>0</v>
      </c>
      <c r="G272" s="9" t="n">
        <v>0</v>
      </c>
      <c r="H272" s="9" t="n">
        <v>0</v>
      </c>
      <c r="I272" s="9" t="n">
        <v>0</v>
      </c>
      <c r="J272" s="9" t="n">
        <v>0</v>
      </c>
    </row>
    <row r="273" customFormat="false" ht="15.75" hidden="false" customHeight="false" outlineLevel="0" collapsed="false">
      <c r="A273" s="7" t="s">
        <v>281</v>
      </c>
      <c r="B273" s="7" t="n">
        <v>8</v>
      </c>
      <c r="C273" s="9" t="n">
        <v>23</v>
      </c>
      <c r="D273" s="9" t="n">
        <v>405457</v>
      </c>
      <c r="E273" s="9" t="n">
        <v>92</v>
      </c>
      <c r="F273" s="9" t="n">
        <v>1587600</v>
      </c>
      <c r="G273" s="9" t="n">
        <v>30</v>
      </c>
      <c r="H273" s="9" t="n">
        <v>519928</v>
      </c>
      <c r="I273" s="9" t="n">
        <v>85</v>
      </c>
      <c r="J273" s="9" t="n">
        <v>1473129</v>
      </c>
    </row>
    <row r="274" customFormat="false" ht="15.75" hidden="false" customHeight="false" outlineLevel="0" collapsed="false">
      <c r="A274" s="7" t="s">
        <v>282</v>
      </c>
      <c r="B274" s="7" t="n">
        <v>8</v>
      </c>
      <c r="C274" s="9" t="n">
        <v>28</v>
      </c>
      <c r="D274" s="9" t="n">
        <v>1963675</v>
      </c>
      <c r="E274" s="9" t="n">
        <v>30</v>
      </c>
      <c r="F274" s="9" t="n">
        <v>2116800</v>
      </c>
      <c r="G274" s="9" t="n">
        <v>0</v>
      </c>
      <c r="H274" s="9" t="n">
        <v>0</v>
      </c>
      <c r="I274" s="9" t="n">
        <v>58</v>
      </c>
      <c r="J274" s="9" t="n">
        <v>4080475</v>
      </c>
    </row>
    <row r="275" customFormat="false" ht="15.75" hidden="false" customHeight="false" outlineLevel="0" collapsed="false">
      <c r="A275" s="7" t="s">
        <v>283</v>
      </c>
      <c r="B275" s="7" t="n">
        <v>8</v>
      </c>
      <c r="C275" s="9" t="n">
        <v>2268</v>
      </c>
      <c r="D275" s="9" t="n">
        <v>47000717</v>
      </c>
      <c r="E275" s="9" t="n">
        <v>1412</v>
      </c>
      <c r="F275" s="9" t="n">
        <v>48535200</v>
      </c>
      <c r="G275" s="9" t="n">
        <v>1202</v>
      </c>
      <c r="H275" s="9" t="n">
        <v>41335983</v>
      </c>
      <c r="I275" s="9" t="n">
        <v>2478</v>
      </c>
      <c r="J275" s="9" t="n">
        <v>54199934</v>
      </c>
    </row>
    <row r="276" customFormat="false" ht="15.75" hidden="false" customHeight="false" outlineLevel="0" collapsed="false">
      <c r="A276" s="7" t="s">
        <v>284</v>
      </c>
      <c r="B276" s="7" t="n">
        <v>8</v>
      </c>
      <c r="C276" s="9" t="n">
        <v>120</v>
      </c>
      <c r="D276" s="9" t="n">
        <v>5445385</v>
      </c>
      <c r="E276" s="9" t="n">
        <v>70</v>
      </c>
      <c r="F276" s="9" t="n">
        <v>3222240</v>
      </c>
      <c r="G276" s="9" t="n">
        <v>10</v>
      </c>
      <c r="H276" s="9" t="n">
        <v>456191</v>
      </c>
      <c r="I276" s="9" t="n">
        <v>180</v>
      </c>
      <c r="J276" s="9" t="n">
        <v>8211434</v>
      </c>
    </row>
    <row r="277" customFormat="false" ht="15.75" hidden="false" customHeight="false" outlineLevel="0" collapsed="false">
      <c r="A277" s="7" t="s">
        <v>285</v>
      </c>
      <c r="B277" s="7" t="n">
        <v>8</v>
      </c>
      <c r="C277" s="9" t="n">
        <v>5</v>
      </c>
      <c r="D277" s="9" t="n">
        <v>586595</v>
      </c>
      <c r="E277" s="9" t="n">
        <v>0</v>
      </c>
      <c r="F277" s="9" t="n">
        <v>0</v>
      </c>
      <c r="G277" s="9" t="n">
        <v>0</v>
      </c>
      <c r="H277" s="9" t="n">
        <v>0</v>
      </c>
      <c r="I277" s="9" t="n">
        <v>5</v>
      </c>
      <c r="J277" s="9" t="n">
        <v>586595</v>
      </c>
    </row>
    <row r="278" customFormat="false" ht="15.75" hidden="false" customHeight="false" outlineLevel="0" collapsed="false">
      <c r="A278" s="7" t="s">
        <v>286</v>
      </c>
      <c r="B278" s="7" t="n">
        <v>8</v>
      </c>
      <c r="C278" s="9" t="n">
        <v>8</v>
      </c>
      <c r="D278" s="9" t="n">
        <v>847410</v>
      </c>
      <c r="E278" s="9" t="n">
        <v>0</v>
      </c>
      <c r="F278" s="9" t="n">
        <v>0</v>
      </c>
      <c r="G278" s="9" t="n">
        <v>0</v>
      </c>
      <c r="H278" s="9" t="n">
        <v>0</v>
      </c>
      <c r="I278" s="9" t="n">
        <v>8</v>
      </c>
      <c r="J278" s="9" t="n">
        <v>847410</v>
      </c>
    </row>
    <row r="279" customFormat="false" ht="15.75" hidden="false" customHeight="false" outlineLevel="0" collapsed="false">
      <c r="A279" s="7" t="s">
        <v>287</v>
      </c>
      <c r="B279" s="7" t="n">
        <v>8</v>
      </c>
      <c r="C279" s="9" t="n">
        <v>8</v>
      </c>
      <c r="D279" s="9" t="n">
        <v>888480</v>
      </c>
      <c r="E279" s="9" t="n">
        <v>0</v>
      </c>
      <c r="F279" s="9" t="n">
        <v>0</v>
      </c>
      <c r="G279" s="9" t="n">
        <v>0</v>
      </c>
      <c r="H279" s="9" t="n">
        <v>0</v>
      </c>
      <c r="I279" s="9" t="n">
        <v>8</v>
      </c>
      <c r="J279" s="9" t="n">
        <v>888480</v>
      </c>
    </row>
    <row r="280" customFormat="false" ht="15.75" hidden="false" customHeight="false" outlineLevel="0" collapsed="false">
      <c r="A280" s="7" t="s">
        <v>288</v>
      </c>
      <c r="B280" s="7" t="n">
        <v>8</v>
      </c>
      <c r="C280" s="9" t="n">
        <v>72</v>
      </c>
      <c r="D280" s="9" t="n">
        <v>1717560</v>
      </c>
      <c r="E280" s="9" t="n">
        <v>0</v>
      </c>
      <c r="F280" s="9" t="n">
        <v>0</v>
      </c>
      <c r="G280" s="9" t="n">
        <v>0</v>
      </c>
      <c r="H280" s="9" t="n">
        <v>0</v>
      </c>
      <c r="I280" s="9" t="n">
        <v>72</v>
      </c>
      <c r="J280" s="9" t="n">
        <v>1717560</v>
      </c>
    </row>
    <row r="281" customFormat="false" ht="15.75" hidden="false" customHeight="false" outlineLevel="0" collapsed="false">
      <c r="A281" s="7" t="s">
        <v>289</v>
      </c>
      <c r="B281" s="7" t="n">
        <v>8</v>
      </c>
      <c r="C281" s="9" t="n">
        <v>5241</v>
      </c>
      <c r="D281" s="9" t="n">
        <v>18544800</v>
      </c>
      <c r="E281" s="9" t="n">
        <v>0</v>
      </c>
      <c r="F281" s="9" t="n">
        <v>0</v>
      </c>
      <c r="G281" s="9" t="n">
        <v>0</v>
      </c>
      <c r="H281" s="9" t="n">
        <v>0</v>
      </c>
      <c r="I281" s="9" t="n">
        <v>5241</v>
      </c>
      <c r="J281" s="9" t="n">
        <v>18544800</v>
      </c>
    </row>
    <row r="282" customFormat="false" ht="15.75" hidden="false" customHeight="false" outlineLevel="0" collapsed="false">
      <c r="A282" s="7" t="s">
        <v>290</v>
      </c>
      <c r="B282" s="7" t="n">
        <v>8</v>
      </c>
      <c r="C282" s="9" t="n">
        <v>2461</v>
      </c>
      <c r="D282" s="9" t="n">
        <v>218997241</v>
      </c>
      <c r="E282" s="9" t="n">
        <v>720</v>
      </c>
      <c r="F282" s="9" t="n">
        <v>64068480</v>
      </c>
      <c r="G282" s="9" t="n">
        <v>14</v>
      </c>
      <c r="H282" s="9" t="n">
        <v>1245810</v>
      </c>
      <c r="I282" s="9" t="n">
        <v>3167</v>
      </c>
      <c r="J282" s="9" t="n">
        <v>281819911</v>
      </c>
    </row>
    <row r="283" customFormat="false" ht="15.75" hidden="false" customHeight="false" outlineLevel="0" collapsed="false">
      <c r="A283" s="7" t="s">
        <v>291</v>
      </c>
      <c r="B283" s="7" t="n">
        <v>8</v>
      </c>
      <c r="C283" s="9" t="n">
        <v>2474</v>
      </c>
      <c r="D283" s="9" t="n">
        <v>230641883</v>
      </c>
      <c r="E283" s="9" t="n">
        <v>1295</v>
      </c>
      <c r="F283" s="9" t="n">
        <v>121072140</v>
      </c>
      <c r="G283" s="9" t="n">
        <v>175</v>
      </c>
      <c r="H283" s="9" t="n">
        <v>16330579</v>
      </c>
      <c r="I283" s="9" t="n">
        <v>3594</v>
      </c>
      <c r="J283" s="9" t="n">
        <v>335383444</v>
      </c>
    </row>
    <row r="284" customFormat="false" ht="15.75" hidden="false" customHeight="false" outlineLevel="0" collapsed="false">
      <c r="A284" s="7" t="s">
        <v>292</v>
      </c>
      <c r="B284" s="7" t="n">
        <v>8</v>
      </c>
      <c r="C284" s="9" t="n">
        <v>1922</v>
      </c>
      <c r="D284" s="9" t="n">
        <v>138589289</v>
      </c>
      <c r="E284" s="9" t="n">
        <v>270</v>
      </c>
      <c r="F284" s="9" t="n">
        <v>24025680</v>
      </c>
      <c r="G284" s="9" t="n">
        <v>0</v>
      </c>
      <c r="H284" s="9" t="n">
        <v>0</v>
      </c>
      <c r="I284" s="9" t="n">
        <v>2192</v>
      </c>
      <c r="J284" s="9" t="n">
        <v>162614969</v>
      </c>
    </row>
    <row r="285" customFormat="false" ht="15.75" hidden="false" customHeight="false" outlineLevel="0" collapsed="false">
      <c r="A285" s="4"/>
      <c r="B285" s="4"/>
      <c r="C285" s="6" t="n">
        <f aca="false">SUM(C2:C284)</f>
        <v>1128743</v>
      </c>
      <c r="D285" s="6" t="n">
        <f aca="false">SUM(D2:D284)</f>
        <v>15134204353</v>
      </c>
      <c r="E285" s="6" t="n">
        <f aca="false">SUM(E2:E284)</f>
        <v>385682</v>
      </c>
      <c r="F285" s="6" t="n">
        <f aca="false">SUM(F2:F284)</f>
        <v>9410289184</v>
      </c>
      <c r="G285" s="6" t="n">
        <f aca="false">SUM(G2:G284)</f>
        <v>525627</v>
      </c>
      <c r="H285" s="6" t="n">
        <f aca="false">SUM(H2:H284)</f>
        <v>9872002163</v>
      </c>
      <c r="I285" s="6" t="n">
        <f aca="false">SUM(I2:I284)</f>
        <v>988798</v>
      </c>
      <c r="J285" s="6" t="n">
        <f aca="false">SUM(J2:J284)</f>
        <v>14672491374</v>
      </c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</row>
  </sheetData>
  <mergeCells count="4">
    <mergeCell ref="C1:D1"/>
    <mergeCell ref="E1:F1"/>
    <mergeCell ref="G1:H1"/>
    <mergeCell ref="I1:J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W285"/>
  <sheetViews>
    <sheetView showFormulas="false" showGridLines="true" showRowColHeaders="true" showZeros="true" rightToLeft="false" tabSelected="false" showOutlineSymbols="true" defaultGridColor="true" view="normal" topLeftCell="A274" colorId="64" zoomScale="100" zoomScaleNormal="100" zoomScalePageLayoutView="100" workbookViewId="0">
      <selection pane="topLeft" activeCell="A274" activeCellId="0" sqref="A274"/>
    </sheetView>
  </sheetViews>
  <sheetFormatPr defaultColWidth="12.5703125" defaultRowHeight="15.75" customHeight="true" zeroHeight="false" outlineLevelRow="0" outlineLevelCol="0"/>
  <sheetData>
    <row r="1" customFormat="false" ht="15.75" hidden="false" customHeight="false" outlineLevel="0" collapsed="false">
      <c r="A1" s="1"/>
      <c r="B1" s="2"/>
      <c r="C1" s="3" t="s">
        <v>0</v>
      </c>
      <c r="D1" s="3"/>
      <c r="E1" s="3" t="s">
        <v>1</v>
      </c>
      <c r="F1" s="3"/>
      <c r="G1" s="3" t="s">
        <v>2</v>
      </c>
      <c r="H1" s="3"/>
      <c r="I1" s="3" t="s">
        <v>3</v>
      </c>
      <c r="J1" s="3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</row>
    <row r="2" customFormat="false" ht="15.75" hidden="false" customHeight="false" outlineLevel="0" collapsed="false">
      <c r="A2" s="4" t="s">
        <v>4</v>
      </c>
      <c r="B2" s="5" t="s">
        <v>5</v>
      </c>
      <c r="C2" s="6" t="s">
        <v>6</v>
      </c>
      <c r="D2" s="6" t="s">
        <v>7</v>
      </c>
      <c r="E2" s="6" t="s">
        <v>8</v>
      </c>
      <c r="F2" s="6" t="s">
        <v>9</v>
      </c>
      <c r="G2" s="6" t="s">
        <v>6</v>
      </c>
      <c r="H2" s="6" t="s">
        <v>10</v>
      </c>
      <c r="I2" s="6" t="s">
        <v>6</v>
      </c>
      <c r="J2" s="6" t="s">
        <v>9</v>
      </c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</row>
    <row r="3" customFormat="false" ht="15.75" hidden="false" customHeight="false" outlineLevel="0" collapsed="false">
      <c r="A3" s="7" t="s">
        <v>11</v>
      </c>
      <c r="B3" s="7" t="n">
        <v>9</v>
      </c>
      <c r="C3" s="9" t="n">
        <v>246</v>
      </c>
      <c r="D3" s="9" t="n">
        <v>6790120</v>
      </c>
      <c r="E3" s="9" t="n">
        <v>70</v>
      </c>
      <c r="F3" s="9" t="n">
        <v>1942080</v>
      </c>
      <c r="G3" s="9" t="n">
        <v>110</v>
      </c>
      <c r="H3" s="9" t="n">
        <v>3039690</v>
      </c>
      <c r="I3" s="9" t="n">
        <v>206</v>
      </c>
      <c r="J3" s="9" t="n">
        <v>5692510</v>
      </c>
    </row>
    <row r="4" customFormat="false" ht="15.75" hidden="false" customHeight="false" outlineLevel="0" collapsed="false">
      <c r="A4" s="7" t="s">
        <v>12</v>
      </c>
      <c r="B4" s="7" t="n">
        <v>9</v>
      </c>
      <c r="C4" s="9" t="n">
        <v>0</v>
      </c>
      <c r="D4" s="9" t="n">
        <v>0</v>
      </c>
      <c r="E4" s="9" t="n">
        <v>0</v>
      </c>
      <c r="F4" s="9" t="n">
        <v>0</v>
      </c>
      <c r="G4" s="9" t="n">
        <v>0</v>
      </c>
      <c r="H4" s="9" t="n">
        <v>0</v>
      </c>
      <c r="I4" s="9" t="n">
        <v>0</v>
      </c>
      <c r="J4" s="9" t="n">
        <v>0</v>
      </c>
    </row>
    <row r="5" customFormat="false" ht="15.75" hidden="false" customHeight="false" outlineLevel="0" collapsed="false">
      <c r="A5" s="7" t="s">
        <v>13</v>
      </c>
      <c r="B5" s="7" t="n">
        <v>9</v>
      </c>
      <c r="C5" s="9" t="n">
        <v>803</v>
      </c>
      <c r="D5" s="9" t="n">
        <v>26336751</v>
      </c>
      <c r="E5" s="9" t="n">
        <v>0</v>
      </c>
      <c r="F5" s="9" t="n">
        <v>0</v>
      </c>
      <c r="G5" s="9" t="n">
        <v>60</v>
      </c>
      <c r="H5" s="9" t="n">
        <v>1968968</v>
      </c>
      <c r="I5" s="9" t="n">
        <v>743</v>
      </c>
      <c r="J5" s="9" t="n">
        <v>24367783</v>
      </c>
    </row>
    <row r="6" customFormat="false" ht="15.75" hidden="false" customHeight="false" outlineLevel="0" collapsed="false">
      <c r="A6" s="7" t="s">
        <v>14</v>
      </c>
      <c r="B6" s="7" t="n">
        <v>9</v>
      </c>
      <c r="C6" s="9" t="n">
        <v>120</v>
      </c>
      <c r="D6" s="9" t="n">
        <v>35752144</v>
      </c>
      <c r="E6" s="9" t="n">
        <v>0</v>
      </c>
      <c r="F6" s="9" t="n">
        <v>0</v>
      </c>
      <c r="G6" s="9" t="n">
        <v>0</v>
      </c>
      <c r="H6" s="9" t="n">
        <v>0</v>
      </c>
      <c r="I6" s="9" t="n">
        <v>120</v>
      </c>
      <c r="J6" s="9" t="n">
        <v>35752144</v>
      </c>
    </row>
    <row r="7" customFormat="false" ht="15.75" hidden="false" customHeight="false" outlineLevel="0" collapsed="false">
      <c r="A7" s="7" t="s">
        <v>15</v>
      </c>
      <c r="B7" s="7" t="n">
        <v>9</v>
      </c>
      <c r="C7" s="9" t="n">
        <v>510</v>
      </c>
      <c r="D7" s="9" t="n">
        <v>69373706</v>
      </c>
      <c r="E7" s="9" t="n">
        <v>0</v>
      </c>
      <c r="F7" s="9" t="n">
        <v>0</v>
      </c>
      <c r="G7" s="9" t="n">
        <v>6</v>
      </c>
      <c r="H7" s="9" t="n">
        <v>816161</v>
      </c>
      <c r="I7" s="9" t="n">
        <v>504</v>
      </c>
      <c r="J7" s="9" t="n">
        <v>68557545</v>
      </c>
    </row>
    <row r="8" customFormat="false" ht="15.75" hidden="false" customHeight="false" outlineLevel="0" collapsed="false">
      <c r="A8" s="7" t="s">
        <v>16</v>
      </c>
      <c r="B8" s="7" t="n">
        <v>9</v>
      </c>
      <c r="C8" s="9" t="n">
        <v>344</v>
      </c>
      <c r="D8" s="9" t="n">
        <v>53839916</v>
      </c>
      <c r="E8" s="9" t="n">
        <v>0</v>
      </c>
      <c r="F8" s="9" t="n">
        <v>0</v>
      </c>
      <c r="G8" s="9" t="n">
        <v>0</v>
      </c>
      <c r="H8" s="9" t="n">
        <v>0</v>
      </c>
      <c r="I8" s="9" t="n">
        <v>344</v>
      </c>
      <c r="J8" s="9" t="n">
        <v>53839916</v>
      </c>
    </row>
    <row r="9" customFormat="false" ht="15.75" hidden="false" customHeight="false" outlineLevel="0" collapsed="false">
      <c r="A9" s="7" t="s">
        <v>17</v>
      </c>
      <c r="B9" s="7" t="n">
        <v>9</v>
      </c>
      <c r="C9" s="9" t="n">
        <v>159</v>
      </c>
      <c r="D9" s="9" t="n">
        <v>38049584</v>
      </c>
      <c r="E9" s="9" t="n">
        <v>0</v>
      </c>
      <c r="F9" s="9" t="n">
        <v>0</v>
      </c>
      <c r="G9" s="9" t="n">
        <v>6</v>
      </c>
      <c r="H9" s="9" t="n">
        <v>1435833</v>
      </c>
      <c r="I9" s="9" t="n">
        <v>153</v>
      </c>
      <c r="J9" s="9" t="n">
        <v>36613751</v>
      </c>
    </row>
    <row r="10" customFormat="false" ht="15.75" hidden="false" customHeight="false" outlineLevel="0" collapsed="false">
      <c r="A10" s="7" t="s">
        <v>18</v>
      </c>
      <c r="B10" s="7" t="n">
        <v>9</v>
      </c>
      <c r="C10" s="9" t="n">
        <v>674</v>
      </c>
      <c r="D10" s="9" t="n">
        <v>14677119</v>
      </c>
      <c r="E10" s="9" t="n">
        <v>0</v>
      </c>
      <c r="F10" s="9" t="n">
        <v>0</v>
      </c>
      <c r="G10" s="9" t="n">
        <v>0</v>
      </c>
      <c r="H10" s="9" t="n">
        <v>0</v>
      </c>
      <c r="I10" s="9" t="n">
        <v>674</v>
      </c>
      <c r="J10" s="9" t="n">
        <v>14677119</v>
      </c>
    </row>
    <row r="11" customFormat="false" ht="15.75" hidden="false" customHeight="false" outlineLevel="0" collapsed="false">
      <c r="A11" s="7" t="s">
        <v>19</v>
      </c>
      <c r="B11" s="7" t="n">
        <v>9</v>
      </c>
      <c r="C11" s="9" t="n">
        <v>180</v>
      </c>
      <c r="D11" s="9" t="n">
        <v>3904035</v>
      </c>
      <c r="E11" s="9" t="n">
        <v>0</v>
      </c>
      <c r="F11" s="9" t="n">
        <v>0</v>
      </c>
      <c r="G11" s="9" t="n">
        <v>0</v>
      </c>
      <c r="H11" s="9" t="n">
        <v>0</v>
      </c>
      <c r="I11" s="9" t="n">
        <v>180</v>
      </c>
      <c r="J11" s="9" t="n">
        <v>3904035</v>
      </c>
    </row>
    <row r="12" customFormat="false" ht="15.75" hidden="false" customHeight="false" outlineLevel="0" collapsed="false">
      <c r="A12" s="7" t="s">
        <v>20</v>
      </c>
      <c r="B12" s="7" t="n">
        <v>9</v>
      </c>
      <c r="C12" s="9" t="n">
        <v>295</v>
      </c>
      <c r="D12" s="9" t="n">
        <v>31404753</v>
      </c>
      <c r="E12" s="9" t="n">
        <v>0</v>
      </c>
      <c r="F12" s="9" t="n">
        <v>0</v>
      </c>
      <c r="G12" s="9" t="n">
        <v>0</v>
      </c>
      <c r="H12" s="9" t="n">
        <v>0</v>
      </c>
      <c r="I12" s="9" t="n">
        <v>295</v>
      </c>
      <c r="J12" s="9" t="n">
        <v>31404753</v>
      </c>
    </row>
    <row r="13" customFormat="false" ht="15.75" hidden="false" customHeight="false" outlineLevel="0" collapsed="false">
      <c r="A13" s="7" t="s">
        <v>21</v>
      </c>
      <c r="B13" s="7" t="n">
        <v>9</v>
      </c>
      <c r="C13" s="9" t="n">
        <v>170</v>
      </c>
      <c r="D13" s="9" t="n">
        <v>40681945</v>
      </c>
      <c r="E13" s="9" t="n">
        <v>0</v>
      </c>
      <c r="F13" s="9" t="n">
        <v>0</v>
      </c>
      <c r="G13" s="9" t="n">
        <v>0</v>
      </c>
      <c r="H13" s="9" t="n">
        <v>0</v>
      </c>
      <c r="I13" s="9" t="n">
        <v>170</v>
      </c>
      <c r="J13" s="9" t="n">
        <v>40681945</v>
      </c>
    </row>
    <row r="14" customFormat="false" ht="15.75" hidden="false" customHeight="false" outlineLevel="0" collapsed="false">
      <c r="A14" s="7" t="s">
        <v>22</v>
      </c>
      <c r="B14" s="7" t="n">
        <v>9</v>
      </c>
      <c r="C14" s="9" t="n">
        <v>18</v>
      </c>
      <c r="D14" s="9" t="n">
        <v>407934</v>
      </c>
      <c r="E14" s="9" t="n">
        <v>0</v>
      </c>
      <c r="F14" s="9" t="n">
        <v>0</v>
      </c>
      <c r="G14" s="9" t="n">
        <v>0</v>
      </c>
      <c r="H14" s="9" t="n">
        <v>0</v>
      </c>
      <c r="I14" s="9" t="n">
        <v>18</v>
      </c>
      <c r="J14" s="9" t="n">
        <v>407934</v>
      </c>
    </row>
    <row r="15" customFormat="false" ht="15.75" hidden="false" customHeight="false" outlineLevel="0" collapsed="false">
      <c r="A15" s="7" t="s">
        <v>23</v>
      </c>
      <c r="B15" s="7" t="n">
        <v>9</v>
      </c>
      <c r="C15" s="9" t="n">
        <v>0</v>
      </c>
      <c r="D15" s="9" t="n">
        <v>0</v>
      </c>
      <c r="E15" s="9" t="n">
        <v>0</v>
      </c>
      <c r="F15" s="9" t="n">
        <v>0</v>
      </c>
      <c r="G15" s="9" t="n">
        <v>0</v>
      </c>
      <c r="H15" s="9" t="n">
        <v>0</v>
      </c>
      <c r="I15" s="9" t="n">
        <v>0</v>
      </c>
      <c r="J15" s="9" t="n">
        <v>0</v>
      </c>
    </row>
    <row r="16" customFormat="false" ht="15.75" hidden="false" customHeight="false" outlineLevel="0" collapsed="false">
      <c r="A16" s="7" t="s">
        <v>24</v>
      </c>
      <c r="B16" s="7" t="n">
        <v>9</v>
      </c>
      <c r="C16" s="9" t="n">
        <v>0</v>
      </c>
      <c r="D16" s="9" t="n">
        <v>0</v>
      </c>
      <c r="E16" s="9" t="n">
        <v>0</v>
      </c>
      <c r="F16" s="9" t="n">
        <v>0</v>
      </c>
      <c r="G16" s="9" t="n">
        <v>0</v>
      </c>
      <c r="H16" s="9" t="n">
        <v>0</v>
      </c>
      <c r="I16" s="9" t="n">
        <v>0</v>
      </c>
      <c r="J16" s="9" t="n">
        <v>0</v>
      </c>
    </row>
    <row r="17" customFormat="false" ht="15.75" hidden="false" customHeight="false" outlineLevel="0" collapsed="false">
      <c r="A17" s="7" t="s">
        <v>25</v>
      </c>
      <c r="B17" s="7" t="n">
        <v>9</v>
      </c>
      <c r="C17" s="9" t="n">
        <v>0</v>
      </c>
      <c r="D17" s="9" t="n">
        <v>0</v>
      </c>
      <c r="E17" s="9" t="n">
        <v>90</v>
      </c>
      <c r="F17" s="9" t="n">
        <v>1912702</v>
      </c>
      <c r="G17" s="9" t="n">
        <v>90</v>
      </c>
      <c r="H17" s="9" t="n">
        <v>1912702</v>
      </c>
      <c r="I17" s="9" t="n">
        <v>0</v>
      </c>
      <c r="J17" s="9" t="n">
        <v>0</v>
      </c>
    </row>
    <row r="18" customFormat="false" ht="15.75" hidden="false" customHeight="false" outlineLevel="0" collapsed="false">
      <c r="A18" s="7" t="s">
        <v>26</v>
      </c>
      <c r="B18" s="7" t="n">
        <v>9</v>
      </c>
      <c r="C18" s="9" t="n">
        <v>84</v>
      </c>
      <c r="D18" s="9" t="n">
        <v>2168242</v>
      </c>
      <c r="E18" s="9" t="n">
        <v>20</v>
      </c>
      <c r="F18" s="9" t="n">
        <v>518520</v>
      </c>
      <c r="G18" s="9" t="n">
        <v>40</v>
      </c>
      <c r="H18" s="9" t="n">
        <v>1033370</v>
      </c>
      <c r="I18" s="9" t="n">
        <v>64</v>
      </c>
      <c r="J18" s="9" t="n">
        <v>1653392</v>
      </c>
    </row>
    <row r="19" customFormat="false" ht="15.75" hidden="false" customHeight="false" outlineLevel="0" collapsed="false">
      <c r="A19" s="7" t="s">
        <v>27</v>
      </c>
      <c r="B19" s="7" t="n">
        <v>9</v>
      </c>
      <c r="C19" s="9" t="n">
        <v>37</v>
      </c>
      <c r="D19" s="9" t="n">
        <v>1136432</v>
      </c>
      <c r="E19" s="9" t="n">
        <v>15</v>
      </c>
      <c r="F19" s="9" t="n">
        <v>472215</v>
      </c>
      <c r="G19" s="9" t="n">
        <v>5</v>
      </c>
      <c r="H19" s="9" t="n">
        <v>154678</v>
      </c>
      <c r="I19" s="9" t="n">
        <v>47</v>
      </c>
      <c r="J19" s="9" t="n">
        <v>1453969</v>
      </c>
    </row>
    <row r="20" customFormat="false" ht="15.75" hidden="false" customHeight="false" outlineLevel="0" collapsed="false">
      <c r="A20" s="7" t="s">
        <v>28</v>
      </c>
      <c r="B20" s="7" t="n">
        <v>9</v>
      </c>
      <c r="C20" s="9" t="n">
        <v>0</v>
      </c>
      <c r="D20" s="9" t="n">
        <v>0</v>
      </c>
      <c r="E20" s="9" t="n">
        <v>50</v>
      </c>
      <c r="F20" s="9" t="n">
        <v>5700000</v>
      </c>
      <c r="G20" s="9" t="n">
        <v>0</v>
      </c>
      <c r="H20" s="9" t="n">
        <v>0</v>
      </c>
      <c r="I20" s="9" t="n">
        <v>50</v>
      </c>
      <c r="J20" s="9" t="n">
        <v>5700000</v>
      </c>
    </row>
    <row r="21" customFormat="false" ht="15.75" hidden="false" customHeight="false" outlineLevel="0" collapsed="false">
      <c r="A21" s="7" t="s">
        <v>29</v>
      </c>
      <c r="B21" s="7" t="n">
        <v>9</v>
      </c>
      <c r="C21" s="9" t="n">
        <v>230</v>
      </c>
      <c r="D21" s="9" t="n">
        <v>60782790</v>
      </c>
      <c r="E21" s="9" t="n">
        <v>10</v>
      </c>
      <c r="F21" s="9" t="n">
        <v>2642730</v>
      </c>
      <c r="G21" s="9" t="n">
        <v>0</v>
      </c>
      <c r="H21" s="9" t="n">
        <v>0</v>
      </c>
      <c r="I21" s="9" t="n">
        <v>240</v>
      </c>
      <c r="J21" s="9" t="n">
        <v>63425520</v>
      </c>
    </row>
    <row r="22" customFormat="false" ht="15.75" hidden="false" customHeight="false" outlineLevel="0" collapsed="false">
      <c r="A22" s="7" t="s">
        <v>30</v>
      </c>
      <c r="B22" s="7" t="n">
        <v>9</v>
      </c>
      <c r="C22" s="9" t="n">
        <v>167</v>
      </c>
      <c r="D22" s="9" t="n">
        <v>32383984</v>
      </c>
      <c r="E22" s="9" t="n">
        <v>0</v>
      </c>
      <c r="F22" s="9" t="n">
        <v>0</v>
      </c>
      <c r="G22" s="9" t="n">
        <v>0</v>
      </c>
      <c r="H22" s="9" t="n">
        <v>0</v>
      </c>
      <c r="I22" s="9" t="n">
        <v>167</v>
      </c>
      <c r="J22" s="9" t="n">
        <v>32383984</v>
      </c>
    </row>
    <row r="23" customFormat="false" ht="15.75" hidden="false" customHeight="false" outlineLevel="0" collapsed="false">
      <c r="A23" s="7" t="s">
        <v>31</v>
      </c>
      <c r="B23" s="7" t="n">
        <v>9</v>
      </c>
      <c r="C23" s="9" t="n">
        <v>0</v>
      </c>
      <c r="D23" s="9" t="n">
        <v>0</v>
      </c>
      <c r="E23" s="9" t="n">
        <v>0</v>
      </c>
      <c r="F23" s="9" t="n">
        <v>0</v>
      </c>
      <c r="G23" s="9" t="n">
        <v>0</v>
      </c>
      <c r="H23" s="9" t="n">
        <v>0</v>
      </c>
      <c r="I23" s="9" t="n">
        <v>0</v>
      </c>
      <c r="J23" s="9" t="n">
        <v>0</v>
      </c>
    </row>
    <row r="24" customFormat="false" ht="15.75" hidden="false" customHeight="false" outlineLevel="0" collapsed="false">
      <c r="A24" s="7" t="s">
        <v>32</v>
      </c>
      <c r="B24" s="7" t="n">
        <v>9</v>
      </c>
      <c r="C24" s="9" t="n">
        <v>0</v>
      </c>
      <c r="D24" s="9" t="n">
        <v>0</v>
      </c>
      <c r="E24" s="9" t="n">
        <v>77</v>
      </c>
      <c r="F24" s="9" t="n">
        <v>12767986</v>
      </c>
      <c r="G24" s="9" t="n">
        <v>0</v>
      </c>
      <c r="H24" s="9" t="n">
        <v>0</v>
      </c>
      <c r="I24" s="9" t="n">
        <v>77</v>
      </c>
      <c r="J24" s="9" t="n">
        <v>12767986</v>
      </c>
    </row>
    <row r="25" customFormat="false" ht="15.75" hidden="false" customHeight="false" outlineLevel="0" collapsed="false">
      <c r="A25" s="7" t="s">
        <v>33</v>
      </c>
      <c r="B25" s="7" t="n">
        <v>9</v>
      </c>
      <c r="C25" s="9" t="n">
        <v>76</v>
      </c>
      <c r="D25" s="9" t="n">
        <v>9285800</v>
      </c>
      <c r="E25" s="9" t="n">
        <v>0</v>
      </c>
      <c r="F25" s="9" t="n">
        <v>0</v>
      </c>
      <c r="G25" s="9" t="n">
        <v>0</v>
      </c>
      <c r="H25" s="9" t="n">
        <v>0</v>
      </c>
      <c r="I25" s="9" t="n">
        <v>76</v>
      </c>
      <c r="J25" s="9" t="n">
        <v>9285800</v>
      </c>
    </row>
    <row r="26" customFormat="false" ht="15.75" hidden="false" customHeight="false" outlineLevel="0" collapsed="false">
      <c r="A26" s="7" t="s">
        <v>34</v>
      </c>
      <c r="B26" s="7" t="n">
        <v>9</v>
      </c>
      <c r="C26" s="9" t="n">
        <v>29</v>
      </c>
      <c r="D26" s="9" t="n">
        <v>4642900</v>
      </c>
      <c r="E26" s="9" t="n">
        <v>30</v>
      </c>
      <c r="F26" s="9" t="n">
        <v>6964350</v>
      </c>
      <c r="G26" s="9" t="n">
        <v>9</v>
      </c>
      <c r="H26" s="9" t="n">
        <v>1770597</v>
      </c>
      <c r="I26" s="9" t="n">
        <v>50</v>
      </c>
      <c r="J26" s="9" t="n">
        <v>9836653</v>
      </c>
    </row>
    <row r="27" customFormat="false" ht="15.75" hidden="false" customHeight="false" outlineLevel="0" collapsed="false">
      <c r="A27" s="7" t="s">
        <v>35</v>
      </c>
      <c r="B27" s="7" t="n">
        <v>9</v>
      </c>
      <c r="C27" s="9" t="n">
        <v>150</v>
      </c>
      <c r="D27" s="9" t="n">
        <v>17100000</v>
      </c>
      <c r="E27" s="9" t="n">
        <v>51</v>
      </c>
      <c r="F27" s="9" t="n">
        <v>5814000</v>
      </c>
      <c r="G27" s="9" t="n">
        <v>0</v>
      </c>
      <c r="H27" s="9" t="n">
        <v>0</v>
      </c>
      <c r="I27" s="9" t="n">
        <v>201</v>
      </c>
      <c r="J27" s="9" t="n">
        <v>22914000</v>
      </c>
    </row>
    <row r="28" customFormat="false" ht="15.75" hidden="false" customHeight="false" outlineLevel="0" collapsed="false">
      <c r="A28" s="7" t="s">
        <v>36</v>
      </c>
      <c r="B28" s="7" t="n">
        <v>9</v>
      </c>
      <c r="C28" s="9" t="n">
        <v>40</v>
      </c>
      <c r="D28" s="9" t="n">
        <v>1818200</v>
      </c>
      <c r="E28" s="9" t="n">
        <v>0</v>
      </c>
      <c r="F28" s="9" t="n">
        <v>0</v>
      </c>
      <c r="G28" s="9" t="n">
        <v>0</v>
      </c>
      <c r="H28" s="9" t="n">
        <v>0</v>
      </c>
      <c r="I28" s="9" t="n">
        <v>40</v>
      </c>
      <c r="J28" s="9" t="n">
        <v>1818200</v>
      </c>
    </row>
    <row r="29" customFormat="false" ht="15.75" hidden="false" customHeight="false" outlineLevel="0" collapsed="false">
      <c r="A29" s="7" t="s">
        <v>37</v>
      </c>
      <c r="B29" s="7" t="n">
        <v>9</v>
      </c>
      <c r="C29" s="9" t="n">
        <v>1205</v>
      </c>
      <c r="D29" s="9" t="n">
        <v>67041308</v>
      </c>
      <c r="E29" s="9" t="n">
        <v>4480</v>
      </c>
      <c r="F29" s="9" t="n">
        <v>249441920</v>
      </c>
      <c r="G29" s="9" t="n">
        <v>4032</v>
      </c>
      <c r="H29" s="9" t="n">
        <v>224460928</v>
      </c>
      <c r="I29" s="9" t="n">
        <v>1653</v>
      </c>
      <c r="J29" s="9" t="n">
        <v>92022300</v>
      </c>
    </row>
    <row r="30" customFormat="false" ht="15.75" hidden="false" customHeight="false" outlineLevel="0" collapsed="false">
      <c r="A30" s="7" t="s">
        <v>38</v>
      </c>
      <c r="B30" s="7" t="n">
        <v>9</v>
      </c>
      <c r="C30" s="9" t="n">
        <v>272438</v>
      </c>
      <c r="D30" s="9" t="n">
        <v>211046828</v>
      </c>
      <c r="E30" s="9" t="n">
        <v>7200</v>
      </c>
      <c r="F30" s="9" t="n">
        <v>224697600</v>
      </c>
      <c r="G30" s="9" t="n">
        <v>5076</v>
      </c>
      <c r="H30" s="9" t="n">
        <v>158411784</v>
      </c>
      <c r="I30" s="9" t="n">
        <v>274562</v>
      </c>
      <c r="J30" s="9" t="n">
        <v>277332644</v>
      </c>
    </row>
    <row r="31" customFormat="false" ht="15.75" hidden="false" customHeight="false" outlineLevel="0" collapsed="false">
      <c r="A31" s="7" t="s">
        <v>39</v>
      </c>
      <c r="B31" s="7" t="n">
        <v>9</v>
      </c>
      <c r="C31" s="9" t="n">
        <v>26025</v>
      </c>
      <c r="D31" s="9" t="n">
        <v>54297755</v>
      </c>
      <c r="E31" s="9" t="n">
        <v>2130</v>
      </c>
      <c r="F31" s="9" t="n">
        <v>77071920</v>
      </c>
      <c r="G31" s="9" t="n">
        <v>1965</v>
      </c>
      <c r="H31" s="9" t="n">
        <v>71097943</v>
      </c>
      <c r="I31" s="9" t="n">
        <v>26190</v>
      </c>
      <c r="J31" s="9" t="n">
        <v>60271732</v>
      </c>
    </row>
    <row r="32" customFormat="false" ht="15.75" hidden="false" customHeight="false" outlineLevel="0" collapsed="false">
      <c r="A32" s="7" t="s">
        <v>40</v>
      </c>
      <c r="B32" s="7" t="n">
        <v>9</v>
      </c>
      <c r="C32" s="9" t="n">
        <v>2430</v>
      </c>
      <c r="D32" s="9" t="n">
        <v>87927120</v>
      </c>
      <c r="E32" s="9" t="n">
        <v>0</v>
      </c>
      <c r="F32" s="9" t="n">
        <v>0</v>
      </c>
      <c r="G32" s="9" t="n">
        <v>0</v>
      </c>
      <c r="H32" s="9" t="n">
        <v>0</v>
      </c>
      <c r="I32" s="9" t="n">
        <v>2430</v>
      </c>
      <c r="J32" s="9" t="n">
        <v>87927120</v>
      </c>
    </row>
    <row r="33" customFormat="false" ht="15.75" hidden="false" customHeight="false" outlineLevel="0" collapsed="false">
      <c r="A33" s="7" t="s">
        <v>41</v>
      </c>
      <c r="B33" s="7" t="n">
        <v>9</v>
      </c>
      <c r="C33" s="9" t="n">
        <v>90</v>
      </c>
      <c r="D33" s="9" t="n">
        <v>3256560</v>
      </c>
      <c r="E33" s="9" t="n">
        <v>0</v>
      </c>
      <c r="F33" s="9" t="n">
        <v>0</v>
      </c>
      <c r="G33" s="9" t="n">
        <v>0</v>
      </c>
      <c r="H33" s="9" t="n">
        <v>0</v>
      </c>
      <c r="I33" s="9" t="n">
        <v>90</v>
      </c>
      <c r="J33" s="9" t="n">
        <v>3256560</v>
      </c>
    </row>
    <row r="34" customFormat="false" ht="15.75" hidden="false" customHeight="false" outlineLevel="0" collapsed="false">
      <c r="A34" s="7" t="s">
        <v>42</v>
      </c>
      <c r="B34" s="7" t="n">
        <v>9</v>
      </c>
      <c r="C34" s="9" t="n">
        <v>96</v>
      </c>
      <c r="D34" s="9" t="n">
        <v>5128433</v>
      </c>
      <c r="E34" s="9" t="n">
        <v>32</v>
      </c>
      <c r="F34" s="9" t="n">
        <v>1679520</v>
      </c>
      <c r="G34" s="9" t="n">
        <v>0</v>
      </c>
      <c r="H34" s="9" t="n">
        <v>0</v>
      </c>
      <c r="I34" s="9" t="n">
        <v>128</v>
      </c>
      <c r="J34" s="9" t="n">
        <v>6807953</v>
      </c>
    </row>
    <row r="35" customFormat="false" ht="15.75" hidden="false" customHeight="false" outlineLevel="0" collapsed="false">
      <c r="A35" s="7" t="s">
        <v>43</v>
      </c>
      <c r="B35" s="7" t="n">
        <v>9</v>
      </c>
      <c r="C35" s="9" t="n">
        <v>0</v>
      </c>
      <c r="D35" s="9" t="n">
        <v>0</v>
      </c>
      <c r="E35" s="9" t="n">
        <v>0</v>
      </c>
      <c r="F35" s="9" t="n">
        <v>0</v>
      </c>
      <c r="G35" s="9" t="n">
        <v>0</v>
      </c>
      <c r="H35" s="9" t="n">
        <v>0</v>
      </c>
      <c r="I35" s="9" t="n">
        <v>0</v>
      </c>
      <c r="J35" s="9" t="n">
        <v>0</v>
      </c>
    </row>
    <row r="36" customFormat="false" ht="15.75" hidden="false" customHeight="false" outlineLevel="0" collapsed="false">
      <c r="A36" s="7" t="s">
        <v>44</v>
      </c>
      <c r="B36" s="7" t="n">
        <v>9</v>
      </c>
      <c r="C36" s="9" t="n">
        <v>9425</v>
      </c>
      <c r="D36" s="9" t="n">
        <v>31454855</v>
      </c>
      <c r="E36" s="9" t="n">
        <v>825</v>
      </c>
      <c r="F36" s="9" t="n">
        <v>29851800</v>
      </c>
      <c r="G36" s="9" t="n">
        <v>915</v>
      </c>
      <c r="H36" s="9" t="n">
        <v>33097802</v>
      </c>
      <c r="I36" s="9" t="n">
        <v>9335</v>
      </c>
      <c r="J36" s="9" t="n">
        <v>28208853</v>
      </c>
    </row>
    <row r="37" customFormat="false" ht="15.75" hidden="false" customHeight="false" outlineLevel="0" collapsed="false">
      <c r="A37" s="7" t="s">
        <v>45</v>
      </c>
      <c r="B37" s="7" t="n">
        <v>9</v>
      </c>
      <c r="C37" s="9" t="n">
        <v>930</v>
      </c>
      <c r="D37" s="9" t="n">
        <v>33582893</v>
      </c>
      <c r="E37" s="9" t="n">
        <v>450</v>
      </c>
      <c r="F37" s="9" t="n">
        <v>16282800</v>
      </c>
      <c r="G37" s="9" t="n">
        <v>780</v>
      </c>
      <c r="H37" s="9" t="n">
        <v>28184957</v>
      </c>
      <c r="I37" s="9" t="n">
        <v>600</v>
      </c>
      <c r="J37" s="9" t="n">
        <v>21680736</v>
      </c>
    </row>
    <row r="38" customFormat="false" ht="15.75" hidden="false" customHeight="false" outlineLevel="0" collapsed="false">
      <c r="A38" s="7" t="s">
        <v>46</v>
      </c>
      <c r="B38" s="7" t="n">
        <v>9</v>
      </c>
      <c r="C38" s="9" t="n">
        <v>210</v>
      </c>
      <c r="D38" s="9" t="n">
        <v>7598640</v>
      </c>
      <c r="E38" s="9" t="n">
        <v>75</v>
      </c>
      <c r="F38" s="9" t="n">
        <v>2713800</v>
      </c>
      <c r="G38" s="9" t="n">
        <v>0</v>
      </c>
      <c r="H38" s="9" t="n">
        <v>0</v>
      </c>
      <c r="I38" s="9" t="n">
        <v>285</v>
      </c>
      <c r="J38" s="9" t="n">
        <v>10312440</v>
      </c>
    </row>
    <row r="39" customFormat="false" ht="15.75" hidden="false" customHeight="false" outlineLevel="0" collapsed="false">
      <c r="A39" s="7" t="s">
        <v>47</v>
      </c>
      <c r="B39" s="7" t="n">
        <v>9</v>
      </c>
      <c r="C39" s="9" t="n">
        <v>1750</v>
      </c>
      <c r="D39" s="9" t="n">
        <v>8533296</v>
      </c>
      <c r="E39" s="9" t="n">
        <v>500</v>
      </c>
      <c r="F39" s="9" t="n">
        <v>2546500</v>
      </c>
      <c r="G39" s="9" t="n">
        <v>750</v>
      </c>
      <c r="H39" s="9" t="n">
        <v>3693265</v>
      </c>
      <c r="I39" s="9" t="n">
        <v>1500</v>
      </c>
      <c r="J39" s="9" t="n">
        <v>7386531</v>
      </c>
    </row>
    <row r="40" customFormat="false" ht="15.75" hidden="false" customHeight="false" outlineLevel="0" collapsed="false">
      <c r="A40" s="7" t="s">
        <v>48</v>
      </c>
      <c r="B40" s="7" t="n">
        <v>9</v>
      </c>
      <c r="C40" s="9" t="n">
        <v>48</v>
      </c>
      <c r="D40" s="9" t="n">
        <v>1156368</v>
      </c>
      <c r="E40" s="9" t="n">
        <v>0</v>
      </c>
      <c r="F40" s="9" t="n">
        <v>0</v>
      </c>
      <c r="G40" s="9" t="n">
        <v>0</v>
      </c>
      <c r="H40" s="9" t="n">
        <v>0</v>
      </c>
      <c r="I40" s="9" t="n">
        <v>48</v>
      </c>
      <c r="J40" s="9" t="n">
        <v>1156368</v>
      </c>
    </row>
    <row r="41" customFormat="false" ht="15.75" hidden="false" customHeight="false" outlineLevel="0" collapsed="false">
      <c r="A41" s="7" t="s">
        <v>49</v>
      </c>
      <c r="B41" s="7" t="n">
        <v>9</v>
      </c>
      <c r="C41" s="9" t="n">
        <v>4440</v>
      </c>
      <c r="D41" s="9" t="n">
        <v>21631724</v>
      </c>
      <c r="E41" s="9" t="n">
        <v>1800</v>
      </c>
      <c r="F41" s="9" t="n">
        <v>8832600</v>
      </c>
      <c r="G41" s="9" t="n">
        <v>1800</v>
      </c>
      <c r="H41" s="9" t="n">
        <v>8787786</v>
      </c>
      <c r="I41" s="9" t="n">
        <v>4440</v>
      </c>
      <c r="J41" s="9" t="n">
        <v>21676538</v>
      </c>
    </row>
    <row r="42" customFormat="false" ht="15.75" hidden="false" customHeight="false" outlineLevel="0" collapsed="false">
      <c r="A42" s="7" t="s">
        <v>50</v>
      </c>
      <c r="B42" s="7" t="n">
        <v>9</v>
      </c>
      <c r="C42" s="9" t="n">
        <v>1500</v>
      </c>
      <c r="D42" s="9" t="n">
        <v>4773000</v>
      </c>
      <c r="E42" s="9" t="n">
        <v>0</v>
      </c>
      <c r="F42" s="9" t="n">
        <v>0</v>
      </c>
      <c r="G42" s="9" t="n">
        <v>0</v>
      </c>
      <c r="H42" s="9" t="n">
        <v>0</v>
      </c>
      <c r="I42" s="9" t="n">
        <v>1500</v>
      </c>
      <c r="J42" s="9" t="n">
        <v>4773000</v>
      </c>
    </row>
    <row r="43" customFormat="false" ht="15.75" hidden="false" customHeight="false" outlineLevel="0" collapsed="false">
      <c r="A43" s="7" t="s">
        <v>51</v>
      </c>
      <c r="B43" s="7" t="n">
        <v>9</v>
      </c>
      <c r="C43" s="9" t="n">
        <v>2000</v>
      </c>
      <c r="D43" s="9" t="n">
        <v>8044322</v>
      </c>
      <c r="E43" s="9" t="n">
        <v>0</v>
      </c>
      <c r="F43" s="9" t="n">
        <v>0</v>
      </c>
      <c r="G43" s="9" t="n">
        <v>500</v>
      </c>
      <c r="H43" s="9" t="n">
        <v>2011081</v>
      </c>
      <c r="I43" s="9" t="n">
        <v>1500</v>
      </c>
      <c r="J43" s="9" t="n">
        <v>6033241</v>
      </c>
    </row>
    <row r="44" customFormat="false" ht="15.75" hidden="false" customHeight="false" outlineLevel="0" collapsed="false">
      <c r="A44" s="7" t="s">
        <v>52</v>
      </c>
      <c r="B44" s="7" t="n">
        <v>9</v>
      </c>
      <c r="C44" s="9" t="n">
        <v>1342</v>
      </c>
      <c r="D44" s="9" t="n">
        <v>30772594</v>
      </c>
      <c r="E44" s="9" t="n">
        <v>192</v>
      </c>
      <c r="F44" s="9" t="n">
        <v>4444416</v>
      </c>
      <c r="G44" s="9" t="n">
        <v>722</v>
      </c>
      <c r="H44" s="9" t="n">
        <v>16575411</v>
      </c>
      <c r="I44" s="9" t="n">
        <v>812</v>
      </c>
      <c r="J44" s="9" t="n">
        <v>18641599</v>
      </c>
    </row>
    <row r="45" customFormat="false" ht="15.75" hidden="false" customHeight="false" outlineLevel="0" collapsed="false">
      <c r="A45" s="7" t="s">
        <v>53</v>
      </c>
      <c r="B45" s="7" t="n">
        <v>9</v>
      </c>
      <c r="C45" s="9" t="n">
        <v>0</v>
      </c>
      <c r="D45" s="9" t="n">
        <v>0</v>
      </c>
      <c r="E45" s="9" t="n">
        <v>0</v>
      </c>
      <c r="F45" s="9" t="n">
        <v>0</v>
      </c>
      <c r="G45" s="9" t="n">
        <v>0</v>
      </c>
      <c r="H45" s="9" t="n">
        <v>0</v>
      </c>
      <c r="I45" s="9" t="n">
        <v>0</v>
      </c>
      <c r="J45" s="9" t="n">
        <v>0</v>
      </c>
    </row>
    <row r="46" customFormat="false" ht="15.75" hidden="false" customHeight="false" outlineLevel="0" collapsed="false">
      <c r="A46" s="7" t="s">
        <v>54</v>
      </c>
      <c r="B46" s="7" t="n">
        <v>9</v>
      </c>
      <c r="C46" s="9" t="n">
        <v>4040</v>
      </c>
      <c r="D46" s="9" t="n">
        <v>57072052</v>
      </c>
      <c r="E46" s="9" t="n">
        <v>3402</v>
      </c>
      <c r="F46" s="9" t="n">
        <v>49778400</v>
      </c>
      <c r="G46" s="9" t="n">
        <v>3624</v>
      </c>
      <c r="H46" s="9" t="n">
        <v>52032523</v>
      </c>
      <c r="I46" s="9" t="n">
        <v>3818</v>
      </c>
      <c r="J46" s="9" t="n">
        <v>54817929</v>
      </c>
    </row>
    <row r="47" customFormat="false" ht="15.75" hidden="false" customHeight="false" outlineLevel="0" collapsed="false">
      <c r="A47" s="7" t="s">
        <v>55</v>
      </c>
      <c r="B47" s="7" t="n">
        <v>9</v>
      </c>
      <c r="C47" s="9" t="n">
        <v>150</v>
      </c>
      <c r="D47" s="9" t="n">
        <v>13138476</v>
      </c>
      <c r="E47" s="9" t="n">
        <v>0</v>
      </c>
      <c r="F47" s="9" t="n">
        <v>0</v>
      </c>
      <c r="G47" s="9" t="n">
        <v>84</v>
      </c>
      <c r="H47" s="9" t="n">
        <v>7357547</v>
      </c>
      <c r="I47" s="9" t="n">
        <v>66</v>
      </c>
      <c r="J47" s="9" t="n">
        <v>5780929</v>
      </c>
    </row>
    <row r="48" customFormat="false" ht="15.75" hidden="false" customHeight="false" outlineLevel="0" collapsed="false">
      <c r="A48" s="7" t="s">
        <v>56</v>
      </c>
      <c r="B48" s="7" t="n">
        <v>9</v>
      </c>
      <c r="C48" s="9" t="n">
        <v>912</v>
      </c>
      <c r="D48" s="9" t="n">
        <v>8706960</v>
      </c>
      <c r="E48" s="9" t="n">
        <v>528</v>
      </c>
      <c r="F48" s="9" t="n">
        <v>5084640</v>
      </c>
      <c r="G48" s="9" t="n">
        <v>672</v>
      </c>
      <c r="H48" s="9" t="n">
        <v>6436080</v>
      </c>
      <c r="I48" s="9" t="n">
        <v>768</v>
      </c>
      <c r="J48" s="9" t="n">
        <v>7355520</v>
      </c>
    </row>
    <row r="49" customFormat="false" ht="15.75" hidden="false" customHeight="false" outlineLevel="0" collapsed="false">
      <c r="A49" s="7" t="s">
        <v>57</v>
      </c>
      <c r="B49" s="7" t="n">
        <v>9</v>
      </c>
      <c r="C49" s="9" t="n">
        <v>2160</v>
      </c>
      <c r="D49" s="9" t="n">
        <v>37077360</v>
      </c>
      <c r="E49" s="9" t="n">
        <v>0</v>
      </c>
      <c r="F49" s="9" t="n">
        <v>0</v>
      </c>
      <c r="G49" s="9" t="n">
        <v>1560</v>
      </c>
      <c r="H49" s="9" t="n">
        <v>26778093</v>
      </c>
      <c r="I49" s="9" t="n">
        <v>600</v>
      </c>
      <c r="J49" s="9" t="n">
        <v>10299267</v>
      </c>
    </row>
    <row r="50" customFormat="false" ht="15.75" hidden="false" customHeight="false" outlineLevel="0" collapsed="false">
      <c r="A50" s="7" t="s">
        <v>58</v>
      </c>
      <c r="B50" s="7" t="n">
        <v>9</v>
      </c>
      <c r="C50" s="9" t="n">
        <v>2424</v>
      </c>
      <c r="D50" s="9" t="n">
        <v>20143783</v>
      </c>
      <c r="E50" s="9" t="n">
        <v>480</v>
      </c>
      <c r="F50" s="9" t="n">
        <v>4133280</v>
      </c>
      <c r="G50" s="9" t="n">
        <v>288</v>
      </c>
      <c r="H50" s="9" t="n">
        <v>2407643</v>
      </c>
      <c r="I50" s="9" t="n">
        <v>2616</v>
      </c>
      <c r="J50" s="9" t="n">
        <v>21869420</v>
      </c>
    </row>
    <row r="51" customFormat="false" ht="15.75" hidden="false" customHeight="false" outlineLevel="0" collapsed="false">
      <c r="A51" s="7" t="s">
        <v>59</v>
      </c>
      <c r="B51" s="7" t="n">
        <v>9</v>
      </c>
      <c r="C51" s="9" t="n">
        <v>3639</v>
      </c>
      <c r="D51" s="9" t="n">
        <v>54541707</v>
      </c>
      <c r="E51" s="9" t="n">
        <v>2552</v>
      </c>
      <c r="F51" s="9" t="n">
        <v>40000800</v>
      </c>
      <c r="G51" s="9" t="n">
        <v>4080</v>
      </c>
      <c r="H51" s="9" t="n">
        <v>62305513</v>
      </c>
      <c r="I51" s="9" t="n">
        <v>2111</v>
      </c>
      <c r="J51" s="9" t="n">
        <v>32236994</v>
      </c>
    </row>
    <row r="52" customFormat="false" ht="15.75" hidden="false" customHeight="false" outlineLevel="0" collapsed="false">
      <c r="A52" s="7" t="s">
        <v>60</v>
      </c>
      <c r="B52" s="7" t="n">
        <v>9</v>
      </c>
      <c r="C52" s="9" t="n">
        <v>4673</v>
      </c>
      <c r="D52" s="9" t="n">
        <v>152335982</v>
      </c>
      <c r="E52" s="9" t="n">
        <v>938</v>
      </c>
      <c r="F52" s="9" t="n">
        <v>25766532</v>
      </c>
      <c r="G52" s="9" t="n">
        <v>60</v>
      </c>
      <c r="H52" s="9" t="n">
        <v>1904500</v>
      </c>
      <c r="I52" s="9" t="n">
        <v>5551</v>
      </c>
      <c r="J52" s="9" t="n">
        <v>176198014</v>
      </c>
    </row>
    <row r="53" customFormat="false" ht="15.75" hidden="false" customHeight="false" outlineLevel="0" collapsed="false">
      <c r="A53" s="7" t="s">
        <v>61</v>
      </c>
      <c r="B53" s="7" t="n">
        <v>9</v>
      </c>
      <c r="C53" s="9" t="n">
        <v>0</v>
      </c>
      <c r="D53" s="9" t="n">
        <v>0</v>
      </c>
      <c r="E53" s="9" t="n">
        <v>0</v>
      </c>
      <c r="F53" s="9" t="n">
        <v>0</v>
      </c>
      <c r="G53" s="9" t="n">
        <v>0</v>
      </c>
      <c r="H53" s="9" t="n">
        <v>0</v>
      </c>
      <c r="I53" s="9" t="n">
        <v>0</v>
      </c>
      <c r="J53" s="9" t="n">
        <v>0</v>
      </c>
    </row>
    <row r="54" customFormat="false" ht="15.75" hidden="false" customHeight="false" outlineLevel="0" collapsed="false">
      <c r="A54" s="7" t="s">
        <v>62</v>
      </c>
      <c r="B54" s="7" t="n">
        <v>9</v>
      </c>
      <c r="C54" s="9" t="n">
        <v>6250</v>
      </c>
      <c r="D54" s="9" t="n">
        <v>30320286</v>
      </c>
      <c r="E54" s="9" t="n">
        <v>2403</v>
      </c>
      <c r="F54" s="9" t="n">
        <v>11776800</v>
      </c>
      <c r="G54" s="9" t="n">
        <v>3600</v>
      </c>
      <c r="H54" s="9" t="n">
        <v>17514100</v>
      </c>
      <c r="I54" s="9" t="n">
        <v>5053</v>
      </c>
      <c r="J54" s="9" t="n">
        <v>24582986</v>
      </c>
    </row>
    <row r="55" customFormat="false" ht="15.75" hidden="false" customHeight="false" outlineLevel="0" collapsed="false">
      <c r="A55" s="7" t="s">
        <v>63</v>
      </c>
      <c r="B55" s="7" t="n">
        <v>9</v>
      </c>
      <c r="C55" s="9" t="n">
        <v>0</v>
      </c>
      <c r="D55" s="9" t="n">
        <v>0</v>
      </c>
      <c r="E55" s="9" t="n">
        <v>0</v>
      </c>
      <c r="F55" s="9" t="n">
        <v>0</v>
      </c>
      <c r="G55" s="9" t="n">
        <v>0</v>
      </c>
      <c r="H55" s="9" t="n">
        <v>0</v>
      </c>
      <c r="I55" s="9" t="n">
        <v>0</v>
      </c>
      <c r="J55" s="9" t="n">
        <v>0</v>
      </c>
    </row>
    <row r="56" customFormat="false" ht="15.75" hidden="false" customHeight="false" outlineLevel="0" collapsed="false">
      <c r="A56" s="7" t="s">
        <v>64</v>
      </c>
      <c r="B56" s="7" t="n">
        <v>9</v>
      </c>
      <c r="C56" s="9" t="n">
        <v>0</v>
      </c>
      <c r="D56" s="9" t="n">
        <v>0</v>
      </c>
      <c r="E56" s="9" t="n">
        <v>0</v>
      </c>
      <c r="F56" s="9" t="n">
        <v>0</v>
      </c>
      <c r="G56" s="9" t="n">
        <v>0</v>
      </c>
      <c r="H56" s="9" t="n">
        <v>0</v>
      </c>
      <c r="I56" s="9" t="n">
        <v>0</v>
      </c>
      <c r="J56" s="9" t="n">
        <v>0</v>
      </c>
    </row>
    <row r="57" customFormat="false" ht="15.75" hidden="false" customHeight="false" outlineLevel="0" collapsed="false">
      <c r="A57" s="7" t="s">
        <v>65</v>
      </c>
      <c r="B57" s="7" t="n">
        <v>9</v>
      </c>
      <c r="C57" s="9" t="n">
        <v>0</v>
      </c>
      <c r="D57" s="9" t="n">
        <v>0</v>
      </c>
      <c r="E57" s="9" t="n">
        <v>0</v>
      </c>
      <c r="F57" s="9" t="n">
        <v>0</v>
      </c>
      <c r="G57" s="9" t="n">
        <v>0</v>
      </c>
      <c r="H57" s="9" t="n">
        <v>0</v>
      </c>
      <c r="I57" s="9" t="n">
        <v>0</v>
      </c>
      <c r="J57" s="9" t="n">
        <v>0</v>
      </c>
    </row>
    <row r="58" customFormat="false" ht="15.75" hidden="false" customHeight="false" outlineLevel="0" collapsed="false">
      <c r="A58" s="7" t="s">
        <v>66</v>
      </c>
      <c r="B58" s="7" t="n">
        <v>9</v>
      </c>
      <c r="C58" s="9" t="n">
        <v>1608</v>
      </c>
      <c r="D58" s="9" t="n">
        <v>24601608</v>
      </c>
      <c r="E58" s="9" t="n">
        <v>1839</v>
      </c>
      <c r="F58" s="9" t="n">
        <v>28333800</v>
      </c>
      <c r="G58" s="9" t="n">
        <v>1800</v>
      </c>
      <c r="H58" s="9" t="n">
        <v>27642511</v>
      </c>
      <c r="I58" s="9" t="n">
        <v>1647</v>
      </c>
      <c r="J58" s="9" t="n">
        <v>25292897</v>
      </c>
    </row>
    <row r="59" customFormat="false" ht="15.75" hidden="false" customHeight="false" outlineLevel="0" collapsed="false">
      <c r="A59" s="7" t="s">
        <v>67</v>
      </c>
      <c r="B59" s="7" t="n">
        <v>9</v>
      </c>
      <c r="C59" s="9" t="n">
        <v>146</v>
      </c>
      <c r="D59" s="9" t="n">
        <v>985256</v>
      </c>
      <c r="E59" s="9" t="n">
        <v>0</v>
      </c>
      <c r="F59" s="9" t="n">
        <v>0</v>
      </c>
      <c r="G59" s="9" t="n">
        <v>0</v>
      </c>
      <c r="H59" s="9" t="n">
        <v>0</v>
      </c>
      <c r="I59" s="9" t="n">
        <v>146</v>
      </c>
      <c r="J59" s="9" t="n">
        <v>985256</v>
      </c>
    </row>
    <row r="60" customFormat="false" ht="15.75" hidden="false" customHeight="false" outlineLevel="0" collapsed="false">
      <c r="A60" s="7" t="s">
        <v>68</v>
      </c>
      <c r="B60" s="7" t="n">
        <v>9</v>
      </c>
      <c r="C60" s="9" t="n">
        <v>492</v>
      </c>
      <c r="D60" s="9" t="n">
        <v>22513469</v>
      </c>
      <c r="E60" s="9" t="n">
        <v>60</v>
      </c>
      <c r="F60" s="9" t="n">
        <v>2800020</v>
      </c>
      <c r="G60" s="9" t="n">
        <v>312</v>
      </c>
      <c r="H60" s="9" t="n">
        <v>14307624</v>
      </c>
      <c r="I60" s="9" t="n">
        <v>240</v>
      </c>
      <c r="J60" s="9" t="n">
        <v>11005865</v>
      </c>
    </row>
    <row r="61" customFormat="false" ht="15.75" hidden="false" customHeight="false" outlineLevel="0" collapsed="false">
      <c r="A61" s="7" t="s">
        <v>69</v>
      </c>
      <c r="B61" s="7" t="n">
        <v>9</v>
      </c>
      <c r="C61" s="9" t="n">
        <v>0</v>
      </c>
      <c r="D61" s="9" t="n">
        <v>0</v>
      </c>
      <c r="E61" s="9" t="n">
        <v>0</v>
      </c>
      <c r="F61" s="9" t="n">
        <v>0</v>
      </c>
      <c r="G61" s="9" t="n">
        <v>0</v>
      </c>
      <c r="H61" s="9" t="n">
        <v>0</v>
      </c>
      <c r="I61" s="9" t="n">
        <v>0</v>
      </c>
      <c r="J61" s="9" t="n">
        <v>0</v>
      </c>
    </row>
    <row r="62" customFormat="false" ht="15.75" hidden="false" customHeight="false" outlineLevel="0" collapsed="false">
      <c r="A62" s="7" t="s">
        <v>70</v>
      </c>
      <c r="B62" s="7" t="n">
        <v>9</v>
      </c>
      <c r="C62" s="9" t="n">
        <v>0</v>
      </c>
      <c r="D62" s="9" t="n">
        <v>0</v>
      </c>
      <c r="E62" s="9" t="n">
        <v>0</v>
      </c>
      <c r="F62" s="9" t="n">
        <v>0</v>
      </c>
      <c r="G62" s="9" t="n">
        <v>0</v>
      </c>
      <c r="H62" s="9" t="n">
        <v>0</v>
      </c>
      <c r="I62" s="9" t="n">
        <v>0</v>
      </c>
      <c r="J62" s="9" t="n">
        <v>0</v>
      </c>
    </row>
    <row r="63" customFormat="false" ht="15.75" hidden="false" customHeight="false" outlineLevel="0" collapsed="false">
      <c r="A63" s="7" t="s">
        <v>71</v>
      </c>
      <c r="B63" s="7" t="n">
        <v>9</v>
      </c>
      <c r="C63" s="9" t="n">
        <v>1788</v>
      </c>
      <c r="D63" s="9" t="n">
        <v>27215539</v>
      </c>
      <c r="E63" s="9" t="n">
        <v>840</v>
      </c>
      <c r="F63" s="9" t="n">
        <v>13222440</v>
      </c>
      <c r="G63" s="9" t="n">
        <v>1668</v>
      </c>
      <c r="H63" s="9" t="n">
        <v>25666115</v>
      </c>
      <c r="I63" s="9" t="n">
        <v>960</v>
      </c>
      <c r="J63" s="9" t="n">
        <v>14771864</v>
      </c>
    </row>
    <row r="64" customFormat="false" ht="15.75" hidden="false" customHeight="false" outlineLevel="0" collapsed="false">
      <c r="A64" s="7" t="s">
        <v>72</v>
      </c>
      <c r="B64" s="7" t="n">
        <v>9</v>
      </c>
      <c r="C64" s="9" t="n">
        <v>2640</v>
      </c>
      <c r="D64" s="9" t="n">
        <v>59144685</v>
      </c>
      <c r="E64" s="9" t="n">
        <v>726</v>
      </c>
      <c r="F64" s="9" t="n">
        <v>17333280</v>
      </c>
      <c r="G64" s="9" t="n">
        <v>240</v>
      </c>
      <c r="H64" s="9" t="n">
        <v>5452974</v>
      </c>
      <c r="I64" s="9" t="n">
        <v>3126</v>
      </c>
      <c r="J64" s="9" t="n">
        <v>71024991</v>
      </c>
    </row>
    <row r="65" customFormat="false" ht="15.75" hidden="false" customHeight="false" outlineLevel="0" collapsed="false">
      <c r="A65" s="7" t="s">
        <v>73</v>
      </c>
      <c r="B65" s="7" t="n">
        <v>9</v>
      </c>
      <c r="C65" s="9" t="n">
        <v>3720</v>
      </c>
      <c r="D65" s="9" t="n">
        <v>124377126</v>
      </c>
      <c r="E65" s="9" t="n">
        <v>1800</v>
      </c>
      <c r="F65" s="9" t="n">
        <v>61666200</v>
      </c>
      <c r="G65" s="9" t="n">
        <v>2982</v>
      </c>
      <c r="H65" s="9" t="n">
        <v>100503840</v>
      </c>
      <c r="I65" s="9" t="n">
        <v>2538</v>
      </c>
      <c r="J65" s="9" t="n">
        <v>85539486</v>
      </c>
    </row>
    <row r="66" customFormat="false" ht="15.75" hidden="false" customHeight="false" outlineLevel="0" collapsed="false">
      <c r="A66" s="7" t="s">
        <v>74</v>
      </c>
      <c r="B66" s="7" t="n">
        <v>9</v>
      </c>
      <c r="C66" s="9" t="n">
        <v>5688</v>
      </c>
      <c r="D66" s="9" t="n">
        <v>83372984</v>
      </c>
      <c r="E66" s="9" t="n">
        <v>1920</v>
      </c>
      <c r="F66" s="9" t="n">
        <v>28444800</v>
      </c>
      <c r="G66" s="9" t="n">
        <v>2568</v>
      </c>
      <c r="H66" s="9" t="n">
        <v>37742911</v>
      </c>
      <c r="I66" s="9" t="n">
        <v>5040</v>
      </c>
      <c r="J66" s="9" t="n">
        <v>74074873</v>
      </c>
    </row>
    <row r="67" customFormat="false" ht="15.75" hidden="false" customHeight="false" outlineLevel="0" collapsed="false">
      <c r="A67" s="7" t="s">
        <v>75</v>
      </c>
      <c r="B67" s="7" t="n">
        <v>9</v>
      </c>
      <c r="C67" s="9" t="n">
        <v>2160</v>
      </c>
      <c r="D67" s="9" t="n">
        <v>756444</v>
      </c>
      <c r="E67" s="9" t="n">
        <v>800</v>
      </c>
      <c r="F67" s="9" t="n">
        <v>296000</v>
      </c>
      <c r="G67" s="9" t="n">
        <v>560</v>
      </c>
      <c r="H67" s="9" t="n">
        <v>199111</v>
      </c>
      <c r="I67" s="9" t="n">
        <v>2400</v>
      </c>
      <c r="J67" s="9" t="n">
        <v>853333</v>
      </c>
    </row>
    <row r="68" customFormat="false" ht="15.75" hidden="false" customHeight="false" outlineLevel="0" collapsed="false">
      <c r="A68" s="7" t="s">
        <v>76</v>
      </c>
      <c r="B68" s="7" t="n">
        <v>9</v>
      </c>
      <c r="C68" s="9" t="n">
        <v>168</v>
      </c>
      <c r="D68" s="9" t="n">
        <v>8745255</v>
      </c>
      <c r="E68" s="9" t="n">
        <v>45</v>
      </c>
      <c r="F68" s="9" t="n">
        <v>4277790</v>
      </c>
      <c r="G68" s="9" t="n">
        <v>93</v>
      </c>
      <c r="H68" s="9" t="n">
        <v>5686118</v>
      </c>
      <c r="I68" s="9" t="n">
        <v>120</v>
      </c>
      <c r="J68" s="9" t="n">
        <v>7336927</v>
      </c>
    </row>
    <row r="69" customFormat="false" ht="15.75" hidden="false" customHeight="false" outlineLevel="0" collapsed="false">
      <c r="A69" s="7" t="s">
        <v>77</v>
      </c>
      <c r="B69" s="7" t="n">
        <v>9</v>
      </c>
      <c r="C69" s="9" t="n">
        <v>588</v>
      </c>
      <c r="D69" s="9" t="n">
        <v>3546849</v>
      </c>
      <c r="E69" s="9" t="n">
        <v>96</v>
      </c>
      <c r="F69" s="9" t="n">
        <v>604416</v>
      </c>
      <c r="G69" s="9" t="n">
        <v>60</v>
      </c>
      <c r="H69" s="9" t="n">
        <v>364146</v>
      </c>
      <c r="I69" s="9" t="n">
        <v>624</v>
      </c>
      <c r="J69" s="9" t="n">
        <v>3787119</v>
      </c>
    </row>
    <row r="70" customFormat="false" ht="15.75" hidden="false" customHeight="false" outlineLevel="0" collapsed="false">
      <c r="A70" s="7" t="s">
        <v>78</v>
      </c>
      <c r="B70" s="7" t="n">
        <v>9</v>
      </c>
      <c r="C70" s="9" t="n">
        <v>4746</v>
      </c>
      <c r="D70" s="9" t="n">
        <v>25664765</v>
      </c>
      <c r="E70" s="9" t="n">
        <v>2875</v>
      </c>
      <c r="F70" s="9" t="n">
        <v>29333040</v>
      </c>
      <c r="G70" s="9" t="n">
        <v>2376</v>
      </c>
      <c r="H70" s="9" t="n">
        <v>17146672</v>
      </c>
      <c r="I70" s="9" t="n">
        <v>5245</v>
      </c>
      <c r="J70" s="9" t="n">
        <v>37851133</v>
      </c>
    </row>
    <row r="71" customFormat="false" ht="15.75" hidden="false" customHeight="false" outlineLevel="0" collapsed="false">
      <c r="A71" s="7" t="s">
        <v>79</v>
      </c>
      <c r="B71" s="7" t="n">
        <v>9</v>
      </c>
      <c r="C71" s="9" t="n">
        <v>2077</v>
      </c>
      <c r="D71" s="9" t="n">
        <v>40502882</v>
      </c>
      <c r="E71" s="9" t="n">
        <v>360</v>
      </c>
      <c r="F71" s="9" t="n">
        <v>7666560</v>
      </c>
      <c r="G71" s="9" t="n">
        <v>42</v>
      </c>
      <c r="H71" s="9" t="n">
        <v>830167</v>
      </c>
      <c r="I71" s="9" t="n">
        <v>2395</v>
      </c>
      <c r="J71" s="9" t="n">
        <v>47339275</v>
      </c>
    </row>
    <row r="72" customFormat="false" ht="15.75" hidden="false" customHeight="false" outlineLevel="0" collapsed="false">
      <c r="A72" s="7" t="s">
        <v>80</v>
      </c>
      <c r="B72" s="7" t="n">
        <v>9</v>
      </c>
      <c r="C72" s="9" t="n">
        <v>216</v>
      </c>
      <c r="D72" s="9" t="n">
        <v>3008802</v>
      </c>
      <c r="E72" s="9" t="n">
        <v>0</v>
      </c>
      <c r="F72" s="9" t="n">
        <v>0</v>
      </c>
      <c r="G72" s="9" t="n">
        <v>144</v>
      </c>
      <c r="H72" s="9" t="n">
        <v>2005868</v>
      </c>
      <c r="I72" s="9" t="n">
        <v>72</v>
      </c>
      <c r="J72" s="9" t="n">
        <v>1002934</v>
      </c>
    </row>
    <row r="73" customFormat="false" ht="15.75" hidden="false" customHeight="false" outlineLevel="0" collapsed="false">
      <c r="A73" s="7" t="s">
        <v>81</v>
      </c>
      <c r="B73" s="7" t="n">
        <v>9</v>
      </c>
      <c r="C73" s="9" t="n">
        <v>2304</v>
      </c>
      <c r="D73" s="9" t="n">
        <v>34519752</v>
      </c>
      <c r="E73" s="9" t="n">
        <v>360</v>
      </c>
      <c r="F73" s="9" t="n">
        <v>5666760</v>
      </c>
      <c r="G73" s="9" t="n">
        <v>1332</v>
      </c>
      <c r="H73" s="9" t="n">
        <v>20093256</v>
      </c>
      <c r="I73" s="9" t="n">
        <v>1332</v>
      </c>
      <c r="J73" s="9" t="n">
        <v>20093256</v>
      </c>
    </row>
    <row r="74" customFormat="false" ht="15.75" hidden="false" customHeight="false" outlineLevel="0" collapsed="false">
      <c r="A74" s="7" t="s">
        <v>82</v>
      </c>
      <c r="B74" s="7" t="n">
        <v>9</v>
      </c>
      <c r="C74" s="9" t="n">
        <v>8280</v>
      </c>
      <c r="D74" s="9" t="n">
        <v>59789160</v>
      </c>
      <c r="E74" s="9" t="n">
        <v>1080</v>
      </c>
      <c r="F74" s="9" t="n">
        <v>7999560</v>
      </c>
      <c r="G74" s="9" t="n">
        <v>5760</v>
      </c>
      <c r="H74" s="9" t="n">
        <v>41716135</v>
      </c>
      <c r="I74" s="9" t="n">
        <v>3600</v>
      </c>
      <c r="J74" s="9" t="n">
        <v>26072585</v>
      </c>
    </row>
    <row r="75" customFormat="false" ht="15.75" hidden="false" customHeight="false" outlineLevel="0" collapsed="false">
      <c r="A75" s="7" t="s">
        <v>83</v>
      </c>
      <c r="B75" s="7" t="n">
        <v>9</v>
      </c>
      <c r="C75" s="9" t="n">
        <v>1674</v>
      </c>
      <c r="D75" s="9" t="n">
        <v>11858042</v>
      </c>
      <c r="E75" s="9" t="n">
        <v>1080</v>
      </c>
      <c r="F75" s="9" t="n">
        <v>8400240</v>
      </c>
      <c r="G75" s="9" t="n">
        <v>1188</v>
      </c>
      <c r="H75" s="9" t="n">
        <v>8738867</v>
      </c>
      <c r="I75" s="9" t="n">
        <v>1566</v>
      </c>
      <c r="J75" s="9" t="n">
        <v>11519415</v>
      </c>
    </row>
    <row r="76" customFormat="false" ht="15.75" hidden="false" customHeight="false" outlineLevel="0" collapsed="false">
      <c r="A76" s="7" t="s">
        <v>84</v>
      </c>
      <c r="B76" s="7" t="n">
        <v>9</v>
      </c>
      <c r="C76" s="9" t="n">
        <v>11726</v>
      </c>
      <c r="D76" s="9" t="n">
        <v>352152781</v>
      </c>
      <c r="E76" s="9" t="n">
        <v>5710</v>
      </c>
      <c r="F76" s="9" t="n">
        <v>173775120</v>
      </c>
      <c r="G76" s="9" t="n">
        <v>3624</v>
      </c>
      <c r="H76" s="9" t="n">
        <v>109311924</v>
      </c>
      <c r="I76" s="9" t="n">
        <v>13812</v>
      </c>
      <c r="J76" s="9" t="n">
        <v>416615977</v>
      </c>
    </row>
    <row r="77" customFormat="false" ht="15.75" hidden="false" customHeight="false" outlineLevel="0" collapsed="false">
      <c r="A77" s="7" t="s">
        <v>85</v>
      </c>
      <c r="B77" s="7" t="n">
        <v>9</v>
      </c>
      <c r="C77" s="9" t="n">
        <v>12823</v>
      </c>
      <c r="D77" s="9" t="n">
        <v>115298613</v>
      </c>
      <c r="E77" s="9" t="n">
        <v>5924</v>
      </c>
      <c r="F77" s="9" t="n">
        <v>53331840</v>
      </c>
      <c r="G77" s="9" t="n">
        <v>2088</v>
      </c>
      <c r="H77" s="9" t="n">
        <v>18781692</v>
      </c>
      <c r="I77" s="9" t="n">
        <v>16659</v>
      </c>
      <c r="J77" s="9" t="n">
        <v>149848761</v>
      </c>
    </row>
    <row r="78" customFormat="false" ht="15.75" hidden="false" customHeight="false" outlineLevel="0" collapsed="false">
      <c r="A78" s="7" t="s">
        <v>86</v>
      </c>
      <c r="B78" s="7" t="n">
        <v>9</v>
      </c>
      <c r="C78" s="9" t="n">
        <v>38865</v>
      </c>
      <c r="D78" s="9" t="n">
        <v>277463166</v>
      </c>
      <c r="E78" s="9" t="n">
        <v>21411</v>
      </c>
      <c r="F78" s="9" t="n">
        <v>154658160</v>
      </c>
      <c r="G78" s="9" t="n">
        <v>6192</v>
      </c>
      <c r="H78" s="9" t="n">
        <v>44390724</v>
      </c>
      <c r="I78" s="9" t="n">
        <v>54084</v>
      </c>
      <c r="J78" s="9" t="n">
        <v>387730602</v>
      </c>
    </row>
    <row r="79" customFormat="false" ht="15.75" hidden="false" customHeight="false" outlineLevel="0" collapsed="false">
      <c r="A79" s="7" t="s">
        <v>87</v>
      </c>
      <c r="B79" s="7" t="n">
        <v>9</v>
      </c>
      <c r="C79" s="9" t="n">
        <v>1014</v>
      </c>
      <c r="D79" s="9" t="n">
        <v>17695379</v>
      </c>
      <c r="E79" s="9" t="n">
        <v>3793</v>
      </c>
      <c r="F79" s="9" t="n">
        <v>68251680</v>
      </c>
      <c r="G79" s="9" t="n">
        <v>3276</v>
      </c>
      <c r="H79" s="9" t="n">
        <v>58573448</v>
      </c>
      <c r="I79" s="9" t="n">
        <v>1531</v>
      </c>
      <c r="J79" s="9" t="n">
        <v>27373611</v>
      </c>
    </row>
    <row r="80" customFormat="false" ht="15.75" hidden="false" customHeight="false" outlineLevel="0" collapsed="false">
      <c r="A80" s="7" t="s">
        <v>88</v>
      </c>
      <c r="B80" s="7" t="n">
        <v>9</v>
      </c>
      <c r="C80" s="9" t="n">
        <v>768</v>
      </c>
      <c r="D80" s="9" t="n">
        <v>16058112</v>
      </c>
      <c r="E80" s="9" t="n">
        <v>0</v>
      </c>
      <c r="F80" s="9" t="n">
        <v>0</v>
      </c>
      <c r="G80" s="9" t="n">
        <v>0</v>
      </c>
      <c r="H80" s="9" t="n">
        <v>0</v>
      </c>
      <c r="I80" s="9" t="n">
        <v>768</v>
      </c>
      <c r="J80" s="9" t="n">
        <v>16058112</v>
      </c>
    </row>
    <row r="81" customFormat="false" ht="15.75" hidden="false" customHeight="false" outlineLevel="0" collapsed="false">
      <c r="A81" s="7" t="s">
        <v>89</v>
      </c>
      <c r="B81" s="7" t="n">
        <v>9</v>
      </c>
      <c r="C81" s="9" t="n">
        <v>240</v>
      </c>
      <c r="D81" s="9" t="n">
        <v>5781579</v>
      </c>
      <c r="E81" s="9" t="n">
        <v>180</v>
      </c>
      <c r="F81" s="9" t="n">
        <v>4416660</v>
      </c>
      <c r="G81" s="9" t="n">
        <v>0</v>
      </c>
      <c r="H81" s="9" t="n">
        <v>0</v>
      </c>
      <c r="I81" s="9" t="n">
        <v>420</v>
      </c>
      <c r="J81" s="9" t="n">
        <v>10198239</v>
      </c>
    </row>
    <row r="82" customFormat="false" ht="15.75" hidden="false" customHeight="false" outlineLevel="0" collapsed="false">
      <c r="A82" s="7" t="s">
        <v>90</v>
      </c>
      <c r="B82" s="7" t="n">
        <v>9</v>
      </c>
      <c r="C82" s="9" t="n">
        <v>474</v>
      </c>
      <c r="D82" s="9" t="n">
        <v>24991701</v>
      </c>
      <c r="E82" s="9" t="n">
        <v>1620</v>
      </c>
      <c r="F82" s="9" t="n">
        <v>86250420</v>
      </c>
      <c r="G82" s="9" t="n">
        <v>1347</v>
      </c>
      <c r="H82" s="9" t="n">
        <v>71558328</v>
      </c>
      <c r="I82" s="9" t="n">
        <v>747</v>
      </c>
      <c r="J82" s="9" t="n">
        <v>39683793</v>
      </c>
    </row>
    <row r="83" customFormat="false" ht="15.75" hidden="false" customHeight="false" outlineLevel="0" collapsed="false">
      <c r="A83" s="7" t="s">
        <v>91</v>
      </c>
      <c r="B83" s="7" t="n">
        <v>9</v>
      </c>
      <c r="C83" s="9" t="n">
        <v>3600</v>
      </c>
      <c r="D83" s="9" t="n">
        <v>30758618</v>
      </c>
      <c r="E83" s="9" t="n">
        <v>6120</v>
      </c>
      <c r="F83" s="9" t="n">
        <v>55998720</v>
      </c>
      <c r="G83" s="9" t="n">
        <v>5280</v>
      </c>
      <c r="H83" s="9" t="n">
        <v>47127443</v>
      </c>
      <c r="I83" s="9" t="n">
        <v>4440</v>
      </c>
      <c r="J83" s="9" t="n">
        <v>39629895</v>
      </c>
    </row>
    <row r="84" customFormat="false" ht="15.75" hidden="false" customHeight="false" outlineLevel="0" collapsed="false">
      <c r="A84" s="7" t="s">
        <v>92</v>
      </c>
      <c r="B84" s="7" t="n">
        <v>9</v>
      </c>
      <c r="C84" s="9" t="n">
        <v>10400</v>
      </c>
      <c r="D84" s="9" t="n">
        <v>5045950</v>
      </c>
      <c r="E84" s="9" t="n">
        <v>8000</v>
      </c>
      <c r="F84" s="9" t="n">
        <v>3928000</v>
      </c>
      <c r="G84" s="9" t="n">
        <v>800</v>
      </c>
      <c r="H84" s="9" t="n">
        <v>390172</v>
      </c>
      <c r="I84" s="9" t="n">
        <v>17600</v>
      </c>
      <c r="J84" s="9" t="n">
        <v>8583778</v>
      </c>
    </row>
    <row r="85" customFormat="false" ht="15.75" hidden="false" customHeight="false" outlineLevel="0" collapsed="false">
      <c r="A85" s="7" t="s">
        <v>93</v>
      </c>
      <c r="B85" s="7" t="n">
        <v>9</v>
      </c>
      <c r="C85" s="9" t="n">
        <v>360</v>
      </c>
      <c r="D85" s="9" t="n">
        <v>18736330</v>
      </c>
      <c r="E85" s="9" t="n">
        <v>60</v>
      </c>
      <c r="F85" s="9" t="n">
        <v>3194460</v>
      </c>
      <c r="G85" s="9" t="n">
        <v>180</v>
      </c>
      <c r="H85" s="9" t="n">
        <v>9398910</v>
      </c>
      <c r="I85" s="9" t="n">
        <v>240</v>
      </c>
      <c r="J85" s="9" t="n">
        <v>12531880</v>
      </c>
    </row>
    <row r="86" customFormat="false" ht="15.75" hidden="false" customHeight="false" outlineLevel="0" collapsed="false">
      <c r="A86" s="7" t="s">
        <v>94</v>
      </c>
      <c r="B86" s="7" t="n">
        <v>9</v>
      </c>
      <c r="C86" s="9" t="n">
        <v>384</v>
      </c>
      <c r="D86" s="9" t="n">
        <v>3525240</v>
      </c>
      <c r="E86" s="9" t="n">
        <v>72</v>
      </c>
      <c r="F86" s="9" t="n">
        <v>699984</v>
      </c>
      <c r="G86" s="9" t="n">
        <v>216</v>
      </c>
      <c r="H86" s="9" t="n">
        <v>2001422</v>
      </c>
      <c r="I86" s="9" t="n">
        <v>240</v>
      </c>
      <c r="J86" s="9" t="n">
        <v>2223802</v>
      </c>
    </row>
    <row r="87" customFormat="false" ht="15.75" hidden="false" customHeight="false" outlineLevel="0" collapsed="false">
      <c r="A87" s="7" t="s">
        <v>95</v>
      </c>
      <c r="B87" s="7" t="n">
        <v>9</v>
      </c>
      <c r="C87" s="9" t="n">
        <v>2052</v>
      </c>
      <c r="D87" s="9" t="n">
        <v>16682112</v>
      </c>
      <c r="E87" s="9" t="n">
        <v>360</v>
      </c>
      <c r="F87" s="9" t="n">
        <v>2999880</v>
      </c>
      <c r="G87" s="9" t="n">
        <v>1368</v>
      </c>
      <c r="H87" s="9" t="n">
        <v>11162921</v>
      </c>
      <c r="I87" s="9" t="n">
        <v>1044</v>
      </c>
      <c r="J87" s="9" t="n">
        <v>8519071</v>
      </c>
    </row>
    <row r="88" customFormat="false" ht="15.75" hidden="false" customHeight="false" outlineLevel="0" collapsed="false">
      <c r="A88" s="7" t="s">
        <v>96</v>
      </c>
      <c r="B88" s="7" t="n">
        <v>9</v>
      </c>
      <c r="C88" s="9" t="n">
        <v>594</v>
      </c>
      <c r="D88" s="9" t="n">
        <v>65804990</v>
      </c>
      <c r="E88" s="9" t="n">
        <v>120</v>
      </c>
      <c r="F88" s="9" t="n">
        <v>13944480</v>
      </c>
      <c r="G88" s="9" t="n">
        <v>612</v>
      </c>
      <c r="H88" s="9" t="n">
        <v>68356689</v>
      </c>
      <c r="I88" s="9" t="n">
        <v>102</v>
      </c>
      <c r="J88" s="9" t="n">
        <v>11392781</v>
      </c>
    </row>
    <row r="89" customFormat="false" ht="15.75" hidden="false" customHeight="false" outlineLevel="0" collapsed="false">
      <c r="A89" s="7" t="s">
        <v>97</v>
      </c>
      <c r="B89" s="7" t="n">
        <v>9</v>
      </c>
      <c r="C89" s="9" t="n">
        <v>18400</v>
      </c>
      <c r="D89" s="9" t="n">
        <v>8965634</v>
      </c>
      <c r="E89" s="9" t="n">
        <v>8000</v>
      </c>
      <c r="F89" s="9" t="n">
        <v>3928000</v>
      </c>
      <c r="G89" s="9" t="n">
        <v>0</v>
      </c>
      <c r="H89" s="9" t="n">
        <v>0</v>
      </c>
      <c r="I89" s="9" t="n">
        <v>26400</v>
      </c>
      <c r="J89" s="9" t="n">
        <v>12893634</v>
      </c>
    </row>
    <row r="90" customFormat="false" ht="15.75" hidden="false" customHeight="false" outlineLevel="0" collapsed="false">
      <c r="A90" s="7" t="s">
        <v>98</v>
      </c>
      <c r="B90" s="7" t="n">
        <v>9</v>
      </c>
      <c r="C90" s="9" t="n">
        <v>3408</v>
      </c>
      <c r="D90" s="9" t="n">
        <v>33815524</v>
      </c>
      <c r="E90" s="9" t="n">
        <v>480</v>
      </c>
      <c r="F90" s="9" t="n">
        <v>5066880</v>
      </c>
      <c r="G90" s="9" t="n">
        <v>2448</v>
      </c>
      <c r="H90" s="9" t="n">
        <v>24481514</v>
      </c>
      <c r="I90" s="9" t="n">
        <v>1440</v>
      </c>
      <c r="J90" s="9" t="n">
        <v>14400890</v>
      </c>
    </row>
    <row r="91" customFormat="false" ht="15.75" hidden="false" customHeight="false" outlineLevel="0" collapsed="false">
      <c r="A91" s="7" t="s">
        <v>99</v>
      </c>
      <c r="B91" s="7" t="n">
        <v>9</v>
      </c>
      <c r="C91" s="9" t="n">
        <v>0</v>
      </c>
      <c r="D91" s="9" t="n">
        <v>0</v>
      </c>
      <c r="E91" s="9" t="n">
        <v>0</v>
      </c>
      <c r="F91" s="9" t="n">
        <v>0</v>
      </c>
      <c r="G91" s="9" t="n">
        <v>0</v>
      </c>
      <c r="H91" s="9" t="n">
        <v>0</v>
      </c>
      <c r="I91" s="9" t="n">
        <v>0</v>
      </c>
      <c r="J91" s="9" t="n">
        <v>0</v>
      </c>
    </row>
    <row r="92" customFormat="false" ht="15.75" hidden="false" customHeight="false" outlineLevel="0" collapsed="false">
      <c r="A92" s="7" t="s">
        <v>100</v>
      </c>
      <c r="B92" s="7" t="n">
        <v>9</v>
      </c>
      <c r="C92" s="9" t="n">
        <v>1380</v>
      </c>
      <c r="D92" s="9" t="n">
        <v>68078496</v>
      </c>
      <c r="E92" s="9" t="n">
        <v>1704</v>
      </c>
      <c r="F92" s="9" t="n">
        <v>83055960</v>
      </c>
      <c r="G92" s="9" t="n">
        <v>1425</v>
      </c>
      <c r="H92" s="9" t="n">
        <v>69833528</v>
      </c>
      <c r="I92" s="9" t="n">
        <v>1659</v>
      </c>
      <c r="J92" s="9" t="n">
        <v>81300928</v>
      </c>
    </row>
    <row r="93" customFormat="false" ht="15.75" hidden="false" customHeight="false" outlineLevel="0" collapsed="false">
      <c r="A93" s="7" t="s">
        <v>101</v>
      </c>
      <c r="B93" s="7" t="n">
        <v>9</v>
      </c>
      <c r="C93" s="9" t="n">
        <v>14667</v>
      </c>
      <c r="D93" s="9" t="n">
        <v>84577708</v>
      </c>
      <c r="E93" s="9" t="n">
        <v>7783</v>
      </c>
      <c r="F93" s="9" t="n">
        <v>55998720</v>
      </c>
      <c r="G93" s="9" t="n">
        <v>1080</v>
      </c>
      <c r="H93" s="9" t="n">
        <v>6762697</v>
      </c>
      <c r="I93" s="9" t="n">
        <v>21370</v>
      </c>
      <c r="J93" s="9" t="n">
        <v>133813731</v>
      </c>
    </row>
    <row r="94" customFormat="false" ht="15.75" hidden="false" customHeight="false" outlineLevel="0" collapsed="false">
      <c r="A94" s="7" t="s">
        <v>102</v>
      </c>
      <c r="B94" s="7" t="n">
        <v>9</v>
      </c>
      <c r="C94" s="9" t="n">
        <v>336</v>
      </c>
      <c r="D94" s="9" t="n">
        <v>8136026</v>
      </c>
      <c r="E94" s="9" t="n">
        <v>480</v>
      </c>
      <c r="F94" s="9" t="n">
        <v>11777760</v>
      </c>
      <c r="G94" s="9" t="n">
        <v>0</v>
      </c>
      <c r="H94" s="9" t="n">
        <v>0</v>
      </c>
      <c r="I94" s="9" t="n">
        <v>816</v>
      </c>
      <c r="J94" s="9" t="n">
        <v>19913786</v>
      </c>
    </row>
    <row r="95" customFormat="false" ht="15.75" hidden="false" customHeight="false" outlineLevel="0" collapsed="false">
      <c r="A95" s="7" t="s">
        <v>103</v>
      </c>
      <c r="B95" s="7" t="n">
        <v>9</v>
      </c>
      <c r="C95" s="9" t="n">
        <v>4678</v>
      </c>
      <c r="D95" s="9" t="n">
        <v>53921988</v>
      </c>
      <c r="E95" s="9" t="n">
        <v>288</v>
      </c>
      <c r="F95" s="9" t="n">
        <v>0</v>
      </c>
      <c r="G95" s="9" t="n">
        <v>1048</v>
      </c>
      <c r="H95" s="9" t="n">
        <v>11379429</v>
      </c>
      <c r="I95" s="9" t="n">
        <v>3918</v>
      </c>
      <c r="J95" s="9" t="n">
        <v>42542559</v>
      </c>
    </row>
    <row r="96" customFormat="false" ht="15.75" hidden="false" customHeight="false" outlineLevel="0" collapsed="false">
      <c r="A96" s="7" t="s">
        <v>104</v>
      </c>
      <c r="B96" s="7" t="n">
        <v>9</v>
      </c>
      <c r="C96" s="9" t="n">
        <v>384</v>
      </c>
      <c r="D96" s="9" t="n">
        <v>7012176</v>
      </c>
      <c r="E96" s="9" t="n">
        <v>48</v>
      </c>
      <c r="F96" s="9" t="n">
        <v>933312</v>
      </c>
      <c r="G96" s="9" t="n">
        <v>360</v>
      </c>
      <c r="H96" s="9" t="n">
        <v>6621240</v>
      </c>
      <c r="I96" s="9" t="n">
        <v>72</v>
      </c>
      <c r="J96" s="9" t="n">
        <v>1324248</v>
      </c>
    </row>
    <row r="97" customFormat="false" ht="15.75" hidden="false" customHeight="false" outlineLevel="0" collapsed="false">
      <c r="A97" s="7" t="s">
        <v>105</v>
      </c>
      <c r="B97" s="7" t="n">
        <v>9</v>
      </c>
      <c r="C97" s="9" t="n">
        <v>462</v>
      </c>
      <c r="D97" s="9" t="n">
        <v>23400973</v>
      </c>
      <c r="E97" s="9" t="n">
        <v>30</v>
      </c>
      <c r="F97" s="9" t="n">
        <v>1597230</v>
      </c>
      <c r="G97" s="9" t="n">
        <v>324</v>
      </c>
      <c r="H97" s="9" t="n">
        <v>16462231</v>
      </c>
      <c r="I97" s="9" t="n">
        <v>168</v>
      </c>
      <c r="J97" s="9" t="n">
        <v>8535972</v>
      </c>
    </row>
    <row r="98" customFormat="false" ht="15.75" hidden="false" customHeight="false" outlineLevel="0" collapsed="false">
      <c r="A98" s="7" t="s">
        <v>106</v>
      </c>
      <c r="B98" s="7" t="n">
        <v>9</v>
      </c>
      <c r="C98" s="9" t="n">
        <v>1272</v>
      </c>
      <c r="D98" s="9" t="n">
        <v>11691820</v>
      </c>
      <c r="E98" s="9" t="n">
        <v>240</v>
      </c>
      <c r="F98" s="9" t="n">
        <v>2333280</v>
      </c>
      <c r="G98" s="9" t="n">
        <v>600</v>
      </c>
      <c r="H98" s="9" t="n">
        <v>5565516</v>
      </c>
      <c r="I98" s="9" t="n">
        <v>912</v>
      </c>
      <c r="J98" s="9" t="n">
        <v>8459584</v>
      </c>
    </row>
    <row r="99" customFormat="false" ht="15.75" hidden="false" customHeight="false" outlineLevel="0" collapsed="false">
      <c r="A99" s="7" t="s">
        <v>107</v>
      </c>
      <c r="B99" s="7" t="n">
        <v>9</v>
      </c>
      <c r="C99" s="9" t="n">
        <v>716</v>
      </c>
      <c r="D99" s="9" t="n">
        <v>1341900</v>
      </c>
      <c r="E99" s="9" t="n">
        <v>60</v>
      </c>
      <c r="F99" s="9" t="n">
        <v>0</v>
      </c>
      <c r="G99" s="9" t="n">
        <v>0</v>
      </c>
      <c r="H99" s="9" t="n">
        <v>0</v>
      </c>
      <c r="I99" s="9" t="n">
        <v>776</v>
      </c>
      <c r="J99" s="9" t="n">
        <v>1341900</v>
      </c>
    </row>
    <row r="100" customFormat="false" ht="15.75" hidden="false" customHeight="false" outlineLevel="0" collapsed="false">
      <c r="A100" s="7" t="s">
        <v>108</v>
      </c>
      <c r="B100" s="7" t="n">
        <v>9</v>
      </c>
      <c r="C100" s="9" t="n">
        <v>31140</v>
      </c>
      <c r="D100" s="9" t="n">
        <v>219323410</v>
      </c>
      <c r="E100" s="9" t="n">
        <v>6480</v>
      </c>
      <c r="F100" s="9" t="n">
        <v>47997360</v>
      </c>
      <c r="G100" s="9" t="n">
        <v>2304</v>
      </c>
      <c r="H100" s="9" t="n">
        <v>16371798</v>
      </c>
      <c r="I100" s="9" t="n">
        <v>35316</v>
      </c>
      <c r="J100" s="9" t="n">
        <v>250948972</v>
      </c>
    </row>
    <row r="101" customFormat="false" ht="15.75" hidden="false" customHeight="false" outlineLevel="0" collapsed="false">
      <c r="A101" s="7" t="s">
        <v>109</v>
      </c>
      <c r="B101" s="7" t="n">
        <v>9</v>
      </c>
      <c r="C101" s="9" t="n">
        <v>0</v>
      </c>
      <c r="D101" s="9" t="n">
        <v>0</v>
      </c>
      <c r="E101" s="9" t="n">
        <v>240</v>
      </c>
      <c r="F101" s="9" t="n">
        <v>3720000</v>
      </c>
      <c r="G101" s="9" t="n">
        <v>240</v>
      </c>
      <c r="H101" s="9" t="n">
        <v>3720000</v>
      </c>
      <c r="I101" s="9" t="n">
        <v>0</v>
      </c>
      <c r="J101" s="9" t="n">
        <v>0</v>
      </c>
    </row>
    <row r="102" customFormat="false" ht="15.75" hidden="false" customHeight="false" outlineLevel="0" collapsed="false">
      <c r="A102" s="7" t="s">
        <v>110</v>
      </c>
      <c r="B102" s="7" t="n">
        <v>9</v>
      </c>
      <c r="C102" s="9" t="n">
        <v>1860</v>
      </c>
      <c r="D102" s="9" t="n">
        <v>32448822</v>
      </c>
      <c r="E102" s="9" t="n">
        <v>540</v>
      </c>
      <c r="F102" s="9" t="n">
        <v>9750240</v>
      </c>
      <c r="G102" s="9" t="n">
        <v>0</v>
      </c>
      <c r="H102" s="9" t="n">
        <v>0</v>
      </c>
      <c r="I102" s="9" t="n">
        <v>2400</v>
      </c>
      <c r="J102" s="9" t="n">
        <v>42199062</v>
      </c>
    </row>
    <row r="103" customFormat="false" ht="15.75" hidden="false" customHeight="false" outlineLevel="0" collapsed="false">
      <c r="A103" s="7" t="s">
        <v>111</v>
      </c>
      <c r="B103" s="7" t="n">
        <v>9</v>
      </c>
      <c r="C103" s="9" t="n">
        <v>574</v>
      </c>
      <c r="D103" s="9" t="n">
        <v>4619133</v>
      </c>
      <c r="E103" s="9" t="n">
        <v>5400</v>
      </c>
      <c r="F103" s="9" t="n">
        <v>43999200</v>
      </c>
      <c r="G103" s="9" t="n">
        <v>4760</v>
      </c>
      <c r="H103" s="9" t="n">
        <v>38738411</v>
      </c>
      <c r="I103" s="9" t="n">
        <v>1214</v>
      </c>
      <c r="J103" s="9" t="n">
        <v>9879922</v>
      </c>
    </row>
    <row r="104" customFormat="false" ht="15.75" hidden="false" customHeight="false" outlineLevel="0" collapsed="false">
      <c r="A104" s="7" t="s">
        <v>112</v>
      </c>
      <c r="B104" s="7" t="n">
        <v>9</v>
      </c>
      <c r="C104" s="9" t="n">
        <v>480</v>
      </c>
      <c r="D104" s="9" t="n">
        <v>3847152</v>
      </c>
      <c r="E104" s="9" t="n">
        <v>1800</v>
      </c>
      <c r="F104" s="9" t="n">
        <v>14666400</v>
      </c>
      <c r="G104" s="9" t="n">
        <v>380</v>
      </c>
      <c r="H104" s="9" t="n">
        <v>3085592</v>
      </c>
      <c r="I104" s="9" t="n">
        <v>1900</v>
      </c>
      <c r="J104" s="9" t="n">
        <v>15427960</v>
      </c>
    </row>
    <row r="105" customFormat="false" ht="15.75" hidden="false" customHeight="false" outlineLevel="0" collapsed="false">
      <c r="A105" s="7" t="s">
        <v>113</v>
      </c>
      <c r="B105" s="7" t="n">
        <v>9</v>
      </c>
      <c r="C105" s="9" t="n">
        <v>216</v>
      </c>
      <c r="D105" s="9" t="n">
        <v>3483720</v>
      </c>
      <c r="E105" s="9" t="n">
        <v>0</v>
      </c>
      <c r="F105" s="9" t="n">
        <v>0</v>
      </c>
      <c r="G105" s="9" t="n">
        <v>96</v>
      </c>
      <c r="H105" s="9" t="n">
        <v>1548320</v>
      </c>
      <c r="I105" s="9" t="n">
        <v>120</v>
      </c>
      <c r="J105" s="9" t="n">
        <v>1935400</v>
      </c>
    </row>
    <row r="106" customFormat="false" ht="15.75" hidden="false" customHeight="false" outlineLevel="0" collapsed="false">
      <c r="A106" s="7" t="s">
        <v>114</v>
      </c>
      <c r="B106" s="7" t="n">
        <v>9</v>
      </c>
      <c r="C106" s="9" t="n">
        <v>288</v>
      </c>
      <c r="D106" s="9" t="n">
        <v>5288520</v>
      </c>
      <c r="E106" s="9" t="n">
        <v>72</v>
      </c>
      <c r="F106" s="9" t="n">
        <v>1399968</v>
      </c>
      <c r="G106" s="9" t="n">
        <v>264</v>
      </c>
      <c r="H106" s="9" t="n">
        <v>4904891</v>
      </c>
      <c r="I106" s="9" t="n">
        <v>96</v>
      </c>
      <c r="J106" s="9" t="n">
        <v>1783597</v>
      </c>
    </row>
    <row r="107" customFormat="false" ht="15.75" hidden="false" customHeight="false" outlineLevel="0" collapsed="false">
      <c r="A107" s="7" t="s">
        <v>115</v>
      </c>
      <c r="B107" s="7" t="n">
        <v>9</v>
      </c>
      <c r="C107" s="9" t="n">
        <v>0</v>
      </c>
      <c r="D107" s="9" t="n">
        <v>0</v>
      </c>
      <c r="E107" s="9" t="n">
        <v>0</v>
      </c>
      <c r="F107" s="9" t="n">
        <v>0</v>
      </c>
      <c r="G107" s="9" t="n">
        <v>0</v>
      </c>
      <c r="H107" s="9" t="n">
        <v>0</v>
      </c>
      <c r="I107" s="9" t="n">
        <v>0</v>
      </c>
      <c r="J107" s="9" t="n">
        <v>0</v>
      </c>
    </row>
    <row r="108" customFormat="false" ht="15.75" hidden="false" customHeight="false" outlineLevel="0" collapsed="false">
      <c r="A108" s="7" t="s">
        <v>116</v>
      </c>
      <c r="B108" s="7" t="n">
        <v>9</v>
      </c>
      <c r="C108" s="9" t="n">
        <v>1925</v>
      </c>
      <c r="D108" s="9" t="n">
        <v>39110400</v>
      </c>
      <c r="E108" s="9" t="n">
        <v>1608</v>
      </c>
      <c r="F108" s="9" t="n">
        <v>32754960</v>
      </c>
      <c r="G108" s="9" t="n">
        <v>0</v>
      </c>
      <c r="H108" s="9" t="n">
        <v>0</v>
      </c>
      <c r="I108" s="9" t="n">
        <v>3533</v>
      </c>
      <c r="J108" s="9" t="n">
        <v>71865360</v>
      </c>
    </row>
    <row r="109" customFormat="false" ht="15.75" hidden="false" customHeight="false" outlineLevel="0" collapsed="false">
      <c r="A109" s="7" t="s">
        <v>117</v>
      </c>
      <c r="B109" s="7" t="n">
        <v>9</v>
      </c>
      <c r="C109" s="9" t="n">
        <v>288</v>
      </c>
      <c r="D109" s="9" t="n">
        <v>4978296</v>
      </c>
      <c r="E109" s="9" t="n">
        <v>48</v>
      </c>
      <c r="F109" s="9" t="n">
        <v>844464</v>
      </c>
      <c r="G109" s="9" t="n">
        <v>72</v>
      </c>
      <c r="H109" s="9" t="n">
        <v>1247734</v>
      </c>
      <c r="I109" s="9" t="n">
        <v>264</v>
      </c>
      <c r="J109" s="9" t="n">
        <v>4575026</v>
      </c>
    </row>
    <row r="110" customFormat="false" ht="15.75" hidden="false" customHeight="false" outlineLevel="0" collapsed="false">
      <c r="A110" s="7" t="s">
        <v>118</v>
      </c>
      <c r="B110" s="7" t="n">
        <v>9</v>
      </c>
      <c r="C110" s="9" t="n">
        <v>726</v>
      </c>
      <c r="D110" s="9" t="n">
        <v>29382517</v>
      </c>
      <c r="E110" s="9" t="n">
        <v>0</v>
      </c>
      <c r="F110" s="9" t="n">
        <v>0</v>
      </c>
      <c r="G110" s="9" t="n">
        <v>342</v>
      </c>
      <c r="H110" s="9" t="n">
        <v>13841351</v>
      </c>
      <c r="I110" s="9" t="n">
        <v>384</v>
      </c>
      <c r="J110" s="9" t="n">
        <v>15541166</v>
      </c>
    </row>
    <row r="111" customFormat="false" ht="15.75" hidden="false" customHeight="false" outlineLevel="0" collapsed="false">
      <c r="A111" s="7" t="s">
        <v>119</v>
      </c>
      <c r="B111" s="7" t="n">
        <v>9</v>
      </c>
      <c r="C111" s="9" t="n">
        <v>320</v>
      </c>
      <c r="D111" s="9" t="n">
        <v>7323160</v>
      </c>
      <c r="E111" s="9" t="n">
        <v>80</v>
      </c>
      <c r="F111" s="9" t="n">
        <v>1851840</v>
      </c>
      <c r="G111" s="9" t="n">
        <v>200</v>
      </c>
      <c r="H111" s="9" t="n">
        <v>4587500</v>
      </c>
      <c r="I111" s="9" t="n">
        <v>200</v>
      </c>
      <c r="J111" s="9" t="n">
        <v>4587500</v>
      </c>
    </row>
    <row r="112" customFormat="false" ht="15.75" hidden="false" customHeight="false" outlineLevel="0" collapsed="false">
      <c r="A112" s="7" t="s">
        <v>120</v>
      </c>
      <c r="B112" s="7" t="n">
        <v>9</v>
      </c>
      <c r="C112" s="9" t="n">
        <v>160</v>
      </c>
      <c r="D112" s="9" t="n">
        <v>3507040</v>
      </c>
      <c r="E112" s="9" t="n">
        <v>0</v>
      </c>
      <c r="F112" s="9" t="n">
        <v>0</v>
      </c>
      <c r="G112" s="9" t="n">
        <v>120</v>
      </c>
      <c r="H112" s="9" t="n">
        <v>2630280</v>
      </c>
      <c r="I112" s="9" t="n">
        <v>40</v>
      </c>
      <c r="J112" s="9" t="n">
        <v>876760</v>
      </c>
    </row>
    <row r="113" customFormat="false" ht="15.75" hidden="false" customHeight="false" outlineLevel="0" collapsed="false">
      <c r="A113" s="7" t="s">
        <v>121</v>
      </c>
      <c r="B113" s="7" t="n">
        <v>9</v>
      </c>
      <c r="C113" s="9" t="n">
        <v>7375</v>
      </c>
      <c r="D113" s="9" t="n">
        <v>85430639</v>
      </c>
      <c r="E113" s="9" t="n">
        <v>2656</v>
      </c>
      <c r="F113" s="9" t="n">
        <v>31777680</v>
      </c>
      <c r="G113" s="9" t="n">
        <v>5299</v>
      </c>
      <c r="H113" s="9" t="n">
        <v>61916746</v>
      </c>
      <c r="I113" s="9" t="n">
        <v>4732</v>
      </c>
      <c r="J113" s="9" t="n">
        <v>55291573</v>
      </c>
    </row>
    <row r="114" customFormat="false" ht="15.75" hidden="false" customHeight="false" outlineLevel="0" collapsed="false">
      <c r="A114" s="7" t="s">
        <v>122</v>
      </c>
      <c r="B114" s="7" t="n">
        <v>9</v>
      </c>
      <c r="C114" s="9" t="n">
        <v>0</v>
      </c>
      <c r="D114" s="9" t="n">
        <v>0</v>
      </c>
      <c r="E114" s="9" t="n">
        <v>0</v>
      </c>
      <c r="F114" s="9" t="n">
        <v>0</v>
      </c>
      <c r="G114" s="9" t="n">
        <v>0</v>
      </c>
      <c r="H114" s="9" t="n">
        <v>0</v>
      </c>
      <c r="I114" s="9" t="n">
        <v>0</v>
      </c>
      <c r="J114" s="9" t="n">
        <v>0</v>
      </c>
    </row>
    <row r="115" customFormat="false" ht="15.75" hidden="false" customHeight="false" outlineLevel="0" collapsed="false">
      <c r="A115" s="7" t="s">
        <v>123</v>
      </c>
      <c r="B115" s="7" t="n">
        <v>9</v>
      </c>
      <c r="C115" s="9" t="n">
        <v>216</v>
      </c>
      <c r="D115" s="9" t="n">
        <v>3755160</v>
      </c>
      <c r="E115" s="9" t="n">
        <v>0</v>
      </c>
      <c r="F115" s="9" t="n">
        <v>0</v>
      </c>
      <c r="G115" s="9" t="n">
        <v>0</v>
      </c>
      <c r="H115" s="9" t="n">
        <v>0</v>
      </c>
      <c r="I115" s="9" t="n">
        <v>216</v>
      </c>
      <c r="J115" s="9" t="n">
        <v>3755160</v>
      </c>
    </row>
    <row r="116" customFormat="false" ht="15.75" hidden="false" customHeight="false" outlineLevel="0" collapsed="false">
      <c r="A116" s="7" t="s">
        <v>124</v>
      </c>
      <c r="B116" s="7" t="n">
        <v>9</v>
      </c>
      <c r="C116" s="9" t="n">
        <v>72</v>
      </c>
      <c r="D116" s="9" t="n">
        <v>1333368</v>
      </c>
      <c r="E116" s="9" t="n">
        <v>0</v>
      </c>
      <c r="F116" s="9" t="n">
        <v>0</v>
      </c>
      <c r="G116" s="9" t="n">
        <v>0</v>
      </c>
      <c r="H116" s="9" t="n">
        <v>0</v>
      </c>
      <c r="I116" s="9" t="n">
        <v>72</v>
      </c>
      <c r="J116" s="9" t="n">
        <v>1333368</v>
      </c>
    </row>
    <row r="117" customFormat="false" ht="15.75" hidden="false" customHeight="false" outlineLevel="0" collapsed="false">
      <c r="A117" s="7" t="s">
        <v>125</v>
      </c>
      <c r="B117" s="7" t="n">
        <v>9</v>
      </c>
      <c r="C117" s="9" t="n">
        <v>320</v>
      </c>
      <c r="D117" s="9" t="n">
        <v>13861480</v>
      </c>
      <c r="E117" s="9" t="n">
        <v>360</v>
      </c>
      <c r="F117" s="9" t="n">
        <v>16166520</v>
      </c>
      <c r="G117" s="9" t="n">
        <v>0</v>
      </c>
      <c r="H117" s="9" t="n">
        <v>0</v>
      </c>
      <c r="I117" s="9" t="n">
        <v>680</v>
      </c>
      <c r="J117" s="9" t="n">
        <v>30028000</v>
      </c>
    </row>
    <row r="118" customFormat="false" ht="15.75" hidden="false" customHeight="false" outlineLevel="0" collapsed="false">
      <c r="A118" s="7" t="s">
        <v>126</v>
      </c>
      <c r="B118" s="7" t="n">
        <v>9</v>
      </c>
      <c r="C118" s="9" t="n">
        <v>17321</v>
      </c>
      <c r="D118" s="9" t="n">
        <v>88416117</v>
      </c>
      <c r="E118" s="9" t="n">
        <v>19985</v>
      </c>
      <c r="F118" s="9" t="n">
        <v>104994000</v>
      </c>
      <c r="G118" s="9" t="n">
        <v>12240</v>
      </c>
      <c r="H118" s="9" t="n">
        <v>63457348</v>
      </c>
      <c r="I118" s="9" t="n">
        <v>25066</v>
      </c>
      <c r="J118" s="9" t="n">
        <v>129952769</v>
      </c>
    </row>
    <row r="119" customFormat="false" ht="15.75" hidden="false" customHeight="false" outlineLevel="0" collapsed="false">
      <c r="A119" s="7" t="s">
        <v>127</v>
      </c>
      <c r="B119" s="7" t="n">
        <v>9</v>
      </c>
      <c r="C119" s="9" t="n">
        <v>10726</v>
      </c>
      <c r="D119" s="9" t="n">
        <v>59236338</v>
      </c>
      <c r="E119" s="9" t="n">
        <v>1897</v>
      </c>
      <c r="F119" s="9" t="n">
        <v>10499400</v>
      </c>
      <c r="G119" s="9" t="n">
        <v>0</v>
      </c>
      <c r="H119" s="9" t="n">
        <v>0</v>
      </c>
      <c r="I119" s="9" t="n">
        <v>12623</v>
      </c>
      <c r="J119" s="9" t="n">
        <v>69735738</v>
      </c>
    </row>
    <row r="120" customFormat="false" ht="15.75" hidden="false" customHeight="false" outlineLevel="0" collapsed="false">
      <c r="A120" s="7" t="s">
        <v>128</v>
      </c>
      <c r="B120" s="7" t="n">
        <v>9</v>
      </c>
      <c r="C120" s="9" t="n">
        <v>1060</v>
      </c>
      <c r="D120" s="9" t="n">
        <v>15972971</v>
      </c>
      <c r="E120" s="9" t="n">
        <v>200</v>
      </c>
      <c r="F120" s="9" t="n">
        <v>3055600</v>
      </c>
      <c r="G120" s="9" t="n">
        <v>766</v>
      </c>
      <c r="H120" s="9" t="n">
        <v>11568163</v>
      </c>
      <c r="I120" s="9" t="n">
        <v>494</v>
      </c>
      <c r="J120" s="9" t="n">
        <v>7460408</v>
      </c>
    </row>
    <row r="121" customFormat="false" ht="15.75" hidden="false" customHeight="false" outlineLevel="0" collapsed="false">
      <c r="A121" s="7" t="s">
        <v>129</v>
      </c>
      <c r="B121" s="7" t="n">
        <v>9</v>
      </c>
      <c r="C121" s="9" t="n">
        <v>0</v>
      </c>
      <c r="D121" s="9" t="n">
        <v>0</v>
      </c>
      <c r="E121" s="9" t="n">
        <v>20</v>
      </c>
      <c r="F121" s="9" t="n">
        <v>685180</v>
      </c>
      <c r="G121" s="9" t="n">
        <v>0</v>
      </c>
      <c r="H121" s="9" t="n">
        <v>0</v>
      </c>
      <c r="I121" s="9" t="n">
        <v>20</v>
      </c>
      <c r="J121" s="9" t="n">
        <v>685180</v>
      </c>
    </row>
    <row r="122" customFormat="false" ht="15.75" hidden="false" customHeight="false" outlineLevel="0" collapsed="false">
      <c r="A122" s="7" t="s">
        <v>130</v>
      </c>
      <c r="B122" s="7" t="n">
        <v>9</v>
      </c>
      <c r="C122" s="9" t="n">
        <v>92</v>
      </c>
      <c r="D122" s="9" t="n">
        <v>4366966</v>
      </c>
      <c r="E122" s="9" t="n">
        <v>48</v>
      </c>
      <c r="F122" s="9" t="n">
        <v>2288880</v>
      </c>
      <c r="G122" s="9" t="n">
        <v>60</v>
      </c>
      <c r="H122" s="9" t="n">
        <v>2852505</v>
      </c>
      <c r="I122" s="9" t="n">
        <v>80</v>
      </c>
      <c r="J122" s="9" t="n">
        <v>3803341</v>
      </c>
    </row>
    <row r="123" customFormat="false" ht="15.75" hidden="false" customHeight="false" outlineLevel="0" collapsed="false">
      <c r="A123" s="7" t="s">
        <v>131</v>
      </c>
      <c r="B123" s="7" t="n">
        <v>9</v>
      </c>
      <c r="C123" s="9" t="n">
        <v>16</v>
      </c>
      <c r="D123" s="9" t="n">
        <v>788402</v>
      </c>
      <c r="E123" s="9" t="n">
        <v>32</v>
      </c>
      <c r="F123" s="9" t="n">
        <v>1600000</v>
      </c>
      <c r="G123" s="9" t="n">
        <v>0</v>
      </c>
      <c r="H123" s="9" t="n">
        <v>0</v>
      </c>
      <c r="I123" s="9" t="n">
        <v>48</v>
      </c>
      <c r="J123" s="9" t="n">
        <v>2388402</v>
      </c>
    </row>
    <row r="124" customFormat="false" ht="15.75" hidden="false" customHeight="false" outlineLevel="0" collapsed="false">
      <c r="A124" s="7" t="s">
        <v>132</v>
      </c>
      <c r="B124" s="7" t="n">
        <v>9</v>
      </c>
      <c r="C124" s="9" t="n">
        <v>0</v>
      </c>
      <c r="D124" s="9" t="n">
        <v>0</v>
      </c>
      <c r="E124" s="9" t="n">
        <v>304</v>
      </c>
      <c r="F124" s="9" t="n">
        <v>13502649</v>
      </c>
      <c r="G124" s="9" t="n">
        <v>304</v>
      </c>
      <c r="H124" s="9" t="n">
        <v>13502649</v>
      </c>
      <c r="I124" s="9" t="n">
        <v>0</v>
      </c>
      <c r="J124" s="9" t="n">
        <v>0</v>
      </c>
    </row>
    <row r="125" customFormat="false" ht="15.75" hidden="false" customHeight="false" outlineLevel="0" collapsed="false">
      <c r="A125" s="7" t="s">
        <v>133</v>
      </c>
      <c r="B125" s="7" t="n">
        <v>9</v>
      </c>
      <c r="C125" s="9" t="n">
        <v>64</v>
      </c>
      <c r="D125" s="9" t="n">
        <v>2411456</v>
      </c>
      <c r="E125" s="9" t="n">
        <v>48</v>
      </c>
      <c r="F125" s="9" t="n">
        <v>1822224</v>
      </c>
      <c r="G125" s="9" t="n">
        <v>40</v>
      </c>
      <c r="H125" s="9" t="n">
        <v>1512029</v>
      </c>
      <c r="I125" s="9" t="n">
        <v>72</v>
      </c>
      <c r="J125" s="9" t="n">
        <v>2721651</v>
      </c>
    </row>
    <row r="126" customFormat="false" ht="15.75" hidden="false" customHeight="false" outlineLevel="0" collapsed="false">
      <c r="A126" s="7" t="s">
        <v>134</v>
      </c>
      <c r="B126" s="7" t="n">
        <v>9</v>
      </c>
      <c r="C126" s="9" t="n">
        <v>38</v>
      </c>
      <c r="D126" s="9" t="n">
        <v>1088168</v>
      </c>
      <c r="E126" s="9" t="n">
        <v>15</v>
      </c>
      <c r="F126" s="9" t="n">
        <v>437505</v>
      </c>
      <c r="G126" s="9" t="n">
        <v>38</v>
      </c>
      <c r="H126" s="9" t="n">
        <v>1093879</v>
      </c>
      <c r="I126" s="9" t="n">
        <v>15</v>
      </c>
      <c r="J126" s="9" t="n">
        <v>431794</v>
      </c>
    </row>
    <row r="127" customFormat="false" ht="15.75" hidden="false" customHeight="false" outlineLevel="0" collapsed="false">
      <c r="A127" s="7" t="s">
        <v>135</v>
      </c>
      <c r="B127" s="7" t="n">
        <v>9</v>
      </c>
      <c r="C127" s="9" t="n">
        <v>114</v>
      </c>
      <c r="D127" s="9" t="n">
        <v>20941579</v>
      </c>
      <c r="E127" s="9" t="n">
        <v>240</v>
      </c>
      <c r="F127" s="9" t="n">
        <v>44092320</v>
      </c>
      <c r="G127" s="9" t="n">
        <v>104</v>
      </c>
      <c r="H127" s="9" t="n">
        <v>19106004</v>
      </c>
      <c r="I127" s="9" t="n">
        <v>250</v>
      </c>
      <c r="J127" s="9" t="n">
        <v>45927895</v>
      </c>
    </row>
    <row r="128" customFormat="false" ht="15.75" hidden="false" customHeight="false" outlineLevel="0" collapsed="false">
      <c r="A128" s="7" t="s">
        <v>136</v>
      </c>
      <c r="B128" s="7" t="n">
        <v>9</v>
      </c>
      <c r="C128" s="9" t="n">
        <v>3869</v>
      </c>
      <c r="D128" s="9" t="n">
        <v>56989988</v>
      </c>
      <c r="E128" s="9" t="n">
        <v>3616</v>
      </c>
      <c r="F128" s="9" t="n">
        <v>55000800</v>
      </c>
      <c r="G128" s="9" t="n">
        <v>4116</v>
      </c>
      <c r="H128" s="9" t="n">
        <v>61583712</v>
      </c>
      <c r="I128" s="9" t="n">
        <v>3369</v>
      </c>
      <c r="J128" s="9" t="n">
        <v>50407076</v>
      </c>
    </row>
    <row r="129" customFormat="false" ht="15.75" hidden="false" customHeight="false" outlineLevel="0" collapsed="false">
      <c r="A129" s="7" t="s">
        <v>137</v>
      </c>
      <c r="B129" s="7" t="n">
        <v>9</v>
      </c>
      <c r="C129" s="9" t="n">
        <v>0</v>
      </c>
      <c r="D129" s="9" t="n">
        <v>0</v>
      </c>
      <c r="E129" s="9" t="n">
        <v>0</v>
      </c>
      <c r="F129" s="9" t="n">
        <v>0</v>
      </c>
      <c r="G129" s="9" t="n">
        <v>0</v>
      </c>
      <c r="H129" s="9" t="n">
        <v>0</v>
      </c>
      <c r="I129" s="9" t="n">
        <v>0</v>
      </c>
      <c r="J129" s="9" t="n">
        <v>0</v>
      </c>
    </row>
    <row r="130" customFormat="false" ht="15.75" hidden="false" customHeight="false" outlineLevel="0" collapsed="false">
      <c r="A130" s="7" t="s">
        <v>138</v>
      </c>
      <c r="B130" s="7" t="n">
        <v>9</v>
      </c>
      <c r="C130" s="9" t="n">
        <v>0</v>
      </c>
      <c r="D130" s="9" t="n">
        <v>0</v>
      </c>
      <c r="E130" s="9" t="n">
        <v>0</v>
      </c>
      <c r="F130" s="9" t="n">
        <v>0</v>
      </c>
      <c r="G130" s="9" t="n">
        <v>0</v>
      </c>
      <c r="H130" s="9" t="n">
        <v>0</v>
      </c>
      <c r="I130" s="9" t="n">
        <v>0</v>
      </c>
      <c r="J130" s="9" t="n">
        <v>0</v>
      </c>
    </row>
    <row r="131" customFormat="false" ht="15.75" hidden="false" customHeight="false" outlineLevel="0" collapsed="false">
      <c r="A131" s="7" t="s">
        <v>139</v>
      </c>
      <c r="B131" s="7" t="n">
        <v>9</v>
      </c>
      <c r="C131" s="9" t="n">
        <v>188</v>
      </c>
      <c r="D131" s="9" t="n">
        <v>34137846</v>
      </c>
      <c r="E131" s="9" t="n">
        <v>0</v>
      </c>
      <c r="F131" s="9" t="n">
        <v>0</v>
      </c>
      <c r="G131" s="9" t="n">
        <v>0</v>
      </c>
      <c r="H131" s="9" t="n">
        <v>0</v>
      </c>
      <c r="I131" s="9" t="n">
        <v>188</v>
      </c>
      <c r="J131" s="9" t="n">
        <v>34137846</v>
      </c>
    </row>
    <row r="132" customFormat="false" ht="15.75" hidden="false" customHeight="false" outlineLevel="0" collapsed="false">
      <c r="A132" s="7" t="s">
        <v>140</v>
      </c>
      <c r="B132" s="7" t="n">
        <v>9</v>
      </c>
      <c r="C132" s="9" t="n">
        <v>1940</v>
      </c>
      <c r="D132" s="9" t="n">
        <v>357519449</v>
      </c>
      <c r="E132" s="9" t="n">
        <v>425</v>
      </c>
      <c r="F132" s="9" t="n">
        <v>78401025</v>
      </c>
      <c r="G132" s="9" t="n">
        <v>426</v>
      </c>
      <c r="H132" s="9" t="n">
        <v>78520982</v>
      </c>
      <c r="I132" s="9" t="n">
        <v>1939</v>
      </c>
      <c r="J132" s="9" t="n">
        <v>357399492</v>
      </c>
    </row>
    <row r="133" customFormat="false" ht="15.75" hidden="false" customHeight="false" outlineLevel="0" collapsed="false">
      <c r="A133" s="7" t="s">
        <v>141</v>
      </c>
      <c r="B133" s="7" t="n">
        <v>9</v>
      </c>
      <c r="C133" s="9" t="n">
        <v>2259</v>
      </c>
      <c r="D133" s="9" t="n">
        <v>325871463</v>
      </c>
      <c r="E133" s="9" t="n">
        <v>400</v>
      </c>
      <c r="F133" s="9" t="n">
        <v>73789200</v>
      </c>
      <c r="G133" s="9" t="n">
        <v>390</v>
      </c>
      <c r="H133" s="9" t="n">
        <v>58618901</v>
      </c>
      <c r="I133" s="9" t="n">
        <v>2269</v>
      </c>
      <c r="J133" s="9" t="n">
        <v>341041762</v>
      </c>
    </row>
    <row r="134" customFormat="false" ht="15.75" hidden="false" customHeight="false" outlineLevel="0" collapsed="false">
      <c r="A134" s="7" t="s">
        <v>142</v>
      </c>
      <c r="B134" s="7" t="n">
        <v>9</v>
      </c>
      <c r="C134" s="9" t="n">
        <v>1150</v>
      </c>
      <c r="D134" s="9" t="n">
        <v>211217050</v>
      </c>
      <c r="E134" s="9" t="n">
        <v>0</v>
      </c>
      <c r="F134" s="9" t="n">
        <v>0</v>
      </c>
      <c r="G134" s="9" t="n">
        <v>0</v>
      </c>
      <c r="H134" s="9" t="n">
        <v>0</v>
      </c>
      <c r="I134" s="9" t="n">
        <v>1150</v>
      </c>
      <c r="J134" s="9" t="n">
        <v>211217050</v>
      </c>
    </row>
    <row r="135" customFormat="false" ht="15.75" hidden="false" customHeight="false" outlineLevel="0" collapsed="false">
      <c r="A135" s="7" t="s">
        <v>143</v>
      </c>
      <c r="B135" s="7" t="n">
        <v>9</v>
      </c>
      <c r="C135" s="9" t="n">
        <v>0</v>
      </c>
      <c r="D135" s="9" t="n">
        <v>0</v>
      </c>
      <c r="E135" s="9" t="n">
        <v>0</v>
      </c>
      <c r="F135" s="9" t="n">
        <v>0</v>
      </c>
      <c r="G135" s="9" t="n">
        <v>0</v>
      </c>
      <c r="H135" s="9" t="n">
        <v>0</v>
      </c>
      <c r="I135" s="9" t="n">
        <v>0</v>
      </c>
      <c r="J135" s="9" t="n">
        <v>0</v>
      </c>
    </row>
    <row r="136" customFormat="false" ht="15.75" hidden="false" customHeight="false" outlineLevel="0" collapsed="false">
      <c r="A136" s="7" t="s">
        <v>144</v>
      </c>
      <c r="B136" s="7" t="n">
        <v>9</v>
      </c>
      <c r="C136" s="9" t="n">
        <v>1993</v>
      </c>
      <c r="D136" s="9" t="n">
        <v>363379477</v>
      </c>
      <c r="E136" s="9" t="n">
        <v>400</v>
      </c>
      <c r="F136" s="9" t="n">
        <v>72960000</v>
      </c>
      <c r="G136" s="9" t="n">
        <v>0</v>
      </c>
      <c r="H136" s="9" t="n">
        <v>0</v>
      </c>
      <c r="I136" s="9" t="n">
        <v>2393</v>
      </c>
      <c r="J136" s="9" t="n">
        <v>436339477</v>
      </c>
    </row>
    <row r="137" customFormat="false" ht="15.75" hidden="false" customHeight="false" outlineLevel="0" collapsed="false">
      <c r="A137" s="7" t="s">
        <v>145</v>
      </c>
      <c r="B137" s="7" t="n">
        <v>9</v>
      </c>
      <c r="C137" s="9" t="n">
        <v>443</v>
      </c>
      <c r="D137" s="9" t="n">
        <v>79178406</v>
      </c>
      <c r="E137" s="9" t="n">
        <v>0</v>
      </c>
      <c r="F137" s="9" t="n">
        <v>0</v>
      </c>
      <c r="G137" s="9" t="n">
        <v>80</v>
      </c>
      <c r="H137" s="9" t="n">
        <v>14298583</v>
      </c>
      <c r="I137" s="9" t="n">
        <v>363</v>
      </c>
      <c r="J137" s="9" t="n">
        <v>64879823</v>
      </c>
    </row>
    <row r="138" customFormat="false" ht="15.75" hidden="false" customHeight="false" outlineLevel="0" collapsed="false">
      <c r="A138" s="7" t="s">
        <v>146</v>
      </c>
      <c r="B138" s="7" t="n">
        <v>9</v>
      </c>
      <c r="C138" s="9" t="n">
        <v>0</v>
      </c>
      <c r="D138" s="9" t="n">
        <v>0</v>
      </c>
      <c r="E138" s="9" t="n">
        <v>446</v>
      </c>
      <c r="F138" s="9" t="n">
        <v>84177526</v>
      </c>
      <c r="G138" s="9" t="n">
        <v>446</v>
      </c>
      <c r="H138" s="9" t="n">
        <v>84177526</v>
      </c>
      <c r="I138" s="9" t="n">
        <v>0</v>
      </c>
      <c r="J138" s="9" t="n">
        <v>0</v>
      </c>
    </row>
    <row r="139" customFormat="false" ht="15.75" hidden="false" customHeight="false" outlineLevel="0" collapsed="false">
      <c r="A139" s="7" t="s">
        <v>147</v>
      </c>
      <c r="B139" s="7" t="n">
        <v>9</v>
      </c>
      <c r="C139" s="9" t="n">
        <v>888</v>
      </c>
      <c r="D139" s="9" t="n">
        <v>62503261</v>
      </c>
      <c r="E139" s="9" t="n">
        <v>0</v>
      </c>
      <c r="F139" s="9" t="n">
        <v>0</v>
      </c>
      <c r="G139" s="9" t="n">
        <v>0</v>
      </c>
      <c r="H139" s="9" t="n">
        <v>0</v>
      </c>
      <c r="I139" s="9" t="n">
        <v>888</v>
      </c>
      <c r="J139" s="9" t="n">
        <v>62503261</v>
      </c>
    </row>
    <row r="140" customFormat="false" ht="15.75" hidden="false" customHeight="false" outlineLevel="0" collapsed="false">
      <c r="A140" s="7" t="s">
        <v>148</v>
      </c>
      <c r="B140" s="7" t="n">
        <v>9</v>
      </c>
      <c r="C140" s="9" t="n">
        <v>887</v>
      </c>
      <c r="D140" s="9" t="n">
        <v>101074445</v>
      </c>
      <c r="E140" s="9" t="n">
        <v>1003</v>
      </c>
      <c r="F140" s="9" t="n">
        <v>114292749</v>
      </c>
      <c r="G140" s="9" t="n">
        <v>1890</v>
      </c>
      <c r="H140" s="9" t="n">
        <v>215367194</v>
      </c>
      <c r="I140" s="9" t="n">
        <v>0</v>
      </c>
      <c r="J140" s="9" t="n">
        <v>0</v>
      </c>
    </row>
    <row r="141" customFormat="false" ht="15.75" hidden="false" customHeight="false" outlineLevel="0" collapsed="false">
      <c r="A141" s="7" t="s">
        <v>149</v>
      </c>
      <c r="B141" s="7" t="n">
        <v>9</v>
      </c>
      <c r="C141" s="9" t="n">
        <v>1895</v>
      </c>
      <c r="D141" s="9" t="n">
        <v>359641760</v>
      </c>
      <c r="E141" s="9" t="n">
        <v>170</v>
      </c>
      <c r="F141" s="9" t="n">
        <v>32241350</v>
      </c>
      <c r="G141" s="9" t="n">
        <v>284</v>
      </c>
      <c r="H141" s="9" t="n">
        <v>53895788</v>
      </c>
      <c r="I141" s="9" t="n">
        <v>1781</v>
      </c>
      <c r="J141" s="9" t="n">
        <v>337987322</v>
      </c>
    </row>
    <row r="142" customFormat="false" ht="15.75" hidden="false" customHeight="false" outlineLevel="0" collapsed="false">
      <c r="A142" s="7" t="s">
        <v>150</v>
      </c>
      <c r="B142" s="7" t="n">
        <v>9</v>
      </c>
      <c r="C142" s="9" t="n">
        <v>0</v>
      </c>
      <c r="D142" s="9" t="n">
        <v>0</v>
      </c>
      <c r="E142" s="9" t="n">
        <v>0</v>
      </c>
      <c r="F142" s="9" t="n">
        <v>0</v>
      </c>
      <c r="G142" s="9" t="n">
        <v>0</v>
      </c>
      <c r="H142" s="9" t="n">
        <v>0</v>
      </c>
      <c r="I142" s="9" t="n">
        <v>0</v>
      </c>
      <c r="J142" s="9" t="n">
        <v>0</v>
      </c>
    </row>
    <row r="143" customFormat="false" ht="15.75" hidden="false" customHeight="false" outlineLevel="0" collapsed="false">
      <c r="A143" s="7" t="s">
        <v>151</v>
      </c>
      <c r="B143" s="7" t="n">
        <v>9</v>
      </c>
      <c r="C143" s="9" t="n">
        <v>319</v>
      </c>
      <c r="D143" s="9" t="n">
        <v>60576489</v>
      </c>
      <c r="E143" s="9" t="n">
        <v>0</v>
      </c>
      <c r="F143" s="9" t="n">
        <v>0</v>
      </c>
      <c r="G143" s="9" t="n">
        <v>0</v>
      </c>
      <c r="H143" s="9" t="n">
        <v>0</v>
      </c>
      <c r="I143" s="9" t="n">
        <v>319</v>
      </c>
      <c r="J143" s="9" t="n">
        <v>60576489</v>
      </c>
    </row>
    <row r="144" customFormat="false" ht="15.75" hidden="false" customHeight="false" outlineLevel="0" collapsed="false">
      <c r="A144" s="7" t="s">
        <v>152</v>
      </c>
      <c r="B144" s="7" t="n">
        <v>9</v>
      </c>
      <c r="C144" s="9" t="n">
        <v>0</v>
      </c>
      <c r="D144" s="9" t="n">
        <v>0</v>
      </c>
      <c r="E144" s="9" t="n">
        <v>0</v>
      </c>
      <c r="F144" s="9" t="n">
        <v>0</v>
      </c>
      <c r="G144" s="9" t="n">
        <v>0</v>
      </c>
      <c r="H144" s="9" t="n">
        <v>0</v>
      </c>
      <c r="I144" s="9" t="n">
        <v>0</v>
      </c>
      <c r="J144" s="9" t="n">
        <v>0</v>
      </c>
    </row>
    <row r="145" customFormat="false" ht="15.75" hidden="false" customHeight="false" outlineLevel="0" collapsed="false">
      <c r="A145" s="7" t="s">
        <v>153</v>
      </c>
      <c r="B145" s="7" t="n">
        <v>9</v>
      </c>
      <c r="C145" s="9" t="n">
        <v>0</v>
      </c>
      <c r="D145" s="9" t="n">
        <v>0</v>
      </c>
      <c r="E145" s="9" t="n">
        <v>0</v>
      </c>
      <c r="F145" s="9" t="n">
        <v>0</v>
      </c>
      <c r="G145" s="9" t="n">
        <v>0</v>
      </c>
      <c r="H145" s="9" t="n">
        <v>0</v>
      </c>
      <c r="I145" s="9" t="n">
        <v>0</v>
      </c>
      <c r="J145" s="9" t="n">
        <v>0</v>
      </c>
    </row>
    <row r="146" customFormat="false" ht="15.75" hidden="false" customHeight="false" outlineLevel="0" collapsed="false">
      <c r="A146" s="7" t="s">
        <v>154</v>
      </c>
      <c r="B146" s="7" t="n">
        <v>9</v>
      </c>
      <c r="C146" s="9" t="n">
        <v>0</v>
      </c>
      <c r="D146" s="9" t="n">
        <v>0</v>
      </c>
      <c r="E146" s="9" t="n">
        <v>20</v>
      </c>
      <c r="F146" s="9" t="n">
        <v>4642900</v>
      </c>
      <c r="G146" s="9" t="n">
        <v>0</v>
      </c>
      <c r="H146" s="9" t="n">
        <v>0</v>
      </c>
      <c r="I146" s="9" t="n">
        <v>20</v>
      </c>
      <c r="J146" s="9" t="n">
        <v>4642900</v>
      </c>
    </row>
    <row r="147" customFormat="false" ht="15.75" hidden="false" customHeight="false" outlineLevel="0" collapsed="false">
      <c r="A147" s="7" t="s">
        <v>155</v>
      </c>
      <c r="B147" s="7" t="n">
        <v>9</v>
      </c>
      <c r="C147" s="9" t="n">
        <v>224</v>
      </c>
      <c r="D147" s="9" t="n">
        <v>64951888</v>
      </c>
      <c r="E147" s="9" t="n">
        <v>0</v>
      </c>
      <c r="F147" s="9" t="n">
        <v>0</v>
      </c>
      <c r="G147" s="9" t="n">
        <v>155</v>
      </c>
      <c r="H147" s="9" t="n">
        <v>44944387</v>
      </c>
      <c r="I147" s="9" t="n">
        <v>69</v>
      </c>
      <c r="J147" s="9" t="n">
        <v>20007501</v>
      </c>
    </row>
    <row r="148" customFormat="false" ht="15.75" hidden="false" customHeight="false" outlineLevel="0" collapsed="false">
      <c r="A148" s="7" t="s">
        <v>156</v>
      </c>
      <c r="B148" s="7" t="n">
        <v>9</v>
      </c>
      <c r="C148" s="9" t="n">
        <v>55</v>
      </c>
      <c r="D148" s="9" t="n">
        <v>12071540</v>
      </c>
      <c r="E148" s="9" t="n">
        <v>170</v>
      </c>
      <c r="F148" s="9" t="n">
        <v>39464650</v>
      </c>
      <c r="G148" s="9" t="n">
        <v>0</v>
      </c>
      <c r="H148" s="9" t="n">
        <v>0</v>
      </c>
      <c r="I148" s="9" t="n">
        <v>225</v>
      </c>
      <c r="J148" s="9" t="n">
        <v>51536190</v>
      </c>
    </row>
    <row r="149" customFormat="false" ht="15.75" hidden="false" customHeight="false" outlineLevel="0" collapsed="false">
      <c r="A149" s="7" t="s">
        <v>157</v>
      </c>
      <c r="B149" s="7" t="n">
        <v>9</v>
      </c>
      <c r="C149" s="9" t="n">
        <v>0</v>
      </c>
      <c r="D149" s="9" t="n">
        <v>0</v>
      </c>
      <c r="E149" s="9" t="n">
        <v>20</v>
      </c>
      <c r="F149" s="9" t="n">
        <v>4642900</v>
      </c>
      <c r="G149" s="9" t="n">
        <v>0</v>
      </c>
      <c r="H149" s="9" t="n">
        <v>0</v>
      </c>
      <c r="I149" s="9" t="n">
        <v>20</v>
      </c>
      <c r="J149" s="9" t="n">
        <v>4642900</v>
      </c>
    </row>
    <row r="150" customFormat="false" ht="15.75" hidden="false" customHeight="false" outlineLevel="0" collapsed="false">
      <c r="A150" s="7" t="s">
        <v>158</v>
      </c>
      <c r="B150" s="7" t="n">
        <v>9</v>
      </c>
      <c r="C150" s="9" t="n">
        <v>173</v>
      </c>
      <c r="D150" s="9" t="n">
        <v>40029592</v>
      </c>
      <c r="E150" s="9" t="n">
        <v>0</v>
      </c>
      <c r="F150" s="9" t="n">
        <v>0</v>
      </c>
      <c r="G150" s="9" t="n">
        <v>120</v>
      </c>
      <c r="H150" s="9" t="n">
        <v>27766191</v>
      </c>
      <c r="I150" s="9" t="n">
        <v>53</v>
      </c>
      <c r="J150" s="9" t="n">
        <v>12263401</v>
      </c>
    </row>
    <row r="151" customFormat="false" ht="15.75" hidden="false" customHeight="false" outlineLevel="0" collapsed="false">
      <c r="A151" s="7" t="s">
        <v>159</v>
      </c>
      <c r="B151" s="7" t="n">
        <v>9</v>
      </c>
      <c r="C151" s="9" t="n">
        <v>81</v>
      </c>
      <c r="D151" s="9" t="n">
        <v>17829621</v>
      </c>
      <c r="E151" s="9" t="n">
        <v>0</v>
      </c>
      <c r="F151" s="9" t="n">
        <v>0</v>
      </c>
      <c r="G151" s="9" t="n">
        <v>0</v>
      </c>
      <c r="H151" s="9" t="n">
        <v>0</v>
      </c>
      <c r="I151" s="9" t="n">
        <v>81</v>
      </c>
      <c r="J151" s="9" t="n">
        <v>17829621</v>
      </c>
    </row>
    <row r="152" customFormat="false" ht="15.75" hidden="false" customHeight="false" outlineLevel="0" collapsed="false">
      <c r="A152" s="7" t="s">
        <v>160</v>
      </c>
      <c r="B152" s="7" t="n">
        <v>9</v>
      </c>
      <c r="C152" s="9" t="n">
        <v>51</v>
      </c>
      <c r="D152" s="9" t="n">
        <v>13482180</v>
      </c>
      <c r="E152" s="9" t="n">
        <v>0</v>
      </c>
      <c r="F152" s="9" t="n">
        <v>0</v>
      </c>
      <c r="G152" s="9" t="n">
        <v>0</v>
      </c>
      <c r="H152" s="9" t="n">
        <v>0</v>
      </c>
      <c r="I152" s="9" t="n">
        <v>51</v>
      </c>
      <c r="J152" s="9" t="n">
        <v>13482180</v>
      </c>
    </row>
    <row r="153" customFormat="false" ht="15.75" hidden="false" customHeight="false" outlineLevel="0" collapsed="false">
      <c r="A153" s="7" t="s">
        <v>161</v>
      </c>
      <c r="B153" s="7" t="n">
        <v>9</v>
      </c>
      <c r="C153" s="9" t="n">
        <v>40</v>
      </c>
      <c r="D153" s="9" t="n">
        <v>9285800</v>
      </c>
      <c r="E153" s="9" t="n">
        <v>30</v>
      </c>
      <c r="F153" s="9" t="n">
        <v>6964350</v>
      </c>
      <c r="G153" s="9" t="n">
        <v>0</v>
      </c>
      <c r="H153" s="9" t="n">
        <v>0</v>
      </c>
      <c r="I153" s="9" t="n">
        <v>70</v>
      </c>
      <c r="J153" s="9" t="n">
        <v>16250150</v>
      </c>
    </row>
    <row r="154" customFormat="false" ht="15.75" hidden="false" customHeight="false" outlineLevel="0" collapsed="false">
      <c r="A154" s="7" t="s">
        <v>162</v>
      </c>
      <c r="B154" s="7" t="n">
        <v>9</v>
      </c>
      <c r="C154" s="9" t="n">
        <v>454</v>
      </c>
      <c r="D154" s="9" t="n">
        <v>143505314</v>
      </c>
      <c r="E154" s="9" t="n">
        <v>301</v>
      </c>
      <c r="F154" s="9" t="n">
        <v>95143391</v>
      </c>
      <c r="G154" s="9" t="n">
        <v>755</v>
      </c>
      <c r="H154" s="9" t="n">
        <v>238648705</v>
      </c>
      <c r="I154" s="9" t="n">
        <v>0</v>
      </c>
      <c r="J154" s="9" t="n">
        <v>0</v>
      </c>
    </row>
    <row r="155" customFormat="false" ht="15.75" hidden="false" customHeight="false" outlineLevel="0" collapsed="false">
      <c r="A155" s="7" t="s">
        <v>163</v>
      </c>
      <c r="B155" s="7" t="n">
        <v>9</v>
      </c>
      <c r="C155" s="9" t="n">
        <v>702</v>
      </c>
      <c r="D155" s="9" t="n">
        <v>221895882</v>
      </c>
      <c r="E155" s="9" t="n">
        <v>0</v>
      </c>
      <c r="F155" s="9" t="n">
        <v>0</v>
      </c>
      <c r="G155" s="9" t="n">
        <v>0</v>
      </c>
      <c r="H155" s="9" t="n">
        <v>0</v>
      </c>
      <c r="I155" s="9" t="n">
        <v>702</v>
      </c>
      <c r="J155" s="9" t="n">
        <v>221895882</v>
      </c>
    </row>
    <row r="156" customFormat="false" ht="15.75" hidden="false" customHeight="false" outlineLevel="0" collapsed="false">
      <c r="A156" s="7" t="s">
        <v>164</v>
      </c>
      <c r="B156" s="7" t="n">
        <v>9</v>
      </c>
      <c r="C156" s="9" t="n">
        <v>77</v>
      </c>
      <c r="D156" s="9" t="n">
        <v>11101646</v>
      </c>
      <c r="E156" s="9" t="n">
        <v>3</v>
      </c>
      <c r="F156" s="9" t="n">
        <v>432532</v>
      </c>
      <c r="G156" s="9" t="n">
        <v>80</v>
      </c>
      <c r="H156" s="9" t="n">
        <v>11534178</v>
      </c>
      <c r="I156" s="9" t="n">
        <v>0</v>
      </c>
      <c r="J156" s="9" t="n">
        <v>0</v>
      </c>
    </row>
    <row r="157" customFormat="false" ht="15.75" hidden="false" customHeight="false" outlineLevel="0" collapsed="false">
      <c r="A157" s="7" t="s">
        <v>165</v>
      </c>
      <c r="B157" s="7" t="n">
        <v>9</v>
      </c>
      <c r="C157" s="9" t="n">
        <v>210</v>
      </c>
      <c r="D157" s="9" t="n">
        <v>31937605</v>
      </c>
      <c r="E157" s="9" t="n">
        <v>0</v>
      </c>
      <c r="F157" s="9" t="n">
        <v>0</v>
      </c>
      <c r="G157" s="9" t="n">
        <v>110</v>
      </c>
      <c r="H157" s="9" t="n">
        <v>16729222</v>
      </c>
      <c r="I157" s="9" t="n">
        <v>100</v>
      </c>
      <c r="J157" s="9" t="n">
        <v>15208383</v>
      </c>
    </row>
    <row r="158" customFormat="false" ht="15.75" hidden="false" customHeight="false" outlineLevel="0" collapsed="false">
      <c r="A158" s="7" t="s">
        <v>166</v>
      </c>
      <c r="B158" s="7" t="n">
        <v>9</v>
      </c>
      <c r="C158" s="9" t="n">
        <v>0</v>
      </c>
      <c r="D158" s="9" t="n">
        <v>0</v>
      </c>
      <c r="E158" s="9" t="n">
        <v>0</v>
      </c>
      <c r="F158" s="9" t="n">
        <v>0</v>
      </c>
      <c r="G158" s="9" t="n">
        <v>0</v>
      </c>
      <c r="H158" s="9" t="n">
        <v>0</v>
      </c>
      <c r="I158" s="9" t="n">
        <v>0</v>
      </c>
      <c r="J158" s="9" t="n">
        <v>0</v>
      </c>
    </row>
    <row r="159" customFormat="false" ht="15.75" hidden="false" customHeight="false" outlineLevel="0" collapsed="false">
      <c r="A159" s="7" t="s">
        <v>167</v>
      </c>
      <c r="B159" s="7" t="n">
        <v>9</v>
      </c>
      <c r="C159" s="9" t="n">
        <v>0</v>
      </c>
      <c r="D159" s="9" t="n">
        <v>0</v>
      </c>
      <c r="E159" s="9" t="n">
        <v>0</v>
      </c>
      <c r="F159" s="9" t="n">
        <v>0</v>
      </c>
      <c r="G159" s="9" t="n">
        <v>0</v>
      </c>
      <c r="H159" s="9" t="n">
        <v>0</v>
      </c>
      <c r="I159" s="9" t="n">
        <v>0</v>
      </c>
      <c r="J159" s="9" t="n">
        <v>0</v>
      </c>
    </row>
    <row r="160" customFormat="false" ht="15.75" hidden="false" customHeight="false" outlineLevel="0" collapsed="false">
      <c r="A160" s="7" t="s">
        <v>168</v>
      </c>
      <c r="B160" s="7" t="n">
        <v>9</v>
      </c>
      <c r="C160" s="9" t="n">
        <v>996</v>
      </c>
      <c r="D160" s="9" t="n">
        <v>181667262</v>
      </c>
      <c r="E160" s="9" t="n">
        <v>100</v>
      </c>
      <c r="F160" s="9" t="n">
        <v>18240000</v>
      </c>
      <c r="G160" s="9" t="n">
        <v>0</v>
      </c>
      <c r="H160" s="9" t="n">
        <v>0</v>
      </c>
      <c r="I160" s="9" t="n">
        <v>1096</v>
      </c>
      <c r="J160" s="9" t="n">
        <v>199907262</v>
      </c>
    </row>
    <row r="161" customFormat="false" ht="15.75" hidden="false" customHeight="false" outlineLevel="0" collapsed="false">
      <c r="A161" s="7" t="s">
        <v>169</v>
      </c>
      <c r="B161" s="7" t="n">
        <v>9</v>
      </c>
      <c r="C161" s="9" t="n">
        <v>859</v>
      </c>
      <c r="D161" s="9" t="n">
        <v>152119335</v>
      </c>
      <c r="E161" s="9" t="n">
        <v>0</v>
      </c>
      <c r="F161" s="9" t="n">
        <v>0</v>
      </c>
      <c r="G161" s="9" t="n">
        <v>3</v>
      </c>
      <c r="H161" s="9" t="n">
        <v>531267</v>
      </c>
      <c r="I161" s="9" t="n">
        <v>856</v>
      </c>
      <c r="J161" s="9" t="n">
        <v>151588068</v>
      </c>
    </row>
    <row r="162" customFormat="false" ht="15.75" hidden="false" customHeight="false" outlineLevel="0" collapsed="false">
      <c r="A162" s="7" t="s">
        <v>170</v>
      </c>
      <c r="B162" s="7" t="n">
        <v>9</v>
      </c>
      <c r="C162" s="9" t="n">
        <v>369</v>
      </c>
      <c r="D162" s="9" t="n">
        <v>101340684</v>
      </c>
      <c r="E162" s="9" t="n">
        <v>0</v>
      </c>
      <c r="F162" s="9" t="n">
        <v>0</v>
      </c>
      <c r="G162" s="9" t="n">
        <v>0</v>
      </c>
      <c r="H162" s="9" t="n">
        <v>0</v>
      </c>
      <c r="I162" s="9" t="n">
        <v>369</v>
      </c>
      <c r="J162" s="9" t="n">
        <v>101340684</v>
      </c>
    </row>
    <row r="163" customFormat="false" ht="15.75" hidden="false" customHeight="false" outlineLevel="0" collapsed="false">
      <c r="A163" s="7" t="s">
        <v>171</v>
      </c>
      <c r="B163" s="7" t="n">
        <v>9</v>
      </c>
      <c r="C163" s="9" t="n">
        <v>0</v>
      </c>
      <c r="D163" s="9" t="n">
        <v>0</v>
      </c>
      <c r="E163" s="9" t="n">
        <v>0</v>
      </c>
      <c r="F163" s="9" t="n">
        <v>0</v>
      </c>
      <c r="G163" s="9" t="n">
        <v>0</v>
      </c>
      <c r="H163" s="9" t="n">
        <v>0</v>
      </c>
      <c r="I163" s="9" t="n">
        <v>0</v>
      </c>
      <c r="J163" s="9" t="n">
        <v>0</v>
      </c>
    </row>
    <row r="164" customFormat="false" ht="15.75" hidden="false" customHeight="false" outlineLevel="0" collapsed="false">
      <c r="A164" s="7" t="s">
        <v>172</v>
      </c>
      <c r="B164" s="7" t="n">
        <v>9</v>
      </c>
      <c r="C164" s="9" t="n">
        <v>349</v>
      </c>
      <c r="D164" s="9" t="n">
        <v>64734295</v>
      </c>
      <c r="E164" s="9" t="n">
        <v>0</v>
      </c>
      <c r="F164" s="9" t="n">
        <v>0</v>
      </c>
      <c r="G164" s="9" t="n">
        <v>10</v>
      </c>
      <c r="H164" s="9" t="n">
        <v>1854851</v>
      </c>
      <c r="I164" s="9" t="n">
        <v>339</v>
      </c>
      <c r="J164" s="9" t="n">
        <v>62879444</v>
      </c>
    </row>
    <row r="165" customFormat="false" ht="15.75" hidden="false" customHeight="false" outlineLevel="0" collapsed="false">
      <c r="A165" s="7" t="s">
        <v>173</v>
      </c>
      <c r="B165" s="7" t="n">
        <v>9</v>
      </c>
      <c r="C165" s="9" t="n">
        <v>392</v>
      </c>
      <c r="D165" s="9" t="n">
        <v>72756319</v>
      </c>
      <c r="E165" s="9" t="n">
        <v>0</v>
      </c>
      <c r="F165" s="9" t="n">
        <v>0</v>
      </c>
      <c r="G165" s="9" t="n">
        <v>10</v>
      </c>
      <c r="H165" s="9" t="n">
        <v>1856029</v>
      </c>
      <c r="I165" s="9" t="n">
        <v>382</v>
      </c>
      <c r="J165" s="9" t="n">
        <v>70900290</v>
      </c>
    </row>
    <row r="166" customFormat="false" ht="15.75" hidden="false" customHeight="false" outlineLevel="0" collapsed="false">
      <c r="A166" s="7" t="s">
        <v>174</v>
      </c>
      <c r="B166" s="7" t="n">
        <v>9</v>
      </c>
      <c r="C166" s="9" t="n">
        <v>100</v>
      </c>
      <c r="D166" s="9" t="n">
        <v>27457840</v>
      </c>
      <c r="E166" s="9" t="n">
        <v>0</v>
      </c>
      <c r="F166" s="9" t="n">
        <v>0</v>
      </c>
      <c r="G166" s="9" t="n">
        <v>0</v>
      </c>
      <c r="H166" s="9" t="n">
        <v>0</v>
      </c>
      <c r="I166" s="9" t="n">
        <v>100</v>
      </c>
      <c r="J166" s="9" t="n">
        <v>27457840</v>
      </c>
    </row>
    <row r="167" customFormat="false" ht="15.75" hidden="false" customHeight="false" outlineLevel="0" collapsed="false">
      <c r="A167" s="7" t="s">
        <v>175</v>
      </c>
      <c r="B167" s="7" t="n">
        <v>9</v>
      </c>
      <c r="C167" s="9" t="n">
        <v>0</v>
      </c>
      <c r="D167" s="9" t="n">
        <v>0</v>
      </c>
      <c r="E167" s="9" t="n">
        <v>0</v>
      </c>
      <c r="F167" s="9" t="n">
        <v>0</v>
      </c>
      <c r="G167" s="9" t="n">
        <v>0</v>
      </c>
      <c r="H167" s="9" t="n">
        <v>0</v>
      </c>
      <c r="I167" s="9" t="n">
        <v>0</v>
      </c>
      <c r="J167" s="9" t="n">
        <v>0</v>
      </c>
    </row>
    <row r="168" customFormat="false" ht="15.75" hidden="false" customHeight="false" outlineLevel="0" collapsed="false">
      <c r="A168" s="7" t="s">
        <v>176</v>
      </c>
      <c r="B168" s="7" t="n">
        <v>9</v>
      </c>
      <c r="C168" s="9" t="n">
        <v>0</v>
      </c>
      <c r="D168" s="9" t="n">
        <v>0</v>
      </c>
      <c r="E168" s="9" t="n">
        <v>0</v>
      </c>
      <c r="F168" s="9" t="n">
        <v>0</v>
      </c>
      <c r="G168" s="9" t="n">
        <v>0</v>
      </c>
      <c r="H168" s="9" t="n">
        <v>0</v>
      </c>
      <c r="I168" s="9" t="n">
        <v>0</v>
      </c>
      <c r="J168" s="9" t="n">
        <v>0</v>
      </c>
    </row>
    <row r="169" customFormat="false" ht="15.75" hidden="false" customHeight="false" outlineLevel="0" collapsed="false">
      <c r="A169" s="7" t="s">
        <v>177</v>
      </c>
      <c r="B169" s="7" t="n">
        <v>9</v>
      </c>
      <c r="C169" s="9" t="n">
        <v>0</v>
      </c>
      <c r="D169" s="9" t="n">
        <v>0</v>
      </c>
      <c r="E169" s="9" t="n">
        <v>1</v>
      </c>
      <c r="F169" s="9" t="n">
        <v>537037</v>
      </c>
      <c r="G169" s="9" t="n">
        <v>0</v>
      </c>
      <c r="H169" s="9" t="n">
        <v>0</v>
      </c>
      <c r="I169" s="9" t="n">
        <v>1</v>
      </c>
      <c r="J169" s="9" t="n">
        <v>537037</v>
      </c>
    </row>
    <row r="170" customFormat="false" ht="15.75" hidden="false" customHeight="false" outlineLevel="0" collapsed="false">
      <c r="A170" s="7" t="s">
        <v>178</v>
      </c>
      <c r="B170" s="7" t="n">
        <v>9</v>
      </c>
      <c r="C170" s="9" t="n">
        <v>0</v>
      </c>
      <c r="D170" s="9" t="n">
        <v>0</v>
      </c>
      <c r="E170" s="9" t="n">
        <v>0</v>
      </c>
      <c r="F170" s="9" t="n">
        <v>0</v>
      </c>
      <c r="G170" s="9" t="n">
        <v>0</v>
      </c>
      <c r="H170" s="9" t="n">
        <v>0</v>
      </c>
      <c r="I170" s="9" t="n">
        <v>0</v>
      </c>
      <c r="J170" s="9" t="n">
        <v>0</v>
      </c>
    </row>
    <row r="171" customFormat="false" ht="15.75" hidden="false" customHeight="false" outlineLevel="0" collapsed="false">
      <c r="A171" s="7" t="s">
        <v>179</v>
      </c>
      <c r="B171" s="7" t="n">
        <v>9</v>
      </c>
      <c r="C171" s="9" t="n">
        <v>15523</v>
      </c>
      <c r="D171" s="9" t="n">
        <v>73342133</v>
      </c>
      <c r="E171" s="9" t="n">
        <v>16578</v>
      </c>
      <c r="F171" s="9" t="n">
        <v>80006400</v>
      </c>
      <c r="G171" s="9" t="n">
        <v>8856</v>
      </c>
      <c r="H171" s="9" t="n">
        <v>42305679</v>
      </c>
      <c r="I171" s="9" t="n">
        <v>23245</v>
      </c>
      <c r="J171" s="9" t="n">
        <v>111042854</v>
      </c>
    </row>
    <row r="172" customFormat="false" ht="15.75" hidden="false" customHeight="false" outlineLevel="0" collapsed="false">
      <c r="A172" s="7" t="s">
        <v>180</v>
      </c>
      <c r="B172" s="7" t="n">
        <v>9</v>
      </c>
      <c r="C172" s="9" t="n">
        <v>336</v>
      </c>
      <c r="D172" s="9" t="n">
        <v>26402880</v>
      </c>
      <c r="E172" s="9" t="n">
        <v>360</v>
      </c>
      <c r="F172" s="9" t="n">
        <v>28288800</v>
      </c>
      <c r="G172" s="9" t="n">
        <v>0</v>
      </c>
      <c r="H172" s="9" t="n">
        <v>0</v>
      </c>
      <c r="I172" s="9" t="n">
        <v>696</v>
      </c>
      <c r="J172" s="9" t="n">
        <v>54691680</v>
      </c>
    </row>
    <row r="173" customFormat="false" ht="15.75" hidden="false" customHeight="false" outlineLevel="0" collapsed="false">
      <c r="A173" s="7" t="s">
        <v>181</v>
      </c>
      <c r="B173" s="7" t="n">
        <v>9</v>
      </c>
      <c r="C173" s="9" t="n">
        <v>852</v>
      </c>
      <c r="D173" s="9" t="n">
        <v>43719278</v>
      </c>
      <c r="E173" s="9" t="n">
        <v>360</v>
      </c>
      <c r="F173" s="9" t="n">
        <v>18500040</v>
      </c>
      <c r="G173" s="9" t="n">
        <v>360</v>
      </c>
      <c r="H173" s="9" t="n">
        <v>18480986</v>
      </c>
      <c r="I173" s="9" t="n">
        <v>852</v>
      </c>
      <c r="J173" s="9" t="n">
        <v>43738332</v>
      </c>
    </row>
    <row r="174" customFormat="false" ht="15.75" hidden="false" customHeight="false" outlineLevel="0" collapsed="false">
      <c r="A174" s="7" t="s">
        <v>182</v>
      </c>
      <c r="B174" s="7" t="n">
        <v>9</v>
      </c>
      <c r="C174" s="9" t="n">
        <v>20</v>
      </c>
      <c r="D174" s="9" t="n">
        <v>1190400</v>
      </c>
      <c r="E174" s="9" t="n">
        <v>0</v>
      </c>
      <c r="F174" s="9" t="n">
        <v>0</v>
      </c>
      <c r="G174" s="9" t="n">
        <v>0</v>
      </c>
      <c r="H174" s="9" t="n">
        <v>0</v>
      </c>
      <c r="I174" s="9" t="n">
        <v>20</v>
      </c>
      <c r="J174" s="9" t="n">
        <v>1190400</v>
      </c>
    </row>
    <row r="175" customFormat="false" ht="15.75" hidden="false" customHeight="false" outlineLevel="0" collapsed="false">
      <c r="A175" s="7" t="s">
        <v>183</v>
      </c>
      <c r="B175" s="7" t="n">
        <v>9</v>
      </c>
      <c r="C175" s="9" t="n">
        <v>2795</v>
      </c>
      <c r="D175" s="9" t="n">
        <v>151040143</v>
      </c>
      <c r="E175" s="9" t="n">
        <v>156</v>
      </c>
      <c r="F175" s="9" t="n">
        <v>8160778</v>
      </c>
      <c r="G175" s="9" t="n">
        <v>200</v>
      </c>
      <c r="H175" s="9" t="n">
        <v>10789625</v>
      </c>
      <c r="I175" s="9" t="n">
        <v>2751</v>
      </c>
      <c r="J175" s="9" t="n">
        <v>148411296</v>
      </c>
    </row>
    <row r="176" customFormat="false" ht="15.75" hidden="false" customHeight="false" outlineLevel="0" collapsed="false">
      <c r="A176" s="7" t="s">
        <v>184</v>
      </c>
      <c r="B176" s="7" t="n">
        <v>9</v>
      </c>
      <c r="C176" s="9" t="n">
        <v>2815</v>
      </c>
      <c r="D176" s="9" t="n">
        <v>152535034</v>
      </c>
      <c r="E176" s="9" t="n">
        <v>208</v>
      </c>
      <c r="F176" s="9" t="n">
        <v>10881037</v>
      </c>
      <c r="G176" s="9" t="n">
        <v>320</v>
      </c>
      <c r="H176" s="9" t="n">
        <v>17298426</v>
      </c>
      <c r="I176" s="9" t="n">
        <v>2703</v>
      </c>
      <c r="J176" s="9" t="n">
        <v>146117645</v>
      </c>
    </row>
    <row r="177" customFormat="false" ht="15.75" hidden="false" customHeight="false" outlineLevel="0" collapsed="false">
      <c r="A177" s="7" t="s">
        <v>185</v>
      </c>
      <c r="B177" s="7" t="n">
        <v>9</v>
      </c>
      <c r="C177" s="9" t="n">
        <v>210</v>
      </c>
      <c r="D177" s="9" t="n">
        <v>38760000</v>
      </c>
      <c r="E177" s="9" t="n">
        <v>250</v>
      </c>
      <c r="F177" s="9" t="n">
        <v>46027500</v>
      </c>
      <c r="G177" s="9" t="n">
        <v>0</v>
      </c>
      <c r="H177" s="9" t="n">
        <v>0</v>
      </c>
      <c r="I177" s="9" t="n">
        <v>460</v>
      </c>
      <c r="J177" s="9" t="n">
        <v>84787500</v>
      </c>
    </row>
    <row r="178" customFormat="false" ht="15.75" hidden="false" customHeight="false" outlineLevel="0" collapsed="false">
      <c r="A178" s="7" t="s">
        <v>186</v>
      </c>
      <c r="B178" s="7" t="n">
        <v>9</v>
      </c>
      <c r="C178" s="9" t="n">
        <v>25040</v>
      </c>
      <c r="D178" s="9" t="n">
        <v>1067748282</v>
      </c>
      <c r="E178" s="9" t="n">
        <v>0</v>
      </c>
      <c r="F178" s="9" t="n">
        <v>0</v>
      </c>
      <c r="G178" s="9" t="n">
        <v>17070</v>
      </c>
      <c r="H178" s="9" t="n">
        <v>733968800</v>
      </c>
      <c r="I178" s="9" t="n">
        <v>7970</v>
      </c>
      <c r="J178" s="9" t="n">
        <v>333779482</v>
      </c>
    </row>
    <row r="179" customFormat="false" ht="15.75" hidden="false" customHeight="false" outlineLevel="0" collapsed="false">
      <c r="A179" s="7" t="s">
        <v>187</v>
      </c>
      <c r="B179" s="7" t="n">
        <v>9</v>
      </c>
      <c r="C179" s="9" t="n">
        <v>2268</v>
      </c>
      <c r="D179" s="9" t="n">
        <v>81201654</v>
      </c>
      <c r="E179" s="9" t="n">
        <v>0</v>
      </c>
      <c r="F179" s="9" t="n">
        <v>0</v>
      </c>
      <c r="G179" s="9" t="n">
        <v>945</v>
      </c>
      <c r="H179" s="9" t="n">
        <v>34068110</v>
      </c>
      <c r="I179" s="9" t="n">
        <v>1323</v>
      </c>
      <c r="J179" s="9" t="n">
        <v>47133544</v>
      </c>
    </row>
    <row r="180" customFormat="false" ht="15.75" hidden="false" customHeight="false" outlineLevel="0" collapsed="false">
      <c r="A180" s="7" t="s">
        <v>188</v>
      </c>
      <c r="B180" s="7" t="n">
        <v>9</v>
      </c>
      <c r="C180" s="9" t="n">
        <v>966</v>
      </c>
      <c r="D180" s="9" t="n">
        <v>175705782</v>
      </c>
      <c r="E180" s="9" t="n">
        <v>7100</v>
      </c>
      <c r="F180" s="9" t="n">
        <v>1299600000</v>
      </c>
      <c r="G180" s="9" t="n">
        <v>1145</v>
      </c>
      <c r="H180" s="9" t="n">
        <v>209425381</v>
      </c>
      <c r="I180" s="9" t="n">
        <v>6921</v>
      </c>
      <c r="J180" s="9" t="n">
        <v>1265880401</v>
      </c>
    </row>
    <row r="181" customFormat="false" ht="15.75" hidden="false" customHeight="false" outlineLevel="0" collapsed="false">
      <c r="A181" s="7" t="s">
        <v>189</v>
      </c>
      <c r="B181" s="7" t="n">
        <v>9</v>
      </c>
      <c r="C181" s="9" t="n">
        <v>320</v>
      </c>
      <c r="D181" s="9" t="n">
        <v>13664775</v>
      </c>
      <c r="E181" s="9" t="n">
        <v>900</v>
      </c>
      <c r="F181" s="9" t="n">
        <v>39875458</v>
      </c>
      <c r="G181" s="9" t="n">
        <v>100</v>
      </c>
      <c r="H181" s="9" t="n">
        <v>4413458</v>
      </c>
      <c r="I181" s="9" t="n">
        <v>1120</v>
      </c>
      <c r="J181" s="9" t="n">
        <v>49126775</v>
      </c>
    </row>
    <row r="182" customFormat="false" ht="15.75" hidden="false" customHeight="false" outlineLevel="0" collapsed="false">
      <c r="A182" s="7" t="s">
        <v>190</v>
      </c>
      <c r="B182" s="7" t="n">
        <v>9</v>
      </c>
      <c r="C182" s="9" t="n">
        <v>0</v>
      </c>
      <c r="D182" s="9" t="n">
        <v>0</v>
      </c>
      <c r="E182" s="9" t="n">
        <v>7350</v>
      </c>
      <c r="F182" s="9" t="n">
        <v>212268000</v>
      </c>
      <c r="G182" s="9" t="n">
        <v>630</v>
      </c>
      <c r="H182" s="9" t="n">
        <v>18180725</v>
      </c>
      <c r="I182" s="9" t="n">
        <v>6720</v>
      </c>
      <c r="J182" s="9" t="n">
        <v>194087275</v>
      </c>
    </row>
    <row r="183" customFormat="false" ht="15.75" hidden="false" customHeight="false" outlineLevel="0" collapsed="false">
      <c r="A183" s="7" t="s">
        <v>191</v>
      </c>
      <c r="B183" s="7" t="n">
        <v>9</v>
      </c>
      <c r="C183" s="9" t="n">
        <v>6087</v>
      </c>
      <c r="D183" s="9" t="n">
        <v>57250875</v>
      </c>
      <c r="E183" s="9" t="n">
        <v>14093</v>
      </c>
      <c r="F183" s="9" t="n">
        <v>517039410</v>
      </c>
      <c r="G183" s="9" t="n">
        <v>20180</v>
      </c>
      <c r="H183" s="9" t="n">
        <v>574290285</v>
      </c>
      <c r="I183" s="9" t="n">
        <v>0</v>
      </c>
      <c r="J183" s="9" t="n">
        <v>0</v>
      </c>
    </row>
    <row r="184" customFormat="false" ht="15.75" hidden="false" customHeight="false" outlineLevel="0" collapsed="false">
      <c r="A184" s="7" t="s">
        <v>192</v>
      </c>
      <c r="B184" s="7" t="n">
        <v>9</v>
      </c>
      <c r="C184" s="9" t="n">
        <v>7650</v>
      </c>
      <c r="D184" s="9" t="n">
        <v>54606000</v>
      </c>
      <c r="E184" s="9" t="n">
        <v>6000</v>
      </c>
      <c r="F184" s="9" t="n">
        <v>43320000</v>
      </c>
      <c r="G184" s="9" t="n">
        <v>6000</v>
      </c>
      <c r="H184" s="9" t="n">
        <v>43044396</v>
      </c>
      <c r="I184" s="9" t="n">
        <v>7650</v>
      </c>
      <c r="J184" s="9" t="n">
        <v>54881604</v>
      </c>
    </row>
    <row r="185" customFormat="false" ht="15.75" hidden="false" customHeight="false" outlineLevel="0" collapsed="false">
      <c r="A185" s="7" t="s">
        <v>193</v>
      </c>
      <c r="B185" s="7" t="n">
        <v>9</v>
      </c>
      <c r="C185" s="9" t="n">
        <v>0</v>
      </c>
      <c r="D185" s="9" t="n">
        <v>0</v>
      </c>
      <c r="E185" s="9" t="n">
        <v>0</v>
      </c>
      <c r="F185" s="9" t="n">
        <v>0</v>
      </c>
      <c r="G185" s="9" t="n">
        <v>0</v>
      </c>
      <c r="H185" s="9" t="n">
        <v>0</v>
      </c>
      <c r="I185" s="9" t="n">
        <v>0</v>
      </c>
      <c r="J185" s="9" t="n">
        <v>0</v>
      </c>
    </row>
    <row r="186" customFormat="false" ht="15.75" hidden="false" customHeight="false" outlineLevel="0" collapsed="false">
      <c r="A186" s="7" t="s">
        <v>194</v>
      </c>
      <c r="B186" s="7" t="n">
        <v>9</v>
      </c>
      <c r="C186" s="9" t="n">
        <v>54280</v>
      </c>
      <c r="D186" s="9" t="n">
        <v>268483863</v>
      </c>
      <c r="E186" s="9" t="n">
        <v>180000</v>
      </c>
      <c r="F186" s="9" t="n">
        <v>1299600000</v>
      </c>
      <c r="G186" s="9" t="n">
        <v>29480</v>
      </c>
      <c r="H186" s="9" t="n">
        <v>212290392</v>
      </c>
      <c r="I186" s="9" t="n">
        <v>204800</v>
      </c>
      <c r="J186" s="9" t="n">
        <v>1355793471</v>
      </c>
    </row>
    <row r="187" customFormat="false" ht="15.75" hidden="false" customHeight="false" outlineLevel="0" collapsed="false">
      <c r="A187" s="7" t="s">
        <v>195</v>
      </c>
      <c r="B187" s="7" t="n">
        <v>9</v>
      </c>
      <c r="C187" s="9" t="n">
        <v>0</v>
      </c>
      <c r="D187" s="9" t="n">
        <v>0</v>
      </c>
      <c r="E187" s="9" t="n">
        <v>0</v>
      </c>
      <c r="F187" s="9" t="n">
        <v>0</v>
      </c>
      <c r="G187" s="9" t="n">
        <v>0</v>
      </c>
      <c r="H187" s="9" t="n">
        <v>0</v>
      </c>
      <c r="I187" s="9" t="n">
        <v>0</v>
      </c>
      <c r="J187" s="9" t="n">
        <v>0</v>
      </c>
    </row>
    <row r="188" customFormat="false" ht="15.75" hidden="false" customHeight="false" outlineLevel="0" collapsed="false">
      <c r="A188" s="7" t="s">
        <v>196</v>
      </c>
      <c r="B188" s="7" t="n">
        <v>9</v>
      </c>
      <c r="C188" s="9" t="n">
        <v>0</v>
      </c>
      <c r="D188" s="9" t="n">
        <v>0</v>
      </c>
      <c r="E188" s="9" t="n">
        <v>0</v>
      </c>
      <c r="F188" s="9" t="n">
        <v>0</v>
      </c>
      <c r="G188" s="9" t="n">
        <v>0</v>
      </c>
      <c r="H188" s="9" t="n">
        <v>0</v>
      </c>
      <c r="I188" s="9" t="n">
        <v>0</v>
      </c>
      <c r="J188" s="9" t="n">
        <v>0</v>
      </c>
    </row>
    <row r="189" customFormat="false" ht="15.75" hidden="false" customHeight="false" outlineLevel="0" collapsed="false">
      <c r="A189" s="7" t="s">
        <v>197</v>
      </c>
      <c r="B189" s="7" t="n">
        <v>9</v>
      </c>
      <c r="C189" s="9" t="n">
        <v>330</v>
      </c>
      <c r="D189" s="9" t="n">
        <v>2367855</v>
      </c>
      <c r="E189" s="9" t="n">
        <v>0</v>
      </c>
      <c r="F189" s="9" t="n">
        <v>0</v>
      </c>
      <c r="G189" s="9" t="n">
        <v>0</v>
      </c>
      <c r="H189" s="9" t="n">
        <v>0</v>
      </c>
      <c r="I189" s="9" t="n">
        <v>330</v>
      </c>
      <c r="J189" s="9" t="n">
        <v>2367855</v>
      </c>
    </row>
    <row r="190" customFormat="false" ht="15.75" hidden="false" customHeight="false" outlineLevel="0" collapsed="false">
      <c r="A190" s="7" t="s">
        <v>198</v>
      </c>
      <c r="B190" s="7" t="n">
        <v>9</v>
      </c>
      <c r="C190" s="9" t="n">
        <v>0</v>
      </c>
      <c r="D190" s="9" t="n">
        <v>0</v>
      </c>
      <c r="E190" s="9" t="n">
        <v>0</v>
      </c>
      <c r="F190" s="9" t="n">
        <v>0</v>
      </c>
      <c r="G190" s="9" t="n">
        <v>0</v>
      </c>
      <c r="H190" s="9" t="n">
        <v>0</v>
      </c>
      <c r="I190" s="9" t="n">
        <v>0</v>
      </c>
      <c r="J190" s="9" t="n">
        <v>0</v>
      </c>
    </row>
    <row r="191" customFormat="false" ht="15.75" hidden="false" customHeight="false" outlineLevel="0" collapsed="false">
      <c r="A191" s="7" t="s">
        <v>199</v>
      </c>
      <c r="B191" s="7" t="n">
        <v>9</v>
      </c>
      <c r="C191" s="9" t="n">
        <v>77660</v>
      </c>
      <c r="D191" s="9" t="n">
        <v>0</v>
      </c>
      <c r="E191" s="9" t="n">
        <v>0</v>
      </c>
      <c r="F191" s="9" t="n">
        <v>0</v>
      </c>
      <c r="G191" s="9" t="n">
        <v>0</v>
      </c>
      <c r="H191" s="9" t="n">
        <v>0</v>
      </c>
      <c r="I191" s="9" t="n">
        <v>77660</v>
      </c>
      <c r="J191" s="9" t="n">
        <v>0</v>
      </c>
    </row>
    <row r="192" customFormat="false" ht="15.75" hidden="false" customHeight="false" outlineLevel="0" collapsed="false">
      <c r="A192" s="7" t="s">
        <v>200</v>
      </c>
      <c r="B192" s="7" t="n">
        <v>9</v>
      </c>
      <c r="C192" s="9" t="n">
        <v>72</v>
      </c>
      <c r="D192" s="9" t="n">
        <v>504000</v>
      </c>
      <c r="E192" s="9" t="n">
        <v>0</v>
      </c>
      <c r="F192" s="9" t="n">
        <v>0</v>
      </c>
      <c r="G192" s="9" t="n">
        <v>0</v>
      </c>
      <c r="H192" s="9" t="n">
        <v>0</v>
      </c>
      <c r="I192" s="9" t="n">
        <v>72</v>
      </c>
      <c r="J192" s="9" t="n">
        <v>504000</v>
      </c>
    </row>
    <row r="193" customFormat="false" ht="15.75" hidden="false" customHeight="false" outlineLevel="0" collapsed="false">
      <c r="A193" s="7" t="s">
        <v>201</v>
      </c>
      <c r="B193" s="7" t="n">
        <v>9</v>
      </c>
      <c r="C193" s="9" t="n">
        <v>2100</v>
      </c>
      <c r="D193" s="9" t="n">
        <v>32160899</v>
      </c>
      <c r="E193" s="9" t="n">
        <v>420</v>
      </c>
      <c r="F193" s="9" t="n">
        <v>6805680</v>
      </c>
      <c r="G193" s="9" t="n">
        <v>1320</v>
      </c>
      <c r="H193" s="9" t="n">
        <v>20411065</v>
      </c>
      <c r="I193" s="9" t="n">
        <v>1200</v>
      </c>
      <c r="J193" s="9" t="n">
        <v>18555514</v>
      </c>
    </row>
    <row r="194" customFormat="false" ht="15.75" hidden="false" customHeight="false" outlineLevel="0" collapsed="false">
      <c r="A194" s="7" t="s">
        <v>202</v>
      </c>
      <c r="B194" s="7" t="n">
        <v>9</v>
      </c>
      <c r="C194" s="9" t="n">
        <v>0</v>
      </c>
      <c r="D194" s="9" t="n">
        <v>0</v>
      </c>
      <c r="E194" s="9" t="n">
        <v>0</v>
      </c>
      <c r="F194" s="9" t="n">
        <v>0</v>
      </c>
      <c r="G194" s="9" t="n">
        <v>0</v>
      </c>
      <c r="H194" s="9" t="n">
        <v>0</v>
      </c>
      <c r="I194" s="9" t="n">
        <v>0</v>
      </c>
      <c r="J194" s="9" t="n">
        <v>0</v>
      </c>
    </row>
    <row r="195" customFormat="false" ht="15.75" hidden="false" customHeight="false" outlineLevel="0" collapsed="false">
      <c r="A195" s="7" t="s">
        <v>203</v>
      </c>
      <c r="B195" s="7" t="n">
        <v>9</v>
      </c>
      <c r="C195" s="9" t="n">
        <v>7672</v>
      </c>
      <c r="D195" s="9" t="n">
        <v>86079158</v>
      </c>
      <c r="E195" s="9" t="n">
        <v>0</v>
      </c>
      <c r="F195" s="9" t="n">
        <v>0</v>
      </c>
      <c r="G195" s="9" t="n">
        <v>2050</v>
      </c>
      <c r="H195" s="9" t="n">
        <v>23000818</v>
      </c>
      <c r="I195" s="9" t="n">
        <v>5622</v>
      </c>
      <c r="J195" s="9" t="n">
        <v>63078340</v>
      </c>
    </row>
    <row r="196" customFormat="false" ht="15.75" hidden="false" customHeight="false" outlineLevel="0" collapsed="false">
      <c r="A196" s="7" t="s">
        <v>204</v>
      </c>
      <c r="B196" s="7" t="n">
        <v>9</v>
      </c>
      <c r="C196" s="9" t="n">
        <v>5425</v>
      </c>
      <c r="D196" s="9" t="n">
        <v>151468959</v>
      </c>
      <c r="E196" s="9" t="n">
        <v>3600</v>
      </c>
      <c r="F196" s="9" t="n">
        <v>115236000</v>
      </c>
      <c r="G196" s="9" t="n">
        <v>1150</v>
      </c>
      <c r="H196" s="9" t="n">
        <v>33984565</v>
      </c>
      <c r="I196" s="9" t="n">
        <v>7875</v>
      </c>
      <c r="J196" s="9" t="n">
        <v>232720394</v>
      </c>
    </row>
    <row r="197" customFormat="false" ht="15.75" hidden="false" customHeight="false" outlineLevel="0" collapsed="false">
      <c r="A197" s="7" t="s">
        <v>205</v>
      </c>
      <c r="B197" s="7" t="n">
        <v>9</v>
      </c>
      <c r="C197" s="9" t="n">
        <v>1230</v>
      </c>
      <c r="D197" s="9" t="n">
        <v>73533643</v>
      </c>
      <c r="E197" s="9" t="n">
        <v>0</v>
      </c>
      <c r="F197" s="9" t="n">
        <v>0</v>
      </c>
      <c r="G197" s="9" t="n">
        <v>310</v>
      </c>
      <c r="H197" s="9" t="n">
        <v>18532870</v>
      </c>
      <c r="I197" s="9" t="n">
        <v>920</v>
      </c>
      <c r="J197" s="9" t="n">
        <v>55000773</v>
      </c>
    </row>
    <row r="198" customFormat="false" ht="15.75" hidden="false" customHeight="false" outlineLevel="0" collapsed="false">
      <c r="A198" s="7" t="s">
        <v>206</v>
      </c>
      <c r="B198" s="7" t="n">
        <v>9</v>
      </c>
      <c r="C198" s="9" t="n">
        <v>1144</v>
      </c>
      <c r="D198" s="9" t="n">
        <v>36202104</v>
      </c>
      <c r="E198" s="9" t="n">
        <v>192</v>
      </c>
      <c r="F198" s="9" t="n">
        <v>6309811</v>
      </c>
      <c r="G198" s="9" t="n">
        <v>284</v>
      </c>
      <c r="H198" s="9" t="n">
        <v>9036964</v>
      </c>
      <c r="I198" s="9" t="n">
        <v>1052</v>
      </c>
      <c r="J198" s="9" t="n">
        <v>33474951</v>
      </c>
    </row>
    <row r="199" customFormat="false" ht="15.75" hidden="false" customHeight="false" outlineLevel="0" collapsed="false">
      <c r="A199" s="7" t="s">
        <v>207</v>
      </c>
      <c r="B199" s="7" t="n">
        <v>9</v>
      </c>
      <c r="C199" s="9" t="n">
        <v>1836</v>
      </c>
      <c r="D199" s="9" t="n">
        <v>4609440</v>
      </c>
      <c r="E199" s="9" t="n">
        <v>288</v>
      </c>
      <c r="F199" s="9" t="n">
        <v>0</v>
      </c>
      <c r="G199" s="9" t="n">
        <v>360</v>
      </c>
      <c r="H199" s="9" t="n">
        <v>781261</v>
      </c>
      <c r="I199" s="9" t="n">
        <v>1764</v>
      </c>
      <c r="J199" s="9" t="n">
        <v>3828179</v>
      </c>
    </row>
    <row r="200" customFormat="false" ht="15.75" hidden="false" customHeight="false" outlineLevel="0" collapsed="false">
      <c r="A200" s="7" t="s">
        <v>208</v>
      </c>
      <c r="B200" s="7" t="n">
        <v>9</v>
      </c>
      <c r="C200" s="9" t="n">
        <v>13</v>
      </c>
      <c r="D200" s="9" t="n">
        <v>107765</v>
      </c>
      <c r="E200" s="9" t="n">
        <v>0</v>
      </c>
      <c r="F200" s="9" t="n">
        <v>0</v>
      </c>
      <c r="G200" s="9" t="n">
        <v>0</v>
      </c>
      <c r="H200" s="9" t="n">
        <v>0</v>
      </c>
      <c r="I200" s="9" t="n">
        <v>13</v>
      </c>
      <c r="J200" s="9" t="n">
        <v>107765</v>
      </c>
    </row>
    <row r="201" customFormat="false" ht="15.75" hidden="false" customHeight="false" outlineLevel="0" collapsed="false">
      <c r="A201" s="7" t="s">
        <v>209</v>
      </c>
      <c r="B201" s="7" t="n">
        <v>9</v>
      </c>
      <c r="C201" s="9" t="n">
        <v>24</v>
      </c>
      <c r="D201" s="9" t="n">
        <v>1401840</v>
      </c>
      <c r="E201" s="9" t="n">
        <v>0</v>
      </c>
      <c r="F201" s="9" t="n">
        <v>0</v>
      </c>
      <c r="G201" s="9" t="n">
        <v>0</v>
      </c>
      <c r="H201" s="9" t="n">
        <v>0</v>
      </c>
      <c r="I201" s="9" t="n">
        <v>24</v>
      </c>
      <c r="J201" s="9" t="n">
        <v>1401840</v>
      </c>
    </row>
    <row r="202" customFormat="false" ht="15.75" hidden="false" customHeight="false" outlineLevel="0" collapsed="false">
      <c r="A202" s="7" t="s">
        <v>210</v>
      </c>
      <c r="B202" s="7" t="n">
        <v>9</v>
      </c>
      <c r="C202" s="9" t="n">
        <v>625</v>
      </c>
      <c r="D202" s="9" t="n">
        <v>6930861</v>
      </c>
      <c r="E202" s="9" t="n">
        <v>0</v>
      </c>
      <c r="F202" s="9" t="n">
        <v>0</v>
      </c>
      <c r="G202" s="9" t="n">
        <v>0</v>
      </c>
      <c r="H202" s="9" t="n">
        <v>0</v>
      </c>
      <c r="I202" s="9" t="n">
        <v>625</v>
      </c>
      <c r="J202" s="9" t="n">
        <v>6930861</v>
      </c>
    </row>
    <row r="203" customFormat="false" ht="15.75" hidden="false" customHeight="false" outlineLevel="0" collapsed="false">
      <c r="A203" s="7" t="s">
        <v>211</v>
      </c>
      <c r="B203" s="7" t="n">
        <v>9</v>
      </c>
      <c r="C203" s="9" t="n">
        <v>0</v>
      </c>
      <c r="D203" s="9" t="n">
        <v>0</v>
      </c>
      <c r="E203" s="9" t="n">
        <v>0</v>
      </c>
      <c r="F203" s="9" t="n">
        <v>0</v>
      </c>
      <c r="G203" s="9" t="n">
        <v>0</v>
      </c>
      <c r="H203" s="9" t="n">
        <v>0</v>
      </c>
      <c r="I203" s="9" t="n">
        <v>0</v>
      </c>
      <c r="J203" s="9" t="n">
        <v>0</v>
      </c>
    </row>
    <row r="204" customFormat="false" ht="15.75" hidden="false" customHeight="false" outlineLevel="0" collapsed="false">
      <c r="A204" s="7" t="s">
        <v>212</v>
      </c>
      <c r="B204" s="7" t="n">
        <v>9</v>
      </c>
      <c r="C204" s="9" t="n">
        <v>3577</v>
      </c>
      <c r="D204" s="9" t="n">
        <v>43228102</v>
      </c>
      <c r="E204" s="9" t="n">
        <v>5040</v>
      </c>
      <c r="F204" s="9" t="n">
        <v>62576640</v>
      </c>
      <c r="G204" s="9" t="n">
        <v>100</v>
      </c>
      <c r="H204" s="9" t="n">
        <v>1227861</v>
      </c>
      <c r="I204" s="9" t="n">
        <v>8517</v>
      </c>
      <c r="J204" s="9" t="n">
        <v>104576881</v>
      </c>
    </row>
    <row r="205" customFormat="false" ht="15.75" hidden="false" customHeight="false" outlineLevel="0" collapsed="false">
      <c r="A205" s="7" t="s">
        <v>213</v>
      </c>
      <c r="B205" s="7" t="n">
        <v>9</v>
      </c>
      <c r="C205" s="9" t="n">
        <v>10752</v>
      </c>
      <c r="D205" s="9" t="n">
        <v>215404020</v>
      </c>
      <c r="E205" s="9" t="n">
        <v>0</v>
      </c>
      <c r="F205" s="9" t="n">
        <v>0</v>
      </c>
      <c r="G205" s="9" t="n">
        <v>4820</v>
      </c>
      <c r="H205" s="9" t="n">
        <v>96563186</v>
      </c>
      <c r="I205" s="9" t="n">
        <v>5932</v>
      </c>
      <c r="J205" s="9" t="n">
        <v>118840834</v>
      </c>
    </row>
    <row r="206" customFormat="false" ht="15.75" hidden="false" customHeight="false" outlineLevel="0" collapsed="false">
      <c r="A206" s="7" t="s">
        <v>214</v>
      </c>
      <c r="B206" s="7" t="n">
        <v>9</v>
      </c>
      <c r="C206" s="9" t="n">
        <v>11869</v>
      </c>
      <c r="D206" s="9" t="n">
        <v>266626635</v>
      </c>
      <c r="E206" s="9" t="n">
        <v>3369</v>
      </c>
      <c r="F206" s="9" t="n">
        <v>74505312</v>
      </c>
      <c r="G206" s="9" t="n">
        <v>1180</v>
      </c>
      <c r="H206" s="9" t="n">
        <v>26416570</v>
      </c>
      <c r="I206" s="9" t="n">
        <v>14058</v>
      </c>
      <c r="J206" s="9" t="n">
        <v>314715377</v>
      </c>
    </row>
    <row r="207" customFormat="false" ht="15.75" hidden="false" customHeight="false" outlineLevel="0" collapsed="false">
      <c r="A207" s="7" t="s">
        <v>215</v>
      </c>
      <c r="B207" s="7" t="n">
        <v>9</v>
      </c>
      <c r="C207" s="9" t="n">
        <v>7600</v>
      </c>
      <c r="D207" s="9" t="n">
        <v>303881600</v>
      </c>
      <c r="E207" s="9" t="n">
        <v>0</v>
      </c>
      <c r="F207" s="9" t="n">
        <v>0</v>
      </c>
      <c r="G207" s="9" t="n">
        <v>2620</v>
      </c>
      <c r="H207" s="9" t="n">
        <v>104759183</v>
      </c>
      <c r="I207" s="9" t="n">
        <v>4980</v>
      </c>
      <c r="J207" s="9" t="n">
        <v>199122417</v>
      </c>
    </row>
    <row r="208" customFormat="false" ht="15.75" hidden="false" customHeight="false" outlineLevel="0" collapsed="false">
      <c r="A208" s="7" t="s">
        <v>216</v>
      </c>
      <c r="B208" s="7" t="n">
        <v>9</v>
      </c>
      <c r="C208" s="9" t="n">
        <v>288</v>
      </c>
      <c r="D208" s="9" t="n">
        <v>5000544</v>
      </c>
      <c r="E208" s="9" t="n">
        <v>144</v>
      </c>
      <c r="F208" s="9" t="n">
        <v>2500272</v>
      </c>
      <c r="G208" s="9" t="n">
        <v>0</v>
      </c>
      <c r="H208" s="9" t="n">
        <v>0</v>
      </c>
      <c r="I208" s="9" t="n">
        <v>432</v>
      </c>
      <c r="J208" s="9" t="n">
        <v>7500816</v>
      </c>
    </row>
    <row r="209" customFormat="false" ht="15.75" hidden="false" customHeight="false" outlineLevel="0" collapsed="false">
      <c r="A209" s="7" t="s">
        <v>217</v>
      </c>
      <c r="B209" s="7" t="n">
        <v>9</v>
      </c>
      <c r="C209" s="9" t="n">
        <v>10</v>
      </c>
      <c r="D209" s="9" t="n">
        <v>1775003</v>
      </c>
      <c r="E209" s="9" t="n">
        <v>0</v>
      </c>
      <c r="F209" s="9" t="n">
        <v>0</v>
      </c>
      <c r="G209" s="9" t="n">
        <v>0</v>
      </c>
      <c r="H209" s="9" t="n">
        <v>0</v>
      </c>
      <c r="I209" s="9" t="n">
        <v>10</v>
      </c>
      <c r="J209" s="9" t="n">
        <v>1775003</v>
      </c>
    </row>
    <row r="210" customFormat="false" ht="15.75" hidden="false" customHeight="false" outlineLevel="0" collapsed="false">
      <c r="A210" s="7" t="s">
        <v>218</v>
      </c>
      <c r="B210" s="7" t="n">
        <v>9</v>
      </c>
      <c r="C210" s="9" t="n">
        <v>0</v>
      </c>
      <c r="D210" s="9" t="n">
        <v>0</v>
      </c>
      <c r="E210" s="9" t="n">
        <v>0</v>
      </c>
      <c r="F210" s="9" t="n">
        <v>0</v>
      </c>
      <c r="G210" s="9" t="n">
        <v>0</v>
      </c>
      <c r="H210" s="9" t="n">
        <v>0</v>
      </c>
      <c r="I210" s="9" t="n">
        <v>0</v>
      </c>
      <c r="J210" s="9" t="n">
        <v>0</v>
      </c>
    </row>
    <row r="211" customFormat="false" ht="15.75" hidden="false" customHeight="false" outlineLevel="0" collapsed="false">
      <c r="A211" s="7" t="s">
        <v>219</v>
      </c>
      <c r="B211" s="7" t="n">
        <v>9</v>
      </c>
      <c r="C211" s="9" t="n">
        <v>0</v>
      </c>
      <c r="D211" s="9" t="n">
        <v>0</v>
      </c>
      <c r="E211" s="9" t="n">
        <v>0</v>
      </c>
      <c r="F211" s="9" t="n">
        <v>0</v>
      </c>
      <c r="G211" s="9" t="n">
        <v>0</v>
      </c>
      <c r="H211" s="9" t="n">
        <v>0</v>
      </c>
      <c r="I211" s="9" t="n">
        <v>0</v>
      </c>
      <c r="J211" s="9" t="n">
        <v>0</v>
      </c>
    </row>
    <row r="212" customFormat="false" ht="15.75" hidden="false" customHeight="false" outlineLevel="0" collapsed="false">
      <c r="A212" s="7" t="s">
        <v>220</v>
      </c>
      <c r="B212" s="7" t="n">
        <v>9</v>
      </c>
      <c r="C212" s="9" t="n">
        <v>0</v>
      </c>
      <c r="D212" s="9" t="n">
        <v>0</v>
      </c>
      <c r="E212" s="9" t="n">
        <v>0</v>
      </c>
      <c r="F212" s="9" t="n">
        <v>0</v>
      </c>
      <c r="G212" s="9" t="n">
        <v>0</v>
      </c>
      <c r="H212" s="9" t="n">
        <v>0</v>
      </c>
      <c r="I212" s="9" t="n">
        <v>0</v>
      </c>
      <c r="J212" s="9" t="n">
        <v>0</v>
      </c>
    </row>
    <row r="213" customFormat="false" ht="15.75" hidden="false" customHeight="false" outlineLevel="0" collapsed="false">
      <c r="A213" s="7" t="s">
        <v>221</v>
      </c>
      <c r="B213" s="7" t="n">
        <v>9</v>
      </c>
      <c r="C213" s="9" t="n">
        <v>2994</v>
      </c>
      <c r="D213" s="9" t="n">
        <v>58449350</v>
      </c>
      <c r="E213" s="9" t="n">
        <v>360</v>
      </c>
      <c r="F213" s="9" t="n">
        <v>7088760</v>
      </c>
      <c r="G213" s="9" t="n">
        <v>400</v>
      </c>
      <c r="H213" s="9" t="n">
        <v>7816113</v>
      </c>
      <c r="I213" s="9" t="n">
        <v>2954</v>
      </c>
      <c r="J213" s="9" t="n">
        <v>57721997</v>
      </c>
    </row>
    <row r="214" customFormat="false" ht="15.75" hidden="false" customHeight="false" outlineLevel="0" collapsed="false">
      <c r="A214" s="7" t="s">
        <v>222</v>
      </c>
      <c r="B214" s="7" t="n">
        <v>9</v>
      </c>
      <c r="C214" s="9" t="n">
        <v>1076</v>
      </c>
      <c r="D214" s="9" t="n">
        <v>23090763</v>
      </c>
      <c r="E214" s="9" t="n">
        <v>0</v>
      </c>
      <c r="F214" s="9" t="n">
        <v>0</v>
      </c>
      <c r="G214" s="9" t="n">
        <v>0</v>
      </c>
      <c r="H214" s="9" t="n">
        <v>0</v>
      </c>
      <c r="I214" s="9" t="n">
        <v>1076</v>
      </c>
      <c r="J214" s="9" t="n">
        <v>23090763</v>
      </c>
    </row>
    <row r="215" customFormat="false" ht="15.75" hidden="false" customHeight="false" outlineLevel="0" collapsed="false">
      <c r="A215" s="7" t="s">
        <v>223</v>
      </c>
      <c r="B215" s="7" t="n">
        <v>9</v>
      </c>
      <c r="C215" s="9" t="n">
        <v>1057</v>
      </c>
      <c r="D215" s="9" t="n">
        <v>45713728</v>
      </c>
      <c r="E215" s="9" t="n">
        <v>48</v>
      </c>
      <c r="F215" s="9" t="n">
        <v>2076576</v>
      </c>
      <c r="G215" s="9" t="n">
        <v>0</v>
      </c>
      <c r="H215" s="9" t="n">
        <v>0</v>
      </c>
      <c r="I215" s="9" t="n">
        <v>1105</v>
      </c>
      <c r="J215" s="9" t="n">
        <v>47790304</v>
      </c>
    </row>
    <row r="216" customFormat="false" ht="15.75" hidden="false" customHeight="false" outlineLevel="0" collapsed="false">
      <c r="A216" s="7" t="s">
        <v>224</v>
      </c>
      <c r="B216" s="7" t="n">
        <v>9</v>
      </c>
      <c r="C216" s="9" t="n">
        <v>336</v>
      </c>
      <c r="D216" s="9" t="n">
        <v>6713952</v>
      </c>
      <c r="E216" s="9" t="n">
        <v>0</v>
      </c>
      <c r="F216" s="9" t="n">
        <v>0</v>
      </c>
      <c r="G216" s="9" t="n">
        <v>0</v>
      </c>
      <c r="H216" s="9" t="n">
        <v>0</v>
      </c>
      <c r="I216" s="9" t="n">
        <v>336</v>
      </c>
      <c r="J216" s="9" t="n">
        <v>6713952</v>
      </c>
    </row>
    <row r="217" customFormat="false" ht="15.75" hidden="false" customHeight="false" outlineLevel="0" collapsed="false">
      <c r="A217" s="7" t="s">
        <v>225</v>
      </c>
      <c r="B217" s="7" t="n">
        <v>9</v>
      </c>
      <c r="C217" s="9" t="n">
        <v>0</v>
      </c>
      <c r="D217" s="9" t="n">
        <v>0</v>
      </c>
      <c r="E217" s="9" t="n">
        <v>72</v>
      </c>
      <c r="F217" s="9" t="n">
        <v>1510639</v>
      </c>
      <c r="G217" s="9" t="n">
        <v>0</v>
      </c>
      <c r="H217" s="9" t="n">
        <v>0</v>
      </c>
      <c r="I217" s="9" t="n">
        <v>72</v>
      </c>
      <c r="J217" s="9" t="n">
        <v>1510639</v>
      </c>
    </row>
    <row r="218" customFormat="false" ht="15.75" hidden="false" customHeight="false" outlineLevel="0" collapsed="false">
      <c r="A218" s="7" t="s">
        <v>226</v>
      </c>
      <c r="B218" s="7" t="n">
        <v>9</v>
      </c>
      <c r="C218" s="9" t="n">
        <v>360</v>
      </c>
      <c r="D218" s="9" t="n">
        <v>7553196</v>
      </c>
      <c r="E218" s="9" t="n">
        <v>0</v>
      </c>
      <c r="F218" s="9" t="n">
        <v>0</v>
      </c>
      <c r="G218" s="9" t="n">
        <v>0</v>
      </c>
      <c r="H218" s="9" t="n">
        <v>0</v>
      </c>
      <c r="I218" s="9" t="n">
        <v>360</v>
      </c>
      <c r="J218" s="9" t="n">
        <v>7553196</v>
      </c>
    </row>
    <row r="219" customFormat="false" ht="15.75" hidden="false" customHeight="false" outlineLevel="0" collapsed="false">
      <c r="A219" s="7" t="s">
        <v>227</v>
      </c>
      <c r="B219" s="7" t="n">
        <v>9</v>
      </c>
      <c r="C219" s="9" t="n">
        <v>490</v>
      </c>
      <c r="D219" s="9" t="n">
        <v>0</v>
      </c>
      <c r="E219" s="9" t="n">
        <v>0</v>
      </c>
      <c r="F219" s="9" t="n">
        <v>0</v>
      </c>
      <c r="G219" s="9" t="n">
        <v>0</v>
      </c>
      <c r="H219" s="9" t="n">
        <v>0</v>
      </c>
      <c r="I219" s="9" t="n">
        <v>490</v>
      </c>
      <c r="J219" s="9" t="n">
        <v>0</v>
      </c>
    </row>
    <row r="220" customFormat="false" ht="15.75" hidden="false" customHeight="false" outlineLevel="0" collapsed="false">
      <c r="A220" s="7" t="s">
        <v>228</v>
      </c>
      <c r="B220" s="7" t="n">
        <v>9</v>
      </c>
      <c r="C220" s="9" t="n">
        <v>951</v>
      </c>
      <c r="D220" s="9" t="n">
        <v>84187319</v>
      </c>
      <c r="E220" s="9" t="n">
        <v>80</v>
      </c>
      <c r="F220" s="9" t="n">
        <v>7024640</v>
      </c>
      <c r="G220" s="9" t="n">
        <v>0</v>
      </c>
      <c r="H220" s="9" t="n">
        <v>0</v>
      </c>
      <c r="I220" s="9" t="n">
        <v>1031</v>
      </c>
      <c r="J220" s="9" t="n">
        <v>91211959</v>
      </c>
    </row>
    <row r="221" customFormat="false" ht="15.75" hidden="false" customHeight="false" outlineLevel="0" collapsed="false">
      <c r="A221" s="7" t="s">
        <v>229</v>
      </c>
      <c r="B221" s="7" t="n">
        <v>9</v>
      </c>
      <c r="C221" s="9" t="n">
        <v>2375</v>
      </c>
      <c r="D221" s="9" t="n">
        <v>215035257</v>
      </c>
      <c r="E221" s="9" t="n">
        <v>334</v>
      </c>
      <c r="F221" s="9" t="n">
        <v>29419110</v>
      </c>
      <c r="G221" s="9" t="n">
        <v>343</v>
      </c>
      <c r="H221" s="9" t="n">
        <v>30951587</v>
      </c>
      <c r="I221" s="9" t="n">
        <v>2366</v>
      </c>
      <c r="J221" s="9" t="n">
        <v>213502780</v>
      </c>
    </row>
    <row r="222" customFormat="false" ht="15.75" hidden="false" customHeight="false" outlineLevel="0" collapsed="false">
      <c r="A222" s="7" t="s">
        <v>230</v>
      </c>
      <c r="B222" s="7" t="n">
        <v>9</v>
      </c>
      <c r="C222" s="9" t="n">
        <v>0</v>
      </c>
      <c r="D222" s="9" t="n">
        <v>0</v>
      </c>
      <c r="E222" s="9" t="n">
        <v>688</v>
      </c>
      <c r="F222" s="9" t="n">
        <v>44836960</v>
      </c>
      <c r="G222" s="9" t="n">
        <v>0</v>
      </c>
      <c r="H222" s="9" t="n">
        <v>0</v>
      </c>
      <c r="I222" s="9" t="n">
        <v>688</v>
      </c>
      <c r="J222" s="9" t="n">
        <v>44836960</v>
      </c>
    </row>
    <row r="223" customFormat="false" ht="15.75" hidden="false" customHeight="false" outlineLevel="0" collapsed="false">
      <c r="A223" s="7" t="s">
        <v>231</v>
      </c>
      <c r="B223" s="7" t="n">
        <v>9</v>
      </c>
      <c r="C223" s="9" t="n">
        <v>0</v>
      </c>
      <c r="D223" s="9" t="n">
        <v>0</v>
      </c>
      <c r="E223" s="9" t="n">
        <v>0</v>
      </c>
      <c r="F223" s="9" t="n">
        <v>0</v>
      </c>
      <c r="G223" s="9" t="n">
        <v>0</v>
      </c>
      <c r="H223" s="9" t="n">
        <v>0</v>
      </c>
      <c r="I223" s="9" t="n">
        <v>0</v>
      </c>
      <c r="J223" s="9" t="n">
        <v>0</v>
      </c>
    </row>
    <row r="224" customFormat="false" ht="15.75" hidden="false" customHeight="false" outlineLevel="0" collapsed="false">
      <c r="A224" s="7" t="s">
        <v>232</v>
      </c>
      <c r="B224" s="7" t="n">
        <v>9</v>
      </c>
      <c r="C224" s="9" t="n">
        <v>1678</v>
      </c>
      <c r="D224" s="9" t="n">
        <v>103420417</v>
      </c>
      <c r="E224" s="9" t="n">
        <v>25</v>
      </c>
      <c r="F224" s="9" t="n">
        <v>0</v>
      </c>
      <c r="G224" s="9" t="n">
        <v>440</v>
      </c>
      <c r="H224" s="9" t="n">
        <v>26720484</v>
      </c>
      <c r="I224" s="9" t="n">
        <v>1263</v>
      </c>
      <c r="J224" s="9" t="n">
        <v>76699933</v>
      </c>
    </row>
    <row r="225" customFormat="false" ht="15.75" hidden="false" customHeight="false" outlineLevel="0" collapsed="false">
      <c r="A225" s="7" t="s">
        <v>233</v>
      </c>
      <c r="B225" s="7" t="n">
        <v>9</v>
      </c>
      <c r="C225" s="9" t="n">
        <v>5357</v>
      </c>
      <c r="D225" s="9" t="n">
        <v>314343974</v>
      </c>
      <c r="E225" s="9" t="n">
        <v>2421</v>
      </c>
      <c r="F225" s="9" t="n">
        <v>137984000</v>
      </c>
      <c r="G225" s="9" t="n">
        <v>4850</v>
      </c>
      <c r="H225" s="9" t="n">
        <v>282050742</v>
      </c>
      <c r="I225" s="9" t="n">
        <v>2928</v>
      </c>
      <c r="J225" s="9" t="n">
        <v>170277232</v>
      </c>
    </row>
    <row r="226" customFormat="false" ht="15.75" hidden="false" customHeight="false" outlineLevel="0" collapsed="false">
      <c r="A226" s="7" t="s">
        <v>234</v>
      </c>
      <c r="B226" s="7" t="n">
        <v>9</v>
      </c>
      <c r="C226" s="9" t="n">
        <v>25301</v>
      </c>
      <c r="D226" s="9" t="n">
        <v>1457009284</v>
      </c>
      <c r="E226" s="9" t="n">
        <v>13491</v>
      </c>
      <c r="F226" s="9" t="n">
        <v>727523581</v>
      </c>
      <c r="G226" s="9" t="n">
        <v>17817</v>
      </c>
      <c r="H226" s="9" t="n">
        <v>1003346619</v>
      </c>
      <c r="I226" s="9" t="n">
        <v>20975</v>
      </c>
      <c r="J226" s="9" t="n">
        <v>1181186246</v>
      </c>
    </row>
    <row r="227" customFormat="false" ht="15.75" hidden="false" customHeight="false" outlineLevel="0" collapsed="false">
      <c r="A227" s="7" t="s">
        <v>235</v>
      </c>
      <c r="B227" s="7" t="n">
        <v>9</v>
      </c>
      <c r="C227" s="9" t="n">
        <v>214</v>
      </c>
      <c r="D227" s="9" t="n">
        <v>14957900</v>
      </c>
      <c r="E227" s="9" t="n">
        <v>80</v>
      </c>
      <c r="F227" s="9" t="n">
        <v>5644800</v>
      </c>
      <c r="G227" s="9" t="n">
        <v>0</v>
      </c>
      <c r="H227" s="9" t="n">
        <v>0</v>
      </c>
      <c r="I227" s="9" t="n">
        <v>294</v>
      </c>
      <c r="J227" s="9" t="n">
        <v>20602700</v>
      </c>
    </row>
    <row r="228" customFormat="false" ht="15.75" hidden="false" customHeight="false" outlineLevel="0" collapsed="false">
      <c r="A228" s="7" t="s">
        <v>236</v>
      </c>
      <c r="B228" s="7" t="n">
        <v>9</v>
      </c>
      <c r="C228" s="9" t="n">
        <v>0</v>
      </c>
      <c r="D228" s="9" t="n">
        <v>0</v>
      </c>
      <c r="E228" s="9" t="n">
        <v>0</v>
      </c>
      <c r="F228" s="9" t="n">
        <v>0</v>
      </c>
      <c r="G228" s="9" t="n">
        <v>0</v>
      </c>
      <c r="H228" s="9" t="n">
        <v>0</v>
      </c>
      <c r="I228" s="9" t="n">
        <v>0</v>
      </c>
      <c r="J228" s="9" t="n">
        <v>0</v>
      </c>
    </row>
    <row r="229" customFormat="false" ht="15.75" hidden="false" customHeight="false" outlineLevel="0" collapsed="false">
      <c r="A229" s="7" t="s">
        <v>237</v>
      </c>
      <c r="B229" s="7" t="n">
        <v>9</v>
      </c>
      <c r="C229" s="9" t="n">
        <v>257</v>
      </c>
      <c r="D229" s="9" t="n">
        <v>2097921</v>
      </c>
      <c r="E229" s="9" t="n">
        <v>0</v>
      </c>
      <c r="F229" s="9" t="n">
        <v>0</v>
      </c>
      <c r="G229" s="9" t="n">
        <v>0</v>
      </c>
      <c r="H229" s="9" t="n">
        <v>0</v>
      </c>
      <c r="I229" s="9" t="n">
        <v>257</v>
      </c>
      <c r="J229" s="9" t="n">
        <v>2097921</v>
      </c>
    </row>
    <row r="230" customFormat="false" ht="15.75" hidden="false" customHeight="false" outlineLevel="0" collapsed="false">
      <c r="A230" s="7" t="s">
        <v>238</v>
      </c>
      <c r="B230" s="7" t="n">
        <v>9</v>
      </c>
      <c r="C230" s="9" t="n">
        <v>1275</v>
      </c>
      <c r="D230" s="9" t="n">
        <v>73107130</v>
      </c>
      <c r="E230" s="9" t="n">
        <v>383</v>
      </c>
      <c r="F230" s="9" t="n">
        <v>21559992</v>
      </c>
      <c r="G230" s="9" t="n">
        <v>161</v>
      </c>
      <c r="H230" s="9" t="n">
        <v>9192646</v>
      </c>
      <c r="I230" s="9" t="n">
        <v>1497</v>
      </c>
      <c r="J230" s="9" t="n">
        <v>85474476</v>
      </c>
    </row>
    <row r="231" customFormat="false" ht="15.75" hidden="false" customHeight="false" outlineLevel="0" collapsed="false">
      <c r="A231" s="7" t="s">
        <v>239</v>
      </c>
      <c r="B231" s="7" t="n">
        <v>9</v>
      </c>
      <c r="C231" s="9" t="n">
        <v>0</v>
      </c>
      <c r="D231" s="9" t="n">
        <v>0</v>
      </c>
      <c r="E231" s="9" t="n">
        <v>0</v>
      </c>
      <c r="F231" s="9" t="n">
        <v>0</v>
      </c>
      <c r="G231" s="9" t="n">
        <v>0</v>
      </c>
      <c r="H231" s="9" t="n">
        <v>0</v>
      </c>
      <c r="I231" s="9" t="n">
        <v>0</v>
      </c>
      <c r="J231" s="9" t="n">
        <v>0</v>
      </c>
    </row>
    <row r="232" customFormat="false" ht="15.75" hidden="false" customHeight="false" outlineLevel="0" collapsed="false">
      <c r="A232" s="7" t="s">
        <v>240</v>
      </c>
      <c r="B232" s="7" t="n">
        <v>9</v>
      </c>
      <c r="C232" s="9" t="n">
        <v>3067</v>
      </c>
      <c r="D232" s="9" t="n">
        <v>286910894</v>
      </c>
      <c r="E232" s="9" t="n">
        <v>1400</v>
      </c>
      <c r="F232" s="9" t="n">
        <v>130888800</v>
      </c>
      <c r="G232" s="9" t="n">
        <v>2819</v>
      </c>
      <c r="H232" s="9" t="n">
        <v>263661817</v>
      </c>
      <c r="I232" s="9" t="n">
        <v>1648</v>
      </c>
      <c r="J232" s="9" t="n">
        <v>154137877</v>
      </c>
    </row>
    <row r="233" customFormat="false" ht="15.75" hidden="false" customHeight="false" outlineLevel="0" collapsed="false">
      <c r="A233" s="7" t="s">
        <v>241</v>
      </c>
      <c r="B233" s="7" t="n">
        <v>9</v>
      </c>
      <c r="C233" s="9" t="n">
        <v>807</v>
      </c>
      <c r="D233" s="9" t="n">
        <v>59922636</v>
      </c>
      <c r="E233" s="9" t="n">
        <v>397</v>
      </c>
      <c r="F233" s="9" t="n">
        <v>30082338</v>
      </c>
      <c r="G233" s="9" t="n">
        <v>344</v>
      </c>
      <c r="H233" s="9" t="n">
        <v>25715707</v>
      </c>
      <c r="I233" s="9" t="n">
        <v>860</v>
      </c>
      <c r="J233" s="9" t="n">
        <v>64289267</v>
      </c>
    </row>
    <row r="234" customFormat="false" ht="15.75" hidden="false" customHeight="false" outlineLevel="0" collapsed="false">
      <c r="A234" s="7" t="s">
        <v>242</v>
      </c>
      <c r="B234" s="7" t="n">
        <v>9</v>
      </c>
      <c r="C234" s="9" t="n">
        <v>229</v>
      </c>
      <c r="D234" s="9" t="n">
        <v>15916524</v>
      </c>
      <c r="E234" s="9" t="n">
        <v>42</v>
      </c>
      <c r="F234" s="9" t="n">
        <v>3037608</v>
      </c>
      <c r="G234" s="9" t="n">
        <v>63</v>
      </c>
      <c r="H234" s="9" t="n">
        <v>4406311</v>
      </c>
      <c r="I234" s="9" t="n">
        <v>208</v>
      </c>
      <c r="J234" s="9" t="n">
        <v>14547821</v>
      </c>
    </row>
    <row r="235" customFormat="false" ht="15.75" hidden="false" customHeight="false" outlineLevel="0" collapsed="false">
      <c r="A235" s="7" t="s">
        <v>243</v>
      </c>
      <c r="B235" s="7" t="n">
        <v>9</v>
      </c>
      <c r="C235" s="9" t="n">
        <v>1652</v>
      </c>
      <c r="D235" s="9" t="n">
        <v>152949303</v>
      </c>
      <c r="E235" s="9" t="n">
        <v>74</v>
      </c>
      <c r="F235" s="9" t="n">
        <v>6537580</v>
      </c>
      <c r="G235" s="9" t="n">
        <v>14</v>
      </c>
      <c r="H235" s="9" t="n">
        <v>1293636</v>
      </c>
      <c r="I235" s="9" t="n">
        <v>1712</v>
      </c>
      <c r="J235" s="9" t="n">
        <v>158193247</v>
      </c>
    </row>
    <row r="236" customFormat="false" ht="15.75" hidden="false" customHeight="false" outlineLevel="0" collapsed="false">
      <c r="A236" s="7" t="s">
        <v>244</v>
      </c>
      <c r="B236" s="7" t="n">
        <v>9</v>
      </c>
      <c r="C236" s="9" t="n">
        <v>40</v>
      </c>
      <c r="D236" s="9" t="n">
        <v>3512320</v>
      </c>
      <c r="E236" s="9" t="n">
        <v>4</v>
      </c>
      <c r="F236" s="9" t="n">
        <v>351232</v>
      </c>
      <c r="G236" s="9" t="n">
        <v>0</v>
      </c>
      <c r="H236" s="9" t="n">
        <v>0</v>
      </c>
      <c r="I236" s="9" t="n">
        <v>44</v>
      </c>
      <c r="J236" s="9" t="n">
        <v>3863552</v>
      </c>
    </row>
    <row r="237" customFormat="false" ht="15.75" hidden="false" customHeight="false" outlineLevel="0" collapsed="false">
      <c r="A237" s="7" t="s">
        <v>245</v>
      </c>
      <c r="B237" s="7" t="n">
        <v>9</v>
      </c>
      <c r="C237" s="9" t="n">
        <v>0</v>
      </c>
      <c r="D237" s="9" t="n">
        <v>0</v>
      </c>
      <c r="E237" s="9" t="n">
        <v>0</v>
      </c>
      <c r="F237" s="9" t="n">
        <v>0</v>
      </c>
      <c r="G237" s="9" t="n">
        <v>0</v>
      </c>
      <c r="H237" s="9" t="n">
        <v>0</v>
      </c>
      <c r="I237" s="9" t="n">
        <v>0</v>
      </c>
      <c r="J237" s="9" t="n">
        <v>0</v>
      </c>
    </row>
    <row r="238" customFormat="false" ht="15.75" hidden="false" customHeight="false" outlineLevel="0" collapsed="false">
      <c r="A238" s="7" t="s">
        <v>246</v>
      </c>
      <c r="B238" s="7" t="n">
        <v>9</v>
      </c>
      <c r="C238" s="9" t="n">
        <v>4933</v>
      </c>
      <c r="D238" s="9" t="n">
        <v>35160155</v>
      </c>
      <c r="E238" s="9" t="n">
        <v>1200</v>
      </c>
      <c r="F238" s="9" t="n">
        <v>8553048</v>
      </c>
      <c r="G238" s="9" t="n">
        <v>0</v>
      </c>
      <c r="H238" s="9" t="n">
        <v>0</v>
      </c>
      <c r="I238" s="9" t="n">
        <v>6133</v>
      </c>
      <c r="J238" s="9" t="n">
        <v>43713203</v>
      </c>
    </row>
    <row r="239" customFormat="false" ht="15.75" hidden="false" customHeight="false" outlineLevel="0" collapsed="false">
      <c r="A239" s="7" t="s">
        <v>247</v>
      </c>
      <c r="B239" s="7" t="n">
        <v>9</v>
      </c>
      <c r="C239" s="9" t="n">
        <v>35741</v>
      </c>
      <c r="D239" s="9" t="n">
        <v>237718829</v>
      </c>
      <c r="E239" s="9" t="n">
        <v>2700</v>
      </c>
      <c r="F239" s="9" t="n">
        <v>17106095</v>
      </c>
      <c r="G239" s="9" t="n">
        <v>65</v>
      </c>
      <c r="H239" s="9" t="n">
        <v>430884</v>
      </c>
      <c r="I239" s="9" t="n">
        <v>38376</v>
      </c>
      <c r="J239" s="9" t="n">
        <v>254394040</v>
      </c>
    </row>
    <row r="240" customFormat="false" ht="15.75" hidden="false" customHeight="false" outlineLevel="0" collapsed="false">
      <c r="A240" s="7" t="s">
        <v>248</v>
      </c>
      <c r="B240" s="7" t="n">
        <v>9</v>
      </c>
      <c r="C240" s="9" t="n">
        <v>264</v>
      </c>
      <c r="D240" s="9" t="n">
        <v>1881670</v>
      </c>
      <c r="E240" s="9" t="n">
        <v>0</v>
      </c>
      <c r="F240" s="9" t="n">
        <v>0</v>
      </c>
      <c r="G240" s="9" t="n">
        <v>0</v>
      </c>
      <c r="H240" s="9" t="n">
        <v>0</v>
      </c>
      <c r="I240" s="9" t="n">
        <v>264</v>
      </c>
      <c r="J240" s="9" t="n">
        <v>1881670</v>
      </c>
    </row>
    <row r="241" customFormat="false" ht="15.75" hidden="false" customHeight="false" outlineLevel="0" collapsed="false">
      <c r="A241" s="7" t="s">
        <v>249</v>
      </c>
      <c r="B241" s="7" t="n">
        <v>9</v>
      </c>
      <c r="C241" s="9" t="n">
        <v>281</v>
      </c>
      <c r="D241" s="9" t="n">
        <v>2002839</v>
      </c>
      <c r="E241" s="9" t="n">
        <v>0</v>
      </c>
      <c r="F241" s="9" t="n">
        <v>0</v>
      </c>
      <c r="G241" s="9" t="n">
        <v>0</v>
      </c>
      <c r="H241" s="9" t="n">
        <v>0</v>
      </c>
      <c r="I241" s="9" t="n">
        <v>281</v>
      </c>
      <c r="J241" s="9" t="n">
        <v>2002839</v>
      </c>
    </row>
    <row r="242" customFormat="false" ht="15.75" hidden="false" customHeight="false" outlineLevel="0" collapsed="false">
      <c r="A242" s="7" t="s">
        <v>250</v>
      </c>
      <c r="B242" s="7" t="n">
        <v>9</v>
      </c>
      <c r="C242" s="9" t="n">
        <v>11861</v>
      </c>
      <c r="D242" s="9" t="n">
        <v>136658262</v>
      </c>
      <c r="E242" s="9" t="n">
        <v>1920</v>
      </c>
      <c r="F242" s="9" t="n">
        <v>13684876</v>
      </c>
      <c r="G242" s="9" t="n">
        <v>47</v>
      </c>
      <c r="H242" s="9" t="n">
        <v>512744</v>
      </c>
      <c r="I242" s="9" t="n">
        <v>13734</v>
      </c>
      <c r="J242" s="9" t="n">
        <v>149830394</v>
      </c>
    </row>
    <row r="243" customFormat="false" ht="15.75" hidden="false" customHeight="false" outlineLevel="0" collapsed="false">
      <c r="A243" s="7" t="s">
        <v>251</v>
      </c>
      <c r="B243" s="7" t="n">
        <v>9</v>
      </c>
      <c r="C243" s="9" t="n">
        <v>0</v>
      </c>
      <c r="D243" s="9" t="n">
        <v>0</v>
      </c>
      <c r="E243" s="9" t="n">
        <v>0</v>
      </c>
      <c r="F243" s="9" t="n">
        <v>0</v>
      </c>
      <c r="G243" s="9" t="n">
        <v>0</v>
      </c>
      <c r="H243" s="9" t="n">
        <v>0</v>
      </c>
      <c r="I243" s="9" t="n">
        <v>0</v>
      </c>
      <c r="J243" s="9" t="n">
        <v>0</v>
      </c>
    </row>
    <row r="244" customFormat="false" ht="15.75" hidden="false" customHeight="false" outlineLevel="0" collapsed="false">
      <c r="A244" s="7" t="s">
        <v>252</v>
      </c>
      <c r="B244" s="7" t="n">
        <v>9</v>
      </c>
      <c r="C244" s="9" t="n">
        <v>0</v>
      </c>
      <c r="D244" s="9" t="n">
        <v>0</v>
      </c>
      <c r="E244" s="9" t="n">
        <v>0</v>
      </c>
      <c r="F244" s="9" t="n">
        <v>0</v>
      </c>
      <c r="G244" s="9" t="n">
        <v>0</v>
      </c>
      <c r="H244" s="9" t="n">
        <v>0</v>
      </c>
      <c r="I244" s="9" t="n">
        <v>0</v>
      </c>
      <c r="J244" s="9" t="n">
        <v>0</v>
      </c>
    </row>
    <row r="245" customFormat="false" ht="15.75" hidden="false" customHeight="false" outlineLevel="0" collapsed="false">
      <c r="A245" s="7" t="s">
        <v>253</v>
      </c>
      <c r="B245" s="7" t="n">
        <v>9</v>
      </c>
      <c r="C245" s="9" t="n">
        <v>0</v>
      </c>
      <c r="D245" s="9" t="n">
        <v>0</v>
      </c>
      <c r="E245" s="9" t="n">
        <v>0</v>
      </c>
      <c r="F245" s="9" t="n">
        <v>0</v>
      </c>
      <c r="G245" s="9" t="n">
        <v>0</v>
      </c>
      <c r="H245" s="9" t="n">
        <v>0</v>
      </c>
      <c r="I245" s="9" t="n">
        <v>0</v>
      </c>
      <c r="J245" s="9" t="n">
        <v>0</v>
      </c>
    </row>
    <row r="246" customFormat="false" ht="15.75" hidden="false" customHeight="false" outlineLevel="0" collapsed="false">
      <c r="A246" s="7" t="s">
        <v>254</v>
      </c>
      <c r="B246" s="7" t="n">
        <v>9</v>
      </c>
      <c r="C246" s="9" t="n">
        <v>138</v>
      </c>
      <c r="D246" s="9" t="n">
        <v>4740871</v>
      </c>
      <c r="E246" s="9" t="n">
        <v>70</v>
      </c>
      <c r="F246" s="9" t="n">
        <v>2405760</v>
      </c>
      <c r="G246" s="9" t="n">
        <v>110</v>
      </c>
      <c r="H246" s="9" t="n">
        <v>3779468</v>
      </c>
      <c r="I246" s="9" t="n">
        <v>98</v>
      </c>
      <c r="J246" s="9" t="n">
        <v>3367163</v>
      </c>
    </row>
    <row r="247" customFormat="false" ht="15.75" hidden="false" customHeight="false" outlineLevel="0" collapsed="false">
      <c r="A247" s="7" t="s">
        <v>255</v>
      </c>
      <c r="B247" s="7" t="n">
        <v>9</v>
      </c>
      <c r="C247" s="9" t="n">
        <v>0</v>
      </c>
      <c r="D247" s="9" t="n">
        <v>884858</v>
      </c>
      <c r="E247" s="9" t="n">
        <v>0</v>
      </c>
      <c r="F247" s="9" t="n">
        <v>0</v>
      </c>
      <c r="G247" s="9" t="n">
        <v>0</v>
      </c>
      <c r="H247" s="9" t="n">
        <v>0</v>
      </c>
      <c r="I247" s="9" t="n">
        <v>0</v>
      </c>
      <c r="J247" s="9" t="n">
        <v>884858</v>
      </c>
    </row>
    <row r="248" customFormat="false" ht="15.75" hidden="false" customHeight="false" outlineLevel="0" collapsed="false">
      <c r="A248" s="7" t="s">
        <v>256</v>
      </c>
      <c r="B248" s="7" t="n">
        <v>9</v>
      </c>
      <c r="C248" s="9" t="n">
        <v>35</v>
      </c>
      <c r="D248" s="9" t="n">
        <v>1399857</v>
      </c>
      <c r="E248" s="9" t="n">
        <v>0</v>
      </c>
      <c r="F248" s="9" t="n">
        <v>0</v>
      </c>
      <c r="G248" s="9" t="n">
        <v>0</v>
      </c>
      <c r="H248" s="9" t="n">
        <v>0</v>
      </c>
      <c r="I248" s="9" t="n">
        <v>35</v>
      </c>
      <c r="J248" s="9" t="n">
        <v>1399857</v>
      </c>
    </row>
    <row r="249" customFormat="false" ht="15.75" hidden="false" customHeight="false" outlineLevel="0" collapsed="false">
      <c r="A249" s="7" t="s">
        <v>257</v>
      </c>
      <c r="B249" s="7" t="n">
        <v>9</v>
      </c>
      <c r="C249" s="9" t="n">
        <v>5</v>
      </c>
      <c r="D249" s="9" t="n">
        <v>284640</v>
      </c>
      <c r="E249" s="9" t="n">
        <v>10</v>
      </c>
      <c r="F249" s="9" t="n">
        <v>569280</v>
      </c>
      <c r="G249" s="9" t="n">
        <v>0</v>
      </c>
      <c r="H249" s="9" t="n">
        <v>0</v>
      </c>
      <c r="I249" s="9" t="n">
        <v>15</v>
      </c>
      <c r="J249" s="9" t="n">
        <v>853920</v>
      </c>
    </row>
    <row r="250" customFormat="false" ht="15.75" hidden="false" customHeight="false" outlineLevel="0" collapsed="false">
      <c r="A250" s="7" t="s">
        <v>258</v>
      </c>
      <c r="B250" s="7" t="n">
        <v>9</v>
      </c>
      <c r="C250" s="9" t="n">
        <v>1265</v>
      </c>
      <c r="D250" s="9" t="n">
        <v>5101641</v>
      </c>
      <c r="E250" s="9" t="n">
        <v>150</v>
      </c>
      <c r="F250" s="9" t="n">
        <v>2298240</v>
      </c>
      <c r="G250" s="9" t="n">
        <v>90</v>
      </c>
      <c r="H250" s="9" t="n">
        <v>1378095</v>
      </c>
      <c r="I250" s="9" t="n">
        <v>1325</v>
      </c>
      <c r="J250" s="9" t="n">
        <v>6021786</v>
      </c>
    </row>
    <row r="251" customFormat="false" ht="15.75" hidden="false" customHeight="false" outlineLevel="0" collapsed="false">
      <c r="A251" s="7" t="s">
        <v>259</v>
      </c>
      <c r="B251" s="7" t="n">
        <v>9</v>
      </c>
      <c r="C251" s="9" t="n">
        <v>110</v>
      </c>
      <c r="D251" s="9" t="n">
        <v>2420810</v>
      </c>
      <c r="E251" s="9" t="n">
        <v>0</v>
      </c>
      <c r="F251" s="9" t="n">
        <v>0</v>
      </c>
      <c r="G251" s="9" t="n">
        <v>0</v>
      </c>
      <c r="H251" s="9" t="n">
        <v>0</v>
      </c>
      <c r="I251" s="9" t="n">
        <v>110</v>
      </c>
      <c r="J251" s="9" t="n">
        <v>2420810</v>
      </c>
    </row>
    <row r="252" customFormat="false" ht="15.75" hidden="false" customHeight="false" outlineLevel="0" collapsed="false">
      <c r="A252" s="7" t="s">
        <v>260</v>
      </c>
      <c r="B252" s="7" t="n">
        <v>9</v>
      </c>
      <c r="C252" s="9" t="n">
        <v>2</v>
      </c>
      <c r="D252" s="9" t="n">
        <v>109792</v>
      </c>
      <c r="E252" s="9" t="n">
        <v>0</v>
      </c>
      <c r="F252" s="9" t="n">
        <v>0</v>
      </c>
      <c r="G252" s="9" t="n">
        <v>0</v>
      </c>
      <c r="H252" s="9" t="n">
        <v>0</v>
      </c>
      <c r="I252" s="9" t="n">
        <v>2</v>
      </c>
      <c r="J252" s="9" t="n">
        <v>109792</v>
      </c>
    </row>
    <row r="253" customFormat="false" ht="15.75" hidden="false" customHeight="false" outlineLevel="0" collapsed="false">
      <c r="A253" s="7" t="s">
        <v>261</v>
      </c>
      <c r="B253" s="7" t="n">
        <v>9</v>
      </c>
      <c r="C253" s="9" t="n">
        <v>0</v>
      </c>
      <c r="D253" s="9" t="n">
        <v>0</v>
      </c>
      <c r="E253" s="9" t="n">
        <v>0</v>
      </c>
      <c r="F253" s="9" t="n">
        <v>0</v>
      </c>
      <c r="G253" s="9" t="n">
        <v>0</v>
      </c>
      <c r="H253" s="9" t="n">
        <v>0</v>
      </c>
      <c r="I253" s="9" t="n">
        <v>0</v>
      </c>
      <c r="J253" s="9" t="n">
        <v>0</v>
      </c>
    </row>
    <row r="254" customFormat="false" ht="15.75" hidden="false" customHeight="false" outlineLevel="0" collapsed="false">
      <c r="A254" s="7" t="s">
        <v>262</v>
      </c>
      <c r="B254" s="7" t="n">
        <v>9</v>
      </c>
      <c r="C254" s="9" t="n">
        <v>0</v>
      </c>
      <c r="D254" s="9" t="n">
        <v>0</v>
      </c>
      <c r="E254" s="9" t="n">
        <v>0</v>
      </c>
      <c r="F254" s="9" t="n">
        <v>0</v>
      </c>
      <c r="G254" s="9" t="n">
        <v>0</v>
      </c>
      <c r="H254" s="9" t="n">
        <v>0</v>
      </c>
      <c r="I254" s="9" t="n">
        <v>0</v>
      </c>
      <c r="J254" s="9" t="n">
        <v>0</v>
      </c>
    </row>
    <row r="255" customFormat="false" ht="15.75" hidden="false" customHeight="false" outlineLevel="0" collapsed="false">
      <c r="A255" s="7" t="s">
        <v>263</v>
      </c>
      <c r="B255" s="7" t="n">
        <v>9</v>
      </c>
      <c r="C255" s="9" t="n">
        <v>0</v>
      </c>
      <c r="D255" s="9" t="n">
        <v>0</v>
      </c>
      <c r="E255" s="9" t="n">
        <v>0</v>
      </c>
      <c r="F255" s="9" t="n">
        <v>0</v>
      </c>
      <c r="G255" s="9" t="n">
        <v>0</v>
      </c>
      <c r="H255" s="9" t="n">
        <v>0</v>
      </c>
      <c r="I255" s="9" t="n">
        <v>0</v>
      </c>
      <c r="J255" s="9" t="n">
        <v>0</v>
      </c>
    </row>
    <row r="256" customFormat="false" ht="15.75" hidden="false" customHeight="false" outlineLevel="0" collapsed="false">
      <c r="A256" s="7" t="s">
        <v>264</v>
      </c>
      <c r="B256" s="7" t="n">
        <v>9</v>
      </c>
      <c r="C256" s="9" t="n">
        <v>0</v>
      </c>
      <c r="D256" s="9" t="n">
        <v>0</v>
      </c>
      <c r="E256" s="9" t="n">
        <v>0</v>
      </c>
      <c r="F256" s="9" t="n">
        <v>0</v>
      </c>
      <c r="G256" s="9" t="n">
        <v>0</v>
      </c>
      <c r="H256" s="9" t="n">
        <v>0</v>
      </c>
      <c r="I256" s="9" t="n">
        <v>0</v>
      </c>
      <c r="J256" s="9" t="n">
        <v>0</v>
      </c>
    </row>
    <row r="257" customFormat="false" ht="15.75" hidden="false" customHeight="false" outlineLevel="0" collapsed="false">
      <c r="A257" s="7" t="s">
        <v>265</v>
      </c>
      <c r="B257" s="7" t="n">
        <v>9</v>
      </c>
      <c r="C257" s="9" t="n">
        <v>0</v>
      </c>
      <c r="D257" s="9" t="n">
        <v>0</v>
      </c>
      <c r="E257" s="9" t="n">
        <v>0</v>
      </c>
      <c r="F257" s="9" t="n">
        <v>0</v>
      </c>
      <c r="G257" s="9" t="n">
        <v>0</v>
      </c>
      <c r="H257" s="9" t="n">
        <v>0</v>
      </c>
      <c r="I257" s="9" t="n">
        <v>0</v>
      </c>
      <c r="J257" s="9" t="n">
        <v>0</v>
      </c>
    </row>
    <row r="258" customFormat="false" ht="15.75" hidden="false" customHeight="false" outlineLevel="0" collapsed="false">
      <c r="A258" s="7" t="s">
        <v>266</v>
      </c>
      <c r="B258" s="7" t="n">
        <v>9</v>
      </c>
      <c r="C258" s="9" t="n">
        <v>0</v>
      </c>
      <c r="D258" s="9" t="n">
        <v>0</v>
      </c>
      <c r="E258" s="9" t="n">
        <v>0</v>
      </c>
      <c r="F258" s="9" t="n">
        <v>0</v>
      </c>
      <c r="G258" s="9" t="n">
        <v>0</v>
      </c>
      <c r="H258" s="9" t="n">
        <v>0</v>
      </c>
      <c r="I258" s="9" t="n">
        <v>0</v>
      </c>
      <c r="J258" s="9" t="n">
        <v>0</v>
      </c>
    </row>
    <row r="259" customFormat="false" ht="15.75" hidden="false" customHeight="false" outlineLevel="0" collapsed="false">
      <c r="A259" s="7" t="s">
        <v>267</v>
      </c>
      <c r="B259" s="7" t="n">
        <v>9</v>
      </c>
      <c r="C259" s="9" t="n">
        <v>1</v>
      </c>
      <c r="D259" s="9" t="n">
        <v>39000</v>
      </c>
      <c r="E259" s="9" t="n">
        <v>0</v>
      </c>
      <c r="F259" s="9" t="n">
        <v>0</v>
      </c>
      <c r="G259" s="9" t="n">
        <v>0</v>
      </c>
      <c r="H259" s="9" t="n">
        <v>0</v>
      </c>
      <c r="I259" s="9" t="n">
        <v>1</v>
      </c>
      <c r="J259" s="9" t="n">
        <v>39000</v>
      </c>
    </row>
    <row r="260" customFormat="false" ht="15.75" hidden="false" customHeight="false" outlineLevel="0" collapsed="false">
      <c r="A260" s="7" t="s">
        <v>268</v>
      </c>
      <c r="B260" s="7" t="n">
        <v>9</v>
      </c>
      <c r="C260" s="9" t="n">
        <v>0</v>
      </c>
      <c r="D260" s="9" t="n">
        <v>0</v>
      </c>
      <c r="E260" s="9" t="n">
        <v>0</v>
      </c>
      <c r="F260" s="9" t="n">
        <v>0</v>
      </c>
      <c r="G260" s="9" t="n">
        <v>0</v>
      </c>
      <c r="H260" s="9" t="n">
        <v>0</v>
      </c>
      <c r="I260" s="9" t="n">
        <v>0</v>
      </c>
      <c r="J260" s="9" t="n">
        <v>0</v>
      </c>
    </row>
    <row r="261" customFormat="false" ht="15.75" hidden="false" customHeight="false" outlineLevel="0" collapsed="false">
      <c r="A261" s="7" t="s">
        <v>269</v>
      </c>
      <c r="B261" s="7" t="n">
        <v>9</v>
      </c>
      <c r="C261" s="9" t="n">
        <v>0</v>
      </c>
      <c r="D261" s="9" t="n">
        <v>0</v>
      </c>
      <c r="E261" s="9" t="n">
        <v>0</v>
      </c>
      <c r="F261" s="9" t="n">
        <v>0</v>
      </c>
      <c r="G261" s="9" t="n">
        <v>0</v>
      </c>
      <c r="H261" s="9" t="n">
        <v>0</v>
      </c>
      <c r="I261" s="9" t="n">
        <v>0</v>
      </c>
      <c r="J261" s="9" t="n">
        <v>0</v>
      </c>
    </row>
    <row r="262" customFormat="false" ht="15.75" hidden="false" customHeight="false" outlineLevel="0" collapsed="false">
      <c r="A262" s="7" t="s">
        <v>270</v>
      </c>
      <c r="B262" s="7" t="n">
        <v>9</v>
      </c>
      <c r="C262" s="9" t="n">
        <v>0</v>
      </c>
      <c r="D262" s="9" t="n">
        <v>0</v>
      </c>
      <c r="E262" s="9" t="n">
        <v>0</v>
      </c>
      <c r="F262" s="9" t="n">
        <v>0</v>
      </c>
      <c r="G262" s="9" t="n">
        <v>0</v>
      </c>
      <c r="H262" s="9" t="n">
        <v>0</v>
      </c>
      <c r="I262" s="9" t="n">
        <v>0</v>
      </c>
      <c r="J262" s="9" t="n">
        <v>0</v>
      </c>
    </row>
    <row r="263" customFormat="false" ht="15.75" hidden="false" customHeight="false" outlineLevel="0" collapsed="false">
      <c r="A263" s="7" t="s">
        <v>271</v>
      </c>
      <c r="B263" s="7" t="n">
        <v>9</v>
      </c>
      <c r="C263" s="9" t="n">
        <v>0</v>
      </c>
      <c r="D263" s="9" t="n">
        <v>0</v>
      </c>
      <c r="E263" s="9" t="n">
        <v>0</v>
      </c>
      <c r="F263" s="9" t="n">
        <v>0</v>
      </c>
      <c r="G263" s="9" t="n">
        <v>0</v>
      </c>
      <c r="H263" s="9" t="n">
        <v>0</v>
      </c>
      <c r="I263" s="9" t="n">
        <v>0</v>
      </c>
      <c r="J263" s="9" t="n">
        <v>0</v>
      </c>
    </row>
    <row r="264" customFormat="false" ht="15.75" hidden="false" customHeight="false" outlineLevel="0" collapsed="false">
      <c r="A264" s="7" t="s">
        <v>272</v>
      </c>
      <c r="B264" s="7" t="n">
        <v>9</v>
      </c>
      <c r="C264" s="9" t="n">
        <v>8</v>
      </c>
      <c r="D264" s="9" t="n">
        <v>1065272</v>
      </c>
      <c r="E264" s="9" t="n">
        <v>0</v>
      </c>
      <c r="F264" s="9" t="n">
        <v>0</v>
      </c>
      <c r="G264" s="9" t="n">
        <v>0</v>
      </c>
      <c r="H264" s="9" t="n">
        <v>0</v>
      </c>
      <c r="I264" s="9" t="n">
        <v>8</v>
      </c>
      <c r="J264" s="9" t="n">
        <v>1065272</v>
      </c>
    </row>
    <row r="265" customFormat="false" ht="15.75" hidden="false" customHeight="false" outlineLevel="0" collapsed="false">
      <c r="A265" s="7" t="s">
        <v>273</v>
      </c>
      <c r="B265" s="7" t="n">
        <v>9</v>
      </c>
      <c r="C265" s="9" t="n">
        <v>0</v>
      </c>
      <c r="D265" s="9" t="n">
        <v>0</v>
      </c>
      <c r="E265" s="9" t="n">
        <v>0</v>
      </c>
      <c r="F265" s="9" t="n">
        <v>0</v>
      </c>
      <c r="G265" s="9" t="n">
        <v>0</v>
      </c>
      <c r="H265" s="9" t="n">
        <v>0</v>
      </c>
      <c r="I265" s="9" t="n">
        <v>0</v>
      </c>
      <c r="J265" s="9" t="n">
        <v>0</v>
      </c>
    </row>
    <row r="266" customFormat="false" ht="15.75" hidden="false" customHeight="false" outlineLevel="0" collapsed="false">
      <c r="A266" s="7" t="s">
        <v>274</v>
      </c>
      <c r="B266" s="7" t="n">
        <v>9</v>
      </c>
      <c r="C266" s="9" t="n">
        <v>0</v>
      </c>
      <c r="D266" s="9" t="n">
        <v>0</v>
      </c>
      <c r="E266" s="9" t="n">
        <v>0</v>
      </c>
      <c r="F266" s="9" t="n">
        <v>0</v>
      </c>
      <c r="G266" s="9" t="n">
        <v>0</v>
      </c>
      <c r="H266" s="9" t="n">
        <v>0</v>
      </c>
      <c r="I266" s="9" t="n">
        <v>0</v>
      </c>
      <c r="J266" s="9" t="n">
        <v>0</v>
      </c>
    </row>
    <row r="267" customFormat="false" ht="15.75" hidden="false" customHeight="false" outlineLevel="0" collapsed="false">
      <c r="A267" s="7" t="s">
        <v>275</v>
      </c>
      <c r="B267" s="7" t="n">
        <v>9</v>
      </c>
      <c r="C267" s="9" t="n">
        <v>0</v>
      </c>
      <c r="D267" s="9" t="n">
        <v>0</v>
      </c>
      <c r="E267" s="9" t="n">
        <v>0</v>
      </c>
      <c r="F267" s="9" t="n">
        <v>0</v>
      </c>
      <c r="G267" s="9" t="n">
        <v>0</v>
      </c>
      <c r="H267" s="9" t="n">
        <v>0</v>
      </c>
      <c r="I267" s="9" t="n">
        <v>0</v>
      </c>
      <c r="J267" s="9" t="n">
        <v>0</v>
      </c>
    </row>
    <row r="268" customFormat="false" ht="15.75" hidden="false" customHeight="false" outlineLevel="0" collapsed="false">
      <c r="A268" s="7" t="s">
        <v>276</v>
      </c>
      <c r="B268" s="7" t="n">
        <v>9</v>
      </c>
      <c r="C268" s="9" t="n">
        <v>0</v>
      </c>
      <c r="D268" s="9" t="n">
        <v>0</v>
      </c>
      <c r="E268" s="9" t="n">
        <v>0</v>
      </c>
      <c r="F268" s="9" t="n">
        <v>0</v>
      </c>
      <c r="G268" s="9" t="n">
        <v>0</v>
      </c>
      <c r="H268" s="9" t="n">
        <v>0</v>
      </c>
      <c r="I268" s="9" t="n">
        <v>0</v>
      </c>
      <c r="J268" s="9" t="n">
        <v>0</v>
      </c>
    </row>
    <row r="269" customFormat="false" ht="15.75" hidden="false" customHeight="false" outlineLevel="0" collapsed="false">
      <c r="A269" s="7" t="s">
        <v>277</v>
      </c>
      <c r="B269" s="7" t="n">
        <v>9</v>
      </c>
      <c r="C269" s="9" t="n">
        <v>0</v>
      </c>
      <c r="D269" s="9" t="n">
        <v>0</v>
      </c>
      <c r="E269" s="9" t="n">
        <v>0</v>
      </c>
      <c r="F269" s="9" t="n">
        <v>0</v>
      </c>
      <c r="G269" s="9" t="n">
        <v>0</v>
      </c>
      <c r="H269" s="9" t="n">
        <v>0</v>
      </c>
      <c r="I269" s="9" t="n">
        <v>0</v>
      </c>
      <c r="J269" s="9" t="n">
        <v>0</v>
      </c>
    </row>
    <row r="270" customFormat="false" ht="15.75" hidden="false" customHeight="false" outlineLevel="0" collapsed="false">
      <c r="A270" s="7" t="s">
        <v>278</v>
      </c>
      <c r="B270" s="7" t="n">
        <v>9</v>
      </c>
      <c r="C270" s="9" t="n">
        <v>0</v>
      </c>
      <c r="D270" s="9" t="n">
        <v>0</v>
      </c>
      <c r="E270" s="9" t="n">
        <v>0</v>
      </c>
      <c r="F270" s="9" t="n">
        <v>0</v>
      </c>
      <c r="G270" s="9" t="n">
        <v>0</v>
      </c>
      <c r="H270" s="9" t="n">
        <v>0</v>
      </c>
      <c r="I270" s="9" t="n">
        <v>0</v>
      </c>
      <c r="J270" s="9" t="n">
        <v>0</v>
      </c>
    </row>
    <row r="271" customFormat="false" ht="15.75" hidden="false" customHeight="false" outlineLevel="0" collapsed="false">
      <c r="A271" s="7" t="s">
        <v>279</v>
      </c>
      <c r="B271" s="7" t="n">
        <v>9</v>
      </c>
      <c r="C271" s="9" t="n">
        <v>0</v>
      </c>
      <c r="D271" s="9" t="n">
        <v>0</v>
      </c>
      <c r="E271" s="9" t="n">
        <v>0</v>
      </c>
      <c r="F271" s="9" t="n">
        <v>0</v>
      </c>
      <c r="G271" s="9" t="n">
        <v>0</v>
      </c>
      <c r="H271" s="9" t="n">
        <v>0</v>
      </c>
      <c r="I271" s="9" t="n">
        <v>0</v>
      </c>
      <c r="J271" s="9" t="n">
        <v>0</v>
      </c>
    </row>
    <row r="272" customFormat="false" ht="15.75" hidden="false" customHeight="false" outlineLevel="0" collapsed="false">
      <c r="A272" s="7" t="s">
        <v>280</v>
      </c>
      <c r="B272" s="7" t="n">
        <v>9</v>
      </c>
      <c r="C272" s="9" t="n">
        <v>0</v>
      </c>
      <c r="D272" s="9" t="n">
        <v>0</v>
      </c>
      <c r="E272" s="9" t="n">
        <v>0</v>
      </c>
      <c r="F272" s="9" t="n">
        <v>0</v>
      </c>
      <c r="G272" s="9" t="n">
        <v>0</v>
      </c>
      <c r="H272" s="9" t="n">
        <v>0</v>
      </c>
      <c r="I272" s="9" t="n">
        <v>0</v>
      </c>
      <c r="J272" s="9" t="n">
        <v>0</v>
      </c>
    </row>
    <row r="273" customFormat="false" ht="15.75" hidden="false" customHeight="false" outlineLevel="0" collapsed="false">
      <c r="A273" s="7" t="s">
        <v>281</v>
      </c>
      <c r="B273" s="7" t="n">
        <v>9</v>
      </c>
      <c r="C273" s="9" t="n">
        <v>85</v>
      </c>
      <c r="D273" s="9" t="n">
        <v>1473129</v>
      </c>
      <c r="E273" s="9" t="n">
        <v>92</v>
      </c>
      <c r="F273" s="9" t="n">
        <v>1587600</v>
      </c>
      <c r="G273" s="9" t="n">
        <v>20</v>
      </c>
      <c r="H273" s="9" t="n">
        <v>345845</v>
      </c>
      <c r="I273" s="9" t="n">
        <v>157</v>
      </c>
      <c r="J273" s="9" t="n">
        <v>2714884</v>
      </c>
    </row>
    <row r="274" customFormat="false" ht="15.75" hidden="false" customHeight="false" outlineLevel="0" collapsed="false">
      <c r="A274" s="7" t="s">
        <v>282</v>
      </c>
      <c r="B274" s="7" t="n">
        <v>9</v>
      </c>
      <c r="C274" s="9" t="n">
        <v>58</v>
      </c>
      <c r="D274" s="9" t="n">
        <v>4080475</v>
      </c>
      <c r="E274" s="9" t="n">
        <v>20</v>
      </c>
      <c r="F274" s="9" t="n">
        <v>1411200</v>
      </c>
      <c r="G274" s="9" t="n">
        <v>0</v>
      </c>
      <c r="H274" s="9" t="n">
        <v>0</v>
      </c>
      <c r="I274" s="9" t="n">
        <v>78</v>
      </c>
      <c r="J274" s="9" t="n">
        <v>5491675</v>
      </c>
    </row>
    <row r="275" customFormat="false" ht="15.75" hidden="false" customHeight="false" outlineLevel="0" collapsed="false">
      <c r="A275" s="7" t="s">
        <v>283</v>
      </c>
      <c r="B275" s="7" t="n">
        <v>9</v>
      </c>
      <c r="C275" s="9" t="n">
        <v>2478</v>
      </c>
      <c r="D275" s="9" t="n">
        <v>54199934</v>
      </c>
      <c r="E275" s="9" t="n">
        <v>1134</v>
      </c>
      <c r="F275" s="9" t="n">
        <v>39547200</v>
      </c>
      <c r="G275" s="9" t="n">
        <v>1345</v>
      </c>
      <c r="H275" s="9" t="n">
        <v>46556914</v>
      </c>
      <c r="I275" s="9" t="n">
        <v>2267</v>
      </c>
      <c r="J275" s="9" t="n">
        <v>47190220</v>
      </c>
    </row>
    <row r="276" customFormat="false" ht="15.75" hidden="false" customHeight="false" outlineLevel="0" collapsed="false">
      <c r="A276" s="7" t="s">
        <v>284</v>
      </c>
      <c r="B276" s="7" t="n">
        <v>9</v>
      </c>
      <c r="C276" s="9" t="n">
        <v>180</v>
      </c>
      <c r="D276" s="9" t="n">
        <v>8211434</v>
      </c>
      <c r="E276" s="9" t="n">
        <v>50</v>
      </c>
      <c r="F276" s="9" t="n">
        <v>2301600</v>
      </c>
      <c r="G276" s="9" t="n">
        <v>40</v>
      </c>
      <c r="H276" s="9" t="n">
        <v>1828354</v>
      </c>
      <c r="I276" s="9" t="n">
        <v>190</v>
      </c>
      <c r="J276" s="9" t="n">
        <v>8684680</v>
      </c>
    </row>
    <row r="277" customFormat="false" ht="15.75" hidden="false" customHeight="false" outlineLevel="0" collapsed="false">
      <c r="A277" s="7" t="s">
        <v>285</v>
      </c>
      <c r="B277" s="7" t="n">
        <v>9</v>
      </c>
      <c r="C277" s="9" t="n">
        <v>5</v>
      </c>
      <c r="D277" s="9" t="n">
        <v>586595</v>
      </c>
      <c r="E277" s="9" t="n">
        <v>0</v>
      </c>
      <c r="F277" s="9" t="n">
        <v>0</v>
      </c>
      <c r="G277" s="9" t="n">
        <v>0</v>
      </c>
      <c r="H277" s="9" t="n">
        <v>0</v>
      </c>
      <c r="I277" s="9" t="n">
        <v>5</v>
      </c>
      <c r="J277" s="9" t="n">
        <v>586595</v>
      </c>
    </row>
    <row r="278" customFormat="false" ht="15.75" hidden="false" customHeight="false" outlineLevel="0" collapsed="false">
      <c r="A278" s="7" t="s">
        <v>286</v>
      </c>
      <c r="B278" s="7" t="n">
        <v>9</v>
      </c>
      <c r="C278" s="9" t="n">
        <v>8</v>
      </c>
      <c r="D278" s="9" t="n">
        <v>847410</v>
      </c>
      <c r="E278" s="9" t="n">
        <v>0</v>
      </c>
      <c r="F278" s="9" t="n">
        <v>0</v>
      </c>
      <c r="G278" s="9" t="n">
        <v>0</v>
      </c>
      <c r="H278" s="9" t="n">
        <v>0</v>
      </c>
      <c r="I278" s="9" t="n">
        <v>8</v>
      </c>
      <c r="J278" s="9" t="n">
        <v>847410</v>
      </c>
    </row>
    <row r="279" customFormat="false" ht="15.75" hidden="false" customHeight="false" outlineLevel="0" collapsed="false">
      <c r="A279" s="7" t="s">
        <v>287</v>
      </c>
      <c r="B279" s="7" t="n">
        <v>9</v>
      </c>
      <c r="C279" s="9" t="n">
        <v>8</v>
      </c>
      <c r="D279" s="9" t="n">
        <v>888480</v>
      </c>
      <c r="E279" s="9" t="n">
        <v>0</v>
      </c>
      <c r="F279" s="9" t="n">
        <v>0</v>
      </c>
      <c r="G279" s="9" t="n">
        <v>0</v>
      </c>
      <c r="H279" s="9" t="n">
        <v>0</v>
      </c>
      <c r="I279" s="9" t="n">
        <v>8</v>
      </c>
      <c r="J279" s="9" t="n">
        <v>888480</v>
      </c>
    </row>
    <row r="280" customFormat="false" ht="15.75" hidden="false" customHeight="false" outlineLevel="0" collapsed="false">
      <c r="A280" s="7" t="s">
        <v>288</v>
      </c>
      <c r="B280" s="7" t="n">
        <v>9</v>
      </c>
      <c r="C280" s="9" t="n">
        <v>72</v>
      </c>
      <c r="D280" s="9" t="n">
        <v>1717560</v>
      </c>
      <c r="E280" s="9" t="n">
        <v>0</v>
      </c>
      <c r="F280" s="9" t="n">
        <v>0</v>
      </c>
      <c r="G280" s="9" t="n">
        <v>0</v>
      </c>
      <c r="H280" s="9" t="n">
        <v>0</v>
      </c>
      <c r="I280" s="9" t="n">
        <v>72</v>
      </c>
      <c r="J280" s="9" t="n">
        <v>1717560</v>
      </c>
    </row>
    <row r="281" customFormat="false" ht="15.75" hidden="false" customHeight="false" outlineLevel="0" collapsed="false">
      <c r="A281" s="7" t="s">
        <v>289</v>
      </c>
      <c r="B281" s="7" t="n">
        <v>9</v>
      </c>
      <c r="C281" s="9" t="n">
        <v>5241</v>
      </c>
      <c r="D281" s="9" t="n">
        <v>18544800</v>
      </c>
      <c r="E281" s="9" t="n">
        <v>204</v>
      </c>
      <c r="F281" s="9" t="n">
        <v>0</v>
      </c>
      <c r="G281" s="9" t="n">
        <v>0</v>
      </c>
      <c r="H281" s="9" t="n">
        <v>0</v>
      </c>
      <c r="I281" s="9" t="n">
        <v>5445</v>
      </c>
      <c r="J281" s="9" t="n">
        <v>18544800</v>
      </c>
    </row>
    <row r="282" customFormat="false" ht="15.75" hidden="false" customHeight="false" outlineLevel="0" collapsed="false">
      <c r="A282" s="7" t="s">
        <v>290</v>
      </c>
      <c r="B282" s="7" t="n">
        <v>9</v>
      </c>
      <c r="C282" s="9" t="n">
        <v>3167</v>
      </c>
      <c r="D282" s="9" t="n">
        <v>281819911</v>
      </c>
      <c r="E282" s="9" t="n">
        <v>576</v>
      </c>
      <c r="F282" s="9" t="n">
        <v>51254784</v>
      </c>
      <c r="G282" s="9" t="n">
        <v>2254</v>
      </c>
      <c r="H282" s="9" t="n">
        <v>200574502</v>
      </c>
      <c r="I282" s="9" t="n">
        <v>1489</v>
      </c>
      <c r="J282" s="9" t="n">
        <v>132500193</v>
      </c>
    </row>
    <row r="283" customFormat="false" ht="15.75" hidden="false" customHeight="false" outlineLevel="0" collapsed="false">
      <c r="A283" s="7" t="s">
        <v>291</v>
      </c>
      <c r="B283" s="7" t="n">
        <v>9</v>
      </c>
      <c r="C283" s="9" t="n">
        <v>3594</v>
      </c>
      <c r="D283" s="9" t="n">
        <v>335383444</v>
      </c>
      <c r="E283" s="9" t="n">
        <v>840</v>
      </c>
      <c r="F283" s="9" t="n">
        <v>78533280</v>
      </c>
      <c r="G283" s="9" t="n">
        <v>1876</v>
      </c>
      <c r="H283" s="9" t="n">
        <v>175125795</v>
      </c>
      <c r="I283" s="9" t="n">
        <v>2558</v>
      </c>
      <c r="J283" s="9" t="n">
        <v>238790929</v>
      </c>
    </row>
    <row r="284" customFormat="false" ht="15.75" hidden="false" customHeight="false" outlineLevel="0" collapsed="false">
      <c r="A284" s="7" t="s">
        <v>292</v>
      </c>
      <c r="B284" s="7" t="n">
        <v>9</v>
      </c>
      <c r="C284" s="9" t="n">
        <v>2192</v>
      </c>
      <c r="D284" s="9" t="n">
        <v>162614969</v>
      </c>
      <c r="E284" s="9" t="n">
        <v>270</v>
      </c>
      <c r="F284" s="9" t="n">
        <v>24025680</v>
      </c>
      <c r="G284" s="9" t="n">
        <v>1530</v>
      </c>
      <c r="H284" s="9" t="n">
        <v>115987081</v>
      </c>
      <c r="I284" s="9" t="n">
        <v>932</v>
      </c>
      <c r="J284" s="9" t="n">
        <v>70653568</v>
      </c>
    </row>
    <row r="285" customFormat="false" ht="15.75" hidden="false" customHeight="false" outlineLevel="0" collapsed="false">
      <c r="A285" s="7"/>
      <c r="B285" s="7"/>
      <c r="C285" s="6"/>
      <c r="D285" s="6" t="n">
        <v>14672491374</v>
      </c>
      <c r="E285" s="6"/>
      <c r="F285" s="6" t="n">
        <v>8134206560</v>
      </c>
      <c r="G285" s="6"/>
      <c r="H285" s="6" t="n">
        <v>7256403764</v>
      </c>
      <c r="I285" s="6"/>
      <c r="J285" s="6" t="n">
        <v>15550294170</v>
      </c>
    </row>
  </sheetData>
  <mergeCells count="4">
    <mergeCell ref="C1:D1"/>
    <mergeCell ref="E1:F1"/>
    <mergeCell ref="G1:H1"/>
    <mergeCell ref="I1:J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W285"/>
  <sheetViews>
    <sheetView showFormulas="false" showGridLines="true" showRowColHeaders="true" showZeros="true" rightToLeft="false" tabSelected="false" showOutlineSymbols="true" defaultGridColor="true" view="normal" topLeftCell="A277" colorId="64" zoomScale="100" zoomScaleNormal="100" zoomScalePageLayoutView="100" workbookViewId="0">
      <selection pane="topLeft" activeCell="A277" activeCellId="0" sqref="A277"/>
    </sheetView>
  </sheetViews>
  <sheetFormatPr defaultColWidth="12.5703125" defaultRowHeight="15.75" customHeight="true" zeroHeight="false" outlineLevelRow="0" outlineLevelCol="0"/>
  <sheetData>
    <row r="1" customFormat="false" ht="15.75" hidden="false" customHeight="false" outlineLevel="0" collapsed="false">
      <c r="A1" s="1"/>
      <c r="B1" s="2"/>
      <c r="C1" s="3" t="s">
        <v>0</v>
      </c>
      <c r="D1" s="3"/>
      <c r="E1" s="3" t="s">
        <v>1</v>
      </c>
      <c r="F1" s="3"/>
      <c r="G1" s="3" t="s">
        <v>2</v>
      </c>
      <c r="H1" s="3"/>
      <c r="I1" s="3" t="s">
        <v>3</v>
      </c>
      <c r="J1" s="3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</row>
    <row r="2" customFormat="false" ht="15.75" hidden="false" customHeight="false" outlineLevel="0" collapsed="false">
      <c r="A2" s="4" t="s">
        <v>4</v>
      </c>
      <c r="B2" s="5" t="s">
        <v>5</v>
      </c>
      <c r="C2" s="6" t="s">
        <v>6</v>
      </c>
      <c r="D2" s="6" t="s">
        <v>7</v>
      </c>
      <c r="E2" s="6" t="s">
        <v>8</v>
      </c>
      <c r="F2" s="6" t="s">
        <v>9</v>
      </c>
      <c r="G2" s="6" t="s">
        <v>6</v>
      </c>
      <c r="H2" s="6" t="s">
        <v>10</v>
      </c>
      <c r="I2" s="6" t="s">
        <v>6</v>
      </c>
      <c r="J2" s="6" t="s">
        <v>9</v>
      </c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</row>
    <row r="3" customFormat="false" ht="15.75" hidden="false" customHeight="false" outlineLevel="0" collapsed="false">
      <c r="A3" s="7" t="s">
        <v>11</v>
      </c>
      <c r="B3" s="7" t="n">
        <v>10</v>
      </c>
      <c r="C3" s="9" t="n">
        <v>206</v>
      </c>
      <c r="D3" s="9" t="n">
        <v>5692510</v>
      </c>
      <c r="E3" s="9" t="n">
        <v>80</v>
      </c>
      <c r="F3" s="9" t="n">
        <v>2219520</v>
      </c>
      <c r="G3" s="9" t="n">
        <v>80</v>
      </c>
      <c r="H3" s="9" t="n">
        <v>2213155</v>
      </c>
      <c r="I3" s="9" t="n">
        <v>206</v>
      </c>
      <c r="J3" s="9" t="n">
        <v>5698875</v>
      </c>
    </row>
    <row r="4" customFormat="false" ht="15.75" hidden="false" customHeight="false" outlineLevel="0" collapsed="false">
      <c r="A4" s="7" t="s">
        <v>12</v>
      </c>
      <c r="B4" s="7" t="n">
        <v>10</v>
      </c>
      <c r="C4" s="9" t="n">
        <v>0</v>
      </c>
      <c r="D4" s="9" t="n">
        <v>0</v>
      </c>
      <c r="E4" s="9" t="n">
        <v>0</v>
      </c>
      <c r="F4" s="9" t="n">
        <v>0</v>
      </c>
      <c r="G4" s="9" t="n">
        <v>0</v>
      </c>
      <c r="H4" s="9" t="n">
        <v>0</v>
      </c>
      <c r="I4" s="9" t="n">
        <v>0</v>
      </c>
      <c r="J4" s="9" t="n">
        <v>0</v>
      </c>
    </row>
    <row r="5" customFormat="false" ht="15.75" hidden="false" customHeight="false" outlineLevel="0" collapsed="false">
      <c r="A5" s="7" t="s">
        <v>13</v>
      </c>
      <c r="B5" s="7" t="n">
        <v>10</v>
      </c>
      <c r="C5" s="9" t="n">
        <v>743</v>
      </c>
      <c r="D5" s="9" t="n">
        <v>24367783</v>
      </c>
      <c r="E5" s="9" t="n">
        <v>0</v>
      </c>
      <c r="F5" s="9" t="n">
        <v>0</v>
      </c>
      <c r="G5" s="9" t="n">
        <v>156</v>
      </c>
      <c r="H5" s="9" t="n">
        <v>5119317</v>
      </c>
      <c r="I5" s="9" t="n">
        <v>587</v>
      </c>
      <c r="J5" s="9" t="n">
        <v>19248466</v>
      </c>
    </row>
    <row r="6" customFormat="false" ht="15.75" hidden="false" customHeight="false" outlineLevel="0" collapsed="false">
      <c r="A6" s="7" t="s">
        <v>14</v>
      </c>
      <c r="B6" s="7" t="n">
        <v>10</v>
      </c>
      <c r="C6" s="9" t="n">
        <v>120</v>
      </c>
      <c r="D6" s="9" t="n">
        <v>35752144</v>
      </c>
      <c r="E6" s="9" t="n">
        <v>0</v>
      </c>
      <c r="F6" s="9" t="n">
        <v>0</v>
      </c>
      <c r="G6" s="9" t="n">
        <v>0</v>
      </c>
      <c r="H6" s="9" t="n">
        <v>0</v>
      </c>
      <c r="I6" s="9" t="n">
        <v>120</v>
      </c>
      <c r="J6" s="9" t="n">
        <v>35752144</v>
      </c>
    </row>
    <row r="7" customFormat="false" ht="15.75" hidden="false" customHeight="false" outlineLevel="0" collapsed="false">
      <c r="A7" s="7" t="s">
        <v>15</v>
      </c>
      <c r="B7" s="7" t="n">
        <v>10</v>
      </c>
      <c r="C7" s="9" t="n">
        <v>504</v>
      </c>
      <c r="D7" s="9" t="n">
        <v>68557545</v>
      </c>
      <c r="E7" s="9" t="n">
        <v>0</v>
      </c>
      <c r="F7" s="9" t="n">
        <v>0</v>
      </c>
      <c r="G7" s="9" t="n">
        <v>0</v>
      </c>
      <c r="H7" s="9" t="n">
        <v>0</v>
      </c>
      <c r="I7" s="9" t="n">
        <v>504</v>
      </c>
      <c r="J7" s="9" t="n">
        <v>68557545</v>
      </c>
    </row>
    <row r="8" customFormat="false" ht="15.75" hidden="false" customHeight="false" outlineLevel="0" collapsed="false">
      <c r="A8" s="7" t="s">
        <v>16</v>
      </c>
      <c r="B8" s="7" t="n">
        <v>10</v>
      </c>
      <c r="C8" s="9" t="n">
        <v>344</v>
      </c>
      <c r="D8" s="9" t="n">
        <v>53839916</v>
      </c>
      <c r="E8" s="9" t="n">
        <v>0</v>
      </c>
      <c r="F8" s="9" t="n">
        <v>0</v>
      </c>
      <c r="G8" s="9" t="n">
        <v>0</v>
      </c>
      <c r="H8" s="9" t="n">
        <v>0</v>
      </c>
      <c r="I8" s="9" t="n">
        <v>344</v>
      </c>
      <c r="J8" s="9" t="n">
        <v>53839916</v>
      </c>
    </row>
    <row r="9" customFormat="false" ht="15.75" hidden="false" customHeight="false" outlineLevel="0" collapsed="false">
      <c r="A9" s="7" t="s">
        <v>17</v>
      </c>
      <c r="B9" s="7" t="n">
        <v>10</v>
      </c>
      <c r="C9" s="9" t="n">
        <v>153</v>
      </c>
      <c r="D9" s="9" t="n">
        <v>36613751</v>
      </c>
      <c r="E9" s="9" t="n">
        <v>0</v>
      </c>
      <c r="F9" s="9" t="n">
        <v>0</v>
      </c>
      <c r="G9" s="9" t="n">
        <v>0</v>
      </c>
      <c r="H9" s="9" t="n">
        <v>0</v>
      </c>
      <c r="I9" s="9" t="n">
        <v>153</v>
      </c>
      <c r="J9" s="9" t="n">
        <v>36613751</v>
      </c>
    </row>
    <row r="10" customFormat="false" ht="15.75" hidden="false" customHeight="false" outlineLevel="0" collapsed="false">
      <c r="A10" s="7" t="s">
        <v>18</v>
      </c>
      <c r="B10" s="7" t="n">
        <v>10</v>
      </c>
      <c r="C10" s="9" t="n">
        <v>674</v>
      </c>
      <c r="D10" s="9" t="n">
        <v>14677119</v>
      </c>
      <c r="E10" s="9" t="n">
        <v>0</v>
      </c>
      <c r="F10" s="9" t="n">
        <v>0</v>
      </c>
      <c r="G10" s="9" t="n">
        <v>120</v>
      </c>
      <c r="H10" s="9" t="n">
        <v>2613137</v>
      </c>
      <c r="I10" s="9" t="n">
        <v>554</v>
      </c>
      <c r="J10" s="9" t="n">
        <v>12063982</v>
      </c>
    </row>
    <row r="11" customFormat="false" ht="15.75" hidden="false" customHeight="false" outlineLevel="0" collapsed="false">
      <c r="A11" s="7" t="s">
        <v>19</v>
      </c>
      <c r="B11" s="7" t="n">
        <v>10</v>
      </c>
      <c r="C11" s="9" t="n">
        <v>180</v>
      </c>
      <c r="D11" s="9" t="n">
        <v>3904035</v>
      </c>
      <c r="E11" s="9" t="n">
        <v>0</v>
      </c>
      <c r="F11" s="9" t="n">
        <v>0</v>
      </c>
      <c r="G11" s="9" t="n">
        <v>0</v>
      </c>
      <c r="H11" s="9" t="n">
        <v>0</v>
      </c>
      <c r="I11" s="9" t="n">
        <v>180</v>
      </c>
      <c r="J11" s="9" t="n">
        <v>3904035</v>
      </c>
    </row>
    <row r="12" customFormat="false" ht="15.75" hidden="false" customHeight="false" outlineLevel="0" collapsed="false">
      <c r="A12" s="7" t="s">
        <v>20</v>
      </c>
      <c r="B12" s="7" t="n">
        <v>10</v>
      </c>
      <c r="C12" s="9" t="n">
        <v>295</v>
      </c>
      <c r="D12" s="9" t="n">
        <v>31404753</v>
      </c>
      <c r="E12" s="9" t="n">
        <v>0</v>
      </c>
      <c r="F12" s="9" t="n">
        <v>0</v>
      </c>
      <c r="G12" s="9" t="n">
        <v>0</v>
      </c>
      <c r="H12" s="9" t="n">
        <v>0</v>
      </c>
      <c r="I12" s="9" t="n">
        <v>295</v>
      </c>
      <c r="J12" s="9" t="n">
        <v>31404753</v>
      </c>
    </row>
    <row r="13" customFormat="false" ht="15.75" hidden="false" customHeight="false" outlineLevel="0" collapsed="false">
      <c r="A13" s="7" t="s">
        <v>21</v>
      </c>
      <c r="B13" s="7" t="n">
        <v>10</v>
      </c>
      <c r="C13" s="9" t="n">
        <v>170</v>
      </c>
      <c r="D13" s="9" t="n">
        <v>40681945</v>
      </c>
      <c r="E13" s="9" t="n">
        <v>0</v>
      </c>
      <c r="F13" s="9" t="n">
        <v>0</v>
      </c>
      <c r="G13" s="9" t="n">
        <v>0</v>
      </c>
      <c r="H13" s="9" t="n">
        <v>0</v>
      </c>
      <c r="I13" s="9" t="n">
        <v>170</v>
      </c>
      <c r="J13" s="9" t="n">
        <v>40681945</v>
      </c>
    </row>
    <row r="14" customFormat="false" ht="15.75" hidden="false" customHeight="false" outlineLevel="0" collapsed="false">
      <c r="A14" s="7" t="s">
        <v>22</v>
      </c>
      <c r="B14" s="7" t="n">
        <v>10</v>
      </c>
      <c r="C14" s="9" t="n">
        <v>18</v>
      </c>
      <c r="D14" s="9" t="n">
        <v>407934</v>
      </c>
      <c r="E14" s="9" t="n">
        <v>0</v>
      </c>
      <c r="F14" s="9" t="n">
        <v>0</v>
      </c>
      <c r="G14" s="9" t="n">
        <v>0</v>
      </c>
      <c r="H14" s="9" t="n">
        <v>0</v>
      </c>
      <c r="I14" s="9" t="n">
        <v>18</v>
      </c>
      <c r="J14" s="9" t="n">
        <v>407934</v>
      </c>
    </row>
    <row r="15" customFormat="false" ht="15.75" hidden="false" customHeight="false" outlineLevel="0" collapsed="false">
      <c r="A15" s="7" t="s">
        <v>23</v>
      </c>
      <c r="B15" s="7" t="n">
        <v>10</v>
      </c>
      <c r="C15" s="9" t="n">
        <v>0</v>
      </c>
      <c r="D15" s="9" t="n">
        <v>0</v>
      </c>
      <c r="E15" s="9" t="n">
        <v>0</v>
      </c>
      <c r="F15" s="9" t="n">
        <v>0</v>
      </c>
      <c r="G15" s="9" t="n">
        <v>0</v>
      </c>
      <c r="H15" s="9" t="n">
        <v>0</v>
      </c>
      <c r="I15" s="9" t="n">
        <v>0</v>
      </c>
      <c r="J15" s="9" t="n">
        <v>0</v>
      </c>
    </row>
    <row r="16" customFormat="false" ht="15.75" hidden="false" customHeight="false" outlineLevel="0" collapsed="false">
      <c r="A16" s="7" t="s">
        <v>24</v>
      </c>
      <c r="B16" s="7" t="n">
        <v>10</v>
      </c>
      <c r="C16" s="9" t="n">
        <v>0</v>
      </c>
      <c r="D16" s="9" t="n">
        <v>0</v>
      </c>
      <c r="E16" s="9" t="n">
        <v>0</v>
      </c>
      <c r="F16" s="9" t="n">
        <v>0</v>
      </c>
      <c r="G16" s="9" t="n">
        <v>0</v>
      </c>
      <c r="H16" s="9" t="n">
        <v>0</v>
      </c>
      <c r="I16" s="9" t="n">
        <v>0</v>
      </c>
      <c r="J16" s="9" t="n">
        <v>0</v>
      </c>
    </row>
    <row r="17" customFormat="false" ht="15.75" hidden="false" customHeight="false" outlineLevel="0" collapsed="false">
      <c r="A17" s="7" t="s">
        <v>25</v>
      </c>
      <c r="B17" s="7" t="n">
        <v>10</v>
      </c>
      <c r="C17" s="9" t="n">
        <v>0</v>
      </c>
      <c r="D17" s="9" t="n">
        <v>0</v>
      </c>
      <c r="E17" s="9" t="n">
        <v>90</v>
      </c>
      <c r="F17" s="9" t="n">
        <v>1915328</v>
      </c>
      <c r="G17" s="9" t="n">
        <v>90</v>
      </c>
      <c r="H17" s="9" t="n">
        <v>1915328</v>
      </c>
      <c r="I17" s="9" t="n">
        <v>0</v>
      </c>
      <c r="J17" s="9" t="n">
        <v>0</v>
      </c>
    </row>
    <row r="18" customFormat="false" ht="15.75" hidden="false" customHeight="false" outlineLevel="0" collapsed="false">
      <c r="A18" s="7" t="s">
        <v>26</v>
      </c>
      <c r="B18" s="7" t="n">
        <v>10</v>
      </c>
      <c r="C18" s="9" t="n">
        <v>64</v>
      </c>
      <c r="D18" s="9" t="n">
        <v>1653392</v>
      </c>
      <c r="E18" s="9" t="n">
        <v>70</v>
      </c>
      <c r="F18" s="9" t="n">
        <v>1814820</v>
      </c>
      <c r="G18" s="9" t="n">
        <v>70</v>
      </c>
      <c r="H18" s="9" t="n">
        <v>1811753</v>
      </c>
      <c r="I18" s="9" t="n">
        <v>64</v>
      </c>
      <c r="J18" s="9" t="n">
        <v>1656459</v>
      </c>
    </row>
    <row r="19" customFormat="false" ht="15.75" hidden="false" customHeight="false" outlineLevel="0" collapsed="false">
      <c r="A19" s="7" t="s">
        <v>27</v>
      </c>
      <c r="B19" s="7" t="n">
        <v>10</v>
      </c>
      <c r="C19" s="9" t="n">
        <v>47</v>
      </c>
      <c r="D19" s="9" t="n">
        <v>1453969</v>
      </c>
      <c r="E19" s="9" t="n">
        <v>0</v>
      </c>
      <c r="F19" s="9" t="n">
        <v>0</v>
      </c>
      <c r="G19" s="9" t="n">
        <v>0</v>
      </c>
      <c r="H19" s="9" t="n">
        <v>0</v>
      </c>
      <c r="I19" s="9" t="n">
        <v>47</v>
      </c>
      <c r="J19" s="9" t="n">
        <v>1453969</v>
      </c>
    </row>
    <row r="20" customFormat="false" ht="15.75" hidden="false" customHeight="false" outlineLevel="0" collapsed="false">
      <c r="A20" s="7" t="s">
        <v>28</v>
      </c>
      <c r="B20" s="7" t="n">
        <v>10</v>
      </c>
      <c r="C20" s="9" t="n">
        <v>50</v>
      </c>
      <c r="D20" s="9" t="n">
        <v>5700000</v>
      </c>
      <c r="E20" s="9" t="n">
        <v>300</v>
      </c>
      <c r="F20" s="9" t="n">
        <v>34440000</v>
      </c>
      <c r="G20" s="9" t="n">
        <v>0</v>
      </c>
      <c r="H20" s="9" t="n">
        <v>0</v>
      </c>
      <c r="I20" s="9" t="n">
        <v>350</v>
      </c>
      <c r="J20" s="9" t="n">
        <v>40140000</v>
      </c>
    </row>
    <row r="21" customFormat="false" ht="15.75" hidden="false" customHeight="false" outlineLevel="0" collapsed="false">
      <c r="A21" s="7" t="s">
        <v>29</v>
      </c>
      <c r="B21" s="7" t="n">
        <v>10</v>
      </c>
      <c r="C21" s="9" t="n">
        <v>240</v>
      </c>
      <c r="D21" s="9" t="n">
        <v>63425520</v>
      </c>
      <c r="E21" s="9" t="n">
        <v>40</v>
      </c>
      <c r="F21" s="9" t="n">
        <v>10626560</v>
      </c>
      <c r="G21" s="9" t="n">
        <v>0</v>
      </c>
      <c r="H21" s="9" t="n">
        <v>0</v>
      </c>
      <c r="I21" s="9" t="n">
        <v>280</v>
      </c>
      <c r="J21" s="9" t="n">
        <v>74052080</v>
      </c>
    </row>
    <row r="22" customFormat="false" ht="15.75" hidden="false" customHeight="false" outlineLevel="0" collapsed="false">
      <c r="A22" s="7" t="s">
        <v>30</v>
      </c>
      <c r="B22" s="7" t="n">
        <v>10</v>
      </c>
      <c r="C22" s="9" t="n">
        <v>167</v>
      </c>
      <c r="D22" s="9" t="n">
        <v>32383984</v>
      </c>
      <c r="E22" s="9" t="n">
        <v>0</v>
      </c>
      <c r="F22" s="9" t="n">
        <v>0</v>
      </c>
      <c r="G22" s="9" t="n">
        <v>0</v>
      </c>
      <c r="H22" s="9" t="n">
        <v>0</v>
      </c>
      <c r="I22" s="9" t="n">
        <v>167</v>
      </c>
      <c r="J22" s="9" t="n">
        <v>32383984</v>
      </c>
    </row>
    <row r="23" customFormat="false" ht="15.75" hidden="false" customHeight="false" outlineLevel="0" collapsed="false">
      <c r="A23" s="7" t="s">
        <v>31</v>
      </c>
      <c r="B23" s="7" t="n">
        <v>10</v>
      </c>
      <c r="C23" s="9" t="n">
        <v>0</v>
      </c>
      <c r="D23" s="9" t="n">
        <v>0</v>
      </c>
      <c r="E23" s="9" t="n">
        <v>0</v>
      </c>
      <c r="F23" s="9" t="n">
        <v>0</v>
      </c>
      <c r="G23" s="9" t="n">
        <v>0</v>
      </c>
      <c r="H23" s="9" t="n">
        <v>0</v>
      </c>
      <c r="I23" s="9" t="n">
        <v>0</v>
      </c>
      <c r="J23" s="9" t="n">
        <v>0</v>
      </c>
    </row>
    <row r="24" customFormat="false" ht="15.75" hidden="false" customHeight="false" outlineLevel="0" collapsed="false">
      <c r="A24" s="7" t="s">
        <v>32</v>
      </c>
      <c r="B24" s="7" t="n">
        <v>10</v>
      </c>
      <c r="C24" s="9" t="n">
        <v>77</v>
      </c>
      <c r="D24" s="9" t="n">
        <v>12767986</v>
      </c>
      <c r="E24" s="9" t="n">
        <v>40</v>
      </c>
      <c r="F24" s="9" t="n">
        <v>6702560</v>
      </c>
      <c r="G24" s="9" t="n">
        <v>0</v>
      </c>
      <c r="H24" s="9" t="n">
        <v>0</v>
      </c>
      <c r="I24" s="9" t="n">
        <v>117</v>
      </c>
      <c r="J24" s="9" t="n">
        <v>19470546</v>
      </c>
    </row>
    <row r="25" customFormat="false" ht="15.75" hidden="false" customHeight="false" outlineLevel="0" collapsed="false">
      <c r="A25" s="7" t="s">
        <v>33</v>
      </c>
      <c r="B25" s="7" t="n">
        <v>10</v>
      </c>
      <c r="C25" s="9" t="n">
        <v>76</v>
      </c>
      <c r="D25" s="9" t="n">
        <v>9285800</v>
      </c>
      <c r="E25" s="9" t="n">
        <v>30</v>
      </c>
      <c r="F25" s="9" t="n">
        <v>7037670</v>
      </c>
      <c r="G25" s="9" t="n">
        <v>0</v>
      </c>
      <c r="H25" s="9" t="n">
        <v>0</v>
      </c>
      <c r="I25" s="9" t="n">
        <v>106</v>
      </c>
      <c r="J25" s="9" t="n">
        <v>16323470</v>
      </c>
    </row>
    <row r="26" customFormat="false" ht="15.75" hidden="false" customHeight="false" outlineLevel="0" collapsed="false">
      <c r="A26" s="7" t="s">
        <v>34</v>
      </c>
      <c r="B26" s="7" t="n">
        <v>10</v>
      </c>
      <c r="C26" s="9" t="n">
        <v>50</v>
      </c>
      <c r="D26" s="9" t="n">
        <v>9836653</v>
      </c>
      <c r="E26" s="9" t="n">
        <v>54</v>
      </c>
      <c r="F26" s="9" t="n">
        <v>9383560</v>
      </c>
      <c r="G26" s="9" t="n">
        <v>0</v>
      </c>
      <c r="H26" s="9" t="n">
        <v>0</v>
      </c>
      <c r="I26" s="9" t="n">
        <v>104</v>
      </c>
      <c r="J26" s="9" t="n">
        <v>19220213</v>
      </c>
    </row>
    <row r="27" customFormat="false" ht="15.75" hidden="false" customHeight="false" outlineLevel="0" collapsed="false">
      <c r="A27" s="7" t="s">
        <v>35</v>
      </c>
      <c r="B27" s="7" t="n">
        <v>10</v>
      </c>
      <c r="C27" s="9" t="n">
        <v>201</v>
      </c>
      <c r="D27" s="9" t="n">
        <v>22914000</v>
      </c>
      <c r="E27" s="9" t="n">
        <v>100</v>
      </c>
      <c r="F27" s="9" t="n">
        <v>11520000</v>
      </c>
      <c r="G27" s="9" t="n">
        <v>0</v>
      </c>
      <c r="H27" s="9" t="n">
        <v>0</v>
      </c>
      <c r="I27" s="9" t="n">
        <v>301</v>
      </c>
      <c r="J27" s="9" t="n">
        <v>34434000</v>
      </c>
    </row>
    <row r="28" customFormat="false" ht="15.75" hidden="false" customHeight="false" outlineLevel="0" collapsed="false">
      <c r="A28" s="7" t="s">
        <v>36</v>
      </c>
      <c r="B28" s="7" t="n">
        <v>10</v>
      </c>
      <c r="C28" s="9" t="n">
        <v>40</v>
      </c>
      <c r="D28" s="9" t="n">
        <v>1818200</v>
      </c>
      <c r="E28" s="9" t="n">
        <v>0</v>
      </c>
      <c r="F28" s="9" t="n">
        <v>0</v>
      </c>
      <c r="G28" s="9" t="n">
        <v>0</v>
      </c>
      <c r="H28" s="9" t="n">
        <v>0</v>
      </c>
      <c r="I28" s="9" t="n">
        <v>40</v>
      </c>
      <c r="J28" s="9" t="n">
        <v>1818200</v>
      </c>
    </row>
    <row r="29" customFormat="false" ht="15.75" hidden="false" customHeight="false" outlineLevel="0" collapsed="false">
      <c r="A29" s="7" t="s">
        <v>37</v>
      </c>
      <c r="B29" s="7" t="n">
        <v>10</v>
      </c>
      <c r="C29" s="9" t="n">
        <v>1653</v>
      </c>
      <c r="D29" s="9" t="n">
        <v>92022300</v>
      </c>
      <c r="E29" s="9" t="n">
        <v>2560</v>
      </c>
      <c r="F29" s="9" t="n">
        <v>142538240</v>
      </c>
      <c r="G29" s="9" t="n">
        <v>1440</v>
      </c>
      <c r="H29" s="9" t="n">
        <v>80172603</v>
      </c>
      <c r="I29" s="9" t="n">
        <v>2773</v>
      </c>
      <c r="J29" s="9" t="n">
        <v>154387937</v>
      </c>
    </row>
    <row r="30" customFormat="false" ht="15.75" hidden="false" customHeight="false" outlineLevel="0" collapsed="false">
      <c r="A30" s="7" t="s">
        <v>38</v>
      </c>
      <c r="B30" s="7" t="n">
        <v>10</v>
      </c>
      <c r="C30" s="9" t="n">
        <v>274562</v>
      </c>
      <c r="D30" s="9" t="n">
        <v>277332644</v>
      </c>
      <c r="E30" s="9" t="n">
        <v>7776</v>
      </c>
      <c r="F30" s="9" t="n">
        <v>242673408</v>
      </c>
      <c r="G30" s="9" t="n">
        <v>8592</v>
      </c>
      <c r="H30" s="9" t="n">
        <v>268139126</v>
      </c>
      <c r="I30" s="9" t="n">
        <v>273746</v>
      </c>
      <c r="J30" s="9" t="n">
        <v>251866926</v>
      </c>
    </row>
    <row r="31" customFormat="false" ht="15.75" hidden="false" customHeight="false" outlineLevel="0" collapsed="false">
      <c r="A31" s="7" t="s">
        <v>39</v>
      </c>
      <c r="B31" s="7" t="n">
        <v>10</v>
      </c>
      <c r="C31" s="9" t="n">
        <v>26190</v>
      </c>
      <c r="D31" s="9" t="n">
        <v>60271732</v>
      </c>
      <c r="E31" s="9" t="n">
        <v>2100</v>
      </c>
      <c r="F31" s="9" t="n">
        <v>75986400</v>
      </c>
      <c r="G31" s="9" t="n">
        <v>2340</v>
      </c>
      <c r="H31" s="9" t="n">
        <v>84670273</v>
      </c>
      <c r="I31" s="9" t="n">
        <v>25950</v>
      </c>
      <c r="J31" s="9" t="n">
        <v>51587859</v>
      </c>
    </row>
    <row r="32" customFormat="false" ht="15.75" hidden="false" customHeight="false" outlineLevel="0" collapsed="false">
      <c r="A32" s="7" t="s">
        <v>40</v>
      </c>
      <c r="B32" s="7" t="n">
        <v>10</v>
      </c>
      <c r="C32" s="9" t="n">
        <v>2430</v>
      </c>
      <c r="D32" s="9" t="n">
        <v>87927120</v>
      </c>
      <c r="E32" s="9" t="n">
        <v>0</v>
      </c>
      <c r="F32" s="9" t="n">
        <v>0</v>
      </c>
      <c r="G32" s="9" t="n">
        <v>0</v>
      </c>
      <c r="H32" s="9" t="n">
        <v>0</v>
      </c>
      <c r="I32" s="9" t="n">
        <v>2430</v>
      </c>
      <c r="J32" s="9" t="n">
        <v>87927120</v>
      </c>
    </row>
    <row r="33" customFormat="false" ht="15.75" hidden="false" customHeight="false" outlineLevel="0" collapsed="false">
      <c r="A33" s="7" t="s">
        <v>41</v>
      </c>
      <c r="B33" s="7" t="n">
        <v>10</v>
      </c>
      <c r="C33" s="9" t="n">
        <v>90</v>
      </c>
      <c r="D33" s="9" t="n">
        <v>3256560</v>
      </c>
      <c r="E33" s="9" t="n">
        <v>0</v>
      </c>
      <c r="F33" s="9" t="n">
        <v>0</v>
      </c>
      <c r="G33" s="9" t="n">
        <v>0</v>
      </c>
      <c r="H33" s="9" t="n">
        <v>0</v>
      </c>
      <c r="I33" s="9" t="n">
        <v>90</v>
      </c>
      <c r="J33" s="9" t="n">
        <v>3256560</v>
      </c>
    </row>
    <row r="34" customFormat="false" ht="15.75" hidden="false" customHeight="false" outlineLevel="0" collapsed="false">
      <c r="A34" s="7" t="s">
        <v>42</v>
      </c>
      <c r="B34" s="7" t="n">
        <v>10</v>
      </c>
      <c r="C34" s="9" t="n">
        <v>128</v>
      </c>
      <c r="D34" s="9" t="n">
        <v>6807953</v>
      </c>
      <c r="E34" s="9" t="n">
        <v>64</v>
      </c>
      <c r="F34" s="9" t="n">
        <v>3359040</v>
      </c>
      <c r="G34" s="9" t="n">
        <v>0</v>
      </c>
      <c r="H34" s="9" t="n">
        <v>0</v>
      </c>
      <c r="I34" s="9" t="n">
        <v>192</v>
      </c>
      <c r="J34" s="9" t="n">
        <v>10166993</v>
      </c>
    </row>
    <row r="35" customFormat="false" ht="15.75" hidden="false" customHeight="false" outlineLevel="0" collapsed="false">
      <c r="A35" s="7" t="s">
        <v>43</v>
      </c>
      <c r="B35" s="7" t="n">
        <v>10</v>
      </c>
      <c r="C35" s="9" t="n">
        <v>0</v>
      </c>
      <c r="D35" s="9" t="n">
        <v>0</v>
      </c>
      <c r="E35" s="9" t="n">
        <v>0</v>
      </c>
      <c r="F35" s="9" t="n">
        <v>0</v>
      </c>
      <c r="G35" s="9" t="n">
        <v>0</v>
      </c>
      <c r="H35" s="9" t="n">
        <v>0</v>
      </c>
      <c r="I35" s="9" t="n">
        <v>0</v>
      </c>
      <c r="J35" s="9" t="n">
        <v>0</v>
      </c>
    </row>
    <row r="36" customFormat="false" ht="15.75" hidden="false" customHeight="false" outlineLevel="0" collapsed="false">
      <c r="A36" s="7" t="s">
        <v>44</v>
      </c>
      <c r="B36" s="7" t="n">
        <v>10</v>
      </c>
      <c r="C36" s="9" t="n">
        <v>9335</v>
      </c>
      <c r="D36" s="9" t="n">
        <v>28208853</v>
      </c>
      <c r="E36" s="9" t="n">
        <v>750</v>
      </c>
      <c r="F36" s="9" t="n">
        <v>27138000</v>
      </c>
      <c r="G36" s="9" t="n">
        <v>315</v>
      </c>
      <c r="H36" s="9" t="n">
        <v>11396480</v>
      </c>
      <c r="I36" s="9" t="n">
        <v>9770</v>
      </c>
      <c r="J36" s="9" t="n">
        <v>43950373</v>
      </c>
    </row>
    <row r="37" customFormat="false" ht="15.75" hidden="false" customHeight="false" outlineLevel="0" collapsed="false">
      <c r="A37" s="7" t="s">
        <v>45</v>
      </c>
      <c r="B37" s="7" t="n">
        <v>10</v>
      </c>
      <c r="C37" s="9" t="n">
        <v>600</v>
      </c>
      <c r="D37" s="9" t="n">
        <v>21680736</v>
      </c>
      <c r="E37" s="9" t="n">
        <v>375</v>
      </c>
      <c r="F37" s="9" t="n">
        <v>13569000</v>
      </c>
      <c r="G37" s="9" t="n">
        <v>375</v>
      </c>
      <c r="H37" s="9" t="n">
        <v>13557591</v>
      </c>
      <c r="I37" s="9" t="n">
        <v>600</v>
      </c>
      <c r="J37" s="9" t="n">
        <v>21692145</v>
      </c>
    </row>
    <row r="38" customFormat="false" ht="15.75" hidden="false" customHeight="false" outlineLevel="0" collapsed="false">
      <c r="A38" s="7" t="s">
        <v>46</v>
      </c>
      <c r="B38" s="7" t="n">
        <v>10</v>
      </c>
      <c r="C38" s="9" t="n">
        <v>285</v>
      </c>
      <c r="D38" s="9" t="n">
        <v>10312440</v>
      </c>
      <c r="E38" s="9" t="n">
        <v>105</v>
      </c>
      <c r="F38" s="9" t="n">
        <v>3799320</v>
      </c>
      <c r="G38" s="9" t="n">
        <v>105</v>
      </c>
      <c r="H38" s="9" t="n">
        <v>3729996</v>
      </c>
      <c r="I38" s="9" t="n">
        <v>285</v>
      </c>
      <c r="J38" s="9" t="n">
        <v>10381764</v>
      </c>
    </row>
    <row r="39" customFormat="false" ht="15.75" hidden="false" customHeight="false" outlineLevel="0" collapsed="false">
      <c r="A39" s="7" t="s">
        <v>47</v>
      </c>
      <c r="B39" s="7" t="n">
        <v>10</v>
      </c>
      <c r="C39" s="9" t="n">
        <v>1500</v>
      </c>
      <c r="D39" s="9" t="n">
        <v>7386531</v>
      </c>
      <c r="E39" s="9" t="n">
        <v>1500</v>
      </c>
      <c r="F39" s="9" t="n">
        <v>7639500</v>
      </c>
      <c r="G39" s="9" t="n">
        <v>2500</v>
      </c>
      <c r="H39" s="9" t="n">
        <v>12521693</v>
      </c>
      <c r="I39" s="9" t="n">
        <v>500</v>
      </c>
      <c r="J39" s="9" t="n">
        <v>2504338</v>
      </c>
    </row>
    <row r="40" customFormat="false" ht="15.75" hidden="false" customHeight="false" outlineLevel="0" collapsed="false">
      <c r="A40" s="7" t="s">
        <v>48</v>
      </c>
      <c r="B40" s="7" t="n">
        <v>10</v>
      </c>
      <c r="C40" s="9" t="n">
        <v>48</v>
      </c>
      <c r="D40" s="9" t="n">
        <v>1156368</v>
      </c>
      <c r="E40" s="9" t="n">
        <v>0</v>
      </c>
      <c r="F40" s="9" t="n">
        <v>0</v>
      </c>
      <c r="G40" s="9" t="n">
        <v>0</v>
      </c>
      <c r="H40" s="9" t="n">
        <v>0</v>
      </c>
      <c r="I40" s="9" t="n">
        <v>48</v>
      </c>
      <c r="J40" s="9" t="n">
        <v>1156368</v>
      </c>
    </row>
    <row r="41" customFormat="false" ht="15.75" hidden="false" customHeight="false" outlineLevel="0" collapsed="false">
      <c r="A41" s="7" t="s">
        <v>49</v>
      </c>
      <c r="B41" s="7" t="n">
        <v>10</v>
      </c>
      <c r="C41" s="9" t="n">
        <v>4440</v>
      </c>
      <c r="D41" s="9" t="n">
        <v>21676538</v>
      </c>
      <c r="E41" s="9" t="n">
        <v>4800</v>
      </c>
      <c r="F41" s="9" t="n">
        <v>23553600</v>
      </c>
      <c r="G41" s="9" t="n">
        <v>7200</v>
      </c>
      <c r="H41" s="9" t="n">
        <v>35244264</v>
      </c>
      <c r="I41" s="9" t="n">
        <v>2040</v>
      </c>
      <c r="J41" s="9" t="n">
        <v>9985874</v>
      </c>
    </row>
    <row r="42" customFormat="false" ht="15.75" hidden="false" customHeight="false" outlineLevel="0" collapsed="false">
      <c r="A42" s="7" t="s">
        <v>50</v>
      </c>
      <c r="B42" s="7" t="n">
        <v>10</v>
      </c>
      <c r="C42" s="9" t="n">
        <v>1500</v>
      </c>
      <c r="D42" s="9" t="n">
        <v>4773000</v>
      </c>
      <c r="E42" s="9" t="n">
        <v>750</v>
      </c>
      <c r="F42" s="9" t="n">
        <v>2778000</v>
      </c>
      <c r="G42" s="9" t="n">
        <v>1500</v>
      </c>
      <c r="H42" s="9" t="n">
        <v>5034000</v>
      </c>
      <c r="I42" s="9" t="n">
        <v>750</v>
      </c>
      <c r="J42" s="9" t="n">
        <v>2517000</v>
      </c>
    </row>
    <row r="43" customFormat="false" ht="15.75" hidden="false" customHeight="false" outlineLevel="0" collapsed="false">
      <c r="A43" s="7" t="s">
        <v>51</v>
      </c>
      <c r="B43" s="7" t="n">
        <v>10</v>
      </c>
      <c r="C43" s="9" t="n">
        <v>1500</v>
      </c>
      <c r="D43" s="9" t="n">
        <v>6033241</v>
      </c>
      <c r="E43" s="9" t="n">
        <v>1250</v>
      </c>
      <c r="F43" s="9" t="n">
        <v>5208750</v>
      </c>
      <c r="G43" s="9" t="n">
        <v>1500</v>
      </c>
      <c r="H43" s="9" t="n">
        <v>6131996</v>
      </c>
      <c r="I43" s="9" t="n">
        <v>1250</v>
      </c>
      <c r="J43" s="9" t="n">
        <v>5109995</v>
      </c>
    </row>
    <row r="44" customFormat="false" ht="15.75" hidden="false" customHeight="false" outlineLevel="0" collapsed="false">
      <c r="A44" s="7" t="s">
        <v>52</v>
      </c>
      <c r="B44" s="7" t="n">
        <v>10</v>
      </c>
      <c r="C44" s="9" t="n">
        <v>812</v>
      </c>
      <c r="D44" s="9" t="n">
        <v>18641599</v>
      </c>
      <c r="E44" s="9" t="n">
        <v>576</v>
      </c>
      <c r="F44" s="9" t="n">
        <v>13333248</v>
      </c>
      <c r="G44" s="9" t="n">
        <v>0</v>
      </c>
      <c r="H44" s="9" t="n">
        <v>0</v>
      </c>
      <c r="I44" s="9" t="n">
        <v>1388</v>
      </c>
      <c r="J44" s="9" t="n">
        <v>31974847</v>
      </c>
    </row>
    <row r="45" customFormat="false" ht="15.75" hidden="false" customHeight="false" outlineLevel="0" collapsed="false">
      <c r="A45" s="7" t="s">
        <v>53</v>
      </c>
      <c r="B45" s="7" t="n">
        <v>10</v>
      </c>
      <c r="C45" s="9" t="n">
        <v>0</v>
      </c>
      <c r="D45" s="9" t="n">
        <v>0</v>
      </c>
      <c r="E45" s="9" t="n">
        <v>0</v>
      </c>
      <c r="F45" s="9" t="n">
        <v>0</v>
      </c>
      <c r="G45" s="9" t="n">
        <v>0</v>
      </c>
      <c r="H45" s="9" t="n">
        <v>0</v>
      </c>
      <c r="I45" s="9" t="n">
        <v>0</v>
      </c>
      <c r="J45" s="9" t="n">
        <v>0</v>
      </c>
    </row>
    <row r="46" customFormat="false" ht="15.75" hidden="false" customHeight="false" outlineLevel="0" collapsed="false">
      <c r="A46" s="7" t="s">
        <v>54</v>
      </c>
      <c r="B46" s="7" t="n">
        <v>10</v>
      </c>
      <c r="C46" s="9" t="n">
        <v>3818</v>
      </c>
      <c r="D46" s="9" t="n">
        <v>54817929</v>
      </c>
      <c r="E46" s="9" t="n">
        <v>5136</v>
      </c>
      <c r="F46" s="9" t="n">
        <v>74667600</v>
      </c>
      <c r="G46" s="9" t="n">
        <v>5640</v>
      </c>
      <c r="H46" s="9" t="n">
        <v>81561133</v>
      </c>
      <c r="I46" s="9" t="n">
        <v>3314</v>
      </c>
      <c r="J46" s="9" t="n">
        <v>47924396</v>
      </c>
    </row>
    <row r="47" customFormat="false" ht="15.75" hidden="false" customHeight="false" outlineLevel="0" collapsed="false">
      <c r="A47" s="7" t="s">
        <v>55</v>
      </c>
      <c r="B47" s="7" t="n">
        <v>10</v>
      </c>
      <c r="C47" s="9" t="n">
        <v>66</v>
      </c>
      <c r="D47" s="9" t="n">
        <v>5780929</v>
      </c>
      <c r="E47" s="9" t="n">
        <v>54</v>
      </c>
      <c r="F47" s="9" t="n">
        <v>4775004</v>
      </c>
      <c r="G47" s="9" t="n">
        <v>0</v>
      </c>
      <c r="H47" s="9" t="n">
        <v>0</v>
      </c>
      <c r="I47" s="9" t="n">
        <v>120</v>
      </c>
      <c r="J47" s="9" t="n">
        <v>10555933</v>
      </c>
    </row>
    <row r="48" customFormat="false" ht="15.75" hidden="false" customHeight="false" outlineLevel="0" collapsed="false">
      <c r="A48" s="7" t="s">
        <v>56</v>
      </c>
      <c r="B48" s="7" t="n">
        <v>10</v>
      </c>
      <c r="C48" s="9" t="n">
        <v>768</v>
      </c>
      <c r="D48" s="9" t="n">
        <v>7355520</v>
      </c>
      <c r="E48" s="9" t="n">
        <v>144</v>
      </c>
      <c r="F48" s="9" t="n">
        <v>1386720</v>
      </c>
      <c r="G48" s="9" t="n">
        <v>0</v>
      </c>
      <c r="H48" s="9" t="n">
        <v>0</v>
      </c>
      <c r="I48" s="9" t="n">
        <v>912</v>
      </c>
      <c r="J48" s="9" t="n">
        <v>8742240</v>
      </c>
    </row>
    <row r="49" customFormat="false" ht="15.75" hidden="false" customHeight="false" outlineLevel="0" collapsed="false">
      <c r="A49" s="7" t="s">
        <v>57</v>
      </c>
      <c r="B49" s="7" t="n">
        <v>10</v>
      </c>
      <c r="C49" s="9" t="n">
        <v>600</v>
      </c>
      <c r="D49" s="9" t="n">
        <v>10299267</v>
      </c>
      <c r="E49" s="9" t="n">
        <v>96</v>
      </c>
      <c r="F49" s="9" t="n">
        <v>1688928</v>
      </c>
      <c r="G49" s="9" t="n">
        <v>0</v>
      </c>
      <c r="H49" s="9" t="n">
        <v>0</v>
      </c>
      <c r="I49" s="9" t="n">
        <v>696</v>
      </c>
      <c r="J49" s="9" t="n">
        <v>11988195</v>
      </c>
    </row>
    <row r="50" customFormat="false" ht="15.75" hidden="false" customHeight="false" outlineLevel="0" collapsed="false">
      <c r="A50" s="7" t="s">
        <v>58</v>
      </c>
      <c r="B50" s="7" t="n">
        <v>10</v>
      </c>
      <c r="C50" s="9" t="n">
        <v>2616</v>
      </c>
      <c r="D50" s="9" t="n">
        <v>21869420</v>
      </c>
      <c r="E50" s="9" t="n">
        <v>2160</v>
      </c>
      <c r="F50" s="9" t="n">
        <v>18599760</v>
      </c>
      <c r="G50" s="9" t="n">
        <v>1596</v>
      </c>
      <c r="H50" s="9" t="n">
        <v>13523620</v>
      </c>
      <c r="I50" s="9" t="n">
        <v>3180</v>
      </c>
      <c r="J50" s="9" t="n">
        <v>26945560</v>
      </c>
    </row>
    <row r="51" customFormat="false" ht="15.75" hidden="false" customHeight="false" outlineLevel="0" collapsed="false">
      <c r="A51" s="7" t="s">
        <v>59</v>
      </c>
      <c r="B51" s="7" t="n">
        <v>10</v>
      </c>
      <c r="C51" s="9" t="n">
        <v>2111</v>
      </c>
      <c r="D51" s="9" t="n">
        <v>32236994</v>
      </c>
      <c r="E51" s="9" t="n">
        <v>5523</v>
      </c>
      <c r="F51" s="9" t="n">
        <v>92001840</v>
      </c>
      <c r="G51" s="9" t="n">
        <v>1488</v>
      </c>
      <c r="H51" s="9" t="n">
        <v>24216320</v>
      </c>
      <c r="I51" s="9" t="n">
        <v>6146</v>
      </c>
      <c r="J51" s="9" t="n">
        <v>100022514</v>
      </c>
    </row>
    <row r="52" customFormat="false" ht="15.75" hidden="false" customHeight="false" outlineLevel="0" collapsed="false">
      <c r="A52" s="7" t="s">
        <v>60</v>
      </c>
      <c r="B52" s="7" t="n">
        <v>10</v>
      </c>
      <c r="C52" s="9" t="n">
        <v>5551</v>
      </c>
      <c r="D52" s="9" t="n">
        <v>176198014</v>
      </c>
      <c r="E52" s="9" t="n">
        <v>695</v>
      </c>
      <c r="F52" s="9" t="n">
        <v>23233212</v>
      </c>
      <c r="G52" s="9" t="n">
        <v>1711</v>
      </c>
      <c r="H52" s="9" t="n">
        <v>54631256</v>
      </c>
      <c r="I52" s="9" t="n">
        <v>4535</v>
      </c>
      <c r="J52" s="9" t="n">
        <v>144799970</v>
      </c>
    </row>
    <row r="53" customFormat="false" ht="15.75" hidden="false" customHeight="false" outlineLevel="0" collapsed="false">
      <c r="A53" s="7" t="s">
        <v>61</v>
      </c>
      <c r="B53" s="7" t="n">
        <v>10</v>
      </c>
      <c r="C53" s="9" t="n">
        <v>0</v>
      </c>
      <c r="D53" s="9" t="n">
        <v>0</v>
      </c>
      <c r="E53" s="9" t="n">
        <v>0</v>
      </c>
      <c r="F53" s="9" t="n">
        <v>0</v>
      </c>
      <c r="G53" s="9" t="n">
        <v>0</v>
      </c>
      <c r="H53" s="9" t="n">
        <v>0</v>
      </c>
      <c r="I53" s="9" t="n">
        <v>0</v>
      </c>
      <c r="J53" s="9" t="n">
        <v>0</v>
      </c>
    </row>
    <row r="54" customFormat="false" ht="15.75" hidden="false" customHeight="false" outlineLevel="0" collapsed="false">
      <c r="A54" s="7" t="s">
        <v>62</v>
      </c>
      <c r="B54" s="7" t="n">
        <v>10</v>
      </c>
      <c r="C54" s="9" t="n">
        <v>5053</v>
      </c>
      <c r="D54" s="9" t="n">
        <v>24582986</v>
      </c>
      <c r="E54" s="9" t="n">
        <v>4201</v>
      </c>
      <c r="F54" s="9" t="n">
        <v>20609400</v>
      </c>
      <c r="G54" s="9" t="n">
        <v>7560</v>
      </c>
      <c r="H54" s="9" t="n">
        <v>36919650</v>
      </c>
      <c r="I54" s="9" t="n">
        <v>1694</v>
      </c>
      <c r="J54" s="9" t="n">
        <v>8272736</v>
      </c>
    </row>
    <row r="55" customFormat="false" ht="15.75" hidden="false" customHeight="false" outlineLevel="0" collapsed="false">
      <c r="A55" s="7" t="s">
        <v>63</v>
      </c>
      <c r="B55" s="7" t="n">
        <v>10</v>
      </c>
      <c r="C55" s="9" t="n">
        <v>0</v>
      </c>
      <c r="D55" s="9" t="n">
        <v>0</v>
      </c>
      <c r="E55" s="9" t="n">
        <v>0</v>
      </c>
      <c r="F55" s="9" t="n">
        <v>0</v>
      </c>
      <c r="G55" s="9" t="n">
        <v>0</v>
      </c>
      <c r="H55" s="9" t="n">
        <v>0</v>
      </c>
      <c r="I55" s="9" t="n">
        <v>0</v>
      </c>
      <c r="J55" s="9" t="n">
        <v>0</v>
      </c>
    </row>
    <row r="56" customFormat="false" ht="15.75" hidden="false" customHeight="false" outlineLevel="0" collapsed="false">
      <c r="A56" s="7" t="s">
        <v>64</v>
      </c>
      <c r="B56" s="7" t="n">
        <v>10</v>
      </c>
      <c r="C56" s="9" t="n">
        <v>0</v>
      </c>
      <c r="D56" s="9" t="n">
        <v>0</v>
      </c>
      <c r="E56" s="9" t="n">
        <v>30</v>
      </c>
      <c r="F56" s="9" t="n">
        <v>5833320</v>
      </c>
      <c r="G56" s="9" t="n">
        <v>0</v>
      </c>
      <c r="H56" s="9" t="n">
        <v>0</v>
      </c>
      <c r="I56" s="9" t="n">
        <v>30</v>
      </c>
      <c r="J56" s="9" t="n">
        <v>5833320</v>
      </c>
    </row>
    <row r="57" customFormat="false" ht="15.75" hidden="false" customHeight="false" outlineLevel="0" collapsed="false">
      <c r="A57" s="7" t="s">
        <v>65</v>
      </c>
      <c r="B57" s="7" t="n">
        <v>10</v>
      </c>
      <c r="C57" s="9" t="n">
        <v>0</v>
      </c>
      <c r="D57" s="9" t="n">
        <v>0</v>
      </c>
      <c r="E57" s="9" t="n">
        <v>12</v>
      </c>
      <c r="F57" s="9" t="n">
        <v>2277780</v>
      </c>
      <c r="G57" s="9" t="n">
        <v>0</v>
      </c>
      <c r="H57" s="9" t="n">
        <v>0</v>
      </c>
      <c r="I57" s="9" t="n">
        <v>12</v>
      </c>
      <c r="J57" s="9" t="n">
        <v>2277780</v>
      </c>
    </row>
    <row r="58" customFormat="false" ht="15.75" hidden="false" customHeight="false" outlineLevel="0" collapsed="false">
      <c r="A58" s="7" t="s">
        <v>66</v>
      </c>
      <c r="B58" s="7" t="n">
        <v>10</v>
      </c>
      <c r="C58" s="9" t="n">
        <v>1647</v>
      </c>
      <c r="D58" s="9" t="n">
        <v>25292897</v>
      </c>
      <c r="E58" s="9" t="n">
        <v>1633</v>
      </c>
      <c r="F58" s="9" t="n">
        <v>25500420</v>
      </c>
      <c r="G58" s="9" t="n">
        <v>216</v>
      </c>
      <c r="H58" s="9" t="n">
        <v>3344926</v>
      </c>
      <c r="I58" s="9" t="n">
        <v>3064</v>
      </c>
      <c r="J58" s="9" t="n">
        <v>47448391</v>
      </c>
    </row>
    <row r="59" customFormat="false" ht="15.75" hidden="false" customHeight="false" outlineLevel="0" collapsed="false">
      <c r="A59" s="7" t="s">
        <v>67</v>
      </c>
      <c r="B59" s="7" t="n">
        <v>10</v>
      </c>
      <c r="C59" s="9" t="n">
        <v>146</v>
      </c>
      <c r="D59" s="9" t="n">
        <v>985256</v>
      </c>
      <c r="E59" s="9" t="n">
        <v>24</v>
      </c>
      <c r="F59" s="9" t="n">
        <v>400008</v>
      </c>
      <c r="G59" s="9" t="n">
        <v>0</v>
      </c>
      <c r="H59" s="9" t="n">
        <v>0</v>
      </c>
      <c r="I59" s="9" t="n">
        <v>170</v>
      </c>
      <c r="J59" s="9" t="n">
        <v>1385264</v>
      </c>
    </row>
    <row r="60" customFormat="false" ht="15.75" hidden="false" customHeight="false" outlineLevel="0" collapsed="false">
      <c r="A60" s="7" t="s">
        <v>68</v>
      </c>
      <c r="B60" s="7" t="n">
        <v>10</v>
      </c>
      <c r="C60" s="9" t="n">
        <v>240</v>
      </c>
      <c r="D60" s="9" t="n">
        <v>11005865</v>
      </c>
      <c r="E60" s="9" t="n">
        <v>120</v>
      </c>
      <c r="F60" s="9" t="n">
        <v>5600040</v>
      </c>
      <c r="G60" s="9" t="n">
        <v>0</v>
      </c>
      <c r="H60" s="9" t="n">
        <v>0</v>
      </c>
      <c r="I60" s="9" t="n">
        <v>360</v>
      </c>
      <c r="J60" s="9" t="n">
        <v>16605905</v>
      </c>
    </row>
    <row r="61" customFormat="false" ht="15.75" hidden="false" customHeight="false" outlineLevel="0" collapsed="false">
      <c r="A61" s="7" t="s">
        <v>69</v>
      </c>
      <c r="B61" s="7" t="n">
        <v>10</v>
      </c>
      <c r="C61" s="9" t="n">
        <v>0</v>
      </c>
      <c r="D61" s="9" t="n">
        <v>0</v>
      </c>
      <c r="E61" s="9" t="n">
        <v>78</v>
      </c>
      <c r="F61" s="9" t="n">
        <v>8088912</v>
      </c>
      <c r="G61" s="9" t="n">
        <v>0</v>
      </c>
      <c r="H61" s="9" t="n">
        <v>0</v>
      </c>
      <c r="I61" s="9" t="n">
        <v>78</v>
      </c>
      <c r="J61" s="9" t="n">
        <v>8088912</v>
      </c>
    </row>
    <row r="62" customFormat="false" ht="15.75" hidden="false" customHeight="false" outlineLevel="0" collapsed="false">
      <c r="A62" s="7" t="s">
        <v>70</v>
      </c>
      <c r="B62" s="7" t="n">
        <v>10</v>
      </c>
      <c r="C62" s="9" t="n">
        <v>0</v>
      </c>
      <c r="D62" s="9" t="n">
        <v>0</v>
      </c>
      <c r="E62" s="9" t="n">
        <v>42</v>
      </c>
      <c r="F62" s="9" t="n">
        <v>6066648</v>
      </c>
      <c r="G62" s="9" t="n">
        <v>0</v>
      </c>
      <c r="H62" s="9" t="n">
        <v>0</v>
      </c>
      <c r="I62" s="9" t="n">
        <v>42</v>
      </c>
      <c r="J62" s="9" t="n">
        <v>6066648</v>
      </c>
    </row>
    <row r="63" customFormat="false" ht="15.75" hidden="false" customHeight="false" outlineLevel="0" collapsed="false">
      <c r="A63" s="7" t="s">
        <v>71</v>
      </c>
      <c r="B63" s="7" t="n">
        <v>10</v>
      </c>
      <c r="C63" s="9" t="n">
        <v>960</v>
      </c>
      <c r="D63" s="9" t="n">
        <v>14771864</v>
      </c>
      <c r="E63" s="9" t="n">
        <v>240</v>
      </c>
      <c r="F63" s="9" t="n">
        <v>3777840</v>
      </c>
      <c r="G63" s="9" t="n">
        <v>0</v>
      </c>
      <c r="H63" s="9" t="n">
        <v>0</v>
      </c>
      <c r="I63" s="9" t="n">
        <v>1200</v>
      </c>
      <c r="J63" s="9" t="n">
        <v>18549704</v>
      </c>
    </row>
    <row r="64" customFormat="false" ht="15.75" hidden="false" customHeight="false" outlineLevel="0" collapsed="false">
      <c r="A64" s="7" t="s">
        <v>72</v>
      </c>
      <c r="B64" s="7" t="n">
        <v>10</v>
      </c>
      <c r="C64" s="9" t="n">
        <v>3126</v>
      </c>
      <c r="D64" s="9" t="n">
        <v>71024991</v>
      </c>
      <c r="E64" s="9" t="n">
        <v>747</v>
      </c>
      <c r="F64" s="9" t="n">
        <v>17911056</v>
      </c>
      <c r="G64" s="9" t="n">
        <v>960</v>
      </c>
      <c r="H64" s="9" t="n">
        <v>22044566</v>
      </c>
      <c r="I64" s="9" t="n">
        <v>2913</v>
      </c>
      <c r="J64" s="9" t="n">
        <v>66891481</v>
      </c>
    </row>
    <row r="65" customFormat="false" ht="15.75" hidden="false" customHeight="false" outlineLevel="0" collapsed="false">
      <c r="A65" s="7" t="s">
        <v>73</v>
      </c>
      <c r="B65" s="7" t="n">
        <v>10</v>
      </c>
      <c r="C65" s="9" t="n">
        <v>2538</v>
      </c>
      <c r="D65" s="9" t="n">
        <v>85539486</v>
      </c>
      <c r="E65" s="9" t="n">
        <v>1800</v>
      </c>
      <c r="F65" s="9" t="n">
        <v>61666200</v>
      </c>
      <c r="G65" s="9" t="n">
        <v>2424</v>
      </c>
      <c r="H65" s="9" t="n">
        <v>82256013</v>
      </c>
      <c r="I65" s="9" t="n">
        <v>1914</v>
      </c>
      <c r="J65" s="9" t="n">
        <v>64949673</v>
      </c>
    </row>
    <row r="66" customFormat="false" ht="15.75" hidden="false" customHeight="false" outlineLevel="0" collapsed="false">
      <c r="A66" s="7" t="s">
        <v>74</v>
      </c>
      <c r="B66" s="7" t="n">
        <v>10</v>
      </c>
      <c r="C66" s="9" t="n">
        <v>5040</v>
      </c>
      <c r="D66" s="9" t="n">
        <v>74074873</v>
      </c>
      <c r="E66" s="9" t="n">
        <v>2400</v>
      </c>
      <c r="F66" s="9" t="n">
        <v>35556000</v>
      </c>
      <c r="G66" s="9" t="n">
        <v>240</v>
      </c>
      <c r="H66" s="9" t="n">
        <v>3536480</v>
      </c>
      <c r="I66" s="9" t="n">
        <v>7200</v>
      </c>
      <c r="J66" s="9" t="n">
        <v>106094393</v>
      </c>
    </row>
    <row r="67" customFormat="false" ht="15.75" hidden="false" customHeight="false" outlineLevel="0" collapsed="false">
      <c r="A67" s="7" t="s">
        <v>75</v>
      </c>
      <c r="B67" s="7" t="n">
        <v>10</v>
      </c>
      <c r="C67" s="9" t="n">
        <v>2400</v>
      </c>
      <c r="D67" s="9" t="n">
        <v>853333</v>
      </c>
      <c r="E67" s="9" t="n">
        <v>2400</v>
      </c>
      <c r="F67" s="9" t="n">
        <v>888000</v>
      </c>
      <c r="G67" s="9" t="n">
        <v>0</v>
      </c>
      <c r="H67" s="9" t="n">
        <v>0</v>
      </c>
      <c r="I67" s="9" t="n">
        <v>4800</v>
      </c>
      <c r="J67" s="9" t="n">
        <v>1741333</v>
      </c>
    </row>
    <row r="68" customFormat="false" ht="15.75" hidden="false" customHeight="false" outlineLevel="0" collapsed="false">
      <c r="A68" s="7" t="s">
        <v>76</v>
      </c>
      <c r="B68" s="7" t="n">
        <v>10</v>
      </c>
      <c r="C68" s="9" t="n">
        <v>120</v>
      </c>
      <c r="D68" s="9" t="n">
        <v>7336927</v>
      </c>
      <c r="E68" s="9" t="n">
        <v>36</v>
      </c>
      <c r="F68" s="9" t="n">
        <v>1900008</v>
      </c>
      <c r="G68" s="9" t="n">
        <v>30</v>
      </c>
      <c r="H68" s="9" t="n">
        <v>1776334</v>
      </c>
      <c r="I68" s="9" t="n">
        <v>126</v>
      </c>
      <c r="J68" s="9" t="n">
        <v>7460601</v>
      </c>
    </row>
    <row r="69" customFormat="false" ht="15.75" hidden="false" customHeight="false" outlineLevel="0" collapsed="false">
      <c r="A69" s="7" t="s">
        <v>77</v>
      </c>
      <c r="B69" s="7" t="n">
        <v>10</v>
      </c>
      <c r="C69" s="9" t="n">
        <v>624</v>
      </c>
      <c r="D69" s="9" t="n">
        <v>3787119</v>
      </c>
      <c r="E69" s="9" t="n">
        <v>384</v>
      </c>
      <c r="F69" s="9" t="n">
        <v>2417664</v>
      </c>
      <c r="G69" s="9" t="n">
        <v>12</v>
      </c>
      <c r="H69" s="9" t="n">
        <v>73866</v>
      </c>
      <c r="I69" s="9" t="n">
        <v>996</v>
      </c>
      <c r="J69" s="9" t="n">
        <v>6130917</v>
      </c>
    </row>
    <row r="70" customFormat="false" ht="15.75" hidden="false" customHeight="false" outlineLevel="0" collapsed="false">
      <c r="A70" s="7" t="s">
        <v>78</v>
      </c>
      <c r="B70" s="7" t="n">
        <v>10</v>
      </c>
      <c r="C70" s="9" t="n">
        <v>5245</v>
      </c>
      <c r="D70" s="9" t="n">
        <v>37851133</v>
      </c>
      <c r="E70" s="9" t="n">
        <v>2054</v>
      </c>
      <c r="F70" s="9" t="n">
        <v>22666440</v>
      </c>
      <c r="G70" s="9" t="n">
        <v>1728</v>
      </c>
      <c r="H70" s="9" t="n">
        <v>14327218</v>
      </c>
      <c r="I70" s="9" t="n">
        <v>5571</v>
      </c>
      <c r="J70" s="9" t="n">
        <v>46190355</v>
      </c>
    </row>
    <row r="71" customFormat="false" ht="15.75" hidden="false" customHeight="false" outlineLevel="0" collapsed="false">
      <c r="A71" s="7" t="s">
        <v>79</v>
      </c>
      <c r="B71" s="7" t="n">
        <v>10</v>
      </c>
      <c r="C71" s="9" t="n">
        <v>2395</v>
      </c>
      <c r="D71" s="9" t="n">
        <v>47339275</v>
      </c>
      <c r="E71" s="9" t="n">
        <v>384</v>
      </c>
      <c r="F71" s="9" t="n">
        <v>8177664</v>
      </c>
      <c r="G71" s="9" t="n">
        <v>843</v>
      </c>
      <c r="H71" s="9" t="n">
        <v>16840871</v>
      </c>
      <c r="I71" s="9" t="n">
        <v>1936</v>
      </c>
      <c r="J71" s="9" t="n">
        <v>38676068</v>
      </c>
    </row>
    <row r="72" customFormat="false" ht="15.75" hidden="false" customHeight="false" outlineLevel="0" collapsed="false">
      <c r="A72" s="7" t="s">
        <v>80</v>
      </c>
      <c r="B72" s="7" t="n">
        <v>10</v>
      </c>
      <c r="C72" s="9" t="n">
        <v>72</v>
      </c>
      <c r="D72" s="9" t="n">
        <v>1002934</v>
      </c>
      <c r="E72" s="9" t="n">
        <v>72</v>
      </c>
      <c r="F72" s="9" t="n">
        <v>1066680</v>
      </c>
      <c r="G72" s="9" t="n">
        <v>0</v>
      </c>
      <c r="H72" s="9" t="n">
        <v>0</v>
      </c>
      <c r="I72" s="9" t="n">
        <v>144</v>
      </c>
      <c r="J72" s="9" t="n">
        <v>2069614</v>
      </c>
    </row>
    <row r="73" customFormat="false" ht="15.75" hidden="false" customHeight="false" outlineLevel="0" collapsed="false">
      <c r="A73" s="7" t="s">
        <v>81</v>
      </c>
      <c r="B73" s="7" t="n">
        <v>10</v>
      </c>
      <c r="C73" s="9" t="n">
        <v>1332</v>
      </c>
      <c r="D73" s="9" t="n">
        <v>20093256</v>
      </c>
      <c r="E73" s="9" t="n">
        <v>396</v>
      </c>
      <c r="F73" s="9" t="n">
        <v>6233436</v>
      </c>
      <c r="G73" s="9" t="n">
        <v>0</v>
      </c>
      <c r="H73" s="9" t="n">
        <v>0</v>
      </c>
      <c r="I73" s="9" t="n">
        <v>1728</v>
      </c>
      <c r="J73" s="9" t="n">
        <v>26326692</v>
      </c>
    </row>
    <row r="74" customFormat="false" ht="15.75" hidden="false" customHeight="false" outlineLevel="0" collapsed="false">
      <c r="A74" s="7" t="s">
        <v>82</v>
      </c>
      <c r="B74" s="7" t="n">
        <v>10</v>
      </c>
      <c r="C74" s="9" t="n">
        <v>3600</v>
      </c>
      <c r="D74" s="9" t="n">
        <v>26072585</v>
      </c>
      <c r="E74" s="9" t="n">
        <v>1800</v>
      </c>
      <c r="F74" s="9" t="n">
        <v>13332600</v>
      </c>
      <c r="G74" s="9" t="n">
        <v>0</v>
      </c>
      <c r="H74" s="9" t="n">
        <v>0</v>
      </c>
      <c r="I74" s="9" t="n">
        <v>5400</v>
      </c>
      <c r="J74" s="9" t="n">
        <v>39405185</v>
      </c>
    </row>
    <row r="75" customFormat="false" ht="15.75" hidden="false" customHeight="false" outlineLevel="0" collapsed="false">
      <c r="A75" s="7" t="s">
        <v>83</v>
      </c>
      <c r="B75" s="7" t="n">
        <v>10</v>
      </c>
      <c r="C75" s="9" t="n">
        <v>1566</v>
      </c>
      <c r="D75" s="9" t="n">
        <v>11519415</v>
      </c>
      <c r="E75" s="9" t="n">
        <v>1800</v>
      </c>
      <c r="F75" s="9" t="n">
        <v>14000400</v>
      </c>
      <c r="G75" s="9" t="n">
        <v>0</v>
      </c>
      <c r="H75" s="9" t="n">
        <v>0</v>
      </c>
      <c r="I75" s="9" t="n">
        <v>3366</v>
      </c>
      <c r="J75" s="9" t="n">
        <v>25519815</v>
      </c>
    </row>
    <row r="76" customFormat="false" ht="15.75" hidden="false" customHeight="false" outlineLevel="0" collapsed="false">
      <c r="A76" s="7" t="s">
        <v>84</v>
      </c>
      <c r="B76" s="7" t="n">
        <v>10</v>
      </c>
      <c r="C76" s="9" t="n">
        <v>13812</v>
      </c>
      <c r="D76" s="9" t="n">
        <v>416615977</v>
      </c>
      <c r="E76" s="9" t="n">
        <v>6980</v>
      </c>
      <c r="F76" s="9" t="n">
        <v>215330040</v>
      </c>
      <c r="G76" s="9" t="n">
        <v>4176</v>
      </c>
      <c r="H76" s="9" t="n">
        <v>126924133</v>
      </c>
      <c r="I76" s="9" t="n">
        <v>16616</v>
      </c>
      <c r="J76" s="9" t="n">
        <v>505021884</v>
      </c>
    </row>
    <row r="77" customFormat="false" ht="15.75" hidden="false" customHeight="false" outlineLevel="0" collapsed="false">
      <c r="A77" s="7" t="s">
        <v>85</v>
      </c>
      <c r="B77" s="7" t="n">
        <v>10</v>
      </c>
      <c r="C77" s="9" t="n">
        <v>16659</v>
      </c>
      <c r="D77" s="9" t="n">
        <v>149848761</v>
      </c>
      <c r="E77" s="9" t="n">
        <v>8788</v>
      </c>
      <c r="F77" s="9" t="n">
        <v>79997760</v>
      </c>
      <c r="G77" s="9" t="n">
        <v>4392</v>
      </c>
      <c r="H77" s="9" t="n">
        <v>39670135</v>
      </c>
      <c r="I77" s="9" t="n">
        <v>21055</v>
      </c>
      <c r="J77" s="9" t="n">
        <v>190176386</v>
      </c>
    </row>
    <row r="78" customFormat="false" ht="15.75" hidden="false" customHeight="false" outlineLevel="0" collapsed="false">
      <c r="A78" s="7" t="s">
        <v>86</v>
      </c>
      <c r="B78" s="7" t="n">
        <v>10</v>
      </c>
      <c r="C78" s="9" t="n">
        <v>54084</v>
      </c>
      <c r="D78" s="9" t="n">
        <v>387730602</v>
      </c>
      <c r="E78" s="9" t="n">
        <v>28181</v>
      </c>
      <c r="F78" s="9" t="n">
        <v>202655520</v>
      </c>
      <c r="G78" s="9" t="n">
        <v>17496</v>
      </c>
      <c r="H78" s="9" t="n">
        <v>125562458</v>
      </c>
      <c r="I78" s="9" t="n">
        <v>64769</v>
      </c>
      <c r="J78" s="9" t="n">
        <v>464823664</v>
      </c>
    </row>
    <row r="79" customFormat="false" ht="15.75" hidden="false" customHeight="false" outlineLevel="0" collapsed="false">
      <c r="A79" s="7" t="s">
        <v>87</v>
      </c>
      <c r="B79" s="7" t="n">
        <v>10</v>
      </c>
      <c r="C79" s="9" t="n">
        <v>1531</v>
      </c>
      <c r="D79" s="9" t="n">
        <v>27373611</v>
      </c>
      <c r="E79" s="9" t="n">
        <v>4346</v>
      </c>
      <c r="F79" s="9" t="n">
        <v>78001920</v>
      </c>
      <c r="G79" s="9" t="n">
        <v>4410</v>
      </c>
      <c r="H79" s="9" t="n">
        <v>79071991</v>
      </c>
      <c r="I79" s="9" t="n">
        <v>1467</v>
      </c>
      <c r="J79" s="9" t="n">
        <v>26303540</v>
      </c>
    </row>
    <row r="80" customFormat="false" ht="15.75" hidden="false" customHeight="false" outlineLevel="0" collapsed="false">
      <c r="A80" s="7" t="s">
        <v>88</v>
      </c>
      <c r="B80" s="7" t="n">
        <v>10</v>
      </c>
      <c r="C80" s="9" t="n">
        <v>768</v>
      </c>
      <c r="D80" s="9" t="n">
        <v>16058112</v>
      </c>
      <c r="E80" s="9" t="n">
        <v>0</v>
      </c>
      <c r="F80" s="9" t="n">
        <v>0</v>
      </c>
      <c r="G80" s="9" t="n">
        <v>0</v>
      </c>
      <c r="H80" s="9" t="n">
        <v>0</v>
      </c>
      <c r="I80" s="9" t="n">
        <v>768</v>
      </c>
      <c r="J80" s="9" t="n">
        <v>16058112</v>
      </c>
    </row>
    <row r="81" customFormat="false" ht="15.75" hidden="false" customHeight="false" outlineLevel="0" collapsed="false">
      <c r="A81" s="7" t="s">
        <v>89</v>
      </c>
      <c r="B81" s="7" t="n">
        <v>10</v>
      </c>
      <c r="C81" s="9" t="n">
        <v>420</v>
      </c>
      <c r="D81" s="9" t="n">
        <v>10198239</v>
      </c>
      <c r="E81" s="9" t="n">
        <v>360</v>
      </c>
      <c r="F81" s="9" t="n">
        <v>8833320</v>
      </c>
      <c r="G81" s="9" t="n">
        <v>504</v>
      </c>
      <c r="H81" s="9" t="n">
        <v>12297315</v>
      </c>
      <c r="I81" s="9" t="n">
        <v>276</v>
      </c>
      <c r="J81" s="9" t="n">
        <v>6734244</v>
      </c>
    </row>
    <row r="82" customFormat="false" ht="15.75" hidden="false" customHeight="false" outlineLevel="0" collapsed="false">
      <c r="A82" s="7" t="s">
        <v>90</v>
      </c>
      <c r="B82" s="7" t="n">
        <v>10</v>
      </c>
      <c r="C82" s="9" t="n">
        <v>747</v>
      </c>
      <c r="D82" s="9" t="n">
        <v>39683793</v>
      </c>
      <c r="E82" s="9" t="n">
        <v>1920</v>
      </c>
      <c r="F82" s="9" t="n">
        <v>102222720</v>
      </c>
      <c r="G82" s="9" t="n">
        <v>1932</v>
      </c>
      <c r="H82" s="9" t="n">
        <v>102798420</v>
      </c>
      <c r="I82" s="9" t="n">
        <v>735</v>
      </c>
      <c r="J82" s="9" t="n">
        <v>39108093</v>
      </c>
    </row>
    <row r="83" customFormat="false" ht="15.75" hidden="false" customHeight="false" outlineLevel="0" collapsed="false">
      <c r="A83" s="7" t="s">
        <v>91</v>
      </c>
      <c r="B83" s="7" t="n">
        <v>10</v>
      </c>
      <c r="C83" s="9" t="n">
        <v>4440</v>
      </c>
      <c r="D83" s="9" t="n">
        <v>39629895</v>
      </c>
      <c r="E83" s="9" t="n">
        <v>6645</v>
      </c>
      <c r="F83" s="9" t="n">
        <v>60665280</v>
      </c>
      <c r="G83" s="9" t="n">
        <v>6360</v>
      </c>
      <c r="H83" s="9" t="n">
        <v>57544187</v>
      </c>
      <c r="I83" s="9" t="n">
        <v>4725</v>
      </c>
      <c r="J83" s="9" t="n">
        <v>42750988</v>
      </c>
    </row>
    <row r="84" customFormat="false" ht="15.75" hidden="false" customHeight="false" outlineLevel="0" collapsed="false">
      <c r="A84" s="7" t="s">
        <v>92</v>
      </c>
      <c r="B84" s="7" t="n">
        <v>10</v>
      </c>
      <c r="C84" s="9" t="n">
        <v>17600</v>
      </c>
      <c r="D84" s="9" t="n">
        <v>8583778</v>
      </c>
      <c r="E84" s="9" t="n">
        <v>23200</v>
      </c>
      <c r="F84" s="9" t="n">
        <v>11391200</v>
      </c>
      <c r="G84" s="9" t="n">
        <v>0</v>
      </c>
      <c r="H84" s="9" t="n">
        <v>0</v>
      </c>
      <c r="I84" s="9" t="n">
        <v>40800</v>
      </c>
      <c r="J84" s="9" t="n">
        <v>19974978</v>
      </c>
    </row>
    <row r="85" customFormat="false" ht="15.75" hidden="false" customHeight="false" outlineLevel="0" collapsed="false">
      <c r="A85" s="7" t="s">
        <v>93</v>
      </c>
      <c r="B85" s="7" t="n">
        <v>10</v>
      </c>
      <c r="C85" s="9" t="n">
        <v>240</v>
      </c>
      <c r="D85" s="9" t="n">
        <v>12531880</v>
      </c>
      <c r="E85" s="9" t="n">
        <v>180</v>
      </c>
      <c r="F85" s="9" t="n">
        <v>9583380</v>
      </c>
      <c r="G85" s="9" t="n">
        <v>96</v>
      </c>
      <c r="H85" s="9" t="n">
        <v>5054917</v>
      </c>
      <c r="I85" s="9" t="n">
        <v>324</v>
      </c>
      <c r="J85" s="9" t="n">
        <v>17060343</v>
      </c>
    </row>
    <row r="86" customFormat="false" ht="15.75" hidden="false" customHeight="false" outlineLevel="0" collapsed="false">
      <c r="A86" s="7" t="s">
        <v>94</v>
      </c>
      <c r="B86" s="7" t="n">
        <v>10</v>
      </c>
      <c r="C86" s="9" t="n">
        <v>240</v>
      </c>
      <c r="D86" s="9" t="n">
        <v>2223802</v>
      </c>
      <c r="E86" s="9" t="n">
        <v>72</v>
      </c>
      <c r="F86" s="9" t="n">
        <v>699984</v>
      </c>
      <c r="G86" s="9" t="n">
        <v>0</v>
      </c>
      <c r="H86" s="9" t="n">
        <v>0</v>
      </c>
      <c r="I86" s="9" t="n">
        <v>312</v>
      </c>
      <c r="J86" s="9" t="n">
        <v>2923786</v>
      </c>
    </row>
    <row r="87" customFormat="false" ht="15.75" hidden="false" customHeight="false" outlineLevel="0" collapsed="false">
      <c r="A87" s="7" t="s">
        <v>95</v>
      </c>
      <c r="B87" s="7" t="n">
        <v>10</v>
      </c>
      <c r="C87" s="9" t="n">
        <v>1044</v>
      </c>
      <c r="D87" s="9" t="n">
        <v>8519071</v>
      </c>
      <c r="E87" s="9" t="n">
        <v>324</v>
      </c>
      <c r="F87" s="9" t="n">
        <v>2699892</v>
      </c>
      <c r="G87" s="9" t="n">
        <v>360</v>
      </c>
      <c r="H87" s="9" t="n">
        <v>2952359</v>
      </c>
      <c r="I87" s="9" t="n">
        <v>1008</v>
      </c>
      <c r="J87" s="9" t="n">
        <v>8266604</v>
      </c>
    </row>
    <row r="88" customFormat="false" ht="15.75" hidden="false" customHeight="false" outlineLevel="0" collapsed="false">
      <c r="A88" s="7" t="s">
        <v>96</v>
      </c>
      <c r="B88" s="7" t="n">
        <v>10</v>
      </c>
      <c r="C88" s="9" t="n">
        <v>102</v>
      </c>
      <c r="D88" s="9" t="n">
        <v>11392781</v>
      </c>
      <c r="E88" s="9" t="n">
        <v>78</v>
      </c>
      <c r="F88" s="9" t="n">
        <v>9063912</v>
      </c>
      <c r="G88" s="9" t="n">
        <v>90</v>
      </c>
      <c r="H88" s="9" t="n">
        <v>10228347</v>
      </c>
      <c r="I88" s="9" t="n">
        <v>90</v>
      </c>
      <c r="J88" s="9" t="n">
        <v>10228346</v>
      </c>
    </row>
    <row r="89" customFormat="false" ht="15.75" hidden="false" customHeight="false" outlineLevel="0" collapsed="false">
      <c r="A89" s="7" t="s">
        <v>97</v>
      </c>
      <c r="B89" s="7" t="n">
        <v>10</v>
      </c>
      <c r="C89" s="9" t="n">
        <v>26400</v>
      </c>
      <c r="D89" s="9" t="n">
        <v>12893634</v>
      </c>
      <c r="E89" s="9" t="n">
        <v>22400</v>
      </c>
      <c r="F89" s="9" t="n">
        <v>10998400</v>
      </c>
      <c r="G89" s="9" t="n">
        <v>4000</v>
      </c>
      <c r="H89" s="9" t="n">
        <v>1958363</v>
      </c>
      <c r="I89" s="9" t="n">
        <v>44800</v>
      </c>
      <c r="J89" s="9" t="n">
        <v>21933671</v>
      </c>
    </row>
    <row r="90" customFormat="false" ht="15.75" hidden="false" customHeight="false" outlineLevel="0" collapsed="false">
      <c r="A90" s="7" t="s">
        <v>98</v>
      </c>
      <c r="B90" s="7" t="n">
        <v>10</v>
      </c>
      <c r="C90" s="9" t="n">
        <v>1440</v>
      </c>
      <c r="D90" s="9" t="n">
        <v>14400890</v>
      </c>
      <c r="E90" s="9" t="n">
        <v>720</v>
      </c>
      <c r="F90" s="9" t="n">
        <v>7600320</v>
      </c>
      <c r="G90" s="9" t="n">
        <v>0</v>
      </c>
      <c r="H90" s="9" t="n">
        <v>0</v>
      </c>
      <c r="I90" s="9" t="n">
        <v>2160</v>
      </c>
      <c r="J90" s="9" t="n">
        <v>22001210</v>
      </c>
    </row>
    <row r="91" customFormat="false" ht="15.75" hidden="false" customHeight="false" outlineLevel="0" collapsed="false">
      <c r="A91" s="7" t="s">
        <v>99</v>
      </c>
      <c r="B91" s="7" t="n">
        <v>10</v>
      </c>
      <c r="C91" s="9" t="n">
        <v>0</v>
      </c>
      <c r="D91" s="9" t="n">
        <v>0</v>
      </c>
      <c r="E91" s="9" t="n">
        <v>48</v>
      </c>
      <c r="F91" s="9" t="n">
        <v>297792</v>
      </c>
      <c r="G91" s="9" t="n">
        <v>0</v>
      </c>
      <c r="H91" s="9" t="n">
        <v>0</v>
      </c>
      <c r="I91" s="9" t="n">
        <v>48</v>
      </c>
      <c r="J91" s="9" t="n">
        <v>297792</v>
      </c>
    </row>
    <row r="92" customFormat="false" ht="15.75" hidden="false" customHeight="false" outlineLevel="0" collapsed="false">
      <c r="A92" s="7" t="s">
        <v>100</v>
      </c>
      <c r="B92" s="7" t="n">
        <v>10</v>
      </c>
      <c r="C92" s="9" t="n">
        <v>1659</v>
      </c>
      <c r="D92" s="9" t="n">
        <v>81300928</v>
      </c>
      <c r="E92" s="9" t="n">
        <v>2192</v>
      </c>
      <c r="F92" s="9" t="n">
        <v>108611640</v>
      </c>
      <c r="G92" s="9" t="n">
        <v>2148</v>
      </c>
      <c r="H92" s="9" t="n">
        <v>105928901</v>
      </c>
      <c r="I92" s="9" t="n">
        <v>1703</v>
      </c>
      <c r="J92" s="9" t="n">
        <v>83983667</v>
      </c>
    </row>
    <row r="93" customFormat="false" ht="15.75" hidden="false" customHeight="false" outlineLevel="0" collapsed="false">
      <c r="A93" s="7" t="s">
        <v>101</v>
      </c>
      <c r="B93" s="7" t="n">
        <v>10</v>
      </c>
      <c r="C93" s="9" t="n">
        <v>21370</v>
      </c>
      <c r="D93" s="9" t="n">
        <v>133813731</v>
      </c>
      <c r="E93" s="9" t="n">
        <v>10596</v>
      </c>
      <c r="F93" s="9" t="n">
        <v>74898288</v>
      </c>
      <c r="G93" s="9" t="n">
        <v>11760</v>
      </c>
      <c r="H93" s="9" t="n">
        <v>76783249</v>
      </c>
      <c r="I93" s="9" t="n">
        <v>20206</v>
      </c>
      <c r="J93" s="9" t="n">
        <v>131928770</v>
      </c>
    </row>
    <row r="94" customFormat="false" ht="15.75" hidden="false" customHeight="false" outlineLevel="0" collapsed="false">
      <c r="A94" s="7" t="s">
        <v>102</v>
      </c>
      <c r="B94" s="7" t="n">
        <v>10</v>
      </c>
      <c r="C94" s="9" t="n">
        <v>816</v>
      </c>
      <c r="D94" s="9" t="n">
        <v>19913786</v>
      </c>
      <c r="E94" s="9" t="n">
        <v>1200</v>
      </c>
      <c r="F94" s="9" t="n">
        <v>29444400</v>
      </c>
      <c r="G94" s="9" t="n">
        <v>1680</v>
      </c>
      <c r="H94" s="9" t="n">
        <v>41131823</v>
      </c>
      <c r="I94" s="9" t="n">
        <v>336</v>
      </c>
      <c r="J94" s="9" t="n">
        <v>8226363</v>
      </c>
    </row>
    <row r="95" customFormat="false" ht="15.75" hidden="false" customHeight="false" outlineLevel="0" collapsed="false">
      <c r="A95" s="7" t="s">
        <v>103</v>
      </c>
      <c r="B95" s="7" t="n">
        <v>10</v>
      </c>
      <c r="C95" s="9" t="n">
        <v>3918</v>
      </c>
      <c r="D95" s="9" t="n">
        <v>42542559</v>
      </c>
      <c r="E95" s="9" t="n">
        <v>240</v>
      </c>
      <c r="F95" s="9" t="n">
        <v>3333360</v>
      </c>
      <c r="G95" s="9" t="n">
        <v>1464</v>
      </c>
      <c r="H95" s="9" t="n">
        <v>16152560</v>
      </c>
      <c r="I95" s="9" t="n">
        <v>2694</v>
      </c>
      <c r="J95" s="9" t="n">
        <v>29723359</v>
      </c>
    </row>
    <row r="96" customFormat="false" ht="15.75" hidden="false" customHeight="false" outlineLevel="0" collapsed="false">
      <c r="A96" s="7" t="s">
        <v>104</v>
      </c>
      <c r="B96" s="7" t="n">
        <v>10</v>
      </c>
      <c r="C96" s="9" t="n">
        <v>72</v>
      </c>
      <c r="D96" s="9" t="n">
        <v>1324248</v>
      </c>
      <c r="E96" s="9" t="n">
        <v>48</v>
      </c>
      <c r="F96" s="9" t="n">
        <v>933312</v>
      </c>
      <c r="G96" s="9" t="n">
        <v>0</v>
      </c>
      <c r="H96" s="9" t="n">
        <v>0</v>
      </c>
      <c r="I96" s="9" t="n">
        <v>120</v>
      </c>
      <c r="J96" s="9" t="n">
        <v>2257560</v>
      </c>
    </row>
    <row r="97" customFormat="false" ht="15.75" hidden="false" customHeight="false" outlineLevel="0" collapsed="false">
      <c r="A97" s="7" t="s">
        <v>105</v>
      </c>
      <c r="B97" s="7" t="n">
        <v>10</v>
      </c>
      <c r="C97" s="9" t="n">
        <v>168</v>
      </c>
      <c r="D97" s="9" t="n">
        <v>8535972</v>
      </c>
      <c r="E97" s="9" t="n">
        <v>54</v>
      </c>
      <c r="F97" s="9" t="n">
        <v>2875014</v>
      </c>
      <c r="G97" s="9" t="n">
        <v>0</v>
      </c>
      <c r="H97" s="9" t="n">
        <v>0</v>
      </c>
      <c r="I97" s="9" t="n">
        <v>222</v>
      </c>
      <c r="J97" s="9" t="n">
        <v>11410986</v>
      </c>
    </row>
    <row r="98" customFormat="false" ht="15.75" hidden="false" customHeight="false" outlineLevel="0" collapsed="false">
      <c r="A98" s="7" t="s">
        <v>106</v>
      </c>
      <c r="B98" s="7" t="n">
        <v>10</v>
      </c>
      <c r="C98" s="9" t="n">
        <v>912</v>
      </c>
      <c r="D98" s="9" t="n">
        <v>8459584</v>
      </c>
      <c r="E98" s="9" t="n">
        <v>312</v>
      </c>
      <c r="F98" s="9" t="n">
        <v>3033264</v>
      </c>
      <c r="G98" s="9" t="n">
        <v>0</v>
      </c>
      <c r="H98" s="9" t="n">
        <v>0</v>
      </c>
      <c r="I98" s="9" t="n">
        <v>1224</v>
      </c>
      <c r="J98" s="9" t="n">
        <v>11492848</v>
      </c>
    </row>
    <row r="99" customFormat="false" ht="15.75" hidden="false" customHeight="false" outlineLevel="0" collapsed="false">
      <c r="A99" s="7" t="s">
        <v>107</v>
      </c>
      <c r="B99" s="7" t="n">
        <v>10</v>
      </c>
      <c r="C99" s="9" t="n">
        <v>776</v>
      </c>
      <c r="D99" s="9" t="n">
        <v>1341900</v>
      </c>
      <c r="E99" s="9" t="n">
        <v>270</v>
      </c>
      <c r="F99" s="9" t="n">
        <v>1450080</v>
      </c>
      <c r="G99" s="9" t="n">
        <v>0</v>
      </c>
      <c r="H99" s="9" t="n">
        <v>0</v>
      </c>
      <c r="I99" s="9" t="n">
        <v>1046</v>
      </c>
      <c r="J99" s="9" t="n">
        <v>2791980</v>
      </c>
    </row>
    <row r="100" customFormat="false" ht="15.75" hidden="false" customHeight="false" outlineLevel="0" collapsed="false">
      <c r="A100" s="7" t="s">
        <v>108</v>
      </c>
      <c r="B100" s="7" t="n">
        <v>10</v>
      </c>
      <c r="C100" s="9" t="n">
        <v>35316</v>
      </c>
      <c r="D100" s="9" t="n">
        <v>250948972</v>
      </c>
      <c r="E100" s="9" t="n">
        <v>10080</v>
      </c>
      <c r="F100" s="9" t="n">
        <v>74662560</v>
      </c>
      <c r="G100" s="9" t="n">
        <v>1692</v>
      </c>
      <c r="H100" s="9" t="n">
        <v>12136195</v>
      </c>
      <c r="I100" s="9" t="n">
        <v>43704</v>
      </c>
      <c r="J100" s="9" t="n">
        <v>313475337</v>
      </c>
    </row>
    <row r="101" customFormat="false" ht="15.75" hidden="false" customHeight="false" outlineLevel="0" collapsed="false">
      <c r="A101" s="7" t="s">
        <v>109</v>
      </c>
      <c r="B101" s="7" t="n">
        <v>10</v>
      </c>
      <c r="C101" s="9" t="n">
        <v>0</v>
      </c>
      <c r="D101" s="9" t="n">
        <v>0</v>
      </c>
      <c r="E101" s="9" t="n">
        <v>30</v>
      </c>
      <c r="F101" s="9" t="n">
        <v>1458330</v>
      </c>
      <c r="G101" s="9" t="n">
        <v>0</v>
      </c>
      <c r="H101" s="9" t="n">
        <v>0</v>
      </c>
      <c r="I101" s="9" t="n">
        <v>30</v>
      </c>
      <c r="J101" s="9" t="n">
        <v>1458330</v>
      </c>
    </row>
    <row r="102" customFormat="false" ht="15.75" hidden="false" customHeight="false" outlineLevel="0" collapsed="false">
      <c r="A102" s="7" t="s">
        <v>110</v>
      </c>
      <c r="B102" s="7" t="n">
        <v>10</v>
      </c>
      <c r="C102" s="9" t="n">
        <v>2400</v>
      </c>
      <c r="D102" s="9" t="n">
        <v>42199062</v>
      </c>
      <c r="E102" s="9" t="n">
        <v>324</v>
      </c>
      <c r="F102" s="9" t="n">
        <v>5850144</v>
      </c>
      <c r="G102" s="9" t="n">
        <v>1920</v>
      </c>
      <c r="H102" s="9" t="n">
        <v>33867282</v>
      </c>
      <c r="I102" s="9" t="n">
        <v>804</v>
      </c>
      <c r="J102" s="9" t="n">
        <v>14181924</v>
      </c>
    </row>
    <row r="103" customFormat="false" ht="15.75" hidden="false" customHeight="false" outlineLevel="0" collapsed="false">
      <c r="A103" s="7" t="s">
        <v>111</v>
      </c>
      <c r="B103" s="7" t="n">
        <v>10</v>
      </c>
      <c r="C103" s="9" t="n">
        <v>1214</v>
      </c>
      <c r="D103" s="9" t="n">
        <v>9879922</v>
      </c>
      <c r="E103" s="9" t="n">
        <v>6240</v>
      </c>
      <c r="F103" s="9" t="n">
        <v>50843520</v>
      </c>
      <c r="G103" s="9" t="n">
        <v>6360</v>
      </c>
      <c r="H103" s="9" t="n">
        <v>51811255</v>
      </c>
      <c r="I103" s="9" t="n">
        <v>1094</v>
      </c>
      <c r="J103" s="9" t="n">
        <v>8912187</v>
      </c>
    </row>
    <row r="104" customFormat="false" ht="15.75" hidden="false" customHeight="false" outlineLevel="0" collapsed="false">
      <c r="A104" s="7" t="s">
        <v>112</v>
      </c>
      <c r="B104" s="7" t="n">
        <v>10</v>
      </c>
      <c r="C104" s="9" t="n">
        <v>1900</v>
      </c>
      <c r="D104" s="9" t="n">
        <v>15427960</v>
      </c>
      <c r="E104" s="9" t="n">
        <v>1080</v>
      </c>
      <c r="F104" s="9" t="n">
        <v>8799840</v>
      </c>
      <c r="G104" s="9" t="n">
        <v>2160</v>
      </c>
      <c r="H104" s="9" t="n">
        <v>17561090</v>
      </c>
      <c r="I104" s="9" t="n">
        <v>820</v>
      </c>
      <c r="J104" s="9" t="n">
        <v>6666710</v>
      </c>
    </row>
    <row r="105" customFormat="false" ht="15.75" hidden="false" customHeight="false" outlineLevel="0" collapsed="false">
      <c r="A105" s="7" t="s">
        <v>113</v>
      </c>
      <c r="B105" s="7" t="n">
        <v>10</v>
      </c>
      <c r="C105" s="9" t="n">
        <v>120</v>
      </c>
      <c r="D105" s="9" t="n">
        <v>1935400</v>
      </c>
      <c r="E105" s="9" t="n">
        <v>72</v>
      </c>
      <c r="F105" s="9" t="n">
        <v>1200024</v>
      </c>
      <c r="G105" s="9" t="n">
        <v>0</v>
      </c>
      <c r="H105" s="9" t="n">
        <v>0</v>
      </c>
      <c r="I105" s="9" t="n">
        <v>192</v>
      </c>
      <c r="J105" s="9" t="n">
        <v>3135424</v>
      </c>
    </row>
    <row r="106" customFormat="false" ht="15.75" hidden="false" customHeight="false" outlineLevel="0" collapsed="false">
      <c r="A106" s="7" t="s">
        <v>114</v>
      </c>
      <c r="B106" s="7" t="n">
        <v>10</v>
      </c>
      <c r="C106" s="9" t="n">
        <v>96</v>
      </c>
      <c r="D106" s="9" t="n">
        <v>1783597</v>
      </c>
      <c r="E106" s="9" t="n">
        <v>48</v>
      </c>
      <c r="F106" s="9" t="n">
        <v>933312</v>
      </c>
      <c r="G106" s="9" t="n">
        <v>0</v>
      </c>
      <c r="H106" s="9" t="n">
        <v>0</v>
      </c>
      <c r="I106" s="9" t="n">
        <v>144</v>
      </c>
      <c r="J106" s="9" t="n">
        <v>2716909</v>
      </c>
    </row>
    <row r="107" customFormat="false" ht="15.75" hidden="false" customHeight="false" outlineLevel="0" collapsed="false">
      <c r="A107" s="7" t="s">
        <v>115</v>
      </c>
      <c r="B107" s="7" t="n">
        <v>10</v>
      </c>
      <c r="C107" s="9" t="n">
        <v>0</v>
      </c>
      <c r="D107" s="9" t="n">
        <v>0</v>
      </c>
      <c r="E107" s="9" t="n">
        <v>2525</v>
      </c>
      <c r="F107" s="9" t="n">
        <v>16332120</v>
      </c>
      <c r="G107" s="9" t="n">
        <v>0</v>
      </c>
      <c r="H107" s="9" t="n">
        <v>0</v>
      </c>
      <c r="I107" s="9" t="n">
        <v>2525</v>
      </c>
      <c r="J107" s="9" t="n">
        <v>16332120</v>
      </c>
    </row>
    <row r="108" customFormat="false" ht="15.75" hidden="false" customHeight="false" outlineLevel="0" collapsed="false">
      <c r="A108" s="7" t="s">
        <v>116</v>
      </c>
      <c r="B108" s="7" t="n">
        <v>10</v>
      </c>
      <c r="C108" s="9" t="n">
        <v>3533</v>
      </c>
      <c r="D108" s="9" t="n">
        <v>71865360</v>
      </c>
      <c r="E108" s="9" t="n">
        <v>360</v>
      </c>
      <c r="F108" s="9" t="n">
        <v>7333200</v>
      </c>
      <c r="G108" s="9" t="n">
        <v>0</v>
      </c>
      <c r="H108" s="9" t="n">
        <v>0</v>
      </c>
      <c r="I108" s="9" t="n">
        <v>3893</v>
      </c>
      <c r="J108" s="9" t="n">
        <v>79198560</v>
      </c>
    </row>
    <row r="109" customFormat="false" ht="15.75" hidden="false" customHeight="false" outlineLevel="0" collapsed="false">
      <c r="A109" s="7" t="s">
        <v>117</v>
      </c>
      <c r="B109" s="7" t="n">
        <v>10</v>
      </c>
      <c r="C109" s="9" t="n">
        <v>264</v>
      </c>
      <c r="D109" s="9" t="n">
        <v>4575026</v>
      </c>
      <c r="E109" s="9" t="n">
        <v>48</v>
      </c>
      <c r="F109" s="9" t="n">
        <v>844464</v>
      </c>
      <c r="G109" s="9" t="n">
        <v>0</v>
      </c>
      <c r="H109" s="9" t="n">
        <v>0</v>
      </c>
      <c r="I109" s="9" t="n">
        <v>312</v>
      </c>
      <c r="J109" s="9" t="n">
        <v>5419490</v>
      </c>
    </row>
    <row r="110" customFormat="false" ht="15.75" hidden="false" customHeight="false" outlineLevel="0" collapsed="false">
      <c r="A110" s="7" t="s">
        <v>118</v>
      </c>
      <c r="B110" s="7" t="n">
        <v>10</v>
      </c>
      <c r="C110" s="9" t="n">
        <v>384</v>
      </c>
      <c r="D110" s="9" t="n">
        <v>15541166</v>
      </c>
      <c r="E110" s="9" t="n">
        <v>324</v>
      </c>
      <c r="F110" s="9" t="n">
        <v>13500108</v>
      </c>
      <c r="G110" s="9" t="n">
        <v>120</v>
      </c>
      <c r="H110" s="9" t="n">
        <v>4922250</v>
      </c>
      <c r="I110" s="9" t="n">
        <v>588</v>
      </c>
      <c r="J110" s="9" t="n">
        <v>24119024</v>
      </c>
    </row>
    <row r="111" customFormat="false" ht="15.75" hidden="false" customHeight="false" outlineLevel="0" collapsed="false">
      <c r="A111" s="7" t="s">
        <v>119</v>
      </c>
      <c r="B111" s="7" t="n">
        <v>10</v>
      </c>
      <c r="C111" s="9" t="n">
        <v>200</v>
      </c>
      <c r="D111" s="9" t="n">
        <v>4587500</v>
      </c>
      <c r="E111" s="9" t="n">
        <v>80</v>
      </c>
      <c r="F111" s="9" t="n">
        <v>1851840</v>
      </c>
      <c r="G111" s="9" t="n">
        <v>40</v>
      </c>
      <c r="H111" s="9" t="n">
        <v>919906</v>
      </c>
      <c r="I111" s="9" t="n">
        <v>240</v>
      </c>
      <c r="J111" s="9" t="n">
        <v>5519434</v>
      </c>
    </row>
    <row r="112" customFormat="false" ht="15.75" hidden="false" customHeight="false" outlineLevel="0" collapsed="false">
      <c r="A112" s="7" t="s">
        <v>120</v>
      </c>
      <c r="B112" s="7" t="n">
        <v>10</v>
      </c>
      <c r="C112" s="9" t="n">
        <v>40</v>
      </c>
      <c r="D112" s="9" t="n">
        <v>876760</v>
      </c>
      <c r="E112" s="9" t="n">
        <v>40</v>
      </c>
      <c r="F112" s="9" t="n">
        <v>888880</v>
      </c>
      <c r="G112" s="9" t="n">
        <v>0</v>
      </c>
      <c r="H112" s="9" t="n">
        <v>0</v>
      </c>
      <c r="I112" s="9" t="n">
        <v>80</v>
      </c>
      <c r="J112" s="9" t="n">
        <v>1765640</v>
      </c>
    </row>
    <row r="113" customFormat="false" ht="15.75" hidden="false" customHeight="false" outlineLevel="0" collapsed="false">
      <c r="A113" s="7" t="s">
        <v>121</v>
      </c>
      <c r="B113" s="7" t="n">
        <v>10</v>
      </c>
      <c r="C113" s="9" t="n">
        <v>4732</v>
      </c>
      <c r="D113" s="9" t="n">
        <v>55291573</v>
      </c>
      <c r="E113" s="9" t="n">
        <v>2552</v>
      </c>
      <c r="F113" s="9" t="n">
        <v>30333240</v>
      </c>
      <c r="G113" s="9" t="n">
        <v>6672</v>
      </c>
      <c r="H113" s="9" t="n">
        <v>78430636</v>
      </c>
      <c r="I113" s="9" t="n">
        <v>612</v>
      </c>
      <c r="J113" s="9" t="n">
        <v>7194177</v>
      </c>
    </row>
    <row r="114" customFormat="false" ht="15.75" hidden="false" customHeight="false" outlineLevel="0" collapsed="false">
      <c r="A114" s="7" t="s">
        <v>122</v>
      </c>
      <c r="B114" s="7" t="n">
        <v>10</v>
      </c>
      <c r="C114" s="9" t="n">
        <v>0</v>
      </c>
      <c r="D114" s="9" t="n">
        <v>0</v>
      </c>
      <c r="E114" s="9" t="n">
        <v>2525</v>
      </c>
      <c r="F114" s="9" t="n">
        <v>21934080</v>
      </c>
      <c r="G114" s="9" t="n">
        <v>0</v>
      </c>
      <c r="H114" s="9" t="n">
        <v>0</v>
      </c>
      <c r="I114" s="9" t="n">
        <v>2525</v>
      </c>
      <c r="J114" s="9" t="n">
        <v>21934080</v>
      </c>
    </row>
    <row r="115" customFormat="false" ht="15.75" hidden="false" customHeight="false" outlineLevel="0" collapsed="false">
      <c r="A115" s="7" t="s">
        <v>123</v>
      </c>
      <c r="B115" s="7" t="n">
        <v>10</v>
      </c>
      <c r="C115" s="9" t="n">
        <v>216</v>
      </c>
      <c r="D115" s="9" t="n">
        <v>3755160</v>
      </c>
      <c r="E115" s="9" t="n">
        <v>0</v>
      </c>
      <c r="F115" s="9" t="n">
        <v>0</v>
      </c>
      <c r="G115" s="9" t="n">
        <v>0</v>
      </c>
      <c r="H115" s="9" t="n">
        <v>0</v>
      </c>
      <c r="I115" s="9" t="n">
        <v>216</v>
      </c>
      <c r="J115" s="9" t="n">
        <v>3755160</v>
      </c>
    </row>
    <row r="116" customFormat="false" ht="15.75" hidden="false" customHeight="false" outlineLevel="0" collapsed="false">
      <c r="A116" s="7" t="s">
        <v>124</v>
      </c>
      <c r="B116" s="7" t="n">
        <v>10</v>
      </c>
      <c r="C116" s="9" t="n">
        <v>72</v>
      </c>
      <c r="D116" s="9" t="n">
        <v>1333368</v>
      </c>
      <c r="E116" s="9" t="n">
        <v>0</v>
      </c>
      <c r="F116" s="9" t="n">
        <v>0</v>
      </c>
      <c r="G116" s="9" t="n">
        <v>0</v>
      </c>
      <c r="H116" s="9" t="n">
        <v>0</v>
      </c>
      <c r="I116" s="9" t="n">
        <v>72</v>
      </c>
      <c r="J116" s="9" t="n">
        <v>1333368</v>
      </c>
    </row>
    <row r="117" customFormat="false" ht="15.75" hidden="false" customHeight="false" outlineLevel="0" collapsed="false">
      <c r="A117" s="7" t="s">
        <v>125</v>
      </c>
      <c r="B117" s="7" t="n">
        <v>10</v>
      </c>
      <c r="C117" s="9" t="n">
        <v>680</v>
      </c>
      <c r="D117" s="9" t="n">
        <v>30028000</v>
      </c>
      <c r="E117" s="9" t="n">
        <v>444</v>
      </c>
      <c r="F117" s="9" t="n">
        <v>19938708</v>
      </c>
      <c r="G117" s="9" t="n">
        <v>280</v>
      </c>
      <c r="H117" s="9" t="n">
        <v>12447223</v>
      </c>
      <c r="I117" s="9" t="n">
        <v>844</v>
      </c>
      <c r="J117" s="9" t="n">
        <v>37519485</v>
      </c>
    </row>
    <row r="118" customFormat="false" ht="15.75" hidden="false" customHeight="false" outlineLevel="0" collapsed="false">
      <c r="A118" s="7" t="s">
        <v>126</v>
      </c>
      <c r="B118" s="7" t="n">
        <v>10</v>
      </c>
      <c r="C118" s="9" t="n">
        <v>25066</v>
      </c>
      <c r="D118" s="9" t="n">
        <v>129952769</v>
      </c>
      <c r="E118" s="9" t="n">
        <v>25447</v>
      </c>
      <c r="F118" s="9" t="n">
        <v>132992400</v>
      </c>
      <c r="G118" s="9" t="n">
        <v>22000</v>
      </c>
      <c r="H118" s="9" t="n">
        <v>114520890</v>
      </c>
      <c r="I118" s="9" t="n">
        <v>28513</v>
      </c>
      <c r="J118" s="9" t="n">
        <v>148424279</v>
      </c>
    </row>
    <row r="119" customFormat="false" ht="15.75" hidden="false" customHeight="false" outlineLevel="0" collapsed="false">
      <c r="A119" s="7" t="s">
        <v>127</v>
      </c>
      <c r="B119" s="7" t="n">
        <v>10</v>
      </c>
      <c r="C119" s="9" t="n">
        <v>12623</v>
      </c>
      <c r="D119" s="9" t="n">
        <v>69735738</v>
      </c>
      <c r="E119" s="9" t="n">
        <v>2220</v>
      </c>
      <c r="F119" s="9" t="n">
        <v>12599280</v>
      </c>
      <c r="G119" s="9" t="n">
        <v>8120</v>
      </c>
      <c r="H119" s="9" t="n">
        <v>45042131</v>
      </c>
      <c r="I119" s="9" t="n">
        <v>6723</v>
      </c>
      <c r="J119" s="9" t="n">
        <v>37292887</v>
      </c>
    </row>
    <row r="120" customFormat="false" ht="15.75" hidden="false" customHeight="false" outlineLevel="0" collapsed="false">
      <c r="A120" s="7" t="s">
        <v>128</v>
      </c>
      <c r="B120" s="7" t="n">
        <v>10</v>
      </c>
      <c r="C120" s="9" t="n">
        <v>494</v>
      </c>
      <c r="D120" s="9" t="n">
        <v>7460408</v>
      </c>
      <c r="E120" s="9" t="n">
        <v>200</v>
      </c>
      <c r="F120" s="9" t="n">
        <v>3055600</v>
      </c>
      <c r="G120" s="9" t="n">
        <v>600</v>
      </c>
      <c r="H120" s="9" t="n">
        <v>9091650</v>
      </c>
      <c r="I120" s="9" t="n">
        <v>94</v>
      </c>
      <c r="J120" s="9" t="n">
        <v>1424358</v>
      </c>
    </row>
    <row r="121" customFormat="false" ht="15.75" hidden="false" customHeight="false" outlineLevel="0" collapsed="false">
      <c r="A121" s="7" t="s">
        <v>129</v>
      </c>
      <c r="B121" s="7" t="n">
        <v>10</v>
      </c>
      <c r="C121" s="9" t="n">
        <v>20</v>
      </c>
      <c r="D121" s="9" t="n">
        <v>685180</v>
      </c>
      <c r="E121" s="9" t="n">
        <v>0</v>
      </c>
      <c r="F121" s="9" t="n">
        <v>0</v>
      </c>
      <c r="G121" s="9" t="n">
        <v>0</v>
      </c>
      <c r="H121" s="9" t="n">
        <v>0</v>
      </c>
      <c r="I121" s="9" t="n">
        <v>20</v>
      </c>
      <c r="J121" s="9" t="n">
        <v>685180</v>
      </c>
    </row>
    <row r="122" customFormat="false" ht="15.75" hidden="false" customHeight="false" outlineLevel="0" collapsed="false">
      <c r="A122" s="7" t="s">
        <v>130</v>
      </c>
      <c r="B122" s="7" t="n">
        <v>10</v>
      </c>
      <c r="C122" s="9" t="n">
        <v>80</v>
      </c>
      <c r="D122" s="9" t="n">
        <v>3803341</v>
      </c>
      <c r="E122" s="9" t="n">
        <v>16</v>
      </c>
      <c r="F122" s="9" t="n">
        <v>762960</v>
      </c>
      <c r="G122" s="9" t="n">
        <v>40</v>
      </c>
      <c r="H122" s="9" t="n">
        <v>1902625</v>
      </c>
      <c r="I122" s="9" t="n">
        <v>56</v>
      </c>
      <c r="J122" s="9" t="n">
        <v>2663676</v>
      </c>
    </row>
    <row r="123" customFormat="false" ht="15.75" hidden="false" customHeight="false" outlineLevel="0" collapsed="false">
      <c r="A123" s="7" t="s">
        <v>131</v>
      </c>
      <c r="B123" s="7" t="n">
        <v>10</v>
      </c>
      <c r="C123" s="9" t="n">
        <v>48</v>
      </c>
      <c r="D123" s="9" t="n">
        <v>2388402</v>
      </c>
      <c r="E123" s="9" t="n">
        <v>22</v>
      </c>
      <c r="F123" s="9" t="n">
        <v>1100000</v>
      </c>
      <c r="G123" s="9" t="n">
        <v>0</v>
      </c>
      <c r="H123" s="9" t="n">
        <v>0</v>
      </c>
      <c r="I123" s="9" t="n">
        <v>70</v>
      </c>
      <c r="J123" s="9" t="n">
        <v>3488402</v>
      </c>
    </row>
    <row r="124" customFormat="false" ht="15.75" hidden="false" customHeight="false" outlineLevel="0" collapsed="false">
      <c r="A124" s="7" t="s">
        <v>132</v>
      </c>
      <c r="B124" s="7" t="n">
        <v>10</v>
      </c>
      <c r="C124" s="9" t="n">
        <v>0</v>
      </c>
      <c r="D124" s="9" t="n">
        <v>0</v>
      </c>
      <c r="E124" s="9" t="n">
        <v>320</v>
      </c>
      <c r="F124" s="9" t="n">
        <v>14222080</v>
      </c>
      <c r="G124" s="9" t="n">
        <v>300</v>
      </c>
      <c r="H124" s="9" t="n">
        <v>13332187</v>
      </c>
      <c r="I124" s="9" t="n">
        <v>20</v>
      </c>
      <c r="J124" s="9" t="n">
        <v>889893</v>
      </c>
    </row>
    <row r="125" customFormat="false" ht="15.75" hidden="false" customHeight="false" outlineLevel="0" collapsed="false">
      <c r="A125" s="7" t="s">
        <v>133</v>
      </c>
      <c r="B125" s="7" t="n">
        <v>10</v>
      </c>
      <c r="C125" s="9" t="n">
        <v>72</v>
      </c>
      <c r="D125" s="9" t="n">
        <v>2721651</v>
      </c>
      <c r="E125" s="9" t="n">
        <v>41</v>
      </c>
      <c r="F125" s="9" t="n">
        <v>1556483</v>
      </c>
      <c r="G125" s="9" t="n">
        <v>40</v>
      </c>
      <c r="H125" s="9" t="n">
        <v>1514384</v>
      </c>
      <c r="I125" s="9" t="n">
        <v>73</v>
      </c>
      <c r="J125" s="9" t="n">
        <v>2763750</v>
      </c>
    </row>
    <row r="126" customFormat="false" ht="15.75" hidden="false" customHeight="false" outlineLevel="0" collapsed="false">
      <c r="A126" s="7" t="s">
        <v>134</v>
      </c>
      <c r="B126" s="7" t="n">
        <v>10</v>
      </c>
      <c r="C126" s="9" t="n">
        <v>15</v>
      </c>
      <c r="D126" s="9" t="n">
        <v>431794</v>
      </c>
      <c r="E126" s="9" t="n">
        <v>0</v>
      </c>
      <c r="F126" s="9" t="n">
        <v>0</v>
      </c>
      <c r="G126" s="9" t="n">
        <v>0</v>
      </c>
      <c r="H126" s="9" t="n">
        <v>0</v>
      </c>
      <c r="I126" s="9" t="n">
        <v>15</v>
      </c>
      <c r="J126" s="9" t="n">
        <v>431794</v>
      </c>
    </row>
    <row r="127" customFormat="false" ht="15.75" hidden="false" customHeight="false" outlineLevel="0" collapsed="false">
      <c r="A127" s="7" t="s">
        <v>135</v>
      </c>
      <c r="B127" s="7" t="n">
        <v>10</v>
      </c>
      <c r="C127" s="9" t="n">
        <v>250</v>
      </c>
      <c r="D127" s="9" t="n">
        <v>45927895</v>
      </c>
      <c r="E127" s="9" t="n">
        <v>150</v>
      </c>
      <c r="F127" s="9" t="n">
        <v>27557700</v>
      </c>
      <c r="G127" s="9" t="n">
        <v>295</v>
      </c>
      <c r="H127" s="9" t="n">
        <v>54195626</v>
      </c>
      <c r="I127" s="9" t="n">
        <v>105</v>
      </c>
      <c r="J127" s="9" t="n">
        <v>19289969</v>
      </c>
    </row>
    <row r="128" customFormat="false" ht="15.75" hidden="false" customHeight="false" outlineLevel="0" collapsed="false">
      <c r="A128" s="7" t="s">
        <v>136</v>
      </c>
      <c r="B128" s="7" t="n">
        <v>10</v>
      </c>
      <c r="C128" s="9" t="n">
        <v>3369</v>
      </c>
      <c r="D128" s="9" t="n">
        <v>50407076</v>
      </c>
      <c r="E128" s="9" t="n">
        <v>2408</v>
      </c>
      <c r="F128" s="9" t="n">
        <v>35933856</v>
      </c>
      <c r="G128" s="9" t="n">
        <v>3360</v>
      </c>
      <c r="H128" s="9" t="n">
        <v>50217333</v>
      </c>
      <c r="I128" s="9" t="n">
        <v>2417</v>
      </c>
      <c r="J128" s="9" t="n">
        <v>36123599</v>
      </c>
    </row>
    <row r="129" customFormat="false" ht="15.75" hidden="false" customHeight="false" outlineLevel="0" collapsed="false">
      <c r="A129" s="7" t="s">
        <v>137</v>
      </c>
      <c r="B129" s="7" t="n">
        <v>10</v>
      </c>
      <c r="C129" s="9" t="n">
        <v>0</v>
      </c>
      <c r="D129" s="9" t="n">
        <v>0</v>
      </c>
      <c r="E129" s="9" t="n">
        <v>144</v>
      </c>
      <c r="F129" s="9" t="n">
        <v>22621104</v>
      </c>
      <c r="G129" s="9" t="n">
        <v>0</v>
      </c>
      <c r="H129" s="9" t="n">
        <v>0</v>
      </c>
      <c r="I129" s="9" t="n">
        <v>144</v>
      </c>
      <c r="J129" s="9" t="n">
        <v>22621104</v>
      </c>
    </row>
    <row r="130" customFormat="false" ht="15.75" hidden="false" customHeight="false" outlineLevel="0" collapsed="false">
      <c r="A130" s="7" t="s">
        <v>138</v>
      </c>
      <c r="B130" s="7" t="n">
        <v>10</v>
      </c>
      <c r="C130" s="9" t="n">
        <v>0</v>
      </c>
      <c r="D130" s="9" t="n">
        <v>0</v>
      </c>
      <c r="E130" s="9" t="n">
        <v>144</v>
      </c>
      <c r="F130" s="9" t="n">
        <v>22621104</v>
      </c>
      <c r="G130" s="9" t="n">
        <v>0</v>
      </c>
      <c r="H130" s="9" t="n">
        <v>0</v>
      </c>
      <c r="I130" s="9" t="n">
        <v>144</v>
      </c>
      <c r="J130" s="9" t="n">
        <v>22621104</v>
      </c>
    </row>
    <row r="131" customFormat="false" ht="15.75" hidden="false" customHeight="false" outlineLevel="0" collapsed="false">
      <c r="A131" s="7" t="s">
        <v>139</v>
      </c>
      <c r="B131" s="7" t="n">
        <v>10</v>
      </c>
      <c r="C131" s="9" t="n">
        <v>188</v>
      </c>
      <c r="D131" s="9" t="n">
        <v>34137846</v>
      </c>
      <c r="E131" s="9" t="n">
        <v>0</v>
      </c>
      <c r="F131" s="9" t="n">
        <v>0</v>
      </c>
      <c r="G131" s="9" t="n">
        <v>0</v>
      </c>
      <c r="H131" s="9" t="n">
        <v>0</v>
      </c>
      <c r="I131" s="9" t="n">
        <v>188</v>
      </c>
      <c r="J131" s="9" t="n">
        <v>34137846</v>
      </c>
    </row>
    <row r="132" customFormat="false" ht="15.75" hidden="false" customHeight="false" outlineLevel="0" collapsed="false">
      <c r="A132" s="7" t="s">
        <v>140</v>
      </c>
      <c r="B132" s="7" t="n">
        <v>10</v>
      </c>
      <c r="C132" s="9" t="n">
        <v>1939</v>
      </c>
      <c r="D132" s="9" t="n">
        <v>357399492</v>
      </c>
      <c r="E132" s="9" t="n">
        <v>1600</v>
      </c>
      <c r="F132" s="9" t="n">
        <v>297487200</v>
      </c>
      <c r="G132" s="9" t="n">
        <v>1762</v>
      </c>
      <c r="H132" s="9" t="n">
        <v>326055482</v>
      </c>
      <c r="I132" s="9" t="n">
        <v>1777</v>
      </c>
      <c r="J132" s="9" t="n">
        <v>328831210</v>
      </c>
    </row>
    <row r="133" customFormat="false" ht="15.75" hidden="false" customHeight="false" outlineLevel="0" collapsed="false">
      <c r="A133" s="7" t="s">
        <v>141</v>
      </c>
      <c r="B133" s="7" t="n">
        <v>10</v>
      </c>
      <c r="C133" s="9" t="n">
        <v>2269</v>
      </c>
      <c r="D133" s="9" t="n">
        <v>341041762</v>
      </c>
      <c r="E133" s="9" t="n">
        <v>2435</v>
      </c>
      <c r="F133" s="9" t="n">
        <v>334576000</v>
      </c>
      <c r="G133" s="9" t="n">
        <v>1941</v>
      </c>
      <c r="H133" s="9" t="n">
        <v>278778503</v>
      </c>
      <c r="I133" s="9" t="n">
        <v>2763</v>
      </c>
      <c r="J133" s="9" t="n">
        <v>396839259</v>
      </c>
    </row>
    <row r="134" customFormat="false" ht="15.75" hidden="false" customHeight="false" outlineLevel="0" collapsed="false">
      <c r="A134" s="7" t="s">
        <v>142</v>
      </c>
      <c r="B134" s="7" t="n">
        <v>10</v>
      </c>
      <c r="C134" s="9" t="n">
        <v>1150</v>
      </c>
      <c r="D134" s="9" t="n">
        <v>211217050</v>
      </c>
      <c r="E134" s="9" t="n">
        <v>0</v>
      </c>
      <c r="F134" s="9" t="n">
        <v>0</v>
      </c>
      <c r="G134" s="9" t="n">
        <v>0</v>
      </c>
      <c r="H134" s="9" t="n">
        <v>0</v>
      </c>
      <c r="I134" s="9" t="n">
        <v>1150</v>
      </c>
      <c r="J134" s="9" t="n">
        <v>211217050</v>
      </c>
    </row>
    <row r="135" customFormat="false" ht="15.75" hidden="false" customHeight="false" outlineLevel="0" collapsed="false">
      <c r="A135" s="7" t="s">
        <v>143</v>
      </c>
      <c r="B135" s="7" t="n">
        <v>10</v>
      </c>
      <c r="C135" s="9" t="n">
        <v>0</v>
      </c>
      <c r="D135" s="9" t="n">
        <v>0</v>
      </c>
      <c r="E135" s="9" t="n">
        <v>0</v>
      </c>
      <c r="F135" s="9" t="n">
        <v>0</v>
      </c>
      <c r="G135" s="9" t="n">
        <v>0</v>
      </c>
      <c r="H135" s="9" t="n">
        <v>0</v>
      </c>
      <c r="I135" s="9" t="n">
        <v>0</v>
      </c>
      <c r="J135" s="9" t="n">
        <v>0</v>
      </c>
    </row>
    <row r="136" customFormat="false" ht="15.75" hidden="false" customHeight="false" outlineLevel="0" collapsed="false">
      <c r="A136" s="7" t="s">
        <v>144</v>
      </c>
      <c r="B136" s="7" t="n">
        <v>10</v>
      </c>
      <c r="C136" s="9" t="n">
        <v>2393</v>
      </c>
      <c r="D136" s="9" t="n">
        <v>436339477</v>
      </c>
      <c r="E136" s="9" t="n">
        <v>300</v>
      </c>
      <c r="F136" s="9" t="n">
        <v>55296000</v>
      </c>
      <c r="G136" s="9" t="n">
        <v>1795</v>
      </c>
      <c r="H136" s="9" t="n">
        <v>327696131</v>
      </c>
      <c r="I136" s="9" t="n">
        <v>898</v>
      </c>
      <c r="J136" s="9" t="n">
        <v>163939346</v>
      </c>
    </row>
    <row r="137" customFormat="false" ht="15.75" hidden="false" customHeight="false" outlineLevel="0" collapsed="false">
      <c r="A137" s="7" t="s">
        <v>145</v>
      </c>
      <c r="B137" s="7" t="n">
        <v>10</v>
      </c>
      <c r="C137" s="9" t="n">
        <v>363</v>
      </c>
      <c r="D137" s="9" t="n">
        <v>64879823</v>
      </c>
      <c r="E137" s="9" t="n">
        <v>0</v>
      </c>
      <c r="F137" s="9" t="n">
        <v>0</v>
      </c>
      <c r="G137" s="9" t="n">
        <v>0</v>
      </c>
      <c r="H137" s="9" t="n">
        <v>0</v>
      </c>
      <c r="I137" s="9" t="n">
        <v>363</v>
      </c>
      <c r="J137" s="9" t="n">
        <v>64879823</v>
      </c>
    </row>
    <row r="138" customFormat="false" ht="15.75" hidden="false" customHeight="false" outlineLevel="0" collapsed="false">
      <c r="A138" s="7" t="s">
        <v>146</v>
      </c>
      <c r="B138" s="7" t="n">
        <v>10</v>
      </c>
      <c r="C138" s="9" t="n">
        <v>0</v>
      </c>
      <c r="D138" s="9" t="n">
        <v>0</v>
      </c>
      <c r="E138" s="9" t="n">
        <v>1531</v>
      </c>
      <c r="F138" s="9" t="n">
        <v>289978100</v>
      </c>
      <c r="G138" s="9" t="n">
        <v>1531</v>
      </c>
      <c r="H138" s="9" t="n">
        <v>289978100</v>
      </c>
      <c r="I138" s="9" t="n">
        <v>0</v>
      </c>
      <c r="J138" s="9" t="n">
        <v>0</v>
      </c>
    </row>
    <row r="139" customFormat="false" ht="15.75" hidden="false" customHeight="false" outlineLevel="0" collapsed="false">
      <c r="A139" s="7" t="s">
        <v>147</v>
      </c>
      <c r="B139" s="7" t="n">
        <v>10</v>
      </c>
      <c r="C139" s="9" t="n">
        <v>888</v>
      </c>
      <c r="D139" s="9" t="n">
        <v>62503261</v>
      </c>
      <c r="E139" s="9" t="n">
        <v>130</v>
      </c>
      <c r="F139" s="9" t="n">
        <v>13876350</v>
      </c>
      <c r="G139" s="9" t="n">
        <v>0</v>
      </c>
      <c r="H139" s="9" t="n">
        <v>0</v>
      </c>
      <c r="I139" s="9" t="n">
        <v>1018</v>
      </c>
      <c r="J139" s="9" t="n">
        <v>76379611</v>
      </c>
    </row>
    <row r="140" customFormat="false" ht="15.75" hidden="false" customHeight="false" outlineLevel="0" collapsed="false">
      <c r="A140" s="7" t="s">
        <v>148</v>
      </c>
      <c r="B140" s="7" t="n">
        <v>10</v>
      </c>
      <c r="C140" s="9" t="n">
        <v>0</v>
      </c>
      <c r="D140" s="9" t="n">
        <v>0</v>
      </c>
      <c r="E140" s="9" t="n">
        <v>40</v>
      </c>
      <c r="F140" s="9" t="n">
        <v>4558036</v>
      </c>
      <c r="G140" s="9" t="n">
        <v>40</v>
      </c>
      <c r="H140" s="9" t="n">
        <v>4558036</v>
      </c>
      <c r="I140" s="9" t="n">
        <v>0</v>
      </c>
      <c r="J140" s="9" t="n">
        <v>0</v>
      </c>
    </row>
    <row r="141" customFormat="false" ht="15.75" hidden="false" customHeight="false" outlineLevel="0" collapsed="false">
      <c r="A141" s="7" t="s">
        <v>149</v>
      </c>
      <c r="B141" s="7" t="n">
        <v>10</v>
      </c>
      <c r="C141" s="9" t="n">
        <v>1781</v>
      </c>
      <c r="D141" s="9" t="n">
        <v>337987322</v>
      </c>
      <c r="E141" s="9" t="n">
        <v>690</v>
      </c>
      <c r="F141" s="9" t="n">
        <v>131660350</v>
      </c>
      <c r="G141" s="9" t="n">
        <v>1340</v>
      </c>
      <c r="H141" s="9" t="n">
        <v>254685504</v>
      </c>
      <c r="I141" s="9" t="n">
        <v>1131</v>
      </c>
      <c r="J141" s="9" t="n">
        <v>214962168</v>
      </c>
    </row>
    <row r="142" customFormat="false" ht="15.75" hidden="false" customHeight="false" outlineLevel="0" collapsed="false">
      <c r="A142" s="7" t="s">
        <v>150</v>
      </c>
      <c r="B142" s="7" t="n">
        <v>10</v>
      </c>
      <c r="C142" s="9" t="n">
        <v>0</v>
      </c>
      <c r="D142" s="9" t="n">
        <v>0</v>
      </c>
      <c r="E142" s="9" t="n">
        <v>0</v>
      </c>
      <c r="F142" s="9" t="n">
        <v>0</v>
      </c>
      <c r="G142" s="9" t="n">
        <v>0</v>
      </c>
      <c r="H142" s="9" t="n">
        <v>0</v>
      </c>
      <c r="I142" s="9" t="n">
        <v>0</v>
      </c>
      <c r="J142" s="9" t="n">
        <v>0</v>
      </c>
    </row>
    <row r="143" customFormat="false" ht="15.75" hidden="false" customHeight="false" outlineLevel="0" collapsed="false">
      <c r="A143" s="7" t="s">
        <v>151</v>
      </c>
      <c r="B143" s="7" t="n">
        <v>10</v>
      </c>
      <c r="C143" s="9" t="n">
        <v>319</v>
      </c>
      <c r="D143" s="9" t="n">
        <v>60576489</v>
      </c>
      <c r="E143" s="9" t="n">
        <v>0</v>
      </c>
      <c r="F143" s="9" t="n">
        <v>0</v>
      </c>
      <c r="G143" s="9" t="n">
        <v>0</v>
      </c>
      <c r="H143" s="9" t="n">
        <v>0</v>
      </c>
      <c r="I143" s="9" t="n">
        <v>319</v>
      </c>
      <c r="J143" s="9" t="n">
        <v>60576489</v>
      </c>
    </row>
    <row r="144" customFormat="false" ht="15.75" hidden="false" customHeight="false" outlineLevel="0" collapsed="false">
      <c r="A144" s="7" t="s">
        <v>152</v>
      </c>
      <c r="B144" s="7" t="n">
        <v>10</v>
      </c>
      <c r="C144" s="9" t="n">
        <v>0</v>
      </c>
      <c r="D144" s="9" t="n">
        <v>0</v>
      </c>
      <c r="E144" s="9" t="n">
        <v>0</v>
      </c>
      <c r="F144" s="9" t="n">
        <v>0</v>
      </c>
      <c r="G144" s="9" t="n">
        <v>0</v>
      </c>
      <c r="H144" s="9" t="n">
        <v>0</v>
      </c>
      <c r="I144" s="9" t="n">
        <v>0</v>
      </c>
      <c r="J144" s="9" t="n">
        <v>0</v>
      </c>
    </row>
    <row r="145" customFormat="false" ht="15.75" hidden="false" customHeight="false" outlineLevel="0" collapsed="false">
      <c r="A145" s="7" t="s">
        <v>153</v>
      </c>
      <c r="B145" s="7" t="n">
        <v>10</v>
      </c>
      <c r="C145" s="9" t="n">
        <v>0</v>
      </c>
      <c r="D145" s="9" t="n">
        <v>0</v>
      </c>
      <c r="E145" s="9" t="n">
        <v>0</v>
      </c>
      <c r="F145" s="9" t="n">
        <v>0</v>
      </c>
      <c r="G145" s="9" t="n">
        <v>0</v>
      </c>
      <c r="H145" s="9" t="n">
        <v>0</v>
      </c>
      <c r="I145" s="9" t="n">
        <v>0</v>
      </c>
      <c r="J145" s="9" t="n">
        <v>0</v>
      </c>
    </row>
    <row r="146" customFormat="false" ht="15.75" hidden="false" customHeight="false" outlineLevel="0" collapsed="false">
      <c r="A146" s="7" t="s">
        <v>154</v>
      </c>
      <c r="B146" s="7" t="n">
        <v>10</v>
      </c>
      <c r="C146" s="9" t="n">
        <v>20</v>
      </c>
      <c r="D146" s="9" t="n">
        <v>4642900</v>
      </c>
      <c r="E146" s="9" t="n">
        <v>30</v>
      </c>
      <c r="F146" s="9" t="n">
        <v>7013230</v>
      </c>
      <c r="G146" s="9" t="n">
        <v>0</v>
      </c>
      <c r="H146" s="9" t="n">
        <v>0</v>
      </c>
      <c r="I146" s="9" t="n">
        <v>50</v>
      </c>
      <c r="J146" s="9" t="n">
        <v>11656130</v>
      </c>
    </row>
    <row r="147" customFormat="false" ht="15.75" hidden="false" customHeight="false" outlineLevel="0" collapsed="false">
      <c r="A147" s="7" t="s">
        <v>155</v>
      </c>
      <c r="B147" s="7" t="n">
        <v>10</v>
      </c>
      <c r="C147" s="9" t="n">
        <v>69</v>
      </c>
      <c r="D147" s="9" t="n">
        <v>20007501</v>
      </c>
      <c r="E147" s="9" t="n">
        <v>11</v>
      </c>
      <c r="F147" s="9" t="n">
        <v>3189602</v>
      </c>
      <c r="G147" s="9" t="n">
        <v>80</v>
      </c>
      <c r="H147" s="9" t="n">
        <v>23197103</v>
      </c>
      <c r="I147" s="9" t="n">
        <v>0</v>
      </c>
      <c r="J147" s="9" t="n">
        <v>0</v>
      </c>
    </row>
    <row r="148" customFormat="false" ht="15.75" hidden="false" customHeight="false" outlineLevel="0" collapsed="false">
      <c r="A148" s="7" t="s">
        <v>156</v>
      </c>
      <c r="B148" s="7" t="n">
        <v>10</v>
      </c>
      <c r="C148" s="9" t="n">
        <v>225</v>
      </c>
      <c r="D148" s="9" t="n">
        <v>51536190</v>
      </c>
      <c r="E148" s="9" t="n">
        <v>40</v>
      </c>
      <c r="F148" s="9" t="n">
        <v>0</v>
      </c>
      <c r="G148" s="9" t="n">
        <v>0</v>
      </c>
      <c r="H148" s="9" t="n">
        <v>0</v>
      </c>
      <c r="I148" s="9" t="n">
        <v>265</v>
      </c>
      <c r="J148" s="9" t="n">
        <v>51536190</v>
      </c>
    </row>
    <row r="149" customFormat="false" ht="15.75" hidden="false" customHeight="false" outlineLevel="0" collapsed="false">
      <c r="A149" s="7" t="s">
        <v>157</v>
      </c>
      <c r="B149" s="7" t="n">
        <v>10</v>
      </c>
      <c r="C149" s="9" t="n">
        <v>20</v>
      </c>
      <c r="D149" s="9" t="n">
        <v>4642900</v>
      </c>
      <c r="E149" s="9" t="n">
        <v>80</v>
      </c>
      <c r="F149" s="9" t="n">
        <v>18693800</v>
      </c>
      <c r="G149" s="9" t="n">
        <v>0</v>
      </c>
      <c r="H149" s="9" t="n">
        <v>0</v>
      </c>
      <c r="I149" s="9" t="n">
        <v>100</v>
      </c>
      <c r="J149" s="9" t="n">
        <v>23336700</v>
      </c>
    </row>
    <row r="150" customFormat="false" ht="15.75" hidden="false" customHeight="false" outlineLevel="0" collapsed="false">
      <c r="A150" s="7" t="s">
        <v>158</v>
      </c>
      <c r="B150" s="7" t="n">
        <v>10</v>
      </c>
      <c r="C150" s="9" t="n">
        <v>53</v>
      </c>
      <c r="D150" s="9" t="n">
        <v>12263401</v>
      </c>
      <c r="E150" s="9" t="n">
        <v>42</v>
      </c>
      <c r="F150" s="9" t="n">
        <v>9718167</v>
      </c>
      <c r="G150" s="9" t="n">
        <v>95</v>
      </c>
      <c r="H150" s="9" t="n">
        <v>21981568</v>
      </c>
      <c r="I150" s="9" t="n">
        <v>0</v>
      </c>
      <c r="J150" s="9" t="n">
        <v>0</v>
      </c>
    </row>
    <row r="151" customFormat="false" ht="15.75" hidden="false" customHeight="false" outlineLevel="0" collapsed="false">
      <c r="A151" s="7" t="s">
        <v>159</v>
      </c>
      <c r="B151" s="7" t="n">
        <v>10</v>
      </c>
      <c r="C151" s="9" t="n">
        <v>81</v>
      </c>
      <c r="D151" s="9" t="n">
        <v>17829621</v>
      </c>
      <c r="E151" s="9" t="n">
        <v>0</v>
      </c>
      <c r="F151" s="9" t="n">
        <v>0</v>
      </c>
      <c r="G151" s="9" t="n">
        <v>0</v>
      </c>
      <c r="H151" s="9" t="n">
        <v>0</v>
      </c>
      <c r="I151" s="9" t="n">
        <v>81</v>
      </c>
      <c r="J151" s="9" t="n">
        <v>17829621</v>
      </c>
    </row>
    <row r="152" customFormat="false" ht="15.75" hidden="false" customHeight="false" outlineLevel="0" collapsed="false">
      <c r="A152" s="7" t="s">
        <v>160</v>
      </c>
      <c r="B152" s="7" t="n">
        <v>10</v>
      </c>
      <c r="C152" s="9" t="n">
        <v>51</v>
      </c>
      <c r="D152" s="9" t="n">
        <v>13482180</v>
      </c>
      <c r="E152" s="9" t="n">
        <v>0</v>
      </c>
      <c r="F152" s="9" t="n">
        <v>0</v>
      </c>
      <c r="G152" s="9" t="n">
        <v>0</v>
      </c>
      <c r="H152" s="9" t="n">
        <v>0</v>
      </c>
      <c r="I152" s="9" t="n">
        <v>51</v>
      </c>
      <c r="J152" s="9" t="n">
        <v>13482180</v>
      </c>
    </row>
    <row r="153" customFormat="false" ht="15.75" hidden="false" customHeight="false" outlineLevel="0" collapsed="false">
      <c r="A153" s="7" t="s">
        <v>161</v>
      </c>
      <c r="B153" s="7" t="n">
        <v>10</v>
      </c>
      <c r="C153" s="9" t="n">
        <v>70</v>
      </c>
      <c r="D153" s="9" t="n">
        <v>16250150</v>
      </c>
      <c r="E153" s="9" t="n">
        <v>40</v>
      </c>
      <c r="F153" s="9" t="n">
        <v>9383560</v>
      </c>
      <c r="G153" s="9" t="n">
        <v>0</v>
      </c>
      <c r="H153" s="9" t="n">
        <v>0</v>
      </c>
      <c r="I153" s="9" t="n">
        <v>110</v>
      </c>
      <c r="J153" s="9" t="n">
        <v>25633710</v>
      </c>
    </row>
    <row r="154" customFormat="false" ht="15.75" hidden="false" customHeight="false" outlineLevel="0" collapsed="false">
      <c r="A154" s="7" t="s">
        <v>162</v>
      </c>
      <c r="B154" s="7" t="n">
        <v>10</v>
      </c>
      <c r="C154" s="9" t="n">
        <v>0</v>
      </c>
      <c r="D154" s="9" t="n">
        <v>0</v>
      </c>
      <c r="E154" s="9" t="n">
        <v>40</v>
      </c>
      <c r="F154" s="9" t="n">
        <v>12643640</v>
      </c>
      <c r="G154" s="9" t="n">
        <v>40</v>
      </c>
      <c r="H154" s="9" t="n">
        <v>12643640</v>
      </c>
      <c r="I154" s="9" t="n">
        <v>0</v>
      </c>
      <c r="J154" s="9" t="n">
        <v>0</v>
      </c>
    </row>
    <row r="155" customFormat="false" ht="15.75" hidden="false" customHeight="false" outlineLevel="0" collapsed="false">
      <c r="A155" s="7" t="s">
        <v>163</v>
      </c>
      <c r="B155" s="7" t="n">
        <v>10</v>
      </c>
      <c r="C155" s="9" t="n">
        <v>702</v>
      </c>
      <c r="D155" s="9" t="n">
        <v>221895882</v>
      </c>
      <c r="E155" s="9" t="n">
        <v>175</v>
      </c>
      <c r="F155" s="9" t="n">
        <v>55648625</v>
      </c>
      <c r="G155" s="9" t="n">
        <v>35</v>
      </c>
      <c r="H155" s="9" t="n">
        <v>11076463</v>
      </c>
      <c r="I155" s="9" t="n">
        <v>842</v>
      </c>
      <c r="J155" s="9" t="n">
        <v>266468044</v>
      </c>
    </row>
    <row r="156" customFormat="false" ht="15.75" hidden="false" customHeight="false" outlineLevel="0" collapsed="false">
      <c r="A156" s="7" t="s">
        <v>164</v>
      </c>
      <c r="B156" s="7" t="n">
        <v>10</v>
      </c>
      <c r="C156" s="9" t="n">
        <v>0</v>
      </c>
      <c r="D156" s="9" t="n">
        <v>0</v>
      </c>
      <c r="E156" s="9" t="n">
        <v>0</v>
      </c>
      <c r="F156" s="9" t="n">
        <v>0</v>
      </c>
      <c r="G156" s="9" t="n">
        <v>0</v>
      </c>
      <c r="H156" s="9" t="n">
        <v>0</v>
      </c>
      <c r="I156" s="9" t="n">
        <v>0</v>
      </c>
      <c r="J156" s="9" t="n">
        <v>0</v>
      </c>
    </row>
    <row r="157" customFormat="false" ht="15.75" hidden="false" customHeight="false" outlineLevel="0" collapsed="false">
      <c r="A157" s="7" t="s">
        <v>165</v>
      </c>
      <c r="B157" s="7" t="n">
        <v>10</v>
      </c>
      <c r="C157" s="9" t="n">
        <v>100</v>
      </c>
      <c r="D157" s="9" t="n">
        <v>15208383</v>
      </c>
      <c r="E157" s="9" t="n">
        <v>30</v>
      </c>
      <c r="F157" s="9" t="n">
        <v>4806990</v>
      </c>
      <c r="G157" s="9" t="n">
        <v>0</v>
      </c>
      <c r="H157" s="9" t="n">
        <v>0</v>
      </c>
      <c r="I157" s="9" t="n">
        <v>130</v>
      </c>
      <c r="J157" s="9" t="n">
        <v>20015373</v>
      </c>
    </row>
    <row r="158" customFormat="false" ht="15.75" hidden="false" customHeight="false" outlineLevel="0" collapsed="false">
      <c r="A158" s="7" t="s">
        <v>166</v>
      </c>
      <c r="B158" s="7" t="n">
        <v>10</v>
      </c>
      <c r="C158" s="9" t="n">
        <v>0</v>
      </c>
      <c r="D158" s="9" t="n">
        <v>0</v>
      </c>
      <c r="E158" s="9" t="n">
        <v>0</v>
      </c>
      <c r="F158" s="9" t="n">
        <v>0</v>
      </c>
      <c r="G158" s="9" t="n">
        <v>0</v>
      </c>
      <c r="H158" s="9" t="n">
        <v>0</v>
      </c>
      <c r="I158" s="9" t="n">
        <v>0</v>
      </c>
      <c r="J158" s="9" t="n">
        <v>0</v>
      </c>
    </row>
    <row r="159" customFormat="false" ht="15.75" hidden="false" customHeight="false" outlineLevel="0" collapsed="false">
      <c r="A159" s="7" t="s">
        <v>167</v>
      </c>
      <c r="B159" s="7" t="n">
        <v>10</v>
      </c>
      <c r="C159" s="9" t="n">
        <v>0</v>
      </c>
      <c r="D159" s="9" t="n">
        <v>0</v>
      </c>
      <c r="E159" s="9" t="n">
        <v>0</v>
      </c>
      <c r="F159" s="9" t="n">
        <v>0</v>
      </c>
      <c r="G159" s="9" t="n">
        <v>0</v>
      </c>
      <c r="H159" s="9" t="n">
        <v>0</v>
      </c>
      <c r="I159" s="9" t="n">
        <v>0</v>
      </c>
      <c r="J159" s="9" t="n">
        <v>0</v>
      </c>
    </row>
    <row r="160" customFormat="false" ht="15.75" hidden="false" customHeight="false" outlineLevel="0" collapsed="false">
      <c r="A160" s="7" t="s">
        <v>168</v>
      </c>
      <c r="B160" s="7" t="n">
        <v>10</v>
      </c>
      <c r="C160" s="9" t="n">
        <v>1096</v>
      </c>
      <c r="D160" s="9" t="n">
        <v>199907262</v>
      </c>
      <c r="E160" s="9" t="n">
        <v>100</v>
      </c>
      <c r="F160" s="9" t="n">
        <v>18432000</v>
      </c>
      <c r="G160" s="9" t="n">
        <v>525</v>
      </c>
      <c r="H160" s="9" t="n">
        <v>95842903</v>
      </c>
      <c r="I160" s="9" t="n">
        <v>671</v>
      </c>
      <c r="J160" s="9" t="n">
        <v>122496359</v>
      </c>
    </row>
    <row r="161" customFormat="false" ht="15.75" hidden="false" customHeight="false" outlineLevel="0" collapsed="false">
      <c r="A161" s="7" t="s">
        <v>169</v>
      </c>
      <c r="B161" s="7" t="n">
        <v>10</v>
      </c>
      <c r="C161" s="9" t="n">
        <v>856</v>
      </c>
      <c r="D161" s="9" t="n">
        <v>151588068</v>
      </c>
      <c r="E161" s="9" t="n">
        <v>0</v>
      </c>
      <c r="F161" s="9" t="n">
        <v>0</v>
      </c>
      <c r="G161" s="9" t="n">
        <v>0</v>
      </c>
      <c r="H161" s="9" t="n">
        <v>0</v>
      </c>
      <c r="I161" s="9" t="n">
        <v>856</v>
      </c>
      <c r="J161" s="9" t="n">
        <v>151588068</v>
      </c>
    </row>
    <row r="162" customFormat="false" ht="15.75" hidden="false" customHeight="false" outlineLevel="0" collapsed="false">
      <c r="A162" s="7" t="s">
        <v>170</v>
      </c>
      <c r="B162" s="7" t="n">
        <v>10</v>
      </c>
      <c r="C162" s="9" t="n">
        <v>369</v>
      </c>
      <c r="D162" s="9" t="n">
        <v>101340684</v>
      </c>
      <c r="E162" s="9" t="n">
        <v>0</v>
      </c>
      <c r="F162" s="9" t="n">
        <v>0</v>
      </c>
      <c r="G162" s="9" t="n">
        <v>0</v>
      </c>
      <c r="H162" s="9" t="n">
        <v>0</v>
      </c>
      <c r="I162" s="9" t="n">
        <v>369</v>
      </c>
      <c r="J162" s="9" t="n">
        <v>101340684</v>
      </c>
    </row>
    <row r="163" customFormat="false" ht="15.75" hidden="false" customHeight="false" outlineLevel="0" collapsed="false">
      <c r="A163" s="7" t="s">
        <v>171</v>
      </c>
      <c r="B163" s="7" t="n">
        <v>10</v>
      </c>
      <c r="C163" s="9" t="n">
        <v>0</v>
      </c>
      <c r="D163" s="9" t="n">
        <v>0</v>
      </c>
      <c r="E163" s="9" t="n">
        <v>0</v>
      </c>
      <c r="F163" s="9" t="n">
        <v>0</v>
      </c>
      <c r="G163" s="9" t="n">
        <v>0</v>
      </c>
      <c r="H163" s="9" t="n">
        <v>0</v>
      </c>
      <c r="I163" s="9" t="n">
        <v>0</v>
      </c>
      <c r="J163" s="9" t="n">
        <v>0</v>
      </c>
    </row>
    <row r="164" customFormat="false" ht="15.75" hidden="false" customHeight="false" outlineLevel="0" collapsed="false">
      <c r="A164" s="7" t="s">
        <v>172</v>
      </c>
      <c r="B164" s="7" t="n">
        <v>10</v>
      </c>
      <c r="C164" s="9" t="n">
        <v>339</v>
      </c>
      <c r="D164" s="9" t="n">
        <v>62879444</v>
      </c>
      <c r="E164" s="9" t="n">
        <v>20</v>
      </c>
      <c r="F164" s="9" t="n">
        <v>3770180</v>
      </c>
      <c r="G164" s="9" t="n">
        <v>0</v>
      </c>
      <c r="H164" s="9" t="n">
        <v>0</v>
      </c>
      <c r="I164" s="9" t="n">
        <v>359</v>
      </c>
      <c r="J164" s="9" t="n">
        <v>66649624</v>
      </c>
    </row>
    <row r="165" customFormat="false" ht="15.75" hidden="false" customHeight="false" outlineLevel="0" collapsed="false">
      <c r="A165" s="7" t="s">
        <v>173</v>
      </c>
      <c r="B165" s="7" t="n">
        <v>10</v>
      </c>
      <c r="C165" s="9" t="n">
        <v>382</v>
      </c>
      <c r="D165" s="9" t="n">
        <v>70900290</v>
      </c>
      <c r="E165" s="9" t="n">
        <v>47</v>
      </c>
      <c r="F165" s="9" t="n">
        <v>7540360</v>
      </c>
      <c r="G165" s="9" t="n">
        <v>15</v>
      </c>
      <c r="H165" s="9" t="n">
        <v>2742680</v>
      </c>
      <c r="I165" s="9" t="n">
        <v>414</v>
      </c>
      <c r="J165" s="9" t="n">
        <v>75697970</v>
      </c>
    </row>
    <row r="166" customFormat="false" ht="15.75" hidden="false" customHeight="false" outlineLevel="0" collapsed="false">
      <c r="A166" s="7" t="s">
        <v>174</v>
      </c>
      <c r="B166" s="7" t="n">
        <v>10</v>
      </c>
      <c r="C166" s="9" t="n">
        <v>100</v>
      </c>
      <c r="D166" s="9" t="n">
        <v>27457840</v>
      </c>
      <c r="E166" s="9" t="n">
        <v>0</v>
      </c>
      <c r="F166" s="9" t="n">
        <v>0</v>
      </c>
      <c r="G166" s="9" t="n">
        <v>0</v>
      </c>
      <c r="H166" s="9" t="n">
        <v>0</v>
      </c>
      <c r="I166" s="9" t="n">
        <v>100</v>
      </c>
      <c r="J166" s="9" t="n">
        <v>27457840</v>
      </c>
    </row>
    <row r="167" customFormat="false" ht="15.75" hidden="false" customHeight="false" outlineLevel="0" collapsed="false">
      <c r="A167" s="7" t="s">
        <v>175</v>
      </c>
      <c r="B167" s="7" t="n">
        <v>10</v>
      </c>
      <c r="C167" s="9" t="n">
        <v>0</v>
      </c>
      <c r="D167" s="9" t="n">
        <v>0</v>
      </c>
      <c r="E167" s="9" t="n">
        <v>0</v>
      </c>
      <c r="F167" s="9" t="n">
        <v>0</v>
      </c>
      <c r="G167" s="9" t="n">
        <v>0</v>
      </c>
      <c r="H167" s="9" t="n">
        <v>0</v>
      </c>
      <c r="I167" s="9" t="n">
        <v>0</v>
      </c>
      <c r="J167" s="9" t="n">
        <v>0</v>
      </c>
    </row>
    <row r="168" customFormat="false" ht="15.75" hidden="false" customHeight="false" outlineLevel="0" collapsed="false">
      <c r="A168" s="7" t="s">
        <v>176</v>
      </c>
      <c r="B168" s="7" t="n">
        <v>10</v>
      </c>
      <c r="C168" s="9" t="n">
        <v>0</v>
      </c>
      <c r="D168" s="9" t="n">
        <v>0</v>
      </c>
      <c r="E168" s="9" t="n">
        <v>0</v>
      </c>
      <c r="F168" s="9" t="n">
        <v>0</v>
      </c>
      <c r="G168" s="9" t="n">
        <v>0</v>
      </c>
      <c r="H168" s="9" t="n">
        <v>0</v>
      </c>
      <c r="I168" s="9" t="n">
        <v>0</v>
      </c>
      <c r="J168" s="9" t="n">
        <v>0</v>
      </c>
    </row>
    <row r="169" customFormat="false" ht="15.75" hidden="false" customHeight="false" outlineLevel="0" collapsed="false">
      <c r="A169" s="7" t="s">
        <v>177</v>
      </c>
      <c r="B169" s="7" t="n">
        <v>10</v>
      </c>
      <c r="C169" s="9" t="n">
        <v>1</v>
      </c>
      <c r="D169" s="9" t="n">
        <v>537037</v>
      </c>
      <c r="E169" s="9" t="n">
        <v>0</v>
      </c>
      <c r="F169" s="9" t="n">
        <v>0</v>
      </c>
      <c r="G169" s="9" t="n">
        <v>0</v>
      </c>
      <c r="H169" s="9" t="n">
        <v>0</v>
      </c>
      <c r="I169" s="9" t="n">
        <v>1</v>
      </c>
      <c r="J169" s="9" t="n">
        <v>537037</v>
      </c>
    </row>
    <row r="170" customFormat="false" ht="15.75" hidden="false" customHeight="false" outlineLevel="0" collapsed="false">
      <c r="A170" s="7" t="s">
        <v>178</v>
      </c>
      <c r="B170" s="7" t="n">
        <v>10</v>
      </c>
      <c r="C170" s="9" t="n">
        <v>0</v>
      </c>
      <c r="D170" s="9" t="n">
        <v>0</v>
      </c>
      <c r="E170" s="9" t="n">
        <v>0</v>
      </c>
      <c r="F170" s="9" t="n">
        <v>0</v>
      </c>
      <c r="G170" s="9" t="n">
        <v>0</v>
      </c>
      <c r="H170" s="9" t="n">
        <v>0</v>
      </c>
      <c r="I170" s="9" t="n">
        <v>0</v>
      </c>
      <c r="J170" s="9" t="n">
        <v>0</v>
      </c>
    </row>
    <row r="171" customFormat="false" ht="15.75" hidden="false" customHeight="false" outlineLevel="0" collapsed="false">
      <c r="A171" s="7" t="s">
        <v>179</v>
      </c>
      <c r="B171" s="7" t="n">
        <v>10</v>
      </c>
      <c r="C171" s="9" t="n">
        <v>23245</v>
      </c>
      <c r="D171" s="9" t="n">
        <v>111042854</v>
      </c>
      <c r="E171" s="9" t="n">
        <v>19564</v>
      </c>
      <c r="F171" s="9" t="n">
        <v>102674880</v>
      </c>
      <c r="G171" s="9" t="n">
        <v>23040</v>
      </c>
      <c r="H171" s="9" t="n">
        <v>115023864</v>
      </c>
      <c r="I171" s="9" t="n">
        <v>19769</v>
      </c>
      <c r="J171" s="9" t="n">
        <v>98693870</v>
      </c>
    </row>
    <row r="172" customFormat="false" ht="15.75" hidden="false" customHeight="false" outlineLevel="0" collapsed="false">
      <c r="A172" s="7" t="s">
        <v>180</v>
      </c>
      <c r="B172" s="7" t="n">
        <v>10</v>
      </c>
      <c r="C172" s="9" t="n">
        <v>696</v>
      </c>
      <c r="D172" s="9" t="n">
        <v>54691680</v>
      </c>
      <c r="E172" s="9" t="n">
        <v>240</v>
      </c>
      <c r="F172" s="9" t="n">
        <v>18859200</v>
      </c>
      <c r="G172" s="9" t="n">
        <v>0</v>
      </c>
      <c r="H172" s="9" t="n">
        <v>0</v>
      </c>
      <c r="I172" s="9" t="n">
        <v>936</v>
      </c>
      <c r="J172" s="9" t="n">
        <v>73550880</v>
      </c>
    </row>
    <row r="173" customFormat="false" ht="15.75" hidden="false" customHeight="false" outlineLevel="0" collapsed="false">
      <c r="A173" s="7" t="s">
        <v>181</v>
      </c>
      <c r="B173" s="7" t="n">
        <v>10</v>
      </c>
      <c r="C173" s="9" t="n">
        <v>852</v>
      </c>
      <c r="D173" s="9" t="n">
        <v>43738332</v>
      </c>
      <c r="E173" s="9" t="n">
        <v>465</v>
      </c>
      <c r="F173" s="9" t="n">
        <v>23895885</v>
      </c>
      <c r="G173" s="9" t="n">
        <v>375</v>
      </c>
      <c r="H173" s="9" t="n">
        <v>19258034</v>
      </c>
      <c r="I173" s="9" t="n">
        <v>942</v>
      </c>
      <c r="J173" s="9" t="n">
        <v>48376183</v>
      </c>
    </row>
    <row r="174" customFormat="false" ht="15.75" hidden="false" customHeight="false" outlineLevel="0" collapsed="false">
      <c r="A174" s="7" t="s">
        <v>182</v>
      </c>
      <c r="B174" s="7" t="n">
        <v>10</v>
      </c>
      <c r="C174" s="9" t="n">
        <v>20</v>
      </c>
      <c r="D174" s="9" t="n">
        <v>1190400</v>
      </c>
      <c r="E174" s="9" t="n">
        <v>0</v>
      </c>
      <c r="F174" s="9" t="n">
        <v>0</v>
      </c>
      <c r="G174" s="9" t="n">
        <v>0</v>
      </c>
      <c r="H174" s="9" t="n">
        <v>0</v>
      </c>
      <c r="I174" s="9" t="n">
        <v>20</v>
      </c>
      <c r="J174" s="9" t="n">
        <v>1190400</v>
      </c>
    </row>
    <row r="175" customFormat="false" ht="15.75" hidden="false" customHeight="false" outlineLevel="0" collapsed="false">
      <c r="A175" s="7" t="s">
        <v>183</v>
      </c>
      <c r="B175" s="7" t="n">
        <v>10</v>
      </c>
      <c r="C175" s="9" t="n">
        <v>2751</v>
      </c>
      <c r="D175" s="9" t="n">
        <v>148411296</v>
      </c>
      <c r="E175" s="9" t="n">
        <v>104</v>
      </c>
      <c r="F175" s="9" t="n">
        <v>5440519</v>
      </c>
      <c r="G175" s="9" t="n">
        <v>114</v>
      </c>
      <c r="H175" s="9" t="n">
        <v>6143295</v>
      </c>
      <c r="I175" s="9" t="n">
        <v>2741</v>
      </c>
      <c r="J175" s="9" t="n">
        <v>147708520</v>
      </c>
    </row>
    <row r="176" customFormat="false" ht="15.75" hidden="false" customHeight="false" outlineLevel="0" collapsed="false">
      <c r="A176" s="7" t="s">
        <v>184</v>
      </c>
      <c r="B176" s="7" t="n">
        <v>10</v>
      </c>
      <c r="C176" s="9" t="n">
        <v>2703</v>
      </c>
      <c r="D176" s="9" t="n">
        <v>146117645</v>
      </c>
      <c r="E176" s="9" t="n">
        <v>156</v>
      </c>
      <c r="F176" s="9" t="n">
        <v>8160778</v>
      </c>
      <c r="G176" s="9" t="n">
        <v>220</v>
      </c>
      <c r="H176" s="9" t="n">
        <v>11871722</v>
      </c>
      <c r="I176" s="9" t="n">
        <v>2639</v>
      </c>
      <c r="J176" s="9" t="n">
        <v>142406701</v>
      </c>
    </row>
    <row r="177" customFormat="false" ht="15.75" hidden="false" customHeight="false" outlineLevel="0" collapsed="false">
      <c r="A177" s="7" t="s">
        <v>185</v>
      </c>
      <c r="B177" s="7" t="n">
        <v>10</v>
      </c>
      <c r="C177" s="9" t="n">
        <v>460</v>
      </c>
      <c r="D177" s="9" t="n">
        <v>84787500</v>
      </c>
      <c r="E177" s="9" t="n">
        <v>150</v>
      </c>
      <c r="F177" s="9" t="n">
        <v>27616500</v>
      </c>
      <c r="G177" s="9" t="n">
        <v>200</v>
      </c>
      <c r="H177" s="9" t="n">
        <v>36823246</v>
      </c>
      <c r="I177" s="9" t="n">
        <v>410</v>
      </c>
      <c r="J177" s="9" t="n">
        <v>75580754</v>
      </c>
    </row>
    <row r="178" customFormat="false" ht="15.75" hidden="false" customHeight="false" outlineLevel="0" collapsed="false">
      <c r="A178" s="7" t="s">
        <v>186</v>
      </c>
      <c r="B178" s="7" t="n">
        <v>10</v>
      </c>
      <c r="C178" s="9" t="n">
        <v>7970</v>
      </c>
      <c r="D178" s="9" t="n">
        <v>333779482</v>
      </c>
      <c r="E178" s="9" t="n">
        <v>6600</v>
      </c>
      <c r="F178" s="9" t="n">
        <v>265836389</v>
      </c>
      <c r="G178" s="9" t="n">
        <v>9520</v>
      </c>
      <c r="H178" s="9" t="n">
        <v>387763547</v>
      </c>
      <c r="I178" s="9" t="n">
        <v>5050</v>
      </c>
      <c r="J178" s="9" t="n">
        <v>211852324</v>
      </c>
    </row>
    <row r="179" customFormat="false" ht="15.75" hidden="false" customHeight="false" outlineLevel="0" collapsed="false">
      <c r="A179" s="7" t="s">
        <v>187</v>
      </c>
      <c r="B179" s="7" t="n">
        <v>10</v>
      </c>
      <c r="C179" s="9" t="n">
        <v>1323</v>
      </c>
      <c r="D179" s="9" t="n">
        <v>47133544</v>
      </c>
      <c r="E179" s="9" t="n">
        <v>0</v>
      </c>
      <c r="F179" s="9" t="n">
        <v>0</v>
      </c>
      <c r="G179" s="9" t="n">
        <v>1260</v>
      </c>
      <c r="H179" s="9" t="n">
        <v>45424145</v>
      </c>
      <c r="I179" s="9" t="n">
        <v>63</v>
      </c>
      <c r="J179" s="9" t="n">
        <v>1709399</v>
      </c>
    </row>
    <row r="180" customFormat="false" ht="15.75" hidden="false" customHeight="false" outlineLevel="0" collapsed="false">
      <c r="A180" s="7" t="s">
        <v>188</v>
      </c>
      <c r="B180" s="7" t="n">
        <v>10</v>
      </c>
      <c r="C180" s="9" t="n">
        <v>6921</v>
      </c>
      <c r="D180" s="9" t="n">
        <v>1265880401</v>
      </c>
      <c r="E180" s="9" t="n">
        <v>0</v>
      </c>
      <c r="F180" s="9" t="n">
        <v>0</v>
      </c>
      <c r="G180" s="9" t="n">
        <v>2520</v>
      </c>
      <c r="H180" s="9" t="n">
        <v>460918742</v>
      </c>
      <c r="I180" s="9" t="n">
        <v>4401</v>
      </c>
      <c r="J180" s="9" t="n">
        <v>804961659</v>
      </c>
    </row>
    <row r="181" customFormat="false" ht="15.75" hidden="false" customHeight="false" outlineLevel="0" collapsed="false">
      <c r="A181" s="7" t="s">
        <v>189</v>
      </c>
      <c r="B181" s="7" t="n">
        <v>10</v>
      </c>
      <c r="C181" s="9" t="n">
        <v>1120</v>
      </c>
      <c r="D181" s="9" t="n">
        <v>49126775</v>
      </c>
      <c r="E181" s="9" t="n">
        <v>0</v>
      </c>
      <c r="F181" s="9" t="n">
        <v>0</v>
      </c>
      <c r="G181" s="9" t="n">
        <v>400</v>
      </c>
      <c r="H181" s="9" t="n">
        <v>17653831</v>
      </c>
      <c r="I181" s="9" t="n">
        <v>720</v>
      </c>
      <c r="J181" s="9" t="n">
        <v>31472944</v>
      </c>
    </row>
    <row r="182" customFormat="false" ht="15.75" hidden="false" customHeight="false" outlineLevel="0" collapsed="false">
      <c r="A182" s="7" t="s">
        <v>190</v>
      </c>
      <c r="B182" s="7" t="n">
        <v>10</v>
      </c>
      <c r="C182" s="9" t="n">
        <v>6720</v>
      </c>
      <c r="D182" s="9" t="n">
        <v>194087275</v>
      </c>
      <c r="E182" s="9" t="n">
        <v>5250</v>
      </c>
      <c r="F182" s="9" t="n">
        <v>151620000</v>
      </c>
      <c r="G182" s="9" t="n">
        <v>2100</v>
      </c>
      <c r="H182" s="9" t="n">
        <v>60624373</v>
      </c>
      <c r="I182" s="9" t="n">
        <v>9870</v>
      </c>
      <c r="J182" s="9" t="n">
        <v>285082902</v>
      </c>
    </row>
    <row r="183" customFormat="false" ht="15.75" hidden="false" customHeight="false" outlineLevel="0" collapsed="false">
      <c r="A183" s="7" t="s">
        <v>191</v>
      </c>
      <c r="B183" s="7" t="n">
        <v>10</v>
      </c>
      <c r="C183" s="9" t="n">
        <v>0</v>
      </c>
      <c r="D183" s="9" t="n">
        <v>0</v>
      </c>
      <c r="E183" s="9" t="n">
        <v>49050</v>
      </c>
      <c r="F183" s="9" t="n">
        <v>1411149000</v>
      </c>
      <c r="G183" s="9" t="n">
        <v>31696</v>
      </c>
      <c r="H183" s="9" t="n">
        <v>908556623</v>
      </c>
      <c r="I183" s="9" t="n">
        <v>17354</v>
      </c>
      <c r="J183" s="9" t="n">
        <v>502592377</v>
      </c>
    </row>
    <row r="184" customFormat="false" ht="15.75" hidden="false" customHeight="false" outlineLevel="0" collapsed="false">
      <c r="A184" s="7" t="s">
        <v>192</v>
      </c>
      <c r="B184" s="7" t="n">
        <v>10</v>
      </c>
      <c r="C184" s="9" t="n">
        <v>7650</v>
      </c>
      <c r="D184" s="9" t="n">
        <v>54881604</v>
      </c>
      <c r="E184" s="9" t="n">
        <v>9000</v>
      </c>
      <c r="F184" s="9" t="n">
        <v>64980000</v>
      </c>
      <c r="G184" s="9" t="n">
        <v>3000</v>
      </c>
      <c r="H184" s="9" t="n">
        <v>21596685</v>
      </c>
      <c r="I184" s="9" t="n">
        <v>13650</v>
      </c>
      <c r="J184" s="9" t="n">
        <v>98264919</v>
      </c>
    </row>
    <row r="185" customFormat="false" ht="15.75" hidden="false" customHeight="false" outlineLevel="0" collapsed="false">
      <c r="A185" s="7" t="s">
        <v>193</v>
      </c>
      <c r="B185" s="7" t="n">
        <v>10</v>
      </c>
      <c r="C185" s="9" t="n">
        <v>0</v>
      </c>
      <c r="D185" s="9" t="n">
        <v>0</v>
      </c>
      <c r="E185" s="9" t="n">
        <v>0</v>
      </c>
      <c r="F185" s="9" t="n">
        <v>0</v>
      </c>
      <c r="G185" s="9" t="n">
        <v>0</v>
      </c>
      <c r="H185" s="9" t="n">
        <v>0</v>
      </c>
      <c r="I185" s="9" t="n">
        <v>0</v>
      </c>
      <c r="J185" s="9" t="n">
        <v>0</v>
      </c>
    </row>
    <row r="186" customFormat="false" ht="15.75" hidden="false" customHeight="false" outlineLevel="0" collapsed="false">
      <c r="A186" s="7" t="s">
        <v>194</v>
      </c>
      <c r="B186" s="7" t="n">
        <v>10</v>
      </c>
      <c r="C186" s="9" t="n">
        <v>204800</v>
      </c>
      <c r="D186" s="9" t="n">
        <v>1355793471</v>
      </c>
      <c r="E186" s="9" t="n">
        <v>246000</v>
      </c>
      <c r="F186" s="9" t="n">
        <v>1776120000</v>
      </c>
      <c r="G186" s="9" t="n">
        <v>182980</v>
      </c>
      <c r="H186" s="9" t="n">
        <v>1319397872</v>
      </c>
      <c r="I186" s="9" t="n">
        <v>267820</v>
      </c>
      <c r="J186" s="9" t="n">
        <v>1812515599</v>
      </c>
    </row>
    <row r="187" customFormat="false" ht="15.75" hidden="false" customHeight="false" outlineLevel="0" collapsed="false">
      <c r="A187" s="7" t="s">
        <v>195</v>
      </c>
      <c r="B187" s="7" t="n">
        <v>10</v>
      </c>
      <c r="C187" s="9" t="n">
        <v>0</v>
      </c>
      <c r="D187" s="9" t="n">
        <v>0</v>
      </c>
      <c r="E187" s="9" t="n">
        <v>0</v>
      </c>
      <c r="F187" s="9" t="n">
        <v>0</v>
      </c>
      <c r="G187" s="9" t="n">
        <v>0</v>
      </c>
      <c r="H187" s="9" t="n">
        <v>0</v>
      </c>
      <c r="I187" s="9" t="n">
        <v>0</v>
      </c>
      <c r="J187" s="9" t="n">
        <v>0</v>
      </c>
    </row>
    <row r="188" customFormat="false" ht="15.75" hidden="false" customHeight="false" outlineLevel="0" collapsed="false">
      <c r="A188" s="7" t="s">
        <v>196</v>
      </c>
      <c r="B188" s="7" t="n">
        <v>10</v>
      </c>
      <c r="C188" s="9" t="n">
        <v>0</v>
      </c>
      <c r="D188" s="9" t="n">
        <v>0</v>
      </c>
      <c r="E188" s="9" t="n">
        <v>0</v>
      </c>
      <c r="F188" s="9" t="n">
        <v>0</v>
      </c>
      <c r="G188" s="9" t="n">
        <v>0</v>
      </c>
      <c r="H188" s="9" t="n">
        <v>0</v>
      </c>
      <c r="I188" s="9" t="n">
        <v>0</v>
      </c>
      <c r="J188" s="9" t="n">
        <v>0</v>
      </c>
    </row>
    <row r="189" customFormat="false" ht="15.75" hidden="false" customHeight="false" outlineLevel="0" collapsed="false">
      <c r="A189" s="7" t="s">
        <v>197</v>
      </c>
      <c r="B189" s="7" t="n">
        <v>10</v>
      </c>
      <c r="C189" s="9" t="n">
        <v>330</v>
      </c>
      <c r="D189" s="9" t="n">
        <v>2367855</v>
      </c>
      <c r="E189" s="9" t="n">
        <v>900</v>
      </c>
      <c r="F189" s="9" t="n">
        <v>6498000</v>
      </c>
      <c r="G189" s="9" t="n">
        <v>0</v>
      </c>
      <c r="H189" s="9" t="n">
        <v>0</v>
      </c>
      <c r="I189" s="9" t="n">
        <v>1230</v>
      </c>
      <c r="J189" s="9" t="n">
        <v>8865855</v>
      </c>
    </row>
    <row r="190" customFormat="false" ht="15.75" hidden="false" customHeight="false" outlineLevel="0" collapsed="false">
      <c r="A190" s="7" t="s">
        <v>198</v>
      </c>
      <c r="B190" s="7" t="n">
        <v>10</v>
      </c>
      <c r="C190" s="9" t="n">
        <v>0</v>
      </c>
      <c r="D190" s="9" t="n">
        <v>0</v>
      </c>
      <c r="E190" s="9" t="n">
        <v>0</v>
      </c>
      <c r="F190" s="9" t="n">
        <v>0</v>
      </c>
      <c r="G190" s="9" t="n">
        <v>0</v>
      </c>
      <c r="H190" s="9" t="n">
        <v>0</v>
      </c>
      <c r="I190" s="9" t="n">
        <v>0</v>
      </c>
      <c r="J190" s="9" t="n">
        <v>0</v>
      </c>
    </row>
    <row r="191" customFormat="false" ht="15.75" hidden="false" customHeight="false" outlineLevel="0" collapsed="false">
      <c r="A191" s="7" t="s">
        <v>199</v>
      </c>
      <c r="B191" s="7" t="n">
        <v>10</v>
      </c>
      <c r="C191" s="9" t="n">
        <v>77660</v>
      </c>
      <c r="D191" s="9" t="n">
        <v>0</v>
      </c>
      <c r="E191" s="9" t="n">
        <v>24</v>
      </c>
      <c r="F191" s="9" t="n">
        <v>588888</v>
      </c>
      <c r="G191" s="9" t="n">
        <v>0</v>
      </c>
      <c r="H191" s="9" t="n">
        <v>0</v>
      </c>
      <c r="I191" s="9" t="n">
        <v>77684</v>
      </c>
      <c r="J191" s="9" t="n">
        <v>588888</v>
      </c>
    </row>
    <row r="192" customFormat="false" ht="15.75" hidden="false" customHeight="false" outlineLevel="0" collapsed="false">
      <c r="A192" s="7" t="s">
        <v>200</v>
      </c>
      <c r="B192" s="7" t="n">
        <v>10</v>
      </c>
      <c r="C192" s="9" t="n">
        <v>72</v>
      </c>
      <c r="D192" s="9" t="n">
        <v>504000</v>
      </c>
      <c r="E192" s="9" t="n">
        <v>72</v>
      </c>
      <c r="F192" s="9" t="n">
        <v>533304</v>
      </c>
      <c r="G192" s="9" t="n">
        <v>0</v>
      </c>
      <c r="H192" s="9" t="n">
        <v>0</v>
      </c>
      <c r="I192" s="9" t="n">
        <v>144</v>
      </c>
      <c r="J192" s="9" t="n">
        <v>1037304</v>
      </c>
    </row>
    <row r="193" customFormat="false" ht="15.75" hidden="false" customHeight="false" outlineLevel="0" collapsed="false">
      <c r="A193" s="7" t="s">
        <v>201</v>
      </c>
      <c r="B193" s="7" t="n">
        <v>10</v>
      </c>
      <c r="C193" s="9" t="n">
        <v>1200</v>
      </c>
      <c r="D193" s="9" t="n">
        <v>18555514</v>
      </c>
      <c r="E193" s="9" t="n">
        <v>540</v>
      </c>
      <c r="F193" s="9" t="n">
        <v>8750160</v>
      </c>
      <c r="G193" s="9" t="n">
        <v>540</v>
      </c>
      <c r="H193" s="9" t="n">
        <v>8474175</v>
      </c>
      <c r="I193" s="9" t="n">
        <v>1200</v>
      </c>
      <c r="J193" s="9" t="n">
        <v>18831499</v>
      </c>
    </row>
    <row r="194" customFormat="false" ht="15.75" hidden="false" customHeight="false" outlineLevel="0" collapsed="false">
      <c r="A194" s="7" t="s">
        <v>202</v>
      </c>
      <c r="B194" s="7" t="n">
        <v>10</v>
      </c>
      <c r="C194" s="9" t="n">
        <v>0</v>
      </c>
      <c r="D194" s="9" t="n">
        <v>0</v>
      </c>
      <c r="E194" s="9" t="n">
        <v>80</v>
      </c>
      <c r="F194" s="9" t="n">
        <v>2000000</v>
      </c>
      <c r="G194" s="9" t="n">
        <v>80</v>
      </c>
      <c r="H194" s="9" t="n">
        <v>2000000</v>
      </c>
      <c r="I194" s="9" t="n">
        <v>0</v>
      </c>
      <c r="J194" s="9" t="n">
        <v>0</v>
      </c>
    </row>
    <row r="195" customFormat="false" ht="15.75" hidden="false" customHeight="false" outlineLevel="0" collapsed="false">
      <c r="A195" s="7" t="s">
        <v>203</v>
      </c>
      <c r="B195" s="7" t="n">
        <v>10</v>
      </c>
      <c r="C195" s="9" t="n">
        <v>5622</v>
      </c>
      <c r="D195" s="9" t="n">
        <v>63078340</v>
      </c>
      <c r="E195" s="9" t="n">
        <v>432</v>
      </c>
      <c r="F195" s="9" t="n">
        <v>5070384</v>
      </c>
      <c r="G195" s="9" t="n">
        <v>1200</v>
      </c>
      <c r="H195" s="9" t="n">
        <v>13508171</v>
      </c>
      <c r="I195" s="9" t="n">
        <v>4854</v>
      </c>
      <c r="J195" s="9" t="n">
        <v>54640553</v>
      </c>
    </row>
    <row r="196" customFormat="false" ht="15.75" hidden="false" customHeight="false" outlineLevel="0" collapsed="false">
      <c r="A196" s="7" t="s">
        <v>204</v>
      </c>
      <c r="B196" s="7" t="n">
        <v>10</v>
      </c>
      <c r="C196" s="9" t="n">
        <v>7875</v>
      </c>
      <c r="D196" s="9" t="n">
        <v>232720394</v>
      </c>
      <c r="E196" s="9" t="n">
        <v>360</v>
      </c>
      <c r="F196" s="9" t="n">
        <v>0</v>
      </c>
      <c r="G196" s="9" t="n">
        <v>3630</v>
      </c>
      <c r="H196" s="9" t="n">
        <v>102583489</v>
      </c>
      <c r="I196" s="9" t="n">
        <v>4605</v>
      </c>
      <c r="J196" s="9" t="n">
        <v>130136905</v>
      </c>
    </row>
    <row r="197" customFormat="false" ht="15.75" hidden="false" customHeight="false" outlineLevel="0" collapsed="false">
      <c r="A197" s="7" t="s">
        <v>205</v>
      </c>
      <c r="B197" s="7" t="n">
        <v>10</v>
      </c>
      <c r="C197" s="9" t="n">
        <v>920</v>
      </c>
      <c r="D197" s="9" t="n">
        <v>55000773</v>
      </c>
      <c r="E197" s="9" t="n">
        <v>0</v>
      </c>
      <c r="F197" s="9" t="n">
        <v>0</v>
      </c>
      <c r="G197" s="9" t="n">
        <v>100</v>
      </c>
      <c r="H197" s="9" t="n">
        <v>5978345</v>
      </c>
      <c r="I197" s="9" t="n">
        <v>820</v>
      </c>
      <c r="J197" s="9" t="n">
        <v>49022428</v>
      </c>
    </row>
    <row r="198" customFormat="false" ht="15.75" hidden="false" customHeight="false" outlineLevel="0" collapsed="false">
      <c r="A198" s="7" t="s">
        <v>206</v>
      </c>
      <c r="B198" s="7" t="n">
        <v>10</v>
      </c>
      <c r="C198" s="9" t="n">
        <v>1052</v>
      </c>
      <c r="D198" s="9" t="n">
        <v>33474951</v>
      </c>
      <c r="E198" s="9" t="n">
        <v>96</v>
      </c>
      <c r="F198" s="9" t="n">
        <v>3154906</v>
      </c>
      <c r="G198" s="9" t="n">
        <v>30</v>
      </c>
      <c r="H198" s="9" t="n">
        <v>957226</v>
      </c>
      <c r="I198" s="9" t="n">
        <v>1118</v>
      </c>
      <c r="J198" s="9" t="n">
        <v>35672631</v>
      </c>
    </row>
    <row r="199" customFormat="false" ht="15.75" hidden="false" customHeight="false" outlineLevel="0" collapsed="false">
      <c r="A199" s="7" t="s">
        <v>207</v>
      </c>
      <c r="B199" s="7" t="n">
        <v>10</v>
      </c>
      <c r="C199" s="9" t="n">
        <v>1764</v>
      </c>
      <c r="D199" s="9" t="n">
        <v>3828179</v>
      </c>
      <c r="E199" s="9" t="n">
        <v>0</v>
      </c>
      <c r="F199" s="9" t="n">
        <v>0</v>
      </c>
      <c r="G199" s="9" t="n">
        <v>80</v>
      </c>
      <c r="H199" s="9" t="n">
        <v>173614</v>
      </c>
      <c r="I199" s="9" t="n">
        <v>1684</v>
      </c>
      <c r="J199" s="9" t="n">
        <v>3654565</v>
      </c>
    </row>
    <row r="200" customFormat="false" ht="15.75" hidden="false" customHeight="false" outlineLevel="0" collapsed="false">
      <c r="A200" s="7" t="s">
        <v>208</v>
      </c>
      <c r="B200" s="7" t="n">
        <v>10</v>
      </c>
      <c r="C200" s="9" t="n">
        <v>13</v>
      </c>
      <c r="D200" s="9" t="n">
        <v>107765</v>
      </c>
      <c r="E200" s="9" t="n">
        <v>0</v>
      </c>
      <c r="F200" s="9" t="n">
        <v>0</v>
      </c>
      <c r="G200" s="9" t="n">
        <v>0</v>
      </c>
      <c r="H200" s="9" t="n">
        <v>0</v>
      </c>
      <c r="I200" s="9" t="n">
        <v>13</v>
      </c>
      <c r="J200" s="9" t="n">
        <v>107765</v>
      </c>
    </row>
    <row r="201" customFormat="false" ht="15.75" hidden="false" customHeight="false" outlineLevel="0" collapsed="false">
      <c r="A201" s="7" t="s">
        <v>209</v>
      </c>
      <c r="B201" s="7" t="n">
        <v>10</v>
      </c>
      <c r="C201" s="9" t="n">
        <v>24</v>
      </c>
      <c r="D201" s="9" t="n">
        <v>1401840</v>
      </c>
      <c r="E201" s="9" t="n">
        <v>36</v>
      </c>
      <c r="F201" s="9" t="n">
        <v>2102760</v>
      </c>
      <c r="G201" s="9" t="n">
        <v>0</v>
      </c>
      <c r="H201" s="9" t="n">
        <v>0</v>
      </c>
      <c r="I201" s="9" t="n">
        <v>60</v>
      </c>
      <c r="J201" s="9" t="n">
        <v>3504600</v>
      </c>
    </row>
    <row r="202" customFormat="false" ht="15.75" hidden="false" customHeight="false" outlineLevel="0" collapsed="false">
      <c r="A202" s="7" t="s">
        <v>210</v>
      </c>
      <c r="B202" s="7" t="n">
        <v>10</v>
      </c>
      <c r="C202" s="9" t="n">
        <v>625</v>
      </c>
      <c r="D202" s="9" t="n">
        <v>6930861</v>
      </c>
      <c r="E202" s="9" t="n">
        <v>0</v>
      </c>
      <c r="F202" s="9" t="n">
        <v>0</v>
      </c>
      <c r="G202" s="9" t="n">
        <v>0</v>
      </c>
      <c r="H202" s="9" t="n">
        <v>0</v>
      </c>
      <c r="I202" s="9" t="n">
        <v>625</v>
      </c>
      <c r="J202" s="9" t="n">
        <v>6930861</v>
      </c>
    </row>
    <row r="203" customFormat="false" ht="15.75" hidden="false" customHeight="false" outlineLevel="0" collapsed="false">
      <c r="A203" s="7" t="s">
        <v>211</v>
      </c>
      <c r="B203" s="7" t="n">
        <v>10</v>
      </c>
      <c r="C203" s="9" t="n">
        <v>0</v>
      </c>
      <c r="D203" s="9" t="n">
        <v>0</v>
      </c>
      <c r="E203" s="9" t="n">
        <v>48</v>
      </c>
      <c r="F203" s="9" t="n">
        <v>711120</v>
      </c>
      <c r="G203" s="9" t="n">
        <v>0</v>
      </c>
      <c r="H203" s="9" t="n">
        <v>0</v>
      </c>
      <c r="I203" s="9" t="n">
        <v>48</v>
      </c>
      <c r="J203" s="9" t="n">
        <v>711120</v>
      </c>
    </row>
    <row r="204" customFormat="false" ht="15.75" hidden="false" customHeight="false" outlineLevel="0" collapsed="false">
      <c r="A204" s="7" t="s">
        <v>212</v>
      </c>
      <c r="B204" s="7" t="n">
        <v>10</v>
      </c>
      <c r="C204" s="9" t="n">
        <v>8517</v>
      </c>
      <c r="D204" s="9" t="n">
        <v>104576881</v>
      </c>
      <c r="E204" s="9" t="n">
        <v>1872</v>
      </c>
      <c r="F204" s="9" t="n">
        <v>23242752</v>
      </c>
      <c r="G204" s="9" t="n">
        <v>0</v>
      </c>
      <c r="H204" s="9" t="n">
        <v>0</v>
      </c>
      <c r="I204" s="9" t="n">
        <v>10389</v>
      </c>
      <c r="J204" s="9" t="n">
        <v>127819633</v>
      </c>
    </row>
    <row r="205" customFormat="false" ht="15.75" hidden="false" customHeight="false" outlineLevel="0" collapsed="false">
      <c r="A205" s="7" t="s">
        <v>213</v>
      </c>
      <c r="B205" s="7" t="n">
        <v>10</v>
      </c>
      <c r="C205" s="9" t="n">
        <v>5932</v>
      </c>
      <c r="D205" s="9" t="n">
        <v>118840834</v>
      </c>
      <c r="E205" s="9" t="n">
        <v>0</v>
      </c>
      <c r="F205" s="9" t="n">
        <v>0</v>
      </c>
      <c r="G205" s="9" t="n">
        <v>450</v>
      </c>
      <c r="H205" s="9" t="n">
        <v>9015235</v>
      </c>
      <c r="I205" s="9" t="n">
        <v>5482</v>
      </c>
      <c r="J205" s="9" t="n">
        <v>109825599</v>
      </c>
    </row>
    <row r="206" customFormat="false" ht="15.75" hidden="false" customHeight="false" outlineLevel="0" collapsed="false">
      <c r="A206" s="7" t="s">
        <v>214</v>
      </c>
      <c r="B206" s="7" t="n">
        <v>10</v>
      </c>
      <c r="C206" s="9" t="n">
        <v>14058</v>
      </c>
      <c r="D206" s="9" t="n">
        <v>314715377</v>
      </c>
      <c r="E206" s="9" t="n">
        <v>3902</v>
      </c>
      <c r="F206" s="9" t="n">
        <v>88696800</v>
      </c>
      <c r="G206" s="9" t="n">
        <v>5650</v>
      </c>
      <c r="H206" s="9" t="n">
        <v>126908619</v>
      </c>
      <c r="I206" s="9" t="n">
        <v>12310</v>
      </c>
      <c r="J206" s="9" t="n">
        <v>276503558</v>
      </c>
    </row>
    <row r="207" customFormat="false" ht="15.75" hidden="false" customHeight="false" outlineLevel="0" collapsed="false">
      <c r="A207" s="7" t="s">
        <v>215</v>
      </c>
      <c r="B207" s="7" t="n">
        <v>10</v>
      </c>
      <c r="C207" s="9" t="n">
        <v>4980</v>
      </c>
      <c r="D207" s="9" t="n">
        <v>199122417</v>
      </c>
      <c r="E207" s="9" t="n">
        <v>0</v>
      </c>
      <c r="F207" s="9" t="n">
        <v>0</v>
      </c>
      <c r="G207" s="9" t="n">
        <v>2100</v>
      </c>
      <c r="H207" s="9" t="n">
        <v>83967284</v>
      </c>
      <c r="I207" s="9" t="n">
        <v>2880</v>
      </c>
      <c r="J207" s="9" t="n">
        <v>115155133</v>
      </c>
    </row>
    <row r="208" customFormat="false" ht="15.75" hidden="false" customHeight="false" outlineLevel="0" collapsed="false">
      <c r="A208" s="7" t="s">
        <v>216</v>
      </c>
      <c r="B208" s="7" t="n">
        <v>10</v>
      </c>
      <c r="C208" s="9" t="n">
        <v>432</v>
      </c>
      <c r="D208" s="9" t="n">
        <v>7500816</v>
      </c>
      <c r="E208" s="9" t="n">
        <v>72</v>
      </c>
      <c r="F208" s="9" t="n">
        <v>1250136</v>
      </c>
      <c r="G208" s="9" t="n">
        <v>450</v>
      </c>
      <c r="H208" s="9" t="n">
        <v>7813350</v>
      </c>
      <c r="I208" s="9" t="n">
        <v>54</v>
      </c>
      <c r="J208" s="9" t="n">
        <v>937602</v>
      </c>
    </row>
    <row r="209" customFormat="false" ht="15.75" hidden="false" customHeight="false" outlineLevel="0" collapsed="false">
      <c r="A209" s="7" t="s">
        <v>217</v>
      </c>
      <c r="B209" s="7" t="n">
        <v>10</v>
      </c>
      <c r="C209" s="9" t="n">
        <v>10</v>
      </c>
      <c r="D209" s="9" t="n">
        <v>1775003</v>
      </c>
      <c r="E209" s="9" t="n">
        <v>0</v>
      </c>
      <c r="F209" s="9" t="n">
        <v>0</v>
      </c>
      <c r="G209" s="9" t="n">
        <v>0</v>
      </c>
      <c r="H209" s="9" t="n">
        <v>0</v>
      </c>
      <c r="I209" s="9" t="n">
        <v>10</v>
      </c>
      <c r="J209" s="9" t="n">
        <v>1775003</v>
      </c>
    </row>
    <row r="210" customFormat="false" ht="15.75" hidden="false" customHeight="false" outlineLevel="0" collapsed="false">
      <c r="A210" s="7" t="s">
        <v>218</v>
      </c>
      <c r="B210" s="7" t="n">
        <v>10</v>
      </c>
      <c r="C210" s="9" t="n">
        <v>0</v>
      </c>
      <c r="D210" s="9" t="n">
        <v>0</v>
      </c>
      <c r="E210" s="9" t="n">
        <v>0</v>
      </c>
      <c r="F210" s="9" t="n">
        <v>0</v>
      </c>
      <c r="G210" s="9" t="n">
        <v>0</v>
      </c>
      <c r="H210" s="9" t="n">
        <v>0</v>
      </c>
      <c r="I210" s="9" t="n">
        <v>0</v>
      </c>
      <c r="J210" s="9" t="n">
        <v>0</v>
      </c>
    </row>
    <row r="211" customFormat="false" ht="15.75" hidden="false" customHeight="false" outlineLevel="0" collapsed="false">
      <c r="A211" s="7" t="s">
        <v>219</v>
      </c>
      <c r="B211" s="7" t="n">
        <v>10</v>
      </c>
      <c r="C211" s="9" t="n">
        <v>0</v>
      </c>
      <c r="D211" s="9" t="n">
        <v>0</v>
      </c>
      <c r="E211" s="9" t="n">
        <v>0</v>
      </c>
      <c r="F211" s="9" t="n">
        <v>0</v>
      </c>
      <c r="G211" s="9" t="n">
        <v>0</v>
      </c>
      <c r="H211" s="9" t="n">
        <v>0</v>
      </c>
      <c r="I211" s="9" t="n">
        <v>0</v>
      </c>
      <c r="J211" s="9" t="n">
        <v>0</v>
      </c>
    </row>
    <row r="212" customFormat="false" ht="15.75" hidden="false" customHeight="false" outlineLevel="0" collapsed="false">
      <c r="A212" s="7" t="s">
        <v>220</v>
      </c>
      <c r="B212" s="7" t="n">
        <v>10</v>
      </c>
      <c r="C212" s="9" t="n">
        <v>0</v>
      </c>
      <c r="D212" s="9" t="n">
        <v>0</v>
      </c>
      <c r="E212" s="9" t="n">
        <v>72</v>
      </c>
      <c r="F212" s="9" t="n">
        <v>1847966</v>
      </c>
      <c r="G212" s="9" t="n">
        <v>0</v>
      </c>
      <c r="H212" s="9" t="n">
        <v>0</v>
      </c>
      <c r="I212" s="9" t="n">
        <v>72</v>
      </c>
      <c r="J212" s="9" t="n">
        <v>1847966</v>
      </c>
    </row>
    <row r="213" customFormat="false" ht="15.75" hidden="false" customHeight="false" outlineLevel="0" collapsed="false">
      <c r="A213" s="7" t="s">
        <v>221</v>
      </c>
      <c r="B213" s="7" t="n">
        <v>10</v>
      </c>
      <c r="C213" s="9" t="n">
        <v>2954</v>
      </c>
      <c r="D213" s="9" t="n">
        <v>57721997</v>
      </c>
      <c r="E213" s="9" t="n">
        <v>864</v>
      </c>
      <c r="F213" s="9" t="n">
        <v>17013024</v>
      </c>
      <c r="G213" s="9" t="n">
        <v>0</v>
      </c>
      <c r="H213" s="9" t="n">
        <v>0</v>
      </c>
      <c r="I213" s="9" t="n">
        <v>3818</v>
      </c>
      <c r="J213" s="9" t="n">
        <v>74735021</v>
      </c>
    </row>
    <row r="214" customFormat="false" ht="15.75" hidden="false" customHeight="false" outlineLevel="0" collapsed="false">
      <c r="A214" s="7" t="s">
        <v>222</v>
      </c>
      <c r="B214" s="7" t="n">
        <v>10</v>
      </c>
      <c r="C214" s="9" t="n">
        <v>1076</v>
      </c>
      <c r="D214" s="9" t="n">
        <v>23090763</v>
      </c>
      <c r="E214" s="9" t="n">
        <v>0</v>
      </c>
      <c r="F214" s="9" t="n">
        <v>0</v>
      </c>
      <c r="G214" s="9" t="n">
        <v>0</v>
      </c>
      <c r="H214" s="9" t="n">
        <v>0</v>
      </c>
      <c r="I214" s="9" t="n">
        <v>1076</v>
      </c>
      <c r="J214" s="9" t="n">
        <v>23090763</v>
      </c>
    </row>
    <row r="215" customFormat="false" ht="15.75" hidden="false" customHeight="false" outlineLevel="0" collapsed="false">
      <c r="A215" s="7" t="s">
        <v>223</v>
      </c>
      <c r="B215" s="7" t="n">
        <v>10</v>
      </c>
      <c r="C215" s="9" t="n">
        <v>1105</v>
      </c>
      <c r="D215" s="9" t="n">
        <v>47790304</v>
      </c>
      <c r="E215" s="9" t="n">
        <v>0</v>
      </c>
      <c r="F215" s="9" t="n">
        <v>0</v>
      </c>
      <c r="G215" s="9" t="n">
        <v>0</v>
      </c>
      <c r="H215" s="9" t="n">
        <v>0</v>
      </c>
      <c r="I215" s="9" t="n">
        <v>1105</v>
      </c>
      <c r="J215" s="9" t="n">
        <v>47790304</v>
      </c>
    </row>
    <row r="216" customFormat="false" ht="15.75" hidden="false" customHeight="false" outlineLevel="0" collapsed="false">
      <c r="A216" s="7" t="s">
        <v>224</v>
      </c>
      <c r="B216" s="7" t="n">
        <v>10</v>
      </c>
      <c r="C216" s="9" t="n">
        <v>336</v>
      </c>
      <c r="D216" s="9" t="n">
        <v>6713952</v>
      </c>
      <c r="E216" s="9" t="n">
        <v>240</v>
      </c>
      <c r="F216" s="9" t="n">
        <v>4795680</v>
      </c>
      <c r="G216" s="9" t="n">
        <v>576</v>
      </c>
      <c r="H216" s="9" t="n">
        <v>11509632</v>
      </c>
      <c r="I216" s="9" t="n">
        <v>0</v>
      </c>
      <c r="J216" s="9" t="n">
        <v>0</v>
      </c>
    </row>
    <row r="217" customFormat="false" ht="15.75" hidden="false" customHeight="false" outlineLevel="0" collapsed="false">
      <c r="A217" s="7" t="s">
        <v>225</v>
      </c>
      <c r="B217" s="7" t="n">
        <v>10</v>
      </c>
      <c r="C217" s="9" t="n">
        <v>72</v>
      </c>
      <c r="D217" s="9" t="n">
        <v>1510639</v>
      </c>
      <c r="E217" s="9" t="n">
        <v>144</v>
      </c>
      <c r="F217" s="9" t="n">
        <v>3021278</v>
      </c>
      <c r="G217" s="9" t="n">
        <v>0</v>
      </c>
      <c r="H217" s="9" t="n">
        <v>0</v>
      </c>
      <c r="I217" s="9" t="n">
        <v>216</v>
      </c>
      <c r="J217" s="9" t="n">
        <v>4531917</v>
      </c>
    </row>
    <row r="218" customFormat="false" ht="15.75" hidden="false" customHeight="false" outlineLevel="0" collapsed="false">
      <c r="A218" s="7" t="s">
        <v>226</v>
      </c>
      <c r="B218" s="7" t="n">
        <v>10</v>
      </c>
      <c r="C218" s="9" t="n">
        <v>360</v>
      </c>
      <c r="D218" s="9" t="n">
        <v>7553196</v>
      </c>
      <c r="E218" s="9" t="n">
        <v>0</v>
      </c>
      <c r="F218" s="9" t="n">
        <v>0</v>
      </c>
      <c r="G218" s="9" t="n">
        <v>0</v>
      </c>
      <c r="H218" s="9" t="n">
        <v>0</v>
      </c>
      <c r="I218" s="9" t="n">
        <v>360</v>
      </c>
      <c r="J218" s="9" t="n">
        <v>7553196</v>
      </c>
    </row>
    <row r="219" customFormat="false" ht="15.75" hidden="false" customHeight="false" outlineLevel="0" collapsed="false">
      <c r="A219" s="7" t="s">
        <v>227</v>
      </c>
      <c r="B219" s="7" t="n">
        <v>10</v>
      </c>
      <c r="C219" s="9" t="n">
        <v>490</v>
      </c>
      <c r="D219" s="9" t="n">
        <v>0</v>
      </c>
      <c r="E219" s="9" t="n">
        <v>0</v>
      </c>
      <c r="F219" s="9" t="n">
        <v>0</v>
      </c>
      <c r="G219" s="9" t="n">
        <v>0</v>
      </c>
      <c r="H219" s="9" t="n">
        <v>0</v>
      </c>
      <c r="I219" s="9" t="n">
        <v>490</v>
      </c>
      <c r="J219" s="9" t="n">
        <v>0</v>
      </c>
    </row>
    <row r="220" customFormat="false" ht="15.75" hidden="false" customHeight="false" outlineLevel="0" collapsed="false">
      <c r="A220" s="7" t="s">
        <v>228</v>
      </c>
      <c r="B220" s="7" t="n">
        <v>10</v>
      </c>
      <c r="C220" s="9" t="n">
        <v>1031</v>
      </c>
      <c r="D220" s="9" t="n">
        <v>91211959</v>
      </c>
      <c r="E220" s="9" t="n">
        <v>20</v>
      </c>
      <c r="F220" s="9" t="n">
        <v>1756160</v>
      </c>
      <c r="G220" s="9" t="n">
        <v>0</v>
      </c>
      <c r="H220" s="9" t="n">
        <v>0</v>
      </c>
      <c r="I220" s="9" t="n">
        <v>1051</v>
      </c>
      <c r="J220" s="9" t="n">
        <v>92968119</v>
      </c>
    </row>
    <row r="221" customFormat="false" ht="15.75" hidden="false" customHeight="false" outlineLevel="0" collapsed="false">
      <c r="A221" s="7" t="s">
        <v>229</v>
      </c>
      <c r="B221" s="7" t="n">
        <v>10</v>
      </c>
      <c r="C221" s="9" t="n">
        <v>2366</v>
      </c>
      <c r="D221" s="9" t="n">
        <v>213502780</v>
      </c>
      <c r="E221" s="9" t="n">
        <v>382</v>
      </c>
      <c r="F221" s="9" t="n">
        <v>33995416</v>
      </c>
      <c r="G221" s="9" t="n">
        <v>371</v>
      </c>
      <c r="H221" s="9" t="n">
        <v>33414058</v>
      </c>
      <c r="I221" s="9" t="n">
        <v>2377</v>
      </c>
      <c r="J221" s="9" t="n">
        <v>214084138</v>
      </c>
    </row>
    <row r="222" customFormat="false" ht="15.75" hidden="false" customHeight="false" outlineLevel="0" collapsed="false">
      <c r="A222" s="7" t="s">
        <v>230</v>
      </c>
      <c r="B222" s="7" t="n">
        <v>10</v>
      </c>
      <c r="C222" s="9" t="n">
        <v>688</v>
      </c>
      <c r="D222" s="9" t="n">
        <v>44836960</v>
      </c>
      <c r="E222" s="9" t="n">
        <v>691</v>
      </c>
      <c r="F222" s="9" t="n">
        <v>41708800</v>
      </c>
      <c r="G222" s="9" t="n">
        <v>510</v>
      </c>
      <c r="H222" s="9" t="n">
        <v>32007496</v>
      </c>
      <c r="I222" s="9" t="n">
        <v>869</v>
      </c>
      <c r="J222" s="9" t="n">
        <v>54538264</v>
      </c>
    </row>
    <row r="223" customFormat="false" ht="15.75" hidden="false" customHeight="false" outlineLevel="0" collapsed="false">
      <c r="A223" s="7" t="s">
        <v>231</v>
      </c>
      <c r="B223" s="7" t="n">
        <v>10</v>
      </c>
      <c r="C223" s="9" t="n">
        <v>0</v>
      </c>
      <c r="D223" s="9" t="n">
        <v>0</v>
      </c>
      <c r="E223" s="9" t="n">
        <v>0</v>
      </c>
      <c r="F223" s="9" t="n">
        <v>0</v>
      </c>
      <c r="G223" s="9" t="n">
        <v>0</v>
      </c>
      <c r="H223" s="9" t="n">
        <v>0</v>
      </c>
      <c r="I223" s="9" t="n">
        <v>0</v>
      </c>
      <c r="J223" s="9" t="n">
        <v>0</v>
      </c>
    </row>
    <row r="224" customFormat="false" ht="15.75" hidden="false" customHeight="false" outlineLevel="0" collapsed="false">
      <c r="A224" s="7" t="s">
        <v>232</v>
      </c>
      <c r="B224" s="7" t="n">
        <v>10</v>
      </c>
      <c r="C224" s="9" t="n">
        <v>1263</v>
      </c>
      <c r="D224" s="9" t="n">
        <v>76699933</v>
      </c>
      <c r="E224" s="9" t="n">
        <v>338</v>
      </c>
      <c r="F224" s="9" t="n">
        <v>20325984</v>
      </c>
      <c r="G224" s="9" t="n">
        <v>600</v>
      </c>
      <c r="H224" s="9" t="n">
        <v>36361993</v>
      </c>
      <c r="I224" s="9" t="n">
        <v>1001</v>
      </c>
      <c r="J224" s="9" t="n">
        <v>60663924</v>
      </c>
    </row>
    <row r="225" customFormat="false" ht="15.75" hidden="false" customHeight="false" outlineLevel="0" collapsed="false">
      <c r="A225" s="7" t="s">
        <v>233</v>
      </c>
      <c r="B225" s="7" t="n">
        <v>10</v>
      </c>
      <c r="C225" s="9" t="n">
        <v>2928</v>
      </c>
      <c r="D225" s="9" t="n">
        <v>170277232</v>
      </c>
      <c r="E225" s="9" t="n">
        <v>1611</v>
      </c>
      <c r="F225" s="9" t="n">
        <v>87808000</v>
      </c>
      <c r="G225" s="9" t="n">
        <v>2160</v>
      </c>
      <c r="H225" s="9" t="n">
        <v>122816502</v>
      </c>
      <c r="I225" s="9" t="n">
        <v>2379</v>
      </c>
      <c r="J225" s="9" t="n">
        <v>135268730</v>
      </c>
    </row>
    <row r="226" customFormat="false" ht="15.75" hidden="false" customHeight="false" outlineLevel="0" collapsed="false">
      <c r="A226" s="7" t="s">
        <v>234</v>
      </c>
      <c r="B226" s="7" t="n">
        <v>10</v>
      </c>
      <c r="C226" s="9" t="n">
        <v>20975</v>
      </c>
      <c r="D226" s="9" t="n">
        <v>1181186246</v>
      </c>
      <c r="E226" s="9" t="n">
        <v>11712</v>
      </c>
      <c r="F226" s="9" t="n">
        <v>631435560</v>
      </c>
      <c r="G226" s="9" t="n">
        <v>14971</v>
      </c>
      <c r="H226" s="9" t="n">
        <v>830200418</v>
      </c>
      <c r="I226" s="9" t="n">
        <v>17716</v>
      </c>
      <c r="J226" s="9" t="n">
        <v>982421388</v>
      </c>
    </row>
    <row r="227" customFormat="false" ht="15.75" hidden="false" customHeight="false" outlineLevel="0" collapsed="false">
      <c r="A227" s="7" t="s">
        <v>235</v>
      </c>
      <c r="B227" s="7" t="n">
        <v>10</v>
      </c>
      <c r="C227" s="9" t="n">
        <v>294</v>
      </c>
      <c r="D227" s="9" t="n">
        <v>20602700</v>
      </c>
      <c r="E227" s="9" t="n">
        <v>144</v>
      </c>
      <c r="F227" s="9" t="n">
        <v>10160640</v>
      </c>
      <c r="G227" s="9" t="n">
        <v>0</v>
      </c>
      <c r="H227" s="9" t="n">
        <v>0</v>
      </c>
      <c r="I227" s="9" t="n">
        <v>438</v>
      </c>
      <c r="J227" s="9" t="n">
        <v>30763340</v>
      </c>
    </row>
    <row r="228" customFormat="false" ht="15.75" hidden="false" customHeight="false" outlineLevel="0" collapsed="false">
      <c r="A228" s="7" t="s">
        <v>236</v>
      </c>
      <c r="B228" s="7" t="n">
        <v>10</v>
      </c>
      <c r="C228" s="9" t="n">
        <v>0</v>
      </c>
      <c r="D228" s="9" t="n">
        <v>0</v>
      </c>
      <c r="E228" s="9" t="n">
        <v>42</v>
      </c>
      <c r="F228" s="9" t="n">
        <v>2693922</v>
      </c>
      <c r="G228" s="9" t="n">
        <v>0</v>
      </c>
      <c r="H228" s="9" t="n">
        <v>0</v>
      </c>
      <c r="I228" s="9" t="n">
        <v>42</v>
      </c>
      <c r="J228" s="9" t="n">
        <v>2693922</v>
      </c>
    </row>
    <row r="229" customFormat="false" ht="15.75" hidden="false" customHeight="false" outlineLevel="0" collapsed="false">
      <c r="A229" s="7" t="s">
        <v>237</v>
      </c>
      <c r="B229" s="7" t="n">
        <v>10</v>
      </c>
      <c r="C229" s="9" t="n">
        <v>257</v>
      </c>
      <c r="D229" s="9" t="n">
        <v>2097921</v>
      </c>
      <c r="E229" s="9" t="n">
        <v>0</v>
      </c>
      <c r="F229" s="9" t="n">
        <v>0</v>
      </c>
      <c r="G229" s="9" t="n">
        <v>0</v>
      </c>
      <c r="H229" s="9" t="n">
        <v>0</v>
      </c>
      <c r="I229" s="9" t="n">
        <v>257</v>
      </c>
      <c r="J229" s="9" t="n">
        <v>2097921</v>
      </c>
    </row>
    <row r="230" customFormat="false" ht="15.75" hidden="false" customHeight="false" outlineLevel="0" collapsed="false">
      <c r="A230" s="7" t="s">
        <v>238</v>
      </c>
      <c r="B230" s="7" t="n">
        <v>10</v>
      </c>
      <c r="C230" s="9" t="n">
        <v>1497</v>
      </c>
      <c r="D230" s="9" t="n">
        <v>85474476</v>
      </c>
      <c r="E230" s="9" t="n">
        <v>245</v>
      </c>
      <c r="F230" s="9" t="n">
        <v>13474996</v>
      </c>
      <c r="G230" s="9" t="n">
        <v>800</v>
      </c>
      <c r="H230" s="9" t="n">
        <v>45441778</v>
      </c>
      <c r="I230" s="9" t="n">
        <v>942</v>
      </c>
      <c r="J230" s="9" t="n">
        <v>53507694</v>
      </c>
    </row>
    <row r="231" customFormat="false" ht="15.75" hidden="false" customHeight="false" outlineLevel="0" collapsed="false">
      <c r="A231" s="7" t="s">
        <v>239</v>
      </c>
      <c r="B231" s="7" t="n">
        <v>10</v>
      </c>
      <c r="C231" s="9" t="n">
        <v>0</v>
      </c>
      <c r="D231" s="9" t="n">
        <v>0</v>
      </c>
      <c r="E231" s="9" t="n">
        <v>0</v>
      </c>
      <c r="F231" s="9" t="n">
        <v>0</v>
      </c>
      <c r="G231" s="9" t="n">
        <v>0</v>
      </c>
      <c r="H231" s="9" t="n">
        <v>0</v>
      </c>
      <c r="I231" s="9" t="n">
        <v>0</v>
      </c>
      <c r="J231" s="9" t="n">
        <v>0</v>
      </c>
    </row>
    <row r="232" customFormat="false" ht="15.75" hidden="false" customHeight="false" outlineLevel="0" collapsed="false">
      <c r="A232" s="7" t="s">
        <v>240</v>
      </c>
      <c r="B232" s="7" t="n">
        <v>10</v>
      </c>
      <c r="C232" s="9" t="n">
        <v>1648</v>
      </c>
      <c r="D232" s="9" t="n">
        <v>154137877</v>
      </c>
      <c r="E232" s="9" t="n">
        <v>1085</v>
      </c>
      <c r="F232" s="9" t="n">
        <v>101438820</v>
      </c>
      <c r="G232" s="9" t="n">
        <v>2585</v>
      </c>
      <c r="H232" s="9" t="n">
        <v>241736466</v>
      </c>
      <c r="I232" s="9" t="n">
        <v>148</v>
      </c>
      <c r="J232" s="9" t="n">
        <v>13840231</v>
      </c>
    </row>
    <row r="233" customFormat="false" ht="15.75" hidden="false" customHeight="false" outlineLevel="0" collapsed="false">
      <c r="A233" s="7" t="s">
        <v>241</v>
      </c>
      <c r="B233" s="7" t="n">
        <v>10</v>
      </c>
      <c r="C233" s="9" t="n">
        <v>860</v>
      </c>
      <c r="D233" s="9" t="n">
        <v>64289267</v>
      </c>
      <c r="E233" s="9" t="n">
        <v>389</v>
      </c>
      <c r="F233" s="9" t="n">
        <v>29513484</v>
      </c>
      <c r="G233" s="9" t="n">
        <v>376</v>
      </c>
      <c r="H233" s="9" t="n">
        <v>28238458</v>
      </c>
      <c r="I233" s="9" t="n">
        <v>873</v>
      </c>
      <c r="J233" s="9" t="n">
        <v>65564293</v>
      </c>
    </row>
    <row r="234" customFormat="false" ht="15.75" hidden="false" customHeight="false" outlineLevel="0" collapsed="false">
      <c r="A234" s="7" t="s">
        <v>242</v>
      </c>
      <c r="B234" s="7" t="n">
        <v>10</v>
      </c>
      <c r="C234" s="9" t="n">
        <v>208</v>
      </c>
      <c r="D234" s="9" t="n">
        <v>14547821</v>
      </c>
      <c r="E234" s="9" t="n">
        <v>22</v>
      </c>
      <c r="F234" s="9" t="n">
        <v>1518804</v>
      </c>
      <c r="G234" s="9" t="n">
        <v>42</v>
      </c>
      <c r="H234" s="9" t="n">
        <v>2933905</v>
      </c>
      <c r="I234" s="9" t="n">
        <v>188</v>
      </c>
      <c r="J234" s="9" t="n">
        <v>13132720</v>
      </c>
    </row>
    <row r="235" customFormat="false" ht="15.75" hidden="false" customHeight="false" outlineLevel="0" collapsed="false">
      <c r="A235" s="7" t="s">
        <v>243</v>
      </c>
      <c r="B235" s="7" t="n">
        <v>10</v>
      </c>
      <c r="C235" s="9" t="n">
        <v>1712</v>
      </c>
      <c r="D235" s="9" t="n">
        <v>158193247</v>
      </c>
      <c r="E235" s="9" t="n">
        <v>96</v>
      </c>
      <c r="F235" s="9" t="n">
        <v>8498854</v>
      </c>
      <c r="G235" s="9" t="n">
        <v>196</v>
      </c>
      <c r="H235" s="9" t="n">
        <v>18070604</v>
      </c>
      <c r="I235" s="9" t="n">
        <v>1612</v>
      </c>
      <c r="J235" s="9" t="n">
        <v>148621497</v>
      </c>
    </row>
    <row r="236" customFormat="false" ht="15.75" hidden="false" customHeight="false" outlineLevel="0" collapsed="false">
      <c r="A236" s="7" t="s">
        <v>244</v>
      </c>
      <c r="B236" s="7" t="n">
        <v>10</v>
      </c>
      <c r="C236" s="9" t="n">
        <v>44</v>
      </c>
      <c r="D236" s="9" t="n">
        <v>3863552</v>
      </c>
      <c r="E236" s="9" t="n">
        <v>4</v>
      </c>
      <c r="F236" s="9" t="n">
        <v>351232</v>
      </c>
      <c r="G236" s="9" t="n">
        <v>0</v>
      </c>
      <c r="H236" s="9" t="n">
        <v>0</v>
      </c>
      <c r="I236" s="9" t="n">
        <v>48</v>
      </c>
      <c r="J236" s="9" t="n">
        <v>4214784</v>
      </c>
    </row>
    <row r="237" customFormat="false" ht="15.75" hidden="false" customHeight="false" outlineLevel="0" collapsed="false">
      <c r="A237" s="7" t="s">
        <v>245</v>
      </c>
      <c r="B237" s="7" t="n">
        <v>10</v>
      </c>
      <c r="C237" s="9" t="n">
        <v>0</v>
      </c>
      <c r="D237" s="9" t="n">
        <v>0</v>
      </c>
      <c r="E237" s="9" t="n">
        <v>0</v>
      </c>
      <c r="F237" s="9" t="n">
        <v>0</v>
      </c>
      <c r="G237" s="9" t="n">
        <v>0</v>
      </c>
      <c r="H237" s="9" t="n">
        <v>0</v>
      </c>
      <c r="I237" s="9" t="n">
        <v>0</v>
      </c>
      <c r="J237" s="9" t="n">
        <v>0</v>
      </c>
    </row>
    <row r="238" customFormat="false" ht="15.75" hidden="false" customHeight="false" outlineLevel="0" collapsed="false">
      <c r="A238" s="7" t="s">
        <v>246</v>
      </c>
      <c r="B238" s="7" t="n">
        <v>10</v>
      </c>
      <c r="C238" s="9" t="n">
        <v>6133</v>
      </c>
      <c r="D238" s="9" t="n">
        <v>43713203</v>
      </c>
      <c r="E238" s="9" t="n">
        <v>960</v>
      </c>
      <c r="F238" s="9" t="n">
        <v>6842439</v>
      </c>
      <c r="G238" s="9" t="n">
        <v>2</v>
      </c>
      <c r="H238" s="9" t="n">
        <v>14255</v>
      </c>
      <c r="I238" s="9" t="n">
        <v>7091</v>
      </c>
      <c r="J238" s="9" t="n">
        <v>50541387</v>
      </c>
    </row>
    <row r="239" customFormat="false" ht="15.75" hidden="false" customHeight="false" outlineLevel="0" collapsed="false">
      <c r="A239" s="7" t="s">
        <v>247</v>
      </c>
      <c r="B239" s="7" t="n">
        <v>10</v>
      </c>
      <c r="C239" s="9" t="n">
        <v>38376</v>
      </c>
      <c r="D239" s="9" t="n">
        <v>254394040</v>
      </c>
      <c r="E239" s="9" t="n">
        <v>1920</v>
      </c>
      <c r="F239" s="9" t="n">
        <v>13684877</v>
      </c>
      <c r="G239" s="9" t="n">
        <v>40</v>
      </c>
      <c r="H239" s="9" t="n">
        <v>266110</v>
      </c>
      <c r="I239" s="9" t="n">
        <v>40256</v>
      </c>
      <c r="J239" s="9" t="n">
        <v>267812807</v>
      </c>
    </row>
    <row r="240" customFormat="false" ht="15.75" hidden="false" customHeight="false" outlineLevel="0" collapsed="false">
      <c r="A240" s="7" t="s">
        <v>248</v>
      </c>
      <c r="B240" s="7" t="n">
        <v>10</v>
      </c>
      <c r="C240" s="9" t="n">
        <v>264</v>
      </c>
      <c r="D240" s="9" t="n">
        <v>1881670</v>
      </c>
      <c r="E240" s="9" t="n">
        <v>126</v>
      </c>
      <c r="F240" s="9" t="n">
        <v>0</v>
      </c>
      <c r="G240" s="9" t="n">
        <v>0</v>
      </c>
      <c r="H240" s="9" t="n">
        <v>0</v>
      </c>
      <c r="I240" s="9" t="n">
        <v>390</v>
      </c>
      <c r="J240" s="9" t="n">
        <v>1881670</v>
      </c>
    </row>
    <row r="241" customFormat="false" ht="15.75" hidden="false" customHeight="false" outlineLevel="0" collapsed="false">
      <c r="A241" s="7" t="s">
        <v>249</v>
      </c>
      <c r="B241" s="7" t="n">
        <v>10</v>
      </c>
      <c r="C241" s="9" t="n">
        <v>281</v>
      </c>
      <c r="D241" s="9" t="n">
        <v>2002839</v>
      </c>
      <c r="E241" s="9" t="n">
        <v>145</v>
      </c>
      <c r="F241" s="9" t="n">
        <v>0</v>
      </c>
      <c r="G241" s="9" t="n">
        <v>0</v>
      </c>
      <c r="H241" s="9" t="n">
        <v>0</v>
      </c>
      <c r="I241" s="9" t="n">
        <v>426</v>
      </c>
      <c r="J241" s="9" t="n">
        <v>2002839</v>
      </c>
    </row>
    <row r="242" customFormat="false" ht="15.75" hidden="false" customHeight="false" outlineLevel="0" collapsed="false">
      <c r="A242" s="7" t="s">
        <v>250</v>
      </c>
      <c r="B242" s="7" t="n">
        <v>10</v>
      </c>
      <c r="C242" s="9" t="n">
        <v>13734</v>
      </c>
      <c r="D242" s="9" t="n">
        <v>149830394</v>
      </c>
      <c r="E242" s="9" t="n">
        <v>1680</v>
      </c>
      <c r="F242" s="9" t="n">
        <v>11974267</v>
      </c>
      <c r="G242" s="9" t="n">
        <v>53</v>
      </c>
      <c r="H242" s="9" t="n">
        <v>556354</v>
      </c>
      <c r="I242" s="9" t="n">
        <v>15361</v>
      </c>
      <c r="J242" s="9" t="n">
        <v>161248307</v>
      </c>
    </row>
    <row r="243" customFormat="false" ht="15.75" hidden="false" customHeight="false" outlineLevel="0" collapsed="false">
      <c r="A243" s="7" t="s">
        <v>251</v>
      </c>
      <c r="B243" s="7" t="n">
        <v>10</v>
      </c>
      <c r="C243" s="9" t="n">
        <v>0</v>
      </c>
      <c r="D243" s="9" t="n">
        <v>0</v>
      </c>
      <c r="E243" s="9" t="n">
        <v>0</v>
      </c>
      <c r="F243" s="9" t="n">
        <v>0</v>
      </c>
      <c r="G243" s="9" t="n">
        <v>0</v>
      </c>
      <c r="H243" s="9" t="n">
        <v>0</v>
      </c>
      <c r="I243" s="9" t="n">
        <v>0</v>
      </c>
      <c r="J243" s="9" t="n">
        <v>0</v>
      </c>
    </row>
    <row r="244" customFormat="false" ht="15.75" hidden="false" customHeight="false" outlineLevel="0" collapsed="false">
      <c r="A244" s="7" t="s">
        <v>252</v>
      </c>
      <c r="B244" s="7" t="n">
        <v>10</v>
      </c>
      <c r="C244" s="9" t="n">
        <v>0</v>
      </c>
      <c r="D244" s="9" t="n">
        <v>0</v>
      </c>
      <c r="E244" s="9" t="n">
        <v>0</v>
      </c>
      <c r="F244" s="9" t="n">
        <v>0</v>
      </c>
      <c r="G244" s="9" t="n">
        <v>0</v>
      </c>
      <c r="H244" s="9" t="n">
        <v>0</v>
      </c>
      <c r="I244" s="9" t="n">
        <v>0</v>
      </c>
      <c r="J244" s="9" t="n">
        <v>0</v>
      </c>
    </row>
    <row r="245" customFormat="false" ht="15.75" hidden="false" customHeight="false" outlineLevel="0" collapsed="false">
      <c r="A245" s="7" t="s">
        <v>253</v>
      </c>
      <c r="B245" s="7" t="n">
        <v>10</v>
      </c>
      <c r="C245" s="9" t="n">
        <v>0</v>
      </c>
      <c r="D245" s="9" t="n">
        <v>0</v>
      </c>
      <c r="E245" s="9" t="n">
        <v>0</v>
      </c>
      <c r="F245" s="9" t="n">
        <v>0</v>
      </c>
      <c r="G245" s="9" t="n">
        <v>0</v>
      </c>
      <c r="H245" s="9" t="n">
        <v>0</v>
      </c>
      <c r="I245" s="9" t="n">
        <v>0</v>
      </c>
      <c r="J245" s="9" t="n">
        <v>0</v>
      </c>
    </row>
    <row r="246" customFormat="false" ht="15.75" hidden="false" customHeight="false" outlineLevel="0" collapsed="false">
      <c r="A246" s="7" t="s">
        <v>254</v>
      </c>
      <c r="B246" s="7" t="n">
        <v>10</v>
      </c>
      <c r="C246" s="9" t="n">
        <v>98</v>
      </c>
      <c r="D246" s="9" t="n">
        <v>3367163</v>
      </c>
      <c r="E246" s="9" t="n">
        <v>110</v>
      </c>
      <c r="F246" s="9" t="n">
        <v>3780480</v>
      </c>
      <c r="G246" s="9" t="n">
        <v>150</v>
      </c>
      <c r="H246" s="9" t="n">
        <v>5154550</v>
      </c>
      <c r="I246" s="9" t="n">
        <v>58</v>
      </c>
      <c r="J246" s="9" t="n">
        <v>1993093</v>
      </c>
    </row>
    <row r="247" customFormat="false" ht="15.75" hidden="false" customHeight="false" outlineLevel="0" collapsed="false">
      <c r="A247" s="7" t="s">
        <v>255</v>
      </c>
      <c r="B247" s="7" t="n">
        <v>10</v>
      </c>
      <c r="C247" s="9" t="n">
        <v>0</v>
      </c>
      <c r="D247" s="9" t="n">
        <v>884858</v>
      </c>
      <c r="E247" s="9" t="n">
        <v>0</v>
      </c>
      <c r="F247" s="9" t="n">
        <v>0</v>
      </c>
      <c r="G247" s="9" t="n">
        <v>0</v>
      </c>
      <c r="H247" s="9" t="n">
        <v>0</v>
      </c>
      <c r="I247" s="9" t="n">
        <v>0</v>
      </c>
      <c r="J247" s="9" t="n">
        <v>884858</v>
      </c>
    </row>
    <row r="248" customFormat="false" ht="15.75" hidden="false" customHeight="false" outlineLevel="0" collapsed="false">
      <c r="A248" s="7" t="s">
        <v>256</v>
      </c>
      <c r="B248" s="7" t="n">
        <v>10</v>
      </c>
      <c r="C248" s="9" t="n">
        <v>35</v>
      </c>
      <c r="D248" s="9" t="n">
        <v>1399857</v>
      </c>
      <c r="E248" s="9" t="n">
        <v>45</v>
      </c>
      <c r="F248" s="9" t="n">
        <v>1955161</v>
      </c>
      <c r="G248" s="9" t="n">
        <v>80</v>
      </c>
      <c r="H248" s="9" t="n">
        <v>3355018</v>
      </c>
      <c r="I248" s="9" t="n">
        <v>0</v>
      </c>
      <c r="J248" s="9" t="n">
        <v>0</v>
      </c>
    </row>
    <row r="249" customFormat="false" ht="15.75" hidden="false" customHeight="false" outlineLevel="0" collapsed="false">
      <c r="A249" s="7" t="s">
        <v>257</v>
      </c>
      <c r="B249" s="7" t="n">
        <v>10</v>
      </c>
      <c r="C249" s="9" t="n">
        <v>15</v>
      </c>
      <c r="D249" s="9" t="n">
        <v>853920</v>
      </c>
      <c r="E249" s="9" t="n">
        <v>3</v>
      </c>
      <c r="F249" s="9" t="n">
        <v>142320</v>
      </c>
      <c r="G249" s="9" t="n">
        <v>0</v>
      </c>
      <c r="H249" s="9" t="n">
        <v>0</v>
      </c>
      <c r="I249" s="9" t="n">
        <v>18</v>
      </c>
      <c r="J249" s="9" t="n">
        <v>996240</v>
      </c>
    </row>
    <row r="250" customFormat="false" ht="15.75" hidden="false" customHeight="false" outlineLevel="0" collapsed="false">
      <c r="A250" s="7" t="s">
        <v>258</v>
      </c>
      <c r="B250" s="7" t="n">
        <v>10</v>
      </c>
      <c r="C250" s="9" t="n">
        <v>1325</v>
      </c>
      <c r="D250" s="9" t="n">
        <v>6021786</v>
      </c>
      <c r="E250" s="9" t="n">
        <v>190</v>
      </c>
      <c r="F250" s="9" t="n">
        <v>2911104</v>
      </c>
      <c r="G250" s="9" t="n">
        <v>270</v>
      </c>
      <c r="H250" s="9" t="n">
        <v>4135158</v>
      </c>
      <c r="I250" s="9" t="n">
        <v>1245</v>
      </c>
      <c r="J250" s="9" t="n">
        <v>4797732</v>
      </c>
    </row>
    <row r="251" customFormat="false" ht="15.75" hidden="false" customHeight="false" outlineLevel="0" collapsed="false">
      <c r="A251" s="7" t="s">
        <v>259</v>
      </c>
      <c r="B251" s="7" t="n">
        <v>10</v>
      </c>
      <c r="C251" s="9" t="n">
        <v>110</v>
      </c>
      <c r="D251" s="9" t="n">
        <v>2420810</v>
      </c>
      <c r="E251" s="9" t="n">
        <v>0</v>
      </c>
      <c r="F251" s="9" t="n">
        <v>0</v>
      </c>
      <c r="G251" s="9" t="n">
        <v>0</v>
      </c>
      <c r="H251" s="9" t="n">
        <v>0</v>
      </c>
      <c r="I251" s="9" t="n">
        <v>110</v>
      </c>
      <c r="J251" s="9" t="n">
        <v>2420810</v>
      </c>
    </row>
    <row r="252" customFormat="false" ht="15.75" hidden="false" customHeight="false" outlineLevel="0" collapsed="false">
      <c r="A252" s="7" t="s">
        <v>260</v>
      </c>
      <c r="B252" s="7" t="n">
        <v>10</v>
      </c>
      <c r="C252" s="9" t="n">
        <v>2</v>
      </c>
      <c r="D252" s="9" t="n">
        <v>109792</v>
      </c>
      <c r="E252" s="9" t="n">
        <v>0</v>
      </c>
      <c r="F252" s="9" t="n">
        <v>0</v>
      </c>
      <c r="G252" s="9" t="n">
        <v>0</v>
      </c>
      <c r="H252" s="9" t="n">
        <v>0</v>
      </c>
      <c r="I252" s="9" t="n">
        <v>2</v>
      </c>
      <c r="J252" s="9" t="n">
        <v>109792</v>
      </c>
    </row>
    <row r="253" customFormat="false" ht="15.75" hidden="false" customHeight="false" outlineLevel="0" collapsed="false">
      <c r="A253" s="7" t="s">
        <v>261</v>
      </c>
      <c r="B253" s="7" t="n">
        <v>10</v>
      </c>
      <c r="C253" s="9" t="n">
        <v>0</v>
      </c>
      <c r="D253" s="9" t="n">
        <v>0</v>
      </c>
      <c r="E253" s="9" t="n">
        <v>0</v>
      </c>
      <c r="F253" s="9" t="n">
        <v>0</v>
      </c>
      <c r="G253" s="9" t="n">
        <v>0</v>
      </c>
      <c r="H253" s="9" t="n">
        <v>0</v>
      </c>
      <c r="I253" s="9" t="n">
        <v>0</v>
      </c>
      <c r="J253" s="9" t="n">
        <v>0</v>
      </c>
    </row>
    <row r="254" customFormat="false" ht="15.75" hidden="false" customHeight="false" outlineLevel="0" collapsed="false">
      <c r="A254" s="7" t="s">
        <v>262</v>
      </c>
      <c r="B254" s="7" t="n">
        <v>10</v>
      </c>
      <c r="C254" s="9" t="n">
        <v>0</v>
      </c>
      <c r="D254" s="9" t="n">
        <v>0</v>
      </c>
      <c r="E254" s="9" t="n">
        <v>0</v>
      </c>
      <c r="F254" s="9" t="n">
        <v>0</v>
      </c>
      <c r="G254" s="9" t="n">
        <v>0</v>
      </c>
      <c r="H254" s="9" t="n">
        <v>0</v>
      </c>
      <c r="I254" s="9" t="n">
        <v>0</v>
      </c>
      <c r="J254" s="9" t="n">
        <v>0</v>
      </c>
    </row>
    <row r="255" customFormat="false" ht="15.75" hidden="false" customHeight="false" outlineLevel="0" collapsed="false">
      <c r="A255" s="7" t="s">
        <v>263</v>
      </c>
      <c r="B255" s="7" t="n">
        <v>10</v>
      </c>
      <c r="C255" s="9" t="n">
        <v>0</v>
      </c>
      <c r="D255" s="9" t="n">
        <v>0</v>
      </c>
      <c r="E255" s="9" t="n">
        <v>0</v>
      </c>
      <c r="F255" s="9" t="n">
        <v>0</v>
      </c>
      <c r="G255" s="9" t="n">
        <v>0</v>
      </c>
      <c r="H255" s="9" t="n">
        <v>0</v>
      </c>
      <c r="I255" s="9" t="n">
        <v>0</v>
      </c>
      <c r="J255" s="9" t="n">
        <v>0</v>
      </c>
    </row>
    <row r="256" customFormat="false" ht="15.75" hidden="false" customHeight="false" outlineLevel="0" collapsed="false">
      <c r="A256" s="7" t="s">
        <v>264</v>
      </c>
      <c r="B256" s="7" t="n">
        <v>10</v>
      </c>
      <c r="C256" s="9" t="n">
        <v>0</v>
      </c>
      <c r="D256" s="9" t="n">
        <v>0</v>
      </c>
      <c r="E256" s="9" t="n">
        <v>0</v>
      </c>
      <c r="F256" s="9" t="n">
        <v>0</v>
      </c>
      <c r="G256" s="9" t="n">
        <v>0</v>
      </c>
      <c r="H256" s="9" t="n">
        <v>0</v>
      </c>
      <c r="I256" s="9" t="n">
        <v>0</v>
      </c>
      <c r="J256" s="9" t="n">
        <v>0</v>
      </c>
    </row>
    <row r="257" customFormat="false" ht="15.75" hidden="false" customHeight="false" outlineLevel="0" collapsed="false">
      <c r="A257" s="7" t="s">
        <v>265</v>
      </c>
      <c r="B257" s="7" t="n">
        <v>10</v>
      </c>
      <c r="C257" s="9" t="n">
        <v>0</v>
      </c>
      <c r="D257" s="9" t="n">
        <v>0</v>
      </c>
      <c r="E257" s="9" t="n">
        <v>0</v>
      </c>
      <c r="F257" s="9" t="n">
        <v>0</v>
      </c>
      <c r="G257" s="9" t="n">
        <v>0</v>
      </c>
      <c r="H257" s="9" t="n">
        <v>0</v>
      </c>
      <c r="I257" s="9" t="n">
        <v>0</v>
      </c>
      <c r="J257" s="9" t="n">
        <v>0</v>
      </c>
    </row>
    <row r="258" customFormat="false" ht="15.75" hidden="false" customHeight="false" outlineLevel="0" collapsed="false">
      <c r="A258" s="7" t="s">
        <v>266</v>
      </c>
      <c r="B258" s="7" t="n">
        <v>10</v>
      </c>
      <c r="C258" s="9" t="n">
        <v>0</v>
      </c>
      <c r="D258" s="9" t="n">
        <v>0</v>
      </c>
      <c r="E258" s="9" t="n">
        <v>0</v>
      </c>
      <c r="F258" s="9" t="n">
        <v>0</v>
      </c>
      <c r="G258" s="9" t="n">
        <v>0</v>
      </c>
      <c r="H258" s="9" t="n">
        <v>0</v>
      </c>
      <c r="I258" s="9" t="n">
        <v>0</v>
      </c>
      <c r="J258" s="9" t="n">
        <v>0</v>
      </c>
    </row>
    <row r="259" customFormat="false" ht="15.75" hidden="false" customHeight="false" outlineLevel="0" collapsed="false">
      <c r="A259" s="7" t="s">
        <v>267</v>
      </c>
      <c r="B259" s="7" t="n">
        <v>10</v>
      </c>
      <c r="C259" s="9" t="n">
        <v>1</v>
      </c>
      <c r="D259" s="9" t="n">
        <v>39000</v>
      </c>
      <c r="E259" s="9" t="n">
        <v>0</v>
      </c>
      <c r="F259" s="9" t="n">
        <v>0</v>
      </c>
      <c r="G259" s="9" t="n">
        <v>0</v>
      </c>
      <c r="H259" s="9" t="n">
        <v>0</v>
      </c>
      <c r="I259" s="9" t="n">
        <v>1</v>
      </c>
      <c r="J259" s="9" t="n">
        <v>39000</v>
      </c>
    </row>
    <row r="260" customFormat="false" ht="15.75" hidden="false" customHeight="false" outlineLevel="0" collapsed="false">
      <c r="A260" s="7" t="s">
        <v>268</v>
      </c>
      <c r="B260" s="7" t="n">
        <v>10</v>
      </c>
      <c r="C260" s="9" t="n">
        <v>0</v>
      </c>
      <c r="D260" s="9" t="n">
        <v>0</v>
      </c>
      <c r="E260" s="9" t="n">
        <v>0</v>
      </c>
      <c r="F260" s="9" t="n">
        <v>0</v>
      </c>
      <c r="G260" s="9" t="n">
        <v>0</v>
      </c>
      <c r="H260" s="9" t="n">
        <v>0</v>
      </c>
      <c r="I260" s="9" t="n">
        <v>0</v>
      </c>
      <c r="J260" s="9" t="n">
        <v>0</v>
      </c>
    </row>
    <row r="261" customFormat="false" ht="15.75" hidden="false" customHeight="false" outlineLevel="0" collapsed="false">
      <c r="A261" s="7" t="s">
        <v>269</v>
      </c>
      <c r="B261" s="7" t="n">
        <v>10</v>
      </c>
      <c r="C261" s="9" t="n">
        <v>0</v>
      </c>
      <c r="D261" s="9" t="n">
        <v>0</v>
      </c>
      <c r="E261" s="9" t="n">
        <v>0</v>
      </c>
      <c r="F261" s="9" t="n">
        <v>0</v>
      </c>
      <c r="G261" s="9" t="n">
        <v>0</v>
      </c>
      <c r="H261" s="9" t="n">
        <v>0</v>
      </c>
      <c r="I261" s="9" t="n">
        <v>0</v>
      </c>
      <c r="J261" s="9" t="n">
        <v>0</v>
      </c>
    </row>
    <row r="262" customFormat="false" ht="15.75" hidden="false" customHeight="false" outlineLevel="0" collapsed="false">
      <c r="A262" s="7" t="s">
        <v>270</v>
      </c>
      <c r="B262" s="7" t="n">
        <v>10</v>
      </c>
      <c r="C262" s="9" t="n">
        <v>0</v>
      </c>
      <c r="D262" s="9" t="n">
        <v>0</v>
      </c>
      <c r="E262" s="9" t="n">
        <v>0</v>
      </c>
      <c r="F262" s="9" t="n">
        <v>0</v>
      </c>
      <c r="G262" s="9" t="n">
        <v>0</v>
      </c>
      <c r="H262" s="9" t="n">
        <v>0</v>
      </c>
      <c r="I262" s="9" t="n">
        <v>0</v>
      </c>
      <c r="J262" s="9" t="n">
        <v>0</v>
      </c>
    </row>
    <row r="263" customFormat="false" ht="15.75" hidden="false" customHeight="false" outlineLevel="0" collapsed="false">
      <c r="A263" s="7" t="s">
        <v>271</v>
      </c>
      <c r="B263" s="7" t="n">
        <v>10</v>
      </c>
      <c r="C263" s="9" t="n">
        <v>0</v>
      </c>
      <c r="D263" s="9" t="n">
        <v>0</v>
      </c>
      <c r="E263" s="9" t="n">
        <v>0</v>
      </c>
      <c r="F263" s="9" t="n">
        <v>0</v>
      </c>
      <c r="G263" s="9" t="n">
        <v>0</v>
      </c>
      <c r="H263" s="9" t="n">
        <v>0</v>
      </c>
      <c r="I263" s="9" t="n">
        <v>0</v>
      </c>
      <c r="J263" s="9" t="n">
        <v>0</v>
      </c>
    </row>
    <row r="264" customFormat="false" ht="15.75" hidden="false" customHeight="false" outlineLevel="0" collapsed="false">
      <c r="A264" s="7" t="s">
        <v>272</v>
      </c>
      <c r="B264" s="7" t="n">
        <v>10</v>
      </c>
      <c r="C264" s="9" t="n">
        <v>8</v>
      </c>
      <c r="D264" s="9" t="n">
        <v>1065272</v>
      </c>
      <c r="E264" s="9" t="n">
        <v>0</v>
      </c>
      <c r="F264" s="9" t="n">
        <v>0</v>
      </c>
      <c r="G264" s="9" t="n">
        <v>0</v>
      </c>
      <c r="H264" s="9" t="n">
        <v>0</v>
      </c>
      <c r="I264" s="9" t="n">
        <v>8</v>
      </c>
      <c r="J264" s="9" t="n">
        <v>1065272</v>
      </c>
    </row>
    <row r="265" customFormat="false" ht="15.75" hidden="false" customHeight="false" outlineLevel="0" collapsed="false">
      <c r="A265" s="7" t="s">
        <v>273</v>
      </c>
      <c r="B265" s="7" t="n">
        <v>10</v>
      </c>
      <c r="C265" s="9" t="n">
        <v>0</v>
      </c>
      <c r="D265" s="9" t="n">
        <v>0</v>
      </c>
      <c r="E265" s="9" t="n">
        <v>0</v>
      </c>
      <c r="F265" s="9" t="n">
        <v>0</v>
      </c>
      <c r="G265" s="9" t="n">
        <v>0</v>
      </c>
      <c r="H265" s="9" t="n">
        <v>0</v>
      </c>
      <c r="I265" s="9" t="n">
        <v>0</v>
      </c>
      <c r="J265" s="9" t="n">
        <v>0</v>
      </c>
    </row>
    <row r="266" customFormat="false" ht="15.75" hidden="false" customHeight="false" outlineLevel="0" collapsed="false">
      <c r="A266" s="7" t="s">
        <v>274</v>
      </c>
      <c r="B266" s="7" t="n">
        <v>10</v>
      </c>
      <c r="C266" s="9" t="n">
        <v>0</v>
      </c>
      <c r="D266" s="9" t="n">
        <v>0</v>
      </c>
      <c r="E266" s="9" t="n">
        <v>0</v>
      </c>
      <c r="F266" s="9" t="n">
        <v>0</v>
      </c>
      <c r="G266" s="9" t="n">
        <v>0</v>
      </c>
      <c r="H266" s="9" t="n">
        <v>0</v>
      </c>
      <c r="I266" s="9" t="n">
        <v>0</v>
      </c>
      <c r="J266" s="9" t="n">
        <v>0</v>
      </c>
    </row>
    <row r="267" customFormat="false" ht="15.75" hidden="false" customHeight="false" outlineLevel="0" collapsed="false">
      <c r="A267" s="7" t="s">
        <v>275</v>
      </c>
      <c r="B267" s="7" t="n">
        <v>10</v>
      </c>
      <c r="C267" s="9" t="n">
        <v>0</v>
      </c>
      <c r="D267" s="9" t="n">
        <v>0</v>
      </c>
      <c r="E267" s="9" t="n">
        <v>0</v>
      </c>
      <c r="F267" s="9" t="n">
        <v>0</v>
      </c>
      <c r="G267" s="9" t="n">
        <v>0</v>
      </c>
      <c r="H267" s="9" t="n">
        <v>0</v>
      </c>
      <c r="I267" s="9" t="n">
        <v>0</v>
      </c>
      <c r="J267" s="9" t="n">
        <v>0</v>
      </c>
    </row>
    <row r="268" customFormat="false" ht="15.75" hidden="false" customHeight="false" outlineLevel="0" collapsed="false">
      <c r="A268" s="7" t="s">
        <v>276</v>
      </c>
      <c r="B268" s="7" t="n">
        <v>10</v>
      </c>
      <c r="C268" s="9" t="n">
        <v>0</v>
      </c>
      <c r="D268" s="9" t="n">
        <v>0</v>
      </c>
      <c r="E268" s="9" t="n">
        <v>0</v>
      </c>
      <c r="F268" s="9" t="n">
        <v>0</v>
      </c>
      <c r="G268" s="9" t="n">
        <v>0</v>
      </c>
      <c r="H268" s="9" t="n">
        <v>0</v>
      </c>
      <c r="I268" s="9" t="n">
        <v>0</v>
      </c>
      <c r="J268" s="9" t="n">
        <v>0</v>
      </c>
    </row>
    <row r="269" customFormat="false" ht="15.75" hidden="false" customHeight="false" outlineLevel="0" collapsed="false">
      <c r="A269" s="7" t="s">
        <v>277</v>
      </c>
      <c r="B269" s="7" t="n">
        <v>10</v>
      </c>
      <c r="C269" s="9" t="n">
        <v>0</v>
      </c>
      <c r="D269" s="9" t="n">
        <v>0</v>
      </c>
      <c r="E269" s="9" t="n">
        <v>0</v>
      </c>
      <c r="F269" s="9" t="n">
        <v>0</v>
      </c>
      <c r="G269" s="9" t="n">
        <v>0</v>
      </c>
      <c r="H269" s="9" t="n">
        <v>0</v>
      </c>
      <c r="I269" s="9" t="n">
        <v>0</v>
      </c>
      <c r="J269" s="9" t="n">
        <v>0</v>
      </c>
    </row>
    <row r="270" customFormat="false" ht="15.75" hidden="false" customHeight="false" outlineLevel="0" collapsed="false">
      <c r="A270" s="7" t="s">
        <v>278</v>
      </c>
      <c r="B270" s="7" t="n">
        <v>10</v>
      </c>
      <c r="C270" s="9" t="n">
        <v>0</v>
      </c>
      <c r="D270" s="9" t="n">
        <v>0</v>
      </c>
      <c r="E270" s="9" t="n">
        <v>0</v>
      </c>
      <c r="F270" s="9" t="n">
        <v>0</v>
      </c>
      <c r="G270" s="9" t="n">
        <v>0</v>
      </c>
      <c r="H270" s="9" t="n">
        <v>0</v>
      </c>
      <c r="I270" s="9" t="n">
        <v>0</v>
      </c>
      <c r="J270" s="9" t="n">
        <v>0</v>
      </c>
    </row>
    <row r="271" customFormat="false" ht="15.75" hidden="false" customHeight="false" outlineLevel="0" collapsed="false">
      <c r="A271" s="7" t="s">
        <v>279</v>
      </c>
      <c r="B271" s="7" t="n">
        <v>10</v>
      </c>
      <c r="C271" s="9" t="n">
        <v>0</v>
      </c>
      <c r="D271" s="9" t="n">
        <v>0</v>
      </c>
      <c r="E271" s="9" t="n">
        <v>0</v>
      </c>
      <c r="F271" s="9" t="n">
        <v>0</v>
      </c>
      <c r="G271" s="9" t="n">
        <v>0</v>
      </c>
      <c r="H271" s="9" t="n">
        <v>0</v>
      </c>
      <c r="I271" s="9" t="n">
        <v>0</v>
      </c>
      <c r="J271" s="9" t="n">
        <v>0</v>
      </c>
    </row>
    <row r="272" customFormat="false" ht="15.75" hidden="false" customHeight="false" outlineLevel="0" collapsed="false">
      <c r="A272" s="7" t="s">
        <v>280</v>
      </c>
      <c r="B272" s="7" t="n">
        <v>10</v>
      </c>
      <c r="C272" s="9" t="n">
        <v>0</v>
      </c>
      <c r="D272" s="9" t="n">
        <v>0</v>
      </c>
      <c r="E272" s="9" t="n">
        <v>0</v>
      </c>
      <c r="F272" s="9" t="n">
        <v>0</v>
      </c>
      <c r="G272" s="9" t="n">
        <v>0</v>
      </c>
      <c r="H272" s="9" t="n">
        <v>0</v>
      </c>
      <c r="I272" s="9" t="n">
        <v>0</v>
      </c>
      <c r="J272" s="9" t="n">
        <v>0</v>
      </c>
    </row>
    <row r="273" customFormat="false" ht="15.75" hidden="false" customHeight="false" outlineLevel="0" collapsed="false">
      <c r="A273" s="7" t="s">
        <v>281</v>
      </c>
      <c r="B273" s="7" t="n">
        <v>10</v>
      </c>
      <c r="C273" s="9" t="n">
        <v>157</v>
      </c>
      <c r="D273" s="9" t="n">
        <v>2714884</v>
      </c>
      <c r="E273" s="9" t="n">
        <v>36</v>
      </c>
      <c r="F273" s="9" t="n">
        <v>617400</v>
      </c>
      <c r="G273" s="9" t="n">
        <v>120</v>
      </c>
      <c r="H273" s="9" t="n">
        <v>2071886</v>
      </c>
      <c r="I273" s="9" t="n">
        <v>73</v>
      </c>
      <c r="J273" s="9" t="n">
        <v>1260398</v>
      </c>
    </row>
    <row r="274" customFormat="false" ht="15.75" hidden="false" customHeight="false" outlineLevel="0" collapsed="false">
      <c r="A274" s="7" t="s">
        <v>282</v>
      </c>
      <c r="B274" s="7" t="n">
        <v>10</v>
      </c>
      <c r="C274" s="9" t="n">
        <v>78</v>
      </c>
      <c r="D274" s="9" t="n">
        <v>5491675</v>
      </c>
      <c r="E274" s="9" t="n">
        <v>10</v>
      </c>
      <c r="F274" s="9" t="n">
        <v>705600</v>
      </c>
      <c r="G274" s="9" t="n">
        <v>60</v>
      </c>
      <c r="H274" s="9" t="n">
        <v>4170015</v>
      </c>
      <c r="I274" s="9" t="n">
        <v>28</v>
      </c>
      <c r="J274" s="9" t="n">
        <v>2027260</v>
      </c>
    </row>
    <row r="275" customFormat="false" ht="15.75" hidden="false" customHeight="false" outlineLevel="0" collapsed="false">
      <c r="A275" s="7" t="s">
        <v>283</v>
      </c>
      <c r="B275" s="7" t="n">
        <v>10</v>
      </c>
      <c r="C275" s="9" t="n">
        <v>2267</v>
      </c>
      <c r="D275" s="9" t="n">
        <v>47190220</v>
      </c>
      <c r="E275" s="9" t="n">
        <v>1032</v>
      </c>
      <c r="F275" s="9" t="n">
        <v>35952000</v>
      </c>
      <c r="G275" s="9" t="n">
        <v>930</v>
      </c>
      <c r="H275" s="9" t="n">
        <v>32292218</v>
      </c>
      <c r="I275" s="9" t="n">
        <v>2369</v>
      </c>
      <c r="J275" s="9" t="n">
        <v>50850002</v>
      </c>
    </row>
    <row r="276" customFormat="false" ht="15.75" hidden="false" customHeight="false" outlineLevel="0" collapsed="false">
      <c r="A276" s="7" t="s">
        <v>284</v>
      </c>
      <c r="B276" s="7" t="n">
        <v>10</v>
      </c>
      <c r="C276" s="9" t="n">
        <v>190</v>
      </c>
      <c r="D276" s="9" t="n">
        <v>8684680</v>
      </c>
      <c r="E276" s="9" t="n">
        <v>50</v>
      </c>
      <c r="F276" s="9" t="n">
        <v>2301600</v>
      </c>
      <c r="G276" s="9" t="n">
        <v>90</v>
      </c>
      <c r="H276" s="9" t="n">
        <v>4119856</v>
      </c>
      <c r="I276" s="9" t="n">
        <v>150</v>
      </c>
      <c r="J276" s="9" t="n">
        <v>6866424</v>
      </c>
    </row>
    <row r="277" customFormat="false" ht="15.75" hidden="false" customHeight="false" outlineLevel="0" collapsed="false">
      <c r="A277" s="7" t="s">
        <v>285</v>
      </c>
      <c r="B277" s="7" t="n">
        <v>10</v>
      </c>
      <c r="C277" s="9" t="n">
        <v>5</v>
      </c>
      <c r="D277" s="9" t="n">
        <v>586595</v>
      </c>
      <c r="E277" s="9" t="n">
        <v>15</v>
      </c>
      <c r="F277" s="9" t="n">
        <v>1709385</v>
      </c>
      <c r="G277" s="9" t="n">
        <v>20</v>
      </c>
      <c r="H277" s="9" t="n">
        <v>2295980</v>
      </c>
      <c r="I277" s="9" t="n">
        <v>0</v>
      </c>
      <c r="J277" s="9" t="n">
        <v>0</v>
      </c>
    </row>
    <row r="278" customFormat="false" ht="15.75" hidden="false" customHeight="false" outlineLevel="0" collapsed="false">
      <c r="A278" s="7" t="s">
        <v>286</v>
      </c>
      <c r="B278" s="7" t="n">
        <v>10</v>
      </c>
      <c r="C278" s="9" t="n">
        <v>8</v>
      </c>
      <c r="D278" s="9" t="n">
        <v>847410</v>
      </c>
      <c r="E278" s="9" t="n">
        <v>0</v>
      </c>
      <c r="F278" s="9" t="n">
        <v>0</v>
      </c>
      <c r="G278" s="9" t="n">
        <v>0</v>
      </c>
      <c r="H278" s="9" t="n">
        <v>0</v>
      </c>
      <c r="I278" s="9" t="n">
        <v>8</v>
      </c>
      <c r="J278" s="9" t="n">
        <v>847410</v>
      </c>
    </row>
    <row r="279" customFormat="false" ht="15.75" hidden="false" customHeight="false" outlineLevel="0" collapsed="false">
      <c r="A279" s="7" t="s">
        <v>287</v>
      </c>
      <c r="B279" s="7" t="n">
        <v>10</v>
      </c>
      <c r="C279" s="9" t="n">
        <v>8</v>
      </c>
      <c r="D279" s="9" t="n">
        <v>888480</v>
      </c>
      <c r="E279" s="9" t="n">
        <v>0</v>
      </c>
      <c r="F279" s="9"/>
      <c r="G279" s="9" t="n">
        <v>0</v>
      </c>
      <c r="H279" s="9" t="n">
        <v>0</v>
      </c>
      <c r="I279" s="9" t="n">
        <v>8</v>
      </c>
      <c r="J279" s="9" t="n">
        <v>888480</v>
      </c>
    </row>
    <row r="280" customFormat="false" ht="15.75" hidden="false" customHeight="false" outlineLevel="0" collapsed="false">
      <c r="A280" s="7" t="s">
        <v>288</v>
      </c>
      <c r="B280" s="7" t="n">
        <v>10</v>
      </c>
      <c r="C280" s="9" t="n">
        <v>72</v>
      </c>
      <c r="D280" s="9" t="n">
        <v>1717560</v>
      </c>
      <c r="E280" s="9" t="n">
        <v>0</v>
      </c>
      <c r="F280" s="9" t="n">
        <v>0</v>
      </c>
      <c r="G280" s="9" t="n">
        <v>0</v>
      </c>
      <c r="H280" s="9" t="n">
        <v>0</v>
      </c>
      <c r="I280" s="9" t="n">
        <v>72</v>
      </c>
      <c r="J280" s="9" t="n">
        <v>1717560</v>
      </c>
    </row>
    <row r="281" customFormat="false" ht="15.75" hidden="false" customHeight="false" outlineLevel="0" collapsed="false">
      <c r="A281" s="7" t="s">
        <v>289</v>
      </c>
      <c r="B281" s="7" t="n">
        <v>10</v>
      </c>
      <c r="C281" s="9" t="n">
        <v>5445</v>
      </c>
      <c r="D281" s="9" t="n">
        <v>18544800</v>
      </c>
      <c r="E281" s="9" t="n">
        <v>8</v>
      </c>
      <c r="F281" s="9" t="n">
        <v>0</v>
      </c>
      <c r="G281" s="9" t="n">
        <v>0</v>
      </c>
      <c r="H281" s="9" t="n">
        <v>0</v>
      </c>
      <c r="I281" s="9" t="n">
        <v>5453</v>
      </c>
      <c r="J281" s="9" t="n">
        <v>18544800</v>
      </c>
    </row>
    <row r="282" customFormat="false" ht="15.75" hidden="false" customHeight="false" outlineLevel="0" collapsed="false">
      <c r="A282" s="7" t="s">
        <v>290</v>
      </c>
      <c r="B282" s="7" t="n">
        <v>10</v>
      </c>
      <c r="C282" s="9" t="n">
        <v>1489</v>
      </c>
      <c r="D282" s="9" t="n">
        <v>132500193</v>
      </c>
      <c r="E282" s="9" t="n">
        <v>432</v>
      </c>
      <c r="F282" s="9" t="n">
        <v>38441088</v>
      </c>
      <c r="G282" s="9" t="n">
        <v>1170</v>
      </c>
      <c r="H282" s="9" t="n">
        <v>104113118</v>
      </c>
      <c r="I282" s="9" t="n">
        <v>751</v>
      </c>
      <c r="J282" s="9" t="n">
        <v>66828163</v>
      </c>
    </row>
    <row r="283" customFormat="false" ht="15.75" hidden="false" customHeight="false" outlineLevel="0" collapsed="false">
      <c r="A283" s="7" t="s">
        <v>291</v>
      </c>
      <c r="B283" s="7" t="n">
        <v>10</v>
      </c>
      <c r="C283" s="9" t="n">
        <v>2558</v>
      </c>
      <c r="D283" s="9" t="n">
        <v>238790929</v>
      </c>
      <c r="E283" s="9" t="n">
        <v>910</v>
      </c>
      <c r="F283" s="9" t="n">
        <v>85077720</v>
      </c>
      <c r="G283" s="9" t="n">
        <v>2426</v>
      </c>
      <c r="H283" s="9" t="n">
        <v>226558634</v>
      </c>
      <c r="I283" s="9" t="n">
        <v>1042</v>
      </c>
      <c r="J283" s="9" t="n">
        <v>97310015</v>
      </c>
    </row>
    <row r="284" customFormat="false" ht="15.75" hidden="false" customHeight="false" outlineLevel="0" collapsed="false">
      <c r="A284" s="7" t="s">
        <v>292</v>
      </c>
      <c r="B284" s="7" t="n">
        <v>10</v>
      </c>
      <c r="C284" s="9" t="n">
        <v>932</v>
      </c>
      <c r="D284" s="9" t="n">
        <v>70653568</v>
      </c>
      <c r="E284" s="9" t="n">
        <v>306</v>
      </c>
      <c r="F284" s="9" t="n">
        <v>27229104</v>
      </c>
      <c r="G284" s="9" t="n">
        <v>1026</v>
      </c>
      <c r="H284" s="9" t="n">
        <v>81120857</v>
      </c>
      <c r="I284" s="9" t="n">
        <v>212</v>
      </c>
      <c r="J284" s="9" t="n">
        <v>16761815</v>
      </c>
    </row>
    <row r="285" customFormat="false" ht="15.75" hidden="false" customHeight="false" outlineLevel="0" collapsed="false">
      <c r="A285" s="7"/>
      <c r="B285" s="7"/>
      <c r="C285" s="6"/>
      <c r="D285" s="6" t="n">
        <v>15550294170</v>
      </c>
      <c r="E285" s="6"/>
      <c r="F285" s="6" t="n">
        <v>9205815555</v>
      </c>
      <c r="G285" s="6"/>
      <c r="H285" s="6" t="n">
        <v>9489921705</v>
      </c>
      <c r="I285" s="6"/>
      <c r="J285" s="6" t="n">
        <v>15266188020</v>
      </c>
    </row>
  </sheetData>
  <mergeCells count="4">
    <mergeCell ref="C1:D1"/>
    <mergeCell ref="E1:F1"/>
    <mergeCell ref="G1:H1"/>
    <mergeCell ref="I1:J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W285"/>
  <sheetViews>
    <sheetView showFormulas="false" showGridLines="true" showRowColHeaders="true" showZeros="true" rightToLeft="false" tabSelected="false" showOutlineSymbols="true" defaultGridColor="true" view="normal" topLeftCell="A274" colorId="64" zoomScale="100" zoomScaleNormal="100" zoomScalePageLayoutView="100" workbookViewId="0">
      <selection pane="topLeft" activeCell="A274" activeCellId="0" sqref="A274"/>
    </sheetView>
  </sheetViews>
  <sheetFormatPr defaultColWidth="12.5703125" defaultRowHeight="15.75" customHeight="true" zeroHeight="false" outlineLevelRow="0" outlineLevelCol="0"/>
  <sheetData>
    <row r="1" customFormat="false" ht="15.75" hidden="false" customHeight="false" outlineLevel="0" collapsed="false">
      <c r="A1" s="1"/>
      <c r="B1" s="2"/>
      <c r="C1" s="3" t="s">
        <v>0</v>
      </c>
      <c r="D1" s="3"/>
      <c r="E1" s="3" t="s">
        <v>1</v>
      </c>
      <c r="F1" s="3"/>
      <c r="G1" s="3" t="s">
        <v>2</v>
      </c>
      <c r="H1" s="3"/>
      <c r="I1" s="3" t="s">
        <v>3</v>
      </c>
      <c r="J1" s="3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</row>
    <row r="2" customFormat="false" ht="15.75" hidden="false" customHeight="false" outlineLevel="0" collapsed="false">
      <c r="A2" s="4" t="s">
        <v>4</v>
      </c>
      <c r="B2" s="5" t="s">
        <v>5</v>
      </c>
      <c r="C2" s="6" t="s">
        <v>6</v>
      </c>
      <c r="D2" s="6" t="s">
        <v>7</v>
      </c>
      <c r="E2" s="6" t="s">
        <v>8</v>
      </c>
      <c r="F2" s="6" t="s">
        <v>9</v>
      </c>
      <c r="G2" s="6" t="s">
        <v>6</v>
      </c>
      <c r="H2" s="6" t="s">
        <v>10</v>
      </c>
      <c r="I2" s="6" t="s">
        <v>6</v>
      </c>
      <c r="J2" s="6" t="s">
        <v>9</v>
      </c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</row>
    <row r="3" customFormat="false" ht="15.75" hidden="false" customHeight="false" outlineLevel="0" collapsed="false">
      <c r="A3" s="7" t="s">
        <v>11</v>
      </c>
      <c r="B3" s="7" t="n">
        <v>11</v>
      </c>
      <c r="C3" s="9" t="n">
        <v>206</v>
      </c>
      <c r="D3" s="9" t="n">
        <v>5698875</v>
      </c>
      <c r="E3" s="9" t="n">
        <v>50</v>
      </c>
      <c r="F3" s="9" t="n">
        <v>1387200</v>
      </c>
      <c r="G3" s="9" t="n">
        <v>30</v>
      </c>
      <c r="H3" s="9" t="n">
        <v>830399</v>
      </c>
      <c r="I3" s="9" t="n">
        <v>226</v>
      </c>
      <c r="J3" s="9" t="n">
        <v>6255676</v>
      </c>
    </row>
    <row r="4" customFormat="false" ht="15.75" hidden="false" customHeight="false" outlineLevel="0" collapsed="false">
      <c r="A4" s="7" t="s">
        <v>12</v>
      </c>
      <c r="B4" s="7" t="n">
        <v>11</v>
      </c>
      <c r="C4" s="9" t="n">
        <v>0</v>
      </c>
      <c r="D4" s="9" t="n">
        <v>0</v>
      </c>
      <c r="E4" s="9" t="n">
        <v>0</v>
      </c>
      <c r="F4" s="9" t="n">
        <v>0</v>
      </c>
      <c r="G4" s="9" t="n">
        <v>0</v>
      </c>
      <c r="H4" s="9" t="n">
        <v>0</v>
      </c>
      <c r="I4" s="9" t="n">
        <v>0</v>
      </c>
      <c r="J4" s="9" t="n">
        <v>0</v>
      </c>
    </row>
    <row r="5" customFormat="false" ht="15.75" hidden="false" customHeight="false" outlineLevel="0" collapsed="false">
      <c r="A5" s="7" t="s">
        <v>13</v>
      </c>
      <c r="B5" s="7" t="n">
        <v>11</v>
      </c>
      <c r="C5" s="9" t="n">
        <v>587</v>
      </c>
      <c r="D5" s="9" t="n">
        <v>19248466</v>
      </c>
      <c r="E5" s="9" t="n">
        <v>0</v>
      </c>
      <c r="F5" s="9" t="n">
        <v>0</v>
      </c>
      <c r="G5" s="9" t="n">
        <v>0</v>
      </c>
      <c r="H5" s="9" t="n">
        <v>0</v>
      </c>
      <c r="I5" s="9" t="n">
        <v>587</v>
      </c>
      <c r="J5" s="9" t="n">
        <v>19248466</v>
      </c>
    </row>
    <row r="6" customFormat="false" ht="15.75" hidden="false" customHeight="false" outlineLevel="0" collapsed="false">
      <c r="A6" s="7" t="s">
        <v>14</v>
      </c>
      <c r="B6" s="7" t="n">
        <v>11</v>
      </c>
      <c r="C6" s="9" t="n">
        <v>120</v>
      </c>
      <c r="D6" s="9" t="n">
        <v>35752144</v>
      </c>
      <c r="E6" s="9" t="n">
        <v>0</v>
      </c>
      <c r="F6" s="9" t="n">
        <v>0</v>
      </c>
      <c r="G6" s="9" t="n">
        <v>0</v>
      </c>
      <c r="H6" s="9" t="n">
        <v>0</v>
      </c>
      <c r="I6" s="9" t="n">
        <v>120</v>
      </c>
      <c r="J6" s="9" t="n">
        <v>35752144</v>
      </c>
    </row>
    <row r="7" customFormat="false" ht="15.75" hidden="false" customHeight="false" outlineLevel="0" collapsed="false">
      <c r="A7" s="7" t="s">
        <v>15</v>
      </c>
      <c r="B7" s="7" t="n">
        <v>11</v>
      </c>
      <c r="C7" s="9" t="n">
        <v>504</v>
      </c>
      <c r="D7" s="9" t="n">
        <v>68557545</v>
      </c>
      <c r="E7" s="9" t="n">
        <v>0</v>
      </c>
      <c r="F7" s="9" t="n">
        <v>0</v>
      </c>
      <c r="G7" s="9" t="n">
        <v>0</v>
      </c>
      <c r="H7" s="9" t="n">
        <v>0</v>
      </c>
      <c r="I7" s="9" t="n">
        <v>504</v>
      </c>
      <c r="J7" s="9" t="n">
        <v>68557545</v>
      </c>
    </row>
    <row r="8" customFormat="false" ht="15.75" hidden="false" customHeight="false" outlineLevel="0" collapsed="false">
      <c r="A8" s="7" t="s">
        <v>16</v>
      </c>
      <c r="B8" s="7" t="n">
        <v>11</v>
      </c>
      <c r="C8" s="9" t="n">
        <v>344</v>
      </c>
      <c r="D8" s="9" t="n">
        <v>53839916</v>
      </c>
      <c r="E8" s="9" t="n">
        <v>0</v>
      </c>
      <c r="F8" s="9" t="n">
        <v>0</v>
      </c>
      <c r="G8" s="9" t="n">
        <v>0</v>
      </c>
      <c r="H8" s="9" t="n">
        <v>0</v>
      </c>
      <c r="I8" s="9" t="n">
        <v>344</v>
      </c>
      <c r="J8" s="9" t="n">
        <v>53839916</v>
      </c>
    </row>
    <row r="9" customFormat="false" ht="15.75" hidden="false" customHeight="false" outlineLevel="0" collapsed="false">
      <c r="A9" s="7" t="s">
        <v>17</v>
      </c>
      <c r="B9" s="7" t="n">
        <v>11</v>
      </c>
      <c r="C9" s="9" t="n">
        <v>153</v>
      </c>
      <c r="D9" s="9" t="n">
        <v>36613751</v>
      </c>
      <c r="E9" s="9" t="n">
        <v>0</v>
      </c>
      <c r="F9" s="9" t="n">
        <v>0</v>
      </c>
      <c r="G9" s="9" t="n">
        <v>0</v>
      </c>
      <c r="H9" s="9" t="n">
        <v>0</v>
      </c>
      <c r="I9" s="9" t="n">
        <v>153</v>
      </c>
      <c r="J9" s="9" t="n">
        <v>36613751</v>
      </c>
    </row>
    <row r="10" customFormat="false" ht="15.75" hidden="false" customHeight="false" outlineLevel="0" collapsed="false">
      <c r="A10" s="7" t="s">
        <v>18</v>
      </c>
      <c r="B10" s="7" t="n">
        <v>11</v>
      </c>
      <c r="C10" s="9" t="n">
        <v>554</v>
      </c>
      <c r="D10" s="9" t="n">
        <v>12063982</v>
      </c>
      <c r="E10" s="9" t="n">
        <v>0</v>
      </c>
      <c r="F10" s="9" t="n">
        <v>0</v>
      </c>
      <c r="G10" s="9" t="n">
        <v>0</v>
      </c>
      <c r="H10" s="9" t="n">
        <v>0</v>
      </c>
      <c r="I10" s="9" t="n">
        <v>554</v>
      </c>
      <c r="J10" s="9" t="n">
        <v>12063982</v>
      </c>
    </row>
    <row r="11" customFormat="false" ht="15.75" hidden="false" customHeight="false" outlineLevel="0" collapsed="false">
      <c r="A11" s="7" t="s">
        <v>19</v>
      </c>
      <c r="B11" s="7" t="n">
        <v>11</v>
      </c>
      <c r="C11" s="9" t="n">
        <v>180</v>
      </c>
      <c r="D11" s="9" t="n">
        <v>3904035</v>
      </c>
      <c r="E11" s="9" t="n">
        <v>0</v>
      </c>
      <c r="F11" s="9" t="n">
        <v>0</v>
      </c>
      <c r="G11" s="9" t="n">
        <v>0</v>
      </c>
      <c r="H11" s="9" t="n">
        <v>0</v>
      </c>
      <c r="I11" s="9" t="n">
        <v>180</v>
      </c>
      <c r="J11" s="9" t="n">
        <v>3904035</v>
      </c>
    </row>
    <row r="12" customFormat="false" ht="15.75" hidden="false" customHeight="false" outlineLevel="0" collapsed="false">
      <c r="A12" s="7" t="s">
        <v>20</v>
      </c>
      <c r="B12" s="7" t="n">
        <v>11</v>
      </c>
      <c r="C12" s="9" t="n">
        <v>295</v>
      </c>
      <c r="D12" s="9" t="n">
        <v>31404753</v>
      </c>
      <c r="E12" s="9" t="n">
        <v>0</v>
      </c>
      <c r="F12" s="9" t="n">
        <v>0</v>
      </c>
      <c r="G12" s="9" t="n">
        <v>0</v>
      </c>
      <c r="H12" s="9" t="n">
        <v>0</v>
      </c>
      <c r="I12" s="9" t="n">
        <v>295</v>
      </c>
      <c r="J12" s="9" t="n">
        <v>31404753</v>
      </c>
    </row>
    <row r="13" customFormat="false" ht="15.75" hidden="false" customHeight="false" outlineLevel="0" collapsed="false">
      <c r="A13" s="7" t="s">
        <v>21</v>
      </c>
      <c r="B13" s="7" t="n">
        <v>11</v>
      </c>
      <c r="C13" s="9" t="n">
        <v>170</v>
      </c>
      <c r="D13" s="9" t="n">
        <v>40681945</v>
      </c>
      <c r="E13" s="9" t="n">
        <v>0</v>
      </c>
      <c r="F13" s="9" t="n">
        <v>0</v>
      </c>
      <c r="G13" s="9" t="n">
        <v>0</v>
      </c>
      <c r="H13" s="9" t="n">
        <v>0</v>
      </c>
      <c r="I13" s="9" t="n">
        <v>170</v>
      </c>
      <c r="J13" s="9" t="n">
        <v>40681945</v>
      </c>
    </row>
    <row r="14" customFormat="false" ht="15.75" hidden="false" customHeight="false" outlineLevel="0" collapsed="false">
      <c r="A14" s="7" t="s">
        <v>22</v>
      </c>
      <c r="B14" s="7" t="n">
        <v>11</v>
      </c>
      <c r="C14" s="9" t="n">
        <v>18</v>
      </c>
      <c r="D14" s="9" t="n">
        <v>407934</v>
      </c>
      <c r="E14" s="9" t="n">
        <v>0</v>
      </c>
      <c r="F14" s="9" t="n">
        <v>0</v>
      </c>
      <c r="G14" s="9" t="n">
        <v>0</v>
      </c>
      <c r="H14" s="9" t="n">
        <v>0</v>
      </c>
      <c r="I14" s="9" t="n">
        <v>18</v>
      </c>
      <c r="J14" s="9" t="n">
        <v>407934</v>
      </c>
    </row>
    <row r="15" customFormat="false" ht="15.75" hidden="false" customHeight="false" outlineLevel="0" collapsed="false">
      <c r="A15" s="7" t="s">
        <v>23</v>
      </c>
      <c r="B15" s="7" t="n">
        <v>11</v>
      </c>
      <c r="C15" s="9" t="n">
        <v>0</v>
      </c>
      <c r="D15" s="9" t="n">
        <v>0</v>
      </c>
      <c r="E15" s="9" t="n">
        <v>0</v>
      </c>
      <c r="F15" s="9" t="n">
        <v>0</v>
      </c>
      <c r="G15" s="9" t="n">
        <v>0</v>
      </c>
      <c r="H15" s="9" t="n">
        <v>0</v>
      </c>
      <c r="I15" s="9" t="n">
        <v>0</v>
      </c>
      <c r="J15" s="9" t="n">
        <v>0</v>
      </c>
    </row>
    <row r="16" customFormat="false" ht="15.75" hidden="false" customHeight="false" outlineLevel="0" collapsed="false">
      <c r="A16" s="7" t="s">
        <v>24</v>
      </c>
      <c r="B16" s="7" t="n">
        <v>11</v>
      </c>
      <c r="C16" s="9" t="n">
        <v>0</v>
      </c>
      <c r="D16" s="9" t="n">
        <v>0</v>
      </c>
      <c r="E16" s="9" t="n">
        <v>0</v>
      </c>
      <c r="F16" s="9" t="n">
        <v>0</v>
      </c>
      <c r="G16" s="9" t="n">
        <v>0</v>
      </c>
      <c r="H16" s="9" t="n">
        <v>0</v>
      </c>
      <c r="I16" s="9" t="n">
        <v>0</v>
      </c>
      <c r="J16" s="9" t="n">
        <v>0</v>
      </c>
    </row>
    <row r="17" customFormat="false" ht="15.75" hidden="false" customHeight="false" outlineLevel="0" collapsed="false">
      <c r="A17" s="7" t="s">
        <v>25</v>
      </c>
      <c r="B17" s="7" t="n">
        <v>11</v>
      </c>
      <c r="C17" s="9" t="n">
        <v>0</v>
      </c>
      <c r="D17" s="9" t="n">
        <v>0</v>
      </c>
      <c r="E17" s="9" t="n">
        <v>122</v>
      </c>
      <c r="F17" s="9" t="n">
        <v>2598112</v>
      </c>
      <c r="G17" s="9" t="n">
        <v>50</v>
      </c>
      <c r="H17" s="9" t="n">
        <v>1064588</v>
      </c>
      <c r="I17" s="9" t="n">
        <v>72</v>
      </c>
      <c r="J17" s="9" t="n">
        <v>1533524</v>
      </c>
    </row>
    <row r="18" customFormat="false" ht="15.75" hidden="false" customHeight="false" outlineLevel="0" collapsed="false">
      <c r="A18" s="7" t="s">
        <v>26</v>
      </c>
      <c r="B18" s="7" t="n">
        <v>11</v>
      </c>
      <c r="C18" s="9" t="n">
        <v>64</v>
      </c>
      <c r="D18" s="9" t="n">
        <v>1656459</v>
      </c>
      <c r="E18" s="9" t="n">
        <v>52</v>
      </c>
      <c r="F18" s="9" t="n">
        <v>1348152</v>
      </c>
      <c r="G18" s="9" t="n">
        <v>20</v>
      </c>
      <c r="H18" s="9" t="n">
        <v>518036</v>
      </c>
      <c r="I18" s="9" t="n">
        <v>96</v>
      </c>
      <c r="J18" s="9" t="n">
        <v>2486575</v>
      </c>
    </row>
    <row r="19" customFormat="false" ht="15.75" hidden="false" customHeight="false" outlineLevel="0" collapsed="false">
      <c r="A19" s="7" t="s">
        <v>27</v>
      </c>
      <c r="B19" s="7" t="n">
        <v>11</v>
      </c>
      <c r="C19" s="9" t="n">
        <v>47</v>
      </c>
      <c r="D19" s="9" t="n">
        <v>1453969</v>
      </c>
      <c r="E19" s="9" t="n">
        <v>20</v>
      </c>
      <c r="F19" s="9" t="n">
        <v>629620</v>
      </c>
      <c r="G19" s="9" t="n">
        <v>0</v>
      </c>
      <c r="H19" s="9" t="n">
        <v>0</v>
      </c>
      <c r="I19" s="9" t="n">
        <v>67</v>
      </c>
      <c r="J19" s="9" t="n">
        <v>2083589</v>
      </c>
    </row>
    <row r="20" customFormat="false" ht="15.75" hidden="false" customHeight="false" outlineLevel="0" collapsed="false">
      <c r="A20" s="7" t="s">
        <v>28</v>
      </c>
      <c r="B20" s="7" t="n">
        <v>11</v>
      </c>
      <c r="C20" s="9" t="n">
        <v>350</v>
      </c>
      <c r="D20" s="9" t="n">
        <v>40140000</v>
      </c>
      <c r="E20" s="9" t="n">
        <v>300</v>
      </c>
      <c r="F20" s="9" t="n">
        <v>34560000</v>
      </c>
      <c r="G20" s="9" t="n">
        <v>0</v>
      </c>
      <c r="H20" s="9" t="n">
        <v>0</v>
      </c>
      <c r="I20" s="9" t="n">
        <v>650</v>
      </c>
      <c r="J20" s="9" t="n">
        <v>74700000</v>
      </c>
    </row>
    <row r="21" customFormat="false" ht="15.75" hidden="false" customHeight="false" outlineLevel="0" collapsed="false">
      <c r="A21" s="7" t="s">
        <v>29</v>
      </c>
      <c r="B21" s="7" t="n">
        <v>11</v>
      </c>
      <c r="C21" s="9" t="n">
        <v>280</v>
      </c>
      <c r="D21" s="9" t="n">
        <v>74052080</v>
      </c>
      <c r="E21" s="9" t="n">
        <v>0</v>
      </c>
      <c r="F21" s="9" t="n">
        <v>0</v>
      </c>
      <c r="G21" s="9" t="n">
        <v>0</v>
      </c>
      <c r="H21" s="9" t="n">
        <v>0</v>
      </c>
      <c r="I21" s="9" t="n">
        <v>280</v>
      </c>
      <c r="J21" s="9" t="n">
        <v>74052080</v>
      </c>
    </row>
    <row r="22" customFormat="false" ht="15.75" hidden="false" customHeight="false" outlineLevel="0" collapsed="false">
      <c r="A22" s="7" t="s">
        <v>30</v>
      </c>
      <c r="B22" s="7" t="n">
        <v>11</v>
      </c>
      <c r="C22" s="9" t="n">
        <v>167</v>
      </c>
      <c r="D22" s="9" t="n">
        <v>32383984</v>
      </c>
      <c r="E22" s="9" t="n">
        <v>0</v>
      </c>
      <c r="F22" s="9" t="n">
        <v>0</v>
      </c>
      <c r="G22" s="9" t="n">
        <v>65</v>
      </c>
      <c r="H22" s="9" t="n">
        <v>12604545</v>
      </c>
      <c r="I22" s="9" t="n">
        <v>102</v>
      </c>
      <c r="J22" s="9" t="n">
        <v>19779439</v>
      </c>
    </row>
    <row r="23" customFormat="false" ht="15.75" hidden="false" customHeight="false" outlineLevel="0" collapsed="false">
      <c r="A23" s="7" t="s">
        <v>31</v>
      </c>
      <c r="B23" s="7" t="n">
        <v>11</v>
      </c>
      <c r="C23" s="9" t="n">
        <v>0</v>
      </c>
      <c r="D23" s="9" t="n">
        <v>0</v>
      </c>
      <c r="E23" s="9" t="n">
        <v>0</v>
      </c>
      <c r="F23" s="9" t="n">
        <v>0</v>
      </c>
      <c r="G23" s="9" t="n">
        <v>0</v>
      </c>
      <c r="H23" s="9" t="n">
        <v>0</v>
      </c>
      <c r="I23" s="9" t="n">
        <v>0</v>
      </c>
      <c r="J23" s="9" t="n">
        <v>0</v>
      </c>
    </row>
    <row r="24" customFormat="false" ht="15.75" hidden="false" customHeight="false" outlineLevel="0" collapsed="false">
      <c r="A24" s="7" t="s">
        <v>32</v>
      </c>
      <c r="B24" s="7" t="n">
        <v>11</v>
      </c>
      <c r="C24" s="9" t="n">
        <v>117</v>
      </c>
      <c r="D24" s="9" t="n">
        <v>19470546</v>
      </c>
      <c r="E24" s="9" t="n">
        <v>20</v>
      </c>
      <c r="F24" s="9" t="n">
        <v>3351280</v>
      </c>
      <c r="G24" s="9" t="n">
        <v>0</v>
      </c>
      <c r="H24" s="9" t="n">
        <v>0</v>
      </c>
      <c r="I24" s="9" t="n">
        <v>137</v>
      </c>
      <c r="J24" s="9" t="n">
        <v>22821826</v>
      </c>
    </row>
    <row r="25" customFormat="false" ht="15.75" hidden="false" customHeight="false" outlineLevel="0" collapsed="false">
      <c r="A25" s="7" t="s">
        <v>33</v>
      </c>
      <c r="B25" s="7" t="n">
        <v>11</v>
      </c>
      <c r="C25" s="9" t="n">
        <v>106</v>
      </c>
      <c r="D25" s="9" t="n">
        <v>16323470</v>
      </c>
      <c r="E25" s="9" t="n">
        <v>0</v>
      </c>
      <c r="F25" s="9" t="n">
        <v>0</v>
      </c>
      <c r="G25" s="9" t="n">
        <v>0</v>
      </c>
      <c r="H25" s="9" t="n">
        <v>0</v>
      </c>
      <c r="I25" s="9" t="n">
        <v>106</v>
      </c>
      <c r="J25" s="9" t="n">
        <v>16323470</v>
      </c>
    </row>
    <row r="26" customFormat="false" ht="15.75" hidden="false" customHeight="false" outlineLevel="0" collapsed="false">
      <c r="A26" s="7" t="s">
        <v>34</v>
      </c>
      <c r="B26" s="7" t="n">
        <v>11</v>
      </c>
      <c r="C26" s="9" t="n">
        <v>104</v>
      </c>
      <c r="D26" s="9" t="n">
        <v>19220213</v>
      </c>
      <c r="E26" s="9" t="n">
        <v>0</v>
      </c>
      <c r="F26" s="9" t="n">
        <v>0</v>
      </c>
      <c r="G26" s="9" t="n">
        <v>10</v>
      </c>
      <c r="H26" s="9" t="n">
        <v>1848097</v>
      </c>
      <c r="I26" s="9" t="n">
        <v>94</v>
      </c>
      <c r="J26" s="9" t="n">
        <v>17372116</v>
      </c>
    </row>
    <row r="27" customFormat="false" ht="15.75" hidden="false" customHeight="false" outlineLevel="0" collapsed="false">
      <c r="A27" s="7" t="s">
        <v>35</v>
      </c>
      <c r="B27" s="7" t="n">
        <v>11</v>
      </c>
      <c r="C27" s="9" t="n">
        <v>301</v>
      </c>
      <c r="D27" s="9" t="n">
        <v>34434000</v>
      </c>
      <c r="E27" s="9" t="n">
        <v>50</v>
      </c>
      <c r="F27" s="9" t="n">
        <v>5760000</v>
      </c>
      <c r="G27" s="9" t="n">
        <v>0</v>
      </c>
      <c r="H27" s="9" t="n">
        <v>0</v>
      </c>
      <c r="I27" s="9" t="n">
        <v>351</v>
      </c>
      <c r="J27" s="9" t="n">
        <v>40194000</v>
      </c>
    </row>
    <row r="28" customFormat="false" ht="15.75" hidden="false" customHeight="false" outlineLevel="0" collapsed="false">
      <c r="A28" s="7" t="s">
        <v>36</v>
      </c>
      <c r="B28" s="7" t="n">
        <v>11</v>
      </c>
      <c r="C28" s="9" t="n">
        <v>40</v>
      </c>
      <c r="D28" s="9" t="n">
        <v>1818200</v>
      </c>
      <c r="E28" s="9" t="n">
        <v>0</v>
      </c>
      <c r="F28" s="9" t="n">
        <v>0</v>
      </c>
      <c r="G28" s="9" t="n">
        <v>0</v>
      </c>
      <c r="H28" s="9" t="n">
        <v>0</v>
      </c>
      <c r="I28" s="9" t="n">
        <v>40</v>
      </c>
      <c r="J28" s="9" t="n">
        <v>1818200</v>
      </c>
    </row>
    <row r="29" customFormat="false" ht="15.75" hidden="false" customHeight="false" outlineLevel="0" collapsed="false">
      <c r="A29" s="7" t="s">
        <v>37</v>
      </c>
      <c r="B29" s="7" t="n">
        <v>11</v>
      </c>
      <c r="C29" s="9" t="n">
        <v>2773</v>
      </c>
      <c r="D29" s="9" t="n">
        <v>154387937</v>
      </c>
      <c r="E29" s="9" t="n">
        <v>2336</v>
      </c>
      <c r="F29" s="9" t="n">
        <v>130066144</v>
      </c>
      <c r="G29" s="9" t="n">
        <v>4276</v>
      </c>
      <c r="H29" s="9" t="n">
        <v>238075093</v>
      </c>
      <c r="I29" s="9" t="n">
        <v>833</v>
      </c>
      <c r="J29" s="9" t="n">
        <v>46378988</v>
      </c>
    </row>
    <row r="30" customFormat="false" ht="15.75" hidden="false" customHeight="false" outlineLevel="0" collapsed="false">
      <c r="A30" s="7" t="s">
        <v>38</v>
      </c>
      <c r="B30" s="7" t="n">
        <v>11</v>
      </c>
      <c r="C30" s="9" t="n">
        <v>273746</v>
      </c>
      <c r="D30" s="9" t="n">
        <v>251866926</v>
      </c>
      <c r="E30" s="9" t="n">
        <v>4716</v>
      </c>
      <c r="F30" s="9" t="n">
        <v>147176928</v>
      </c>
      <c r="G30" s="9" t="n">
        <v>4595</v>
      </c>
      <c r="H30" s="9" t="n">
        <v>143400759</v>
      </c>
      <c r="I30" s="9" t="n">
        <v>273867</v>
      </c>
      <c r="J30" s="9" t="n">
        <v>255643095</v>
      </c>
    </row>
    <row r="31" customFormat="false" ht="15.75" hidden="false" customHeight="false" outlineLevel="0" collapsed="false">
      <c r="A31" s="7" t="s">
        <v>39</v>
      </c>
      <c r="B31" s="7" t="n">
        <v>11</v>
      </c>
      <c r="C31" s="9" t="n">
        <v>25950</v>
      </c>
      <c r="D31" s="9" t="n">
        <v>51587859</v>
      </c>
      <c r="E31" s="9" t="n">
        <v>1350</v>
      </c>
      <c r="F31" s="9" t="n">
        <v>48848400</v>
      </c>
      <c r="G31" s="9" t="n">
        <v>1385</v>
      </c>
      <c r="H31" s="9" t="n">
        <v>50114829</v>
      </c>
      <c r="I31" s="9" t="n">
        <v>25915</v>
      </c>
      <c r="J31" s="9" t="n">
        <v>50321430</v>
      </c>
    </row>
    <row r="32" customFormat="false" ht="15.75" hidden="false" customHeight="false" outlineLevel="0" collapsed="false">
      <c r="A32" s="7" t="s">
        <v>40</v>
      </c>
      <c r="B32" s="7" t="n">
        <v>11</v>
      </c>
      <c r="C32" s="9" t="n">
        <v>2430</v>
      </c>
      <c r="D32" s="9" t="n">
        <v>87927120</v>
      </c>
      <c r="E32" s="9" t="n">
        <v>0</v>
      </c>
      <c r="F32" s="9" t="n">
        <v>0</v>
      </c>
      <c r="G32" s="9" t="n">
        <v>0</v>
      </c>
      <c r="H32" s="9" t="n">
        <v>0</v>
      </c>
      <c r="I32" s="9" t="n">
        <v>2430</v>
      </c>
      <c r="J32" s="9" t="n">
        <v>87927120</v>
      </c>
    </row>
    <row r="33" customFormat="false" ht="15.75" hidden="false" customHeight="false" outlineLevel="0" collapsed="false">
      <c r="A33" s="7" t="s">
        <v>41</v>
      </c>
      <c r="B33" s="7" t="n">
        <v>11</v>
      </c>
      <c r="C33" s="9" t="n">
        <v>90</v>
      </c>
      <c r="D33" s="9" t="n">
        <v>3256560</v>
      </c>
      <c r="E33" s="9" t="n">
        <v>0</v>
      </c>
      <c r="F33" s="9" t="n">
        <v>0</v>
      </c>
      <c r="G33" s="9" t="n">
        <v>90</v>
      </c>
      <c r="H33" s="9" t="n">
        <v>3067022</v>
      </c>
      <c r="I33" s="9" t="n">
        <v>0</v>
      </c>
      <c r="J33" s="9" t="n">
        <v>189538</v>
      </c>
    </row>
    <row r="34" customFormat="false" ht="15.75" hidden="false" customHeight="false" outlineLevel="0" collapsed="false">
      <c r="A34" s="7" t="s">
        <v>42</v>
      </c>
      <c r="B34" s="7" t="n">
        <v>11</v>
      </c>
      <c r="C34" s="9" t="n">
        <v>192</v>
      </c>
      <c r="D34" s="9" t="n">
        <v>10166993</v>
      </c>
      <c r="E34" s="9" t="n">
        <v>0</v>
      </c>
      <c r="F34" s="9" t="n">
        <v>0</v>
      </c>
      <c r="G34" s="9" t="n">
        <v>32</v>
      </c>
      <c r="H34" s="9" t="n">
        <v>1628355</v>
      </c>
      <c r="I34" s="9" t="n">
        <v>160</v>
      </c>
      <c r="J34" s="9" t="n">
        <v>8538638</v>
      </c>
    </row>
    <row r="35" customFormat="false" ht="15.75" hidden="false" customHeight="false" outlineLevel="0" collapsed="false">
      <c r="A35" s="7" t="s">
        <v>43</v>
      </c>
      <c r="B35" s="7" t="n">
        <v>11</v>
      </c>
      <c r="C35" s="9" t="n">
        <v>0</v>
      </c>
      <c r="D35" s="9" t="n">
        <v>0</v>
      </c>
      <c r="E35" s="9" t="n">
        <v>0</v>
      </c>
      <c r="F35" s="9" t="n">
        <v>0</v>
      </c>
      <c r="G35" s="9" t="n">
        <v>0</v>
      </c>
      <c r="H35" s="9" t="n">
        <v>0</v>
      </c>
      <c r="I35" s="9" t="n">
        <v>0</v>
      </c>
      <c r="J35" s="9" t="n">
        <v>0</v>
      </c>
    </row>
    <row r="36" customFormat="false" ht="15.75" hidden="false" customHeight="false" outlineLevel="0" collapsed="false">
      <c r="A36" s="7" t="s">
        <v>44</v>
      </c>
      <c r="B36" s="7" t="n">
        <v>11</v>
      </c>
      <c r="C36" s="9" t="n">
        <v>9770</v>
      </c>
      <c r="D36" s="9" t="n">
        <v>43950373</v>
      </c>
      <c r="E36" s="9" t="n">
        <v>750</v>
      </c>
      <c r="F36" s="9" t="n">
        <v>27138000</v>
      </c>
      <c r="G36" s="9" t="n">
        <v>1035</v>
      </c>
      <c r="H36" s="9" t="n">
        <v>37447723</v>
      </c>
      <c r="I36" s="9" t="n">
        <v>9485</v>
      </c>
      <c r="J36" s="9" t="n">
        <v>33640650</v>
      </c>
    </row>
    <row r="37" customFormat="false" ht="15.75" hidden="false" customHeight="false" outlineLevel="0" collapsed="false">
      <c r="A37" s="7" t="s">
        <v>45</v>
      </c>
      <c r="B37" s="7" t="n">
        <v>11</v>
      </c>
      <c r="C37" s="9" t="n">
        <v>600</v>
      </c>
      <c r="D37" s="9" t="n">
        <v>21692145</v>
      </c>
      <c r="E37" s="9" t="n">
        <v>225</v>
      </c>
      <c r="F37" s="9" t="n">
        <v>8141400</v>
      </c>
      <c r="G37" s="9" t="n">
        <v>505</v>
      </c>
      <c r="H37" s="9" t="n">
        <v>18261746</v>
      </c>
      <c r="I37" s="9" t="n">
        <v>320</v>
      </c>
      <c r="J37" s="9" t="n">
        <v>11571799</v>
      </c>
    </row>
    <row r="38" customFormat="false" ht="15.75" hidden="false" customHeight="false" outlineLevel="0" collapsed="false">
      <c r="A38" s="7" t="s">
        <v>46</v>
      </c>
      <c r="B38" s="7" t="n">
        <v>11</v>
      </c>
      <c r="C38" s="9" t="n">
        <v>285</v>
      </c>
      <c r="D38" s="9" t="n">
        <v>10381764</v>
      </c>
      <c r="E38" s="9" t="n">
        <v>120</v>
      </c>
      <c r="F38" s="9" t="n">
        <v>4342080</v>
      </c>
      <c r="G38" s="9" t="n">
        <v>135</v>
      </c>
      <c r="H38" s="9" t="n">
        <v>4827636</v>
      </c>
      <c r="I38" s="9" t="n">
        <v>270</v>
      </c>
      <c r="J38" s="9" t="n">
        <v>9896208</v>
      </c>
    </row>
    <row r="39" customFormat="false" ht="15.75" hidden="false" customHeight="false" outlineLevel="0" collapsed="false">
      <c r="A39" s="7" t="s">
        <v>47</v>
      </c>
      <c r="B39" s="7" t="n">
        <v>11</v>
      </c>
      <c r="C39" s="9" t="n">
        <v>500</v>
      </c>
      <c r="D39" s="9" t="n">
        <v>2504338</v>
      </c>
      <c r="E39" s="9" t="n">
        <v>1000</v>
      </c>
      <c r="F39" s="9" t="n">
        <v>5093000</v>
      </c>
      <c r="G39" s="9" t="n">
        <v>0</v>
      </c>
      <c r="H39" s="9" t="n">
        <v>0</v>
      </c>
      <c r="I39" s="9" t="n">
        <v>1500</v>
      </c>
      <c r="J39" s="9" t="n">
        <v>7597338</v>
      </c>
    </row>
    <row r="40" customFormat="false" ht="15.75" hidden="false" customHeight="false" outlineLevel="0" collapsed="false">
      <c r="A40" s="7" t="s">
        <v>48</v>
      </c>
      <c r="B40" s="7" t="n">
        <v>11</v>
      </c>
      <c r="C40" s="9" t="n">
        <v>48</v>
      </c>
      <c r="D40" s="9" t="n">
        <v>1156368</v>
      </c>
      <c r="E40" s="9" t="n">
        <v>144</v>
      </c>
      <c r="F40" s="9" t="n">
        <v>2955600</v>
      </c>
      <c r="G40" s="9" t="n">
        <v>0</v>
      </c>
      <c r="H40" s="9" t="n">
        <v>0</v>
      </c>
      <c r="I40" s="9" t="n">
        <v>192</v>
      </c>
      <c r="J40" s="9" t="n">
        <v>4111968</v>
      </c>
    </row>
    <row r="41" customFormat="false" ht="15.75" hidden="false" customHeight="false" outlineLevel="0" collapsed="false">
      <c r="A41" s="7" t="s">
        <v>49</v>
      </c>
      <c r="B41" s="7" t="n">
        <v>11</v>
      </c>
      <c r="C41" s="9" t="n">
        <v>2040</v>
      </c>
      <c r="D41" s="9" t="n">
        <v>9985874</v>
      </c>
      <c r="E41" s="9" t="n">
        <v>3600</v>
      </c>
      <c r="F41" s="9" t="n">
        <v>17665200</v>
      </c>
      <c r="G41" s="9" t="n">
        <v>1620</v>
      </c>
      <c r="H41" s="9" t="n">
        <v>7942330</v>
      </c>
      <c r="I41" s="9" t="n">
        <v>4020</v>
      </c>
      <c r="J41" s="9" t="n">
        <v>19708744</v>
      </c>
    </row>
    <row r="42" customFormat="false" ht="15.75" hidden="false" customHeight="false" outlineLevel="0" collapsed="false">
      <c r="A42" s="7" t="s">
        <v>50</v>
      </c>
      <c r="B42" s="7" t="n">
        <v>11</v>
      </c>
      <c r="C42" s="9" t="n">
        <v>750</v>
      </c>
      <c r="D42" s="9" t="n">
        <v>2517000</v>
      </c>
      <c r="E42" s="9" t="n">
        <v>0</v>
      </c>
      <c r="F42" s="9" t="n">
        <v>0</v>
      </c>
      <c r="G42" s="9" t="n">
        <v>0</v>
      </c>
      <c r="H42" s="9" t="n">
        <v>0</v>
      </c>
      <c r="I42" s="9" t="n">
        <v>750</v>
      </c>
      <c r="J42" s="9" t="n">
        <v>2517000</v>
      </c>
    </row>
    <row r="43" customFormat="false" ht="15.75" hidden="false" customHeight="false" outlineLevel="0" collapsed="false">
      <c r="A43" s="7" t="s">
        <v>51</v>
      </c>
      <c r="B43" s="7" t="n">
        <v>11</v>
      </c>
      <c r="C43" s="9" t="n">
        <v>1250</v>
      </c>
      <c r="D43" s="9" t="n">
        <v>5109995</v>
      </c>
      <c r="E43" s="9" t="n">
        <v>850</v>
      </c>
      <c r="F43" s="9" t="n">
        <v>3541950</v>
      </c>
      <c r="G43" s="9" t="n">
        <v>750</v>
      </c>
      <c r="H43" s="9" t="n">
        <v>3089981</v>
      </c>
      <c r="I43" s="9" t="n">
        <v>1350</v>
      </c>
      <c r="J43" s="9" t="n">
        <v>5561964</v>
      </c>
    </row>
    <row r="44" customFormat="false" ht="15.75" hidden="false" customHeight="false" outlineLevel="0" collapsed="false">
      <c r="A44" s="7" t="s">
        <v>52</v>
      </c>
      <c r="B44" s="7" t="n">
        <v>11</v>
      </c>
      <c r="C44" s="9" t="n">
        <v>1388</v>
      </c>
      <c r="D44" s="9" t="n">
        <v>31974847</v>
      </c>
      <c r="E44" s="9" t="n">
        <v>288</v>
      </c>
      <c r="F44" s="9" t="n">
        <v>6666624</v>
      </c>
      <c r="G44" s="9" t="n">
        <v>0</v>
      </c>
      <c r="H44" s="9" t="n">
        <v>0</v>
      </c>
      <c r="I44" s="9" t="n">
        <v>1676</v>
      </c>
      <c r="J44" s="9" t="n">
        <v>38641471</v>
      </c>
    </row>
    <row r="45" customFormat="false" ht="15.75" hidden="false" customHeight="false" outlineLevel="0" collapsed="false">
      <c r="A45" s="7" t="s">
        <v>53</v>
      </c>
      <c r="B45" s="7" t="n">
        <v>11</v>
      </c>
      <c r="C45" s="9" t="n">
        <v>0</v>
      </c>
      <c r="D45" s="9" t="n">
        <v>0</v>
      </c>
      <c r="E45" s="9" t="n">
        <v>0</v>
      </c>
      <c r="F45" s="9" t="n">
        <v>0</v>
      </c>
      <c r="G45" s="9" t="n">
        <v>0</v>
      </c>
      <c r="H45" s="9" t="n">
        <v>0</v>
      </c>
      <c r="I45" s="9" t="n">
        <v>0</v>
      </c>
      <c r="J45" s="9" t="n">
        <v>0</v>
      </c>
    </row>
    <row r="46" customFormat="false" ht="15.75" hidden="false" customHeight="false" outlineLevel="0" collapsed="false">
      <c r="A46" s="7" t="s">
        <v>54</v>
      </c>
      <c r="B46" s="7" t="n">
        <v>11</v>
      </c>
      <c r="C46" s="9" t="n">
        <v>3314</v>
      </c>
      <c r="D46" s="9" t="n">
        <v>47924396</v>
      </c>
      <c r="E46" s="9" t="n">
        <v>4800</v>
      </c>
      <c r="F46" s="9" t="n">
        <v>71112000</v>
      </c>
      <c r="G46" s="9" t="n">
        <v>3636</v>
      </c>
      <c r="H46" s="9" t="n">
        <v>53341920</v>
      </c>
      <c r="I46" s="9" t="n">
        <v>4478</v>
      </c>
      <c r="J46" s="9" t="n">
        <v>65694476</v>
      </c>
    </row>
    <row r="47" customFormat="false" ht="15.75" hidden="false" customHeight="false" outlineLevel="0" collapsed="false">
      <c r="A47" s="7" t="s">
        <v>55</v>
      </c>
      <c r="B47" s="7" t="n">
        <v>11</v>
      </c>
      <c r="C47" s="9" t="n">
        <v>120</v>
      </c>
      <c r="D47" s="9" t="n">
        <v>10555933</v>
      </c>
      <c r="E47" s="9" t="n">
        <v>48</v>
      </c>
      <c r="F47" s="9" t="n">
        <v>4244448</v>
      </c>
      <c r="G47" s="9" t="n">
        <v>6</v>
      </c>
      <c r="H47" s="9" t="n">
        <v>528585</v>
      </c>
      <c r="I47" s="9" t="n">
        <v>162</v>
      </c>
      <c r="J47" s="9" t="n">
        <v>14271796</v>
      </c>
    </row>
    <row r="48" customFormat="false" ht="15.75" hidden="false" customHeight="false" outlineLevel="0" collapsed="false">
      <c r="A48" s="7" t="s">
        <v>56</v>
      </c>
      <c r="B48" s="7" t="n">
        <v>11</v>
      </c>
      <c r="C48" s="9" t="n">
        <v>912</v>
      </c>
      <c r="D48" s="9" t="n">
        <v>8742240</v>
      </c>
      <c r="E48" s="9" t="n">
        <v>432</v>
      </c>
      <c r="F48" s="9" t="n">
        <v>4160160</v>
      </c>
      <c r="G48" s="9" t="n">
        <v>480</v>
      </c>
      <c r="H48" s="9" t="n">
        <v>4608000</v>
      </c>
      <c r="I48" s="9" t="n">
        <v>864</v>
      </c>
      <c r="J48" s="9" t="n">
        <v>8294400</v>
      </c>
    </row>
    <row r="49" customFormat="false" ht="15.75" hidden="false" customHeight="false" outlineLevel="0" collapsed="false">
      <c r="A49" s="7" t="s">
        <v>57</v>
      </c>
      <c r="B49" s="7" t="n">
        <v>11</v>
      </c>
      <c r="C49" s="9" t="n">
        <v>696</v>
      </c>
      <c r="D49" s="9" t="n">
        <v>11988195</v>
      </c>
      <c r="E49" s="9" t="n">
        <v>192</v>
      </c>
      <c r="F49" s="9" t="n">
        <v>3377856</v>
      </c>
      <c r="G49" s="9" t="n">
        <v>130</v>
      </c>
      <c r="H49" s="9" t="n">
        <v>2249534</v>
      </c>
      <c r="I49" s="9" t="n">
        <v>758</v>
      </c>
      <c r="J49" s="9" t="n">
        <v>13116517</v>
      </c>
    </row>
    <row r="50" customFormat="false" ht="15.75" hidden="false" customHeight="false" outlineLevel="0" collapsed="false">
      <c r="A50" s="7" t="s">
        <v>58</v>
      </c>
      <c r="B50" s="7" t="n">
        <v>11</v>
      </c>
      <c r="C50" s="9" t="n">
        <v>3180</v>
      </c>
      <c r="D50" s="9" t="n">
        <v>26945560</v>
      </c>
      <c r="E50" s="9" t="n">
        <v>720</v>
      </c>
      <c r="F50" s="9" t="n">
        <v>6199920</v>
      </c>
      <c r="G50" s="9" t="n">
        <v>240</v>
      </c>
      <c r="H50" s="9" t="n">
        <v>2039722</v>
      </c>
      <c r="I50" s="9" t="n">
        <v>3660</v>
      </c>
      <c r="J50" s="9" t="n">
        <v>31105758</v>
      </c>
    </row>
    <row r="51" customFormat="false" ht="15.75" hidden="false" customHeight="false" outlineLevel="0" collapsed="false">
      <c r="A51" s="7" t="s">
        <v>59</v>
      </c>
      <c r="B51" s="7" t="n">
        <v>11</v>
      </c>
      <c r="C51" s="9" t="n">
        <v>6146</v>
      </c>
      <c r="D51" s="9" t="n">
        <v>100022514</v>
      </c>
      <c r="E51" s="9" t="n">
        <v>3360</v>
      </c>
      <c r="F51" s="9" t="n">
        <v>56001120</v>
      </c>
      <c r="G51" s="9" t="n">
        <v>5430</v>
      </c>
      <c r="H51" s="9" t="n">
        <v>89123536</v>
      </c>
      <c r="I51" s="9" t="n">
        <v>4076</v>
      </c>
      <c r="J51" s="9" t="n">
        <v>66900098</v>
      </c>
    </row>
    <row r="52" customFormat="false" ht="15.75" hidden="false" customHeight="false" outlineLevel="0" collapsed="false">
      <c r="A52" s="7" t="s">
        <v>60</v>
      </c>
      <c r="B52" s="7" t="n">
        <v>11</v>
      </c>
      <c r="C52" s="9" t="n">
        <v>4535</v>
      </c>
      <c r="D52" s="9" t="n">
        <v>144799970</v>
      </c>
      <c r="E52" s="9" t="n">
        <v>1236</v>
      </c>
      <c r="F52" s="9" t="n">
        <v>43521996</v>
      </c>
      <c r="G52" s="9" t="n">
        <v>2720</v>
      </c>
      <c r="H52" s="9" t="n">
        <v>88760310</v>
      </c>
      <c r="I52" s="9" t="n">
        <v>3051</v>
      </c>
      <c r="J52" s="9" t="n">
        <v>99561656</v>
      </c>
    </row>
    <row r="53" customFormat="false" ht="15.75" hidden="false" customHeight="false" outlineLevel="0" collapsed="false">
      <c r="A53" s="7" t="s">
        <v>61</v>
      </c>
      <c r="B53" s="7" t="n">
        <v>11</v>
      </c>
      <c r="C53" s="9" t="n">
        <v>0</v>
      </c>
      <c r="D53" s="9" t="n">
        <v>0</v>
      </c>
      <c r="E53" s="9" t="n">
        <v>0</v>
      </c>
      <c r="F53" s="9" t="n">
        <v>0</v>
      </c>
      <c r="G53" s="9" t="n">
        <v>0</v>
      </c>
      <c r="H53" s="9" t="n">
        <v>0</v>
      </c>
      <c r="I53" s="9" t="n">
        <v>0</v>
      </c>
      <c r="J53" s="9" t="n">
        <v>0</v>
      </c>
    </row>
    <row r="54" customFormat="false" ht="15.75" hidden="false" customHeight="false" outlineLevel="0" collapsed="false">
      <c r="A54" s="7" t="s">
        <v>62</v>
      </c>
      <c r="B54" s="7" t="n">
        <v>11</v>
      </c>
      <c r="C54" s="9" t="n">
        <v>1694</v>
      </c>
      <c r="D54" s="9" t="n">
        <v>8272736</v>
      </c>
      <c r="E54" s="9" t="n">
        <v>3840</v>
      </c>
      <c r="F54" s="9" t="n">
        <v>18842880</v>
      </c>
      <c r="G54" s="9" t="n">
        <v>1500</v>
      </c>
      <c r="H54" s="9" t="n">
        <v>7349733</v>
      </c>
      <c r="I54" s="9" t="n">
        <v>4034</v>
      </c>
      <c r="J54" s="9" t="n">
        <v>19765883</v>
      </c>
    </row>
    <row r="55" customFormat="false" ht="15.75" hidden="false" customHeight="false" outlineLevel="0" collapsed="false">
      <c r="A55" s="7" t="s">
        <v>63</v>
      </c>
      <c r="B55" s="7" t="n">
        <v>11</v>
      </c>
      <c r="C55" s="9" t="n">
        <v>0</v>
      </c>
      <c r="D55" s="9" t="n">
        <v>0</v>
      </c>
      <c r="E55" s="9" t="n">
        <v>0</v>
      </c>
      <c r="F55" s="9" t="n">
        <v>0</v>
      </c>
      <c r="G55" s="9" t="n">
        <v>0</v>
      </c>
      <c r="H55" s="9" t="n">
        <v>0</v>
      </c>
      <c r="I55" s="9" t="n">
        <v>0</v>
      </c>
      <c r="J55" s="9" t="n">
        <v>0</v>
      </c>
    </row>
    <row r="56" customFormat="false" ht="15.75" hidden="false" customHeight="false" outlineLevel="0" collapsed="false">
      <c r="A56" s="7" t="s">
        <v>64</v>
      </c>
      <c r="B56" s="7" t="n">
        <v>11</v>
      </c>
      <c r="C56" s="9" t="n">
        <v>30</v>
      </c>
      <c r="D56" s="9" t="n">
        <v>5833320</v>
      </c>
      <c r="E56" s="9" t="n">
        <v>0</v>
      </c>
      <c r="F56" s="9" t="n">
        <v>0</v>
      </c>
      <c r="G56" s="9" t="n">
        <v>5</v>
      </c>
      <c r="H56" s="9" t="n">
        <v>972220</v>
      </c>
      <c r="I56" s="9" t="n">
        <v>25</v>
      </c>
      <c r="J56" s="9" t="n">
        <v>4861100</v>
      </c>
    </row>
    <row r="57" customFormat="false" ht="15.75" hidden="false" customHeight="false" outlineLevel="0" collapsed="false">
      <c r="A57" s="7" t="s">
        <v>65</v>
      </c>
      <c r="B57" s="7" t="n">
        <v>11</v>
      </c>
      <c r="C57" s="9" t="n">
        <v>12</v>
      </c>
      <c r="D57" s="9" t="n">
        <v>2277780</v>
      </c>
      <c r="E57" s="9" t="n">
        <v>0</v>
      </c>
      <c r="F57" s="9" t="n">
        <v>0</v>
      </c>
      <c r="G57" s="9" t="n">
        <v>5</v>
      </c>
      <c r="H57" s="9" t="n">
        <v>949075</v>
      </c>
      <c r="I57" s="9" t="n">
        <v>7</v>
      </c>
      <c r="J57" s="9" t="n">
        <v>1328705</v>
      </c>
    </row>
    <row r="58" customFormat="false" ht="15.75" hidden="false" customHeight="false" outlineLevel="0" collapsed="false">
      <c r="A58" s="7" t="s">
        <v>66</v>
      </c>
      <c r="B58" s="7" t="n">
        <v>11</v>
      </c>
      <c r="C58" s="9" t="n">
        <v>3064</v>
      </c>
      <c r="D58" s="9" t="n">
        <v>47448391</v>
      </c>
      <c r="E58" s="9" t="n">
        <v>2340</v>
      </c>
      <c r="F58" s="9" t="n">
        <v>36833940</v>
      </c>
      <c r="G58" s="9" t="n">
        <v>1764</v>
      </c>
      <c r="H58" s="9" t="n">
        <v>27511849</v>
      </c>
      <c r="I58" s="9" t="n">
        <v>3640</v>
      </c>
      <c r="J58" s="9" t="n">
        <v>56770482</v>
      </c>
    </row>
    <row r="59" customFormat="false" ht="15.75" hidden="false" customHeight="false" outlineLevel="0" collapsed="false">
      <c r="A59" s="7" t="s">
        <v>67</v>
      </c>
      <c r="B59" s="7" t="n">
        <v>11</v>
      </c>
      <c r="C59" s="9" t="n">
        <v>170</v>
      </c>
      <c r="D59" s="9" t="n">
        <v>1385264</v>
      </c>
      <c r="E59" s="9" t="n">
        <v>0</v>
      </c>
      <c r="F59" s="9" t="n">
        <v>0</v>
      </c>
      <c r="G59" s="9" t="n">
        <v>0</v>
      </c>
      <c r="H59" s="9" t="n">
        <v>0</v>
      </c>
      <c r="I59" s="9" t="n">
        <v>170</v>
      </c>
      <c r="J59" s="9" t="n">
        <v>1385264</v>
      </c>
    </row>
    <row r="60" customFormat="false" ht="15.75" hidden="false" customHeight="false" outlineLevel="0" collapsed="false">
      <c r="A60" s="7" t="s">
        <v>68</v>
      </c>
      <c r="B60" s="7" t="n">
        <v>11</v>
      </c>
      <c r="C60" s="9" t="n">
        <v>360</v>
      </c>
      <c r="D60" s="9" t="n">
        <v>16605905</v>
      </c>
      <c r="E60" s="9" t="n">
        <v>24</v>
      </c>
      <c r="F60" s="9" t="n">
        <v>1120008</v>
      </c>
      <c r="G60" s="9" t="n">
        <v>0</v>
      </c>
      <c r="H60" s="9" t="n">
        <v>0</v>
      </c>
      <c r="I60" s="9" t="n">
        <v>384</v>
      </c>
      <c r="J60" s="9" t="n">
        <v>17725913</v>
      </c>
    </row>
    <row r="61" customFormat="false" ht="15.75" hidden="false" customHeight="false" outlineLevel="0" collapsed="false">
      <c r="A61" s="7" t="s">
        <v>69</v>
      </c>
      <c r="B61" s="7" t="n">
        <v>11</v>
      </c>
      <c r="C61" s="9" t="n">
        <v>78</v>
      </c>
      <c r="D61" s="9" t="n">
        <v>8088912</v>
      </c>
      <c r="E61" s="9" t="n">
        <v>78</v>
      </c>
      <c r="F61" s="9" t="n">
        <v>8088912</v>
      </c>
      <c r="G61" s="9" t="n">
        <v>0</v>
      </c>
      <c r="H61" s="9" t="n">
        <v>0</v>
      </c>
      <c r="I61" s="9" t="n">
        <v>156</v>
      </c>
      <c r="J61" s="9" t="n">
        <v>16177824</v>
      </c>
    </row>
    <row r="62" customFormat="false" ht="15.75" hidden="false" customHeight="false" outlineLevel="0" collapsed="false">
      <c r="A62" s="7" t="s">
        <v>70</v>
      </c>
      <c r="B62" s="7" t="n">
        <v>11</v>
      </c>
      <c r="C62" s="9" t="n">
        <v>42</v>
      </c>
      <c r="D62" s="9" t="n">
        <v>6066648</v>
      </c>
      <c r="E62" s="9" t="n">
        <v>42</v>
      </c>
      <c r="F62" s="9" t="n">
        <v>6066648</v>
      </c>
      <c r="G62" s="9" t="n">
        <v>0</v>
      </c>
      <c r="H62" s="9" t="n">
        <v>0</v>
      </c>
      <c r="I62" s="9" t="n">
        <v>84</v>
      </c>
      <c r="J62" s="9" t="n">
        <v>12133296</v>
      </c>
    </row>
    <row r="63" customFormat="false" ht="15.75" hidden="false" customHeight="false" outlineLevel="0" collapsed="false">
      <c r="A63" s="7" t="s">
        <v>71</v>
      </c>
      <c r="B63" s="7" t="n">
        <v>11</v>
      </c>
      <c r="C63" s="9" t="n">
        <v>1200</v>
      </c>
      <c r="D63" s="9" t="n">
        <v>18549704</v>
      </c>
      <c r="E63" s="9" t="n">
        <v>648</v>
      </c>
      <c r="F63" s="9" t="n">
        <v>10200168</v>
      </c>
      <c r="G63" s="9" t="n">
        <v>240</v>
      </c>
      <c r="H63" s="9" t="n">
        <v>3733750</v>
      </c>
      <c r="I63" s="9" t="n">
        <v>1608</v>
      </c>
      <c r="J63" s="9" t="n">
        <v>25016122</v>
      </c>
    </row>
    <row r="64" customFormat="false" ht="15.75" hidden="false" customHeight="false" outlineLevel="0" collapsed="false">
      <c r="A64" s="7" t="s">
        <v>72</v>
      </c>
      <c r="B64" s="7" t="n">
        <v>11</v>
      </c>
      <c r="C64" s="9" t="n">
        <v>2913</v>
      </c>
      <c r="D64" s="9" t="n">
        <v>66891481</v>
      </c>
      <c r="E64" s="9" t="n">
        <v>2283</v>
      </c>
      <c r="F64" s="9" t="n">
        <v>54888720</v>
      </c>
      <c r="G64" s="9" t="n">
        <v>1344</v>
      </c>
      <c r="H64" s="9" t="n">
        <v>31499729</v>
      </c>
      <c r="I64" s="9" t="n">
        <v>3852</v>
      </c>
      <c r="J64" s="9" t="n">
        <v>90280472</v>
      </c>
    </row>
    <row r="65" customFormat="false" ht="15.75" hidden="false" customHeight="false" outlineLevel="0" collapsed="false">
      <c r="A65" s="7" t="s">
        <v>73</v>
      </c>
      <c r="B65" s="7" t="n">
        <v>11</v>
      </c>
      <c r="C65" s="9" t="n">
        <v>1914</v>
      </c>
      <c r="D65" s="9" t="n">
        <v>64949673</v>
      </c>
      <c r="E65" s="9" t="n">
        <v>3000</v>
      </c>
      <c r="F65" s="9" t="n">
        <v>102777000</v>
      </c>
      <c r="G65" s="9" t="n">
        <v>696</v>
      </c>
      <c r="H65" s="9" t="n">
        <v>23756159</v>
      </c>
      <c r="I65" s="9" t="n">
        <v>4218</v>
      </c>
      <c r="J65" s="9" t="n">
        <v>143970514</v>
      </c>
    </row>
    <row r="66" customFormat="false" ht="15.75" hidden="false" customHeight="false" outlineLevel="0" collapsed="false">
      <c r="A66" s="7" t="s">
        <v>74</v>
      </c>
      <c r="B66" s="7" t="n">
        <v>11</v>
      </c>
      <c r="C66" s="9" t="n">
        <v>7200</v>
      </c>
      <c r="D66" s="9" t="n">
        <v>106094393</v>
      </c>
      <c r="E66" s="9" t="n">
        <v>1368</v>
      </c>
      <c r="F66" s="9" t="n">
        <v>20266920</v>
      </c>
      <c r="G66" s="9" t="n">
        <v>3432</v>
      </c>
      <c r="H66" s="9" t="n">
        <v>50615316</v>
      </c>
      <c r="I66" s="9" t="n">
        <v>5136</v>
      </c>
      <c r="J66" s="9" t="n">
        <v>75745997</v>
      </c>
    </row>
    <row r="67" customFormat="false" ht="15.75" hidden="false" customHeight="false" outlineLevel="0" collapsed="false">
      <c r="A67" s="7" t="s">
        <v>75</v>
      </c>
      <c r="B67" s="7" t="n">
        <v>11</v>
      </c>
      <c r="C67" s="9" t="n">
        <v>4800</v>
      </c>
      <c r="D67" s="9" t="n">
        <v>1741333</v>
      </c>
      <c r="E67" s="9" t="n">
        <v>5600</v>
      </c>
      <c r="F67" s="9" t="n">
        <v>2072000</v>
      </c>
      <c r="G67" s="9" t="n">
        <v>0</v>
      </c>
      <c r="H67" s="9" t="n">
        <v>0</v>
      </c>
      <c r="I67" s="9" t="n">
        <v>10400</v>
      </c>
      <c r="J67" s="9" t="n">
        <v>3813333</v>
      </c>
    </row>
    <row r="68" customFormat="false" ht="15.75" hidden="false" customHeight="false" outlineLevel="0" collapsed="false">
      <c r="A68" s="7" t="s">
        <v>76</v>
      </c>
      <c r="B68" s="7" t="n">
        <v>11</v>
      </c>
      <c r="C68" s="9" t="n">
        <v>126</v>
      </c>
      <c r="D68" s="9" t="n">
        <v>7460601</v>
      </c>
      <c r="E68" s="9" t="n">
        <v>75</v>
      </c>
      <c r="F68" s="9" t="n">
        <v>3958350</v>
      </c>
      <c r="G68" s="9" t="n">
        <v>33</v>
      </c>
      <c r="H68" s="9" t="n">
        <v>1874753</v>
      </c>
      <c r="I68" s="9" t="n">
        <v>168</v>
      </c>
      <c r="J68" s="9" t="n">
        <v>9544198</v>
      </c>
    </row>
    <row r="69" customFormat="false" ht="15.75" hidden="false" customHeight="false" outlineLevel="0" collapsed="false">
      <c r="A69" s="7" t="s">
        <v>77</v>
      </c>
      <c r="B69" s="7" t="n">
        <v>11</v>
      </c>
      <c r="C69" s="9" t="n">
        <v>996</v>
      </c>
      <c r="D69" s="9" t="n">
        <v>6130917</v>
      </c>
      <c r="E69" s="9" t="n">
        <v>96</v>
      </c>
      <c r="F69" s="9" t="n">
        <v>604416</v>
      </c>
      <c r="G69" s="9" t="n">
        <v>0</v>
      </c>
      <c r="H69" s="9" t="n">
        <v>0</v>
      </c>
      <c r="I69" s="9" t="n">
        <v>1092</v>
      </c>
      <c r="J69" s="9" t="n">
        <v>6735333</v>
      </c>
    </row>
    <row r="70" customFormat="false" ht="15.75" hidden="false" customHeight="false" outlineLevel="0" collapsed="false">
      <c r="A70" s="7" t="s">
        <v>78</v>
      </c>
      <c r="B70" s="7" t="n">
        <v>11</v>
      </c>
      <c r="C70" s="9" t="n">
        <v>5571</v>
      </c>
      <c r="D70" s="9" t="n">
        <v>46190355</v>
      </c>
      <c r="E70" s="9" t="n">
        <v>1800</v>
      </c>
      <c r="F70" s="9" t="n">
        <v>19999800</v>
      </c>
      <c r="G70" s="9" t="n">
        <v>0</v>
      </c>
      <c r="H70" s="9" t="n">
        <v>0</v>
      </c>
      <c r="I70" s="9" t="n">
        <v>7371</v>
      </c>
      <c r="J70" s="9" t="n">
        <v>66190155</v>
      </c>
    </row>
    <row r="71" customFormat="false" ht="15.75" hidden="false" customHeight="false" outlineLevel="0" collapsed="false">
      <c r="A71" s="7" t="s">
        <v>79</v>
      </c>
      <c r="B71" s="7" t="n">
        <v>11</v>
      </c>
      <c r="C71" s="9" t="n">
        <v>1936</v>
      </c>
      <c r="D71" s="9" t="n">
        <v>38676068</v>
      </c>
      <c r="E71" s="9" t="n">
        <v>216</v>
      </c>
      <c r="F71" s="9" t="n">
        <v>4599936</v>
      </c>
      <c r="G71" s="9" t="n">
        <v>240</v>
      </c>
      <c r="H71" s="9" t="n">
        <v>4826320</v>
      </c>
      <c r="I71" s="9" t="n">
        <v>1912</v>
      </c>
      <c r="J71" s="9" t="n">
        <v>38449684</v>
      </c>
    </row>
    <row r="72" customFormat="false" ht="15.75" hidden="false" customHeight="false" outlineLevel="0" collapsed="false">
      <c r="A72" s="7" t="s">
        <v>80</v>
      </c>
      <c r="B72" s="7" t="n">
        <v>11</v>
      </c>
      <c r="C72" s="9" t="n">
        <v>144</v>
      </c>
      <c r="D72" s="9" t="n">
        <v>2069614</v>
      </c>
      <c r="E72" s="9" t="n">
        <v>36</v>
      </c>
      <c r="F72" s="9" t="n">
        <v>533340</v>
      </c>
      <c r="G72" s="9" t="n">
        <v>0</v>
      </c>
      <c r="H72" s="9" t="n">
        <v>0</v>
      </c>
      <c r="I72" s="9" t="n">
        <v>180</v>
      </c>
      <c r="J72" s="9" t="n">
        <v>2602954</v>
      </c>
    </row>
    <row r="73" customFormat="false" ht="15.75" hidden="false" customHeight="false" outlineLevel="0" collapsed="false">
      <c r="A73" s="7" t="s">
        <v>81</v>
      </c>
      <c r="B73" s="7" t="n">
        <v>11</v>
      </c>
      <c r="C73" s="9" t="n">
        <v>1728</v>
      </c>
      <c r="D73" s="9" t="n">
        <v>26326692</v>
      </c>
      <c r="E73" s="9" t="n">
        <v>324</v>
      </c>
      <c r="F73" s="9" t="n">
        <v>5100084</v>
      </c>
      <c r="G73" s="9" t="n">
        <v>0</v>
      </c>
      <c r="H73" s="9" t="n">
        <v>0</v>
      </c>
      <c r="I73" s="9" t="n">
        <v>2052</v>
      </c>
      <c r="J73" s="9" t="n">
        <v>31426776</v>
      </c>
    </row>
    <row r="74" customFormat="false" ht="15.75" hidden="false" customHeight="false" outlineLevel="0" collapsed="false">
      <c r="A74" s="7" t="s">
        <v>82</v>
      </c>
      <c r="B74" s="7" t="n">
        <v>11</v>
      </c>
      <c r="C74" s="9" t="n">
        <v>5400</v>
      </c>
      <c r="D74" s="9" t="n">
        <v>39405185</v>
      </c>
      <c r="E74" s="9" t="n">
        <v>720</v>
      </c>
      <c r="F74" s="9" t="n">
        <v>5333040</v>
      </c>
      <c r="G74" s="9" t="n">
        <v>360</v>
      </c>
      <c r="H74" s="9" t="n">
        <v>2631660</v>
      </c>
      <c r="I74" s="9" t="n">
        <v>5760</v>
      </c>
      <c r="J74" s="9" t="n">
        <v>42106565</v>
      </c>
    </row>
    <row r="75" customFormat="false" ht="15.75" hidden="false" customHeight="false" outlineLevel="0" collapsed="false">
      <c r="A75" s="7" t="s">
        <v>83</v>
      </c>
      <c r="B75" s="7" t="n">
        <v>11</v>
      </c>
      <c r="C75" s="9" t="n">
        <v>3366</v>
      </c>
      <c r="D75" s="9" t="n">
        <v>25519815</v>
      </c>
      <c r="E75" s="9" t="n">
        <v>0</v>
      </c>
      <c r="F75" s="9" t="n">
        <v>0</v>
      </c>
      <c r="G75" s="9" t="n">
        <v>720</v>
      </c>
      <c r="H75" s="9" t="n">
        <v>5458784</v>
      </c>
      <c r="I75" s="9" t="n">
        <v>2646</v>
      </c>
      <c r="J75" s="9" t="n">
        <v>20061031</v>
      </c>
    </row>
    <row r="76" customFormat="false" ht="15.75" hidden="false" customHeight="false" outlineLevel="0" collapsed="false">
      <c r="A76" s="7" t="s">
        <v>84</v>
      </c>
      <c r="B76" s="7" t="n">
        <v>11</v>
      </c>
      <c r="C76" s="9" t="n">
        <v>16616</v>
      </c>
      <c r="D76" s="9" t="n">
        <v>505021884</v>
      </c>
      <c r="E76" s="9" t="n">
        <v>8280</v>
      </c>
      <c r="F76" s="9" t="n">
        <v>260662680</v>
      </c>
      <c r="G76" s="9" t="n">
        <v>3552</v>
      </c>
      <c r="H76" s="9" t="n">
        <v>109242913</v>
      </c>
      <c r="I76" s="9" t="n">
        <v>21344</v>
      </c>
      <c r="J76" s="9" t="n">
        <v>656441651</v>
      </c>
    </row>
    <row r="77" customFormat="false" ht="15.75" hidden="false" customHeight="false" outlineLevel="0" collapsed="false">
      <c r="A77" s="7" t="s">
        <v>85</v>
      </c>
      <c r="B77" s="7" t="n">
        <v>11</v>
      </c>
      <c r="C77" s="9" t="n">
        <v>21055</v>
      </c>
      <c r="D77" s="9" t="n">
        <v>190176386</v>
      </c>
      <c r="E77" s="9" t="n">
        <v>10080</v>
      </c>
      <c r="F77" s="9" t="n">
        <v>93330720</v>
      </c>
      <c r="G77" s="9" t="n">
        <v>8424</v>
      </c>
      <c r="H77" s="9" t="n">
        <v>76706724</v>
      </c>
      <c r="I77" s="9" t="n">
        <v>22711</v>
      </c>
      <c r="J77" s="9" t="n">
        <v>206800382</v>
      </c>
    </row>
    <row r="78" customFormat="false" ht="15.75" hidden="false" customHeight="false" outlineLevel="0" collapsed="false">
      <c r="A78" s="7" t="s">
        <v>86</v>
      </c>
      <c r="B78" s="7" t="n">
        <v>11</v>
      </c>
      <c r="C78" s="9" t="n">
        <v>64769</v>
      </c>
      <c r="D78" s="9" t="n">
        <v>464823664</v>
      </c>
      <c r="E78" s="9" t="n">
        <v>19440</v>
      </c>
      <c r="F78" s="9" t="n">
        <v>143992080</v>
      </c>
      <c r="G78" s="9" t="n">
        <v>32688</v>
      </c>
      <c r="H78" s="9" t="n">
        <v>245160000</v>
      </c>
      <c r="I78" s="9" t="n">
        <v>51521</v>
      </c>
      <c r="J78" s="9" t="n">
        <v>363655744</v>
      </c>
    </row>
    <row r="79" customFormat="false" ht="15.75" hidden="false" customHeight="false" outlineLevel="0" collapsed="false">
      <c r="A79" s="7" t="s">
        <v>87</v>
      </c>
      <c r="B79" s="7" t="n">
        <v>11</v>
      </c>
      <c r="C79" s="9" t="n">
        <v>1467</v>
      </c>
      <c r="D79" s="9" t="n">
        <v>26303540</v>
      </c>
      <c r="E79" s="9" t="n">
        <v>7020</v>
      </c>
      <c r="F79" s="9" t="n">
        <v>126753120</v>
      </c>
      <c r="G79" s="9" t="n">
        <v>5292</v>
      </c>
      <c r="H79" s="9" t="n">
        <v>95437239</v>
      </c>
      <c r="I79" s="9" t="n">
        <v>3195</v>
      </c>
      <c r="J79" s="9" t="n">
        <v>57619421</v>
      </c>
    </row>
    <row r="80" customFormat="false" ht="15.75" hidden="false" customHeight="false" outlineLevel="0" collapsed="false">
      <c r="A80" s="7" t="s">
        <v>88</v>
      </c>
      <c r="B80" s="7" t="n">
        <v>11</v>
      </c>
      <c r="C80" s="9" t="n">
        <v>768</v>
      </c>
      <c r="D80" s="9" t="n">
        <v>16058112</v>
      </c>
      <c r="E80" s="9" t="n">
        <v>0</v>
      </c>
      <c r="F80" s="9" t="n">
        <v>0</v>
      </c>
      <c r="G80" s="9" t="n">
        <v>150</v>
      </c>
      <c r="H80" s="9" t="n">
        <v>3136350</v>
      </c>
      <c r="I80" s="9" t="n">
        <v>618</v>
      </c>
      <c r="J80" s="9" t="n">
        <v>12921762</v>
      </c>
    </row>
    <row r="81" customFormat="false" ht="15.75" hidden="false" customHeight="false" outlineLevel="0" collapsed="false">
      <c r="A81" s="7" t="s">
        <v>89</v>
      </c>
      <c r="B81" s="7" t="n">
        <v>11</v>
      </c>
      <c r="C81" s="9" t="n">
        <v>276</v>
      </c>
      <c r="D81" s="9" t="n">
        <v>6734244</v>
      </c>
      <c r="E81" s="9" t="n">
        <v>300</v>
      </c>
      <c r="F81" s="9" t="n">
        <v>7361100</v>
      </c>
      <c r="G81" s="9" t="n">
        <v>12</v>
      </c>
      <c r="H81" s="9" t="n">
        <v>293653</v>
      </c>
      <c r="I81" s="9" t="n">
        <v>564</v>
      </c>
      <c r="J81" s="9" t="n">
        <v>13801691</v>
      </c>
    </row>
    <row r="82" customFormat="false" ht="15.75" hidden="false" customHeight="false" outlineLevel="0" collapsed="false">
      <c r="A82" s="7" t="s">
        <v>90</v>
      </c>
      <c r="B82" s="7" t="n">
        <v>11</v>
      </c>
      <c r="C82" s="9" t="n">
        <v>735</v>
      </c>
      <c r="D82" s="9" t="n">
        <v>39108093</v>
      </c>
      <c r="E82" s="9" t="n">
        <v>1890</v>
      </c>
      <c r="F82" s="9" t="n">
        <v>100625490</v>
      </c>
      <c r="G82" s="9" t="n">
        <v>1580</v>
      </c>
      <c r="H82" s="9" t="n">
        <v>84106310</v>
      </c>
      <c r="I82" s="9" t="n">
        <v>1045</v>
      </c>
      <c r="J82" s="9" t="n">
        <v>55627273</v>
      </c>
    </row>
    <row r="83" customFormat="false" ht="15.75" hidden="false" customHeight="false" outlineLevel="0" collapsed="false">
      <c r="A83" s="7" t="s">
        <v>91</v>
      </c>
      <c r="B83" s="7" t="n">
        <v>11</v>
      </c>
      <c r="C83" s="9" t="n">
        <v>4725</v>
      </c>
      <c r="D83" s="9" t="n">
        <v>42750988</v>
      </c>
      <c r="E83" s="9" t="n">
        <v>3120</v>
      </c>
      <c r="F83" s="9" t="n">
        <v>30332640</v>
      </c>
      <c r="G83" s="9" t="n">
        <v>1056</v>
      </c>
      <c r="H83" s="9" t="n">
        <v>9837643</v>
      </c>
      <c r="I83" s="9" t="n">
        <v>6789</v>
      </c>
      <c r="J83" s="9" t="n">
        <v>63245985</v>
      </c>
    </row>
    <row r="84" customFormat="false" ht="15.75" hidden="false" customHeight="false" outlineLevel="0" collapsed="false">
      <c r="A84" s="7" t="s">
        <v>92</v>
      </c>
      <c r="B84" s="7" t="n">
        <v>11</v>
      </c>
      <c r="C84" s="9" t="n">
        <v>40800</v>
      </c>
      <c r="D84" s="9" t="n">
        <v>19974978</v>
      </c>
      <c r="E84" s="9" t="n">
        <v>20800</v>
      </c>
      <c r="F84" s="9" t="n">
        <v>10212800</v>
      </c>
      <c r="G84" s="9" t="n">
        <v>10800</v>
      </c>
      <c r="H84" s="9" t="n">
        <v>5292662</v>
      </c>
      <c r="I84" s="9" t="n">
        <v>50800</v>
      </c>
      <c r="J84" s="9" t="n">
        <v>24895116</v>
      </c>
    </row>
    <row r="85" customFormat="false" ht="15.75" hidden="false" customHeight="false" outlineLevel="0" collapsed="false">
      <c r="A85" s="7" t="s">
        <v>93</v>
      </c>
      <c r="B85" s="7" t="n">
        <v>11</v>
      </c>
      <c r="C85" s="9" t="n">
        <v>324</v>
      </c>
      <c r="D85" s="9" t="n">
        <v>17060343</v>
      </c>
      <c r="E85" s="9" t="n">
        <v>120</v>
      </c>
      <c r="F85" s="9" t="n">
        <v>6388920</v>
      </c>
      <c r="G85" s="9" t="n">
        <v>0</v>
      </c>
      <c r="H85" s="9" t="n">
        <v>0</v>
      </c>
      <c r="I85" s="9" t="n">
        <v>444</v>
      </c>
      <c r="J85" s="9" t="n">
        <v>23449263</v>
      </c>
    </row>
    <row r="86" customFormat="false" ht="15.75" hidden="false" customHeight="false" outlineLevel="0" collapsed="false">
      <c r="A86" s="7" t="s">
        <v>94</v>
      </c>
      <c r="B86" s="7" t="n">
        <v>11</v>
      </c>
      <c r="C86" s="9" t="n">
        <v>312</v>
      </c>
      <c r="D86" s="9" t="n">
        <v>2923786</v>
      </c>
      <c r="E86" s="9" t="n">
        <v>96</v>
      </c>
      <c r="F86" s="9" t="n">
        <v>933312</v>
      </c>
      <c r="G86" s="9" t="n">
        <v>0</v>
      </c>
      <c r="H86" s="9" t="n">
        <v>0</v>
      </c>
      <c r="I86" s="9" t="n">
        <v>408</v>
      </c>
      <c r="J86" s="9" t="n">
        <v>3857098</v>
      </c>
    </row>
    <row r="87" customFormat="false" ht="15.75" hidden="false" customHeight="false" outlineLevel="0" collapsed="false">
      <c r="A87" s="7" t="s">
        <v>95</v>
      </c>
      <c r="B87" s="7" t="n">
        <v>11</v>
      </c>
      <c r="C87" s="9" t="n">
        <v>1008</v>
      </c>
      <c r="D87" s="9" t="n">
        <v>8266604</v>
      </c>
      <c r="E87" s="9" t="n">
        <v>252</v>
      </c>
      <c r="F87" s="9" t="n">
        <v>2099916</v>
      </c>
      <c r="G87" s="9" t="n">
        <v>360</v>
      </c>
      <c r="H87" s="9" t="n">
        <v>2961863</v>
      </c>
      <c r="I87" s="9" t="n">
        <v>900</v>
      </c>
      <c r="J87" s="9" t="n">
        <v>7404657</v>
      </c>
    </row>
    <row r="88" customFormat="false" ht="15.75" hidden="false" customHeight="false" outlineLevel="0" collapsed="false">
      <c r="A88" s="7" t="s">
        <v>96</v>
      </c>
      <c r="B88" s="7" t="n">
        <v>11</v>
      </c>
      <c r="C88" s="9" t="n">
        <v>90</v>
      </c>
      <c r="D88" s="9" t="n">
        <v>10228346</v>
      </c>
      <c r="E88" s="9" t="n">
        <v>165</v>
      </c>
      <c r="F88" s="9" t="n">
        <v>19173660</v>
      </c>
      <c r="G88" s="9" t="n">
        <v>30</v>
      </c>
      <c r="H88" s="9" t="n">
        <v>3459060</v>
      </c>
      <c r="I88" s="9" t="n">
        <v>225</v>
      </c>
      <c r="J88" s="9" t="n">
        <v>25942946</v>
      </c>
    </row>
    <row r="89" customFormat="false" ht="15.75" hidden="false" customHeight="false" outlineLevel="0" collapsed="false">
      <c r="A89" s="7" t="s">
        <v>97</v>
      </c>
      <c r="B89" s="7" t="n">
        <v>11</v>
      </c>
      <c r="C89" s="9" t="n">
        <v>44800</v>
      </c>
      <c r="D89" s="9" t="n">
        <v>21933671</v>
      </c>
      <c r="E89" s="9" t="n">
        <v>28000</v>
      </c>
      <c r="F89" s="9" t="n">
        <v>13748000</v>
      </c>
      <c r="G89" s="9" t="n">
        <v>15600</v>
      </c>
      <c r="H89" s="9" t="n">
        <v>7646072</v>
      </c>
      <c r="I89" s="9" t="n">
        <v>57200</v>
      </c>
      <c r="J89" s="9" t="n">
        <v>28035599</v>
      </c>
    </row>
    <row r="90" customFormat="false" ht="15.75" hidden="false" customHeight="false" outlineLevel="0" collapsed="false">
      <c r="A90" s="7" t="s">
        <v>98</v>
      </c>
      <c r="B90" s="7" t="n">
        <v>11</v>
      </c>
      <c r="C90" s="9" t="n">
        <v>2160</v>
      </c>
      <c r="D90" s="9" t="n">
        <v>22001210</v>
      </c>
      <c r="E90" s="9" t="n">
        <v>240</v>
      </c>
      <c r="F90" s="9" t="n">
        <v>2533440</v>
      </c>
      <c r="G90" s="9" t="n">
        <v>480</v>
      </c>
      <c r="H90" s="9" t="n">
        <v>4906930</v>
      </c>
      <c r="I90" s="9" t="n">
        <v>1920</v>
      </c>
      <c r="J90" s="9" t="n">
        <v>19627720</v>
      </c>
    </row>
    <row r="91" customFormat="false" ht="15.75" hidden="false" customHeight="false" outlineLevel="0" collapsed="false">
      <c r="A91" s="7" t="s">
        <v>99</v>
      </c>
      <c r="B91" s="7" t="n">
        <v>11</v>
      </c>
      <c r="C91" s="9" t="n">
        <v>48</v>
      </c>
      <c r="D91" s="9" t="n">
        <v>297792</v>
      </c>
      <c r="E91" s="9" t="n">
        <v>48</v>
      </c>
      <c r="F91" s="9" t="n">
        <v>297792</v>
      </c>
      <c r="G91" s="9" t="n">
        <v>0</v>
      </c>
      <c r="H91" s="9" t="n">
        <v>0</v>
      </c>
      <c r="I91" s="9" t="n">
        <v>96</v>
      </c>
      <c r="J91" s="9" t="n">
        <v>595584</v>
      </c>
    </row>
    <row r="92" customFormat="false" ht="15.75" hidden="false" customHeight="false" outlineLevel="0" collapsed="false">
      <c r="A92" s="7" t="s">
        <v>100</v>
      </c>
      <c r="B92" s="7" t="n">
        <v>11</v>
      </c>
      <c r="C92" s="9" t="n">
        <v>1703</v>
      </c>
      <c r="D92" s="9" t="n">
        <v>83983667</v>
      </c>
      <c r="E92" s="9" t="n">
        <v>1890</v>
      </c>
      <c r="F92" s="9" t="n">
        <v>100625490</v>
      </c>
      <c r="G92" s="9" t="n">
        <v>1488</v>
      </c>
      <c r="H92" s="9" t="n">
        <v>76453778</v>
      </c>
      <c r="I92" s="9" t="n">
        <v>2105</v>
      </c>
      <c r="J92" s="9" t="n">
        <v>108155379</v>
      </c>
    </row>
    <row r="93" customFormat="false" ht="15.75" hidden="false" customHeight="false" outlineLevel="0" collapsed="false">
      <c r="A93" s="7" t="s">
        <v>101</v>
      </c>
      <c r="B93" s="7" t="n">
        <v>11</v>
      </c>
      <c r="C93" s="9" t="n">
        <v>20206</v>
      </c>
      <c r="D93" s="9" t="n">
        <v>131928770</v>
      </c>
      <c r="E93" s="9" t="n">
        <v>4800</v>
      </c>
      <c r="F93" s="9" t="n">
        <v>46665600</v>
      </c>
      <c r="G93" s="9" t="n">
        <v>3552</v>
      </c>
      <c r="H93" s="9" t="n">
        <v>25368600</v>
      </c>
      <c r="I93" s="9" t="n">
        <v>21454</v>
      </c>
      <c r="J93" s="9" t="n">
        <v>153225770</v>
      </c>
    </row>
    <row r="94" customFormat="false" ht="15.75" hidden="false" customHeight="false" outlineLevel="0" collapsed="false">
      <c r="A94" s="7" t="s">
        <v>102</v>
      </c>
      <c r="B94" s="7" t="n">
        <v>11</v>
      </c>
      <c r="C94" s="9" t="n">
        <v>336</v>
      </c>
      <c r="D94" s="9" t="n">
        <v>8226363</v>
      </c>
      <c r="E94" s="9" t="n">
        <v>540</v>
      </c>
      <c r="F94" s="9" t="n">
        <v>13249980</v>
      </c>
      <c r="G94" s="9" t="n">
        <v>336</v>
      </c>
      <c r="H94" s="9" t="n">
        <v>8237502</v>
      </c>
      <c r="I94" s="9" t="n">
        <v>540</v>
      </c>
      <c r="J94" s="9" t="n">
        <v>13238841</v>
      </c>
    </row>
    <row r="95" customFormat="false" ht="15.75" hidden="false" customHeight="false" outlineLevel="0" collapsed="false">
      <c r="A95" s="7" t="s">
        <v>103</v>
      </c>
      <c r="B95" s="7" t="n">
        <v>11</v>
      </c>
      <c r="C95" s="9" t="n">
        <v>2694</v>
      </c>
      <c r="D95" s="9" t="n">
        <v>29723359</v>
      </c>
      <c r="E95" s="9" t="n">
        <v>0</v>
      </c>
      <c r="F95" s="9" t="n">
        <v>0</v>
      </c>
      <c r="G95" s="9" t="n">
        <v>240</v>
      </c>
      <c r="H95" s="9" t="n">
        <v>2647961</v>
      </c>
      <c r="I95" s="9" t="n">
        <v>2454</v>
      </c>
      <c r="J95" s="9" t="n">
        <v>27075398</v>
      </c>
    </row>
    <row r="96" customFormat="false" ht="15.75" hidden="false" customHeight="false" outlineLevel="0" collapsed="false">
      <c r="A96" s="7" t="s">
        <v>104</v>
      </c>
      <c r="B96" s="7" t="n">
        <v>11</v>
      </c>
      <c r="C96" s="9" t="n">
        <v>120</v>
      </c>
      <c r="D96" s="9" t="n">
        <v>2257560</v>
      </c>
      <c r="E96" s="9" t="n">
        <v>72</v>
      </c>
      <c r="F96" s="9" t="n">
        <v>1399968</v>
      </c>
      <c r="G96" s="9" t="n">
        <v>0</v>
      </c>
      <c r="H96" s="9" t="n">
        <v>0</v>
      </c>
      <c r="I96" s="9" t="n">
        <v>192</v>
      </c>
      <c r="J96" s="9" t="n">
        <v>3657528</v>
      </c>
    </row>
    <row r="97" customFormat="false" ht="15.75" hidden="false" customHeight="false" outlineLevel="0" collapsed="false">
      <c r="A97" s="7" t="s">
        <v>105</v>
      </c>
      <c r="B97" s="7" t="n">
        <v>11</v>
      </c>
      <c r="C97" s="9" t="n">
        <v>222</v>
      </c>
      <c r="D97" s="9" t="n">
        <v>11410986</v>
      </c>
      <c r="E97" s="9" t="n">
        <v>66</v>
      </c>
      <c r="F97" s="9" t="n">
        <v>3513906</v>
      </c>
      <c r="G97" s="9" t="n">
        <v>30</v>
      </c>
      <c r="H97" s="9" t="n">
        <v>1554676</v>
      </c>
      <c r="I97" s="9" t="n">
        <v>258</v>
      </c>
      <c r="J97" s="9" t="n">
        <v>13370216</v>
      </c>
    </row>
    <row r="98" customFormat="false" ht="15.75" hidden="false" customHeight="false" outlineLevel="0" collapsed="false">
      <c r="A98" s="7" t="s">
        <v>106</v>
      </c>
      <c r="B98" s="7" t="n">
        <v>11</v>
      </c>
      <c r="C98" s="9" t="n">
        <v>1224</v>
      </c>
      <c r="D98" s="9" t="n">
        <v>11492848</v>
      </c>
      <c r="E98" s="9" t="n">
        <v>288</v>
      </c>
      <c r="F98" s="9" t="n">
        <v>2799936</v>
      </c>
      <c r="G98" s="9" t="n">
        <v>0</v>
      </c>
      <c r="H98" s="9" t="n">
        <v>0</v>
      </c>
      <c r="I98" s="9" t="n">
        <v>1512</v>
      </c>
      <c r="J98" s="9" t="n">
        <v>14292784</v>
      </c>
    </row>
    <row r="99" customFormat="false" ht="15.75" hidden="false" customHeight="false" outlineLevel="0" collapsed="false">
      <c r="A99" s="7" t="s">
        <v>107</v>
      </c>
      <c r="B99" s="7" t="n">
        <v>11</v>
      </c>
      <c r="C99" s="9" t="n">
        <v>1046</v>
      </c>
      <c r="D99" s="9" t="n">
        <v>2791980</v>
      </c>
      <c r="E99" s="9" t="n">
        <v>288</v>
      </c>
      <c r="F99" s="9" t="n">
        <v>2320128</v>
      </c>
      <c r="G99" s="9" t="n">
        <v>144</v>
      </c>
      <c r="H99" s="9" t="n">
        <v>551832</v>
      </c>
      <c r="I99" s="9" t="n">
        <v>1190</v>
      </c>
      <c r="J99" s="9" t="n">
        <v>4560276</v>
      </c>
    </row>
    <row r="100" customFormat="false" ht="15.75" hidden="false" customHeight="false" outlineLevel="0" collapsed="false">
      <c r="A100" s="7" t="s">
        <v>108</v>
      </c>
      <c r="B100" s="7" t="n">
        <v>11</v>
      </c>
      <c r="C100" s="9" t="n">
        <v>43704</v>
      </c>
      <c r="D100" s="9" t="n">
        <v>313475337</v>
      </c>
      <c r="E100" s="9" t="n">
        <v>8460</v>
      </c>
      <c r="F100" s="9" t="n">
        <v>62663220</v>
      </c>
      <c r="G100" s="9" t="n">
        <v>5688</v>
      </c>
      <c r="H100" s="9" t="n">
        <v>41014418</v>
      </c>
      <c r="I100" s="9" t="n">
        <v>46476</v>
      </c>
      <c r="J100" s="9" t="n">
        <v>335124139</v>
      </c>
    </row>
    <row r="101" customFormat="false" ht="15.75" hidden="false" customHeight="false" outlineLevel="0" collapsed="false">
      <c r="A101" s="7" t="s">
        <v>109</v>
      </c>
      <c r="B101" s="7" t="n">
        <v>11</v>
      </c>
      <c r="C101" s="9" t="n">
        <v>30</v>
      </c>
      <c r="D101" s="9" t="n">
        <v>1458330</v>
      </c>
      <c r="E101" s="9" t="n">
        <v>18</v>
      </c>
      <c r="F101" s="9" t="n">
        <v>874998</v>
      </c>
      <c r="G101" s="9" t="n">
        <v>0</v>
      </c>
      <c r="H101" s="9" t="n">
        <v>0</v>
      </c>
      <c r="I101" s="9" t="n">
        <v>48</v>
      </c>
      <c r="J101" s="9" t="n">
        <v>2333328</v>
      </c>
    </row>
    <row r="102" customFormat="false" ht="15.75" hidden="false" customHeight="false" outlineLevel="0" collapsed="false">
      <c r="A102" s="7" t="s">
        <v>110</v>
      </c>
      <c r="B102" s="7" t="n">
        <v>11</v>
      </c>
      <c r="C102" s="9" t="n">
        <v>804</v>
      </c>
      <c r="D102" s="9" t="n">
        <v>14181924</v>
      </c>
      <c r="E102" s="9" t="n">
        <v>360</v>
      </c>
      <c r="F102" s="9" t="n">
        <v>6500160</v>
      </c>
      <c r="G102" s="9" t="n">
        <v>300</v>
      </c>
      <c r="H102" s="9" t="n">
        <v>5330434</v>
      </c>
      <c r="I102" s="9" t="n">
        <v>864</v>
      </c>
      <c r="J102" s="9" t="n">
        <v>15351650</v>
      </c>
    </row>
    <row r="103" customFormat="false" ht="15.75" hidden="false" customHeight="false" outlineLevel="0" collapsed="false">
      <c r="A103" s="7" t="s">
        <v>111</v>
      </c>
      <c r="B103" s="7" t="n">
        <v>11</v>
      </c>
      <c r="C103" s="9" t="n">
        <v>1094</v>
      </c>
      <c r="D103" s="9" t="n">
        <v>8912187</v>
      </c>
      <c r="E103" s="9" t="n">
        <v>6960</v>
      </c>
      <c r="F103" s="9" t="n">
        <v>56710080</v>
      </c>
      <c r="G103" s="9" t="n">
        <v>960</v>
      </c>
      <c r="H103" s="9" t="n">
        <v>7821874</v>
      </c>
      <c r="I103" s="9" t="n">
        <v>7094</v>
      </c>
      <c r="J103" s="9" t="n">
        <v>57800393</v>
      </c>
    </row>
    <row r="104" customFormat="false" ht="15.75" hidden="false" customHeight="false" outlineLevel="0" collapsed="false">
      <c r="A104" s="7" t="s">
        <v>112</v>
      </c>
      <c r="B104" s="7" t="n">
        <v>11</v>
      </c>
      <c r="C104" s="9" t="n">
        <v>820</v>
      </c>
      <c r="D104" s="9" t="n">
        <v>6666710</v>
      </c>
      <c r="E104" s="9" t="n">
        <v>1680</v>
      </c>
      <c r="F104" s="9" t="n">
        <v>13688640</v>
      </c>
      <c r="G104" s="9" t="n">
        <v>0</v>
      </c>
      <c r="H104" s="9" t="n">
        <v>0</v>
      </c>
      <c r="I104" s="9" t="n">
        <v>2500</v>
      </c>
      <c r="J104" s="9" t="n">
        <v>20355350</v>
      </c>
    </row>
    <row r="105" customFormat="false" ht="15.75" hidden="false" customHeight="false" outlineLevel="0" collapsed="false">
      <c r="A105" s="7" t="s">
        <v>113</v>
      </c>
      <c r="B105" s="7" t="n">
        <v>11</v>
      </c>
      <c r="C105" s="9" t="n">
        <v>192</v>
      </c>
      <c r="D105" s="9" t="n">
        <v>3135424</v>
      </c>
      <c r="E105" s="9" t="n">
        <v>48</v>
      </c>
      <c r="F105" s="9" t="n">
        <v>800016</v>
      </c>
      <c r="G105" s="9" t="n">
        <v>0</v>
      </c>
      <c r="H105" s="9" t="n">
        <v>0</v>
      </c>
      <c r="I105" s="9" t="n">
        <v>240</v>
      </c>
      <c r="J105" s="9" t="n">
        <v>3935440</v>
      </c>
    </row>
    <row r="106" customFormat="false" ht="15.75" hidden="false" customHeight="false" outlineLevel="0" collapsed="false">
      <c r="A106" s="7" t="s">
        <v>114</v>
      </c>
      <c r="B106" s="7" t="n">
        <v>11</v>
      </c>
      <c r="C106" s="9" t="n">
        <v>144</v>
      </c>
      <c r="D106" s="9" t="n">
        <v>2716909</v>
      </c>
      <c r="E106" s="9" t="n">
        <v>48</v>
      </c>
      <c r="F106" s="9" t="n">
        <v>933312</v>
      </c>
      <c r="G106" s="9" t="n">
        <v>0</v>
      </c>
      <c r="H106" s="9" t="n">
        <v>0</v>
      </c>
      <c r="I106" s="9" t="n">
        <v>192</v>
      </c>
      <c r="J106" s="9" t="n">
        <v>3650221</v>
      </c>
    </row>
    <row r="107" customFormat="false" ht="15.75" hidden="false" customHeight="false" outlineLevel="0" collapsed="false">
      <c r="A107" s="7" t="s">
        <v>115</v>
      </c>
      <c r="B107" s="7" t="n">
        <v>11</v>
      </c>
      <c r="C107" s="9" t="n">
        <v>2525</v>
      </c>
      <c r="D107" s="9" t="n">
        <v>16332120</v>
      </c>
      <c r="E107" s="9" t="n">
        <v>1800</v>
      </c>
      <c r="F107" s="9" t="n">
        <v>11665800</v>
      </c>
      <c r="G107" s="9" t="n">
        <v>0</v>
      </c>
      <c r="H107" s="9" t="n">
        <v>0</v>
      </c>
      <c r="I107" s="9" t="n">
        <v>4325</v>
      </c>
      <c r="J107" s="9" t="n">
        <v>27997920</v>
      </c>
    </row>
    <row r="108" customFormat="false" ht="15.75" hidden="false" customHeight="false" outlineLevel="0" collapsed="false">
      <c r="A108" s="7" t="s">
        <v>116</v>
      </c>
      <c r="B108" s="7" t="n">
        <v>11</v>
      </c>
      <c r="C108" s="9" t="n">
        <v>3893</v>
      </c>
      <c r="D108" s="9" t="n">
        <v>79198560</v>
      </c>
      <c r="E108" s="9" t="n">
        <v>672</v>
      </c>
      <c r="F108" s="9" t="n">
        <v>13688640</v>
      </c>
      <c r="G108" s="9" t="n">
        <v>0</v>
      </c>
      <c r="H108" s="9" t="n">
        <v>0</v>
      </c>
      <c r="I108" s="9" t="n">
        <v>4565</v>
      </c>
      <c r="J108" s="9" t="n">
        <v>92887200</v>
      </c>
    </row>
    <row r="109" customFormat="false" ht="15.75" hidden="false" customHeight="false" outlineLevel="0" collapsed="false">
      <c r="A109" s="7" t="s">
        <v>117</v>
      </c>
      <c r="B109" s="7" t="n">
        <v>11</v>
      </c>
      <c r="C109" s="9" t="n">
        <v>312</v>
      </c>
      <c r="D109" s="9" t="n">
        <v>5419490</v>
      </c>
      <c r="E109" s="9" t="n">
        <v>24</v>
      </c>
      <c r="F109" s="9" t="n">
        <v>422232</v>
      </c>
      <c r="G109" s="9" t="n">
        <v>0</v>
      </c>
      <c r="H109" s="9" t="n">
        <v>0</v>
      </c>
      <c r="I109" s="9" t="n">
        <v>336</v>
      </c>
      <c r="J109" s="9" t="n">
        <v>5841722</v>
      </c>
    </row>
    <row r="110" customFormat="false" ht="15.75" hidden="false" customHeight="false" outlineLevel="0" collapsed="false">
      <c r="A110" s="7" t="s">
        <v>118</v>
      </c>
      <c r="B110" s="7" t="n">
        <v>11</v>
      </c>
      <c r="C110" s="9" t="n">
        <v>588</v>
      </c>
      <c r="D110" s="9" t="n">
        <v>24119024</v>
      </c>
      <c r="E110" s="9" t="n">
        <v>24</v>
      </c>
      <c r="F110" s="9" t="n">
        <v>1000008</v>
      </c>
      <c r="G110" s="9" t="n">
        <v>0</v>
      </c>
      <c r="H110" s="9" t="n">
        <v>0</v>
      </c>
      <c r="I110" s="9" t="n">
        <v>612</v>
      </c>
      <c r="J110" s="9" t="n">
        <v>25119032</v>
      </c>
    </row>
    <row r="111" customFormat="false" ht="15.75" hidden="false" customHeight="false" outlineLevel="0" collapsed="false">
      <c r="A111" s="7" t="s">
        <v>119</v>
      </c>
      <c r="B111" s="7" t="n">
        <v>11</v>
      </c>
      <c r="C111" s="9" t="n">
        <v>240</v>
      </c>
      <c r="D111" s="9" t="n">
        <v>5519434</v>
      </c>
      <c r="E111" s="9" t="n">
        <v>80</v>
      </c>
      <c r="F111" s="9" t="n">
        <v>1851840</v>
      </c>
      <c r="G111" s="9" t="n">
        <v>0</v>
      </c>
      <c r="H111" s="9" t="n">
        <v>0</v>
      </c>
      <c r="I111" s="9" t="n">
        <v>320</v>
      </c>
      <c r="J111" s="9" t="n">
        <v>7371274</v>
      </c>
    </row>
    <row r="112" customFormat="false" ht="15.75" hidden="false" customHeight="false" outlineLevel="0" collapsed="false">
      <c r="A112" s="7" t="s">
        <v>120</v>
      </c>
      <c r="B112" s="7" t="n">
        <v>11</v>
      </c>
      <c r="C112" s="9" t="n">
        <v>80</v>
      </c>
      <c r="D112" s="9" t="n">
        <v>1765640</v>
      </c>
      <c r="E112" s="9" t="n">
        <v>40</v>
      </c>
      <c r="F112" s="9" t="n">
        <v>888880</v>
      </c>
      <c r="G112" s="9" t="n">
        <v>0</v>
      </c>
      <c r="H112" s="9" t="n">
        <v>0</v>
      </c>
      <c r="I112" s="9" t="n">
        <v>120</v>
      </c>
      <c r="J112" s="9" t="n">
        <v>2654520</v>
      </c>
    </row>
    <row r="113" customFormat="false" ht="15.75" hidden="false" customHeight="false" outlineLevel="0" collapsed="false">
      <c r="A113" s="7" t="s">
        <v>121</v>
      </c>
      <c r="B113" s="7" t="n">
        <v>11</v>
      </c>
      <c r="C113" s="9" t="n">
        <v>612</v>
      </c>
      <c r="D113" s="9" t="n">
        <v>7194177</v>
      </c>
      <c r="E113" s="9" t="n">
        <v>2400</v>
      </c>
      <c r="F113" s="9" t="n">
        <v>28888800</v>
      </c>
      <c r="G113" s="9" t="n">
        <v>360</v>
      </c>
      <c r="H113" s="9" t="n">
        <v>4312706</v>
      </c>
      <c r="I113" s="9" t="n">
        <v>2652</v>
      </c>
      <c r="J113" s="9" t="n">
        <v>31770271</v>
      </c>
    </row>
    <row r="114" customFormat="false" ht="15.75" hidden="false" customHeight="false" outlineLevel="0" collapsed="false">
      <c r="A114" s="7" t="s">
        <v>122</v>
      </c>
      <c r="B114" s="7" t="n">
        <v>11</v>
      </c>
      <c r="C114" s="9" t="n">
        <v>2525</v>
      </c>
      <c r="D114" s="9" t="n">
        <v>21934080</v>
      </c>
      <c r="E114" s="9" t="n">
        <v>2160</v>
      </c>
      <c r="F114" s="9" t="n">
        <v>18800640</v>
      </c>
      <c r="G114" s="9" t="n">
        <v>0</v>
      </c>
      <c r="H114" s="9" t="n">
        <v>0</v>
      </c>
      <c r="I114" s="9" t="n">
        <v>4685</v>
      </c>
      <c r="J114" s="9" t="n">
        <v>40734720</v>
      </c>
    </row>
    <row r="115" customFormat="false" ht="15.75" hidden="false" customHeight="false" outlineLevel="0" collapsed="false">
      <c r="A115" s="7" t="s">
        <v>123</v>
      </c>
      <c r="B115" s="7" t="n">
        <v>11</v>
      </c>
      <c r="C115" s="9" t="n">
        <v>216</v>
      </c>
      <c r="D115" s="9" t="n">
        <v>3755160</v>
      </c>
      <c r="E115" s="9" t="n">
        <v>0</v>
      </c>
      <c r="F115" s="9" t="n">
        <v>0</v>
      </c>
      <c r="G115" s="9" t="n">
        <v>0</v>
      </c>
      <c r="H115" s="9" t="n">
        <v>0</v>
      </c>
      <c r="I115" s="9" t="n">
        <v>216</v>
      </c>
      <c r="J115" s="9" t="n">
        <v>3755160</v>
      </c>
    </row>
    <row r="116" customFormat="false" ht="15.75" hidden="false" customHeight="false" outlineLevel="0" collapsed="false">
      <c r="A116" s="7" t="s">
        <v>124</v>
      </c>
      <c r="B116" s="7" t="n">
        <v>11</v>
      </c>
      <c r="C116" s="9" t="n">
        <v>72</v>
      </c>
      <c r="D116" s="9" t="n">
        <v>1333368</v>
      </c>
      <c r="E116" s="9" t="n">
        <v>0</v>
      </c>
      <c r="F116" s="9" t="n">
        <v>0</v>
      </c>
      <c r="G116" s="9" t="n">
        <v>0</v>
      </c>
      <c r="H116" s="9" t="n">
        <v>0</v>
      </c>
      <c r="I116" s="9" t="n">
        <v>72</v>
      </c>
      <c r="J116" s="9" t="n">
        <v>1333368</v>
      </c>
    </row>
    <row r="117" customFormat="false" ht="15.75" hidden="false" customHeight="false" outlineLevel="0" collapsed="false">
      <c r="A117" s="7" t="s">
        <v>125</v>
      </c>
      <c r="B117" s="7" t="n">
        <v>11</v>
      </c>
      <c r="C117" s="9" t="n">
        <v>844</v>
      </c>
      <c r="D117" s="9" t="n">
        <v>37519485</v>
      </c>
      <c r="E117" s="9" t="n">
        <v>660</v>
      </c>
      <c r="F117" s="9" t="n">
        <v>29638620</v>
      </c>
      <c r="G117" s="9" t="n">
        <v>560</v>
      </c>
      <c r="H117" s="9" t="n">
        <v>25005677</v>
      </c>
      <c r="I117" s="9" t="n">
        <v>944</v>
      </c>
      <c r="J117" s="9" t="n">
        <v>42152428</v>
      </c>
    </row>
    <row r="118" customFormat="false" ht="15.75" hidden="false" customHeight="false" outlineLevel="0" collapsed="false">
      <c r="A118" s="7" t="s">
        <v>126</v>
      </c>
      <c r="B118" s="7" t="n">
        <v>11</v>
      </c>
      <c r="C118" s="9" t="n">
        <v>28513</v>
      </c>
      <c r="D118" s="9" t="n">
        <v>148424279</v>
      </c>
      <c r="E118" s="9" t="n">
        <v>29400</v>
      </c>
      <c r="F118" s="9" t="n">
        <v>171490200</v>
      </c>
      <c r="G118" s="9" t="n">
        <v>24840</v>
      </c>
      <c r="H118" s="9" t="n">
        <v>137217475</v>
      </c>
      <c r="I118" s="9" t="n">
        <v>33073</v>
      </c>
      <c r="J118" s="9" t="n">
        <v>182697004</v>
      </c>
    </row>
    <row r="119" customFormat="false" ht="15.75" hidden="false" customHeight="false" outlineLevel="0" collapsed="false">
      <c r="A119" s="7" t="s">
        <v>127</v>
      </c>
      <c r="B119" s="7" t="n">
        <v>11</v>
      </c>
      <c r="C119" s="9" t="n">
        <v>6723</v>
      </c>
      <c r="D119" s="9" t="n">
        <v>37292887</v>
      </c>
      <c r="E119" s="9" t="n">
        <v>1200</v>
      </c>
      <c r="F119" s="9" t="n">
        <v>6999600</v>
      </c>
      <c r="G119" s="9" t="n">
        <v>1800</v>
      </c>
      <c r="H119" s="9" t="n">
        <v>10062663</v>
      </c>
      <c r="I119" s="9" t="n">
        <v>6123</v>
      </c>
      <c r="J119" s="9" t="n">
        <v>34229824</v>
      </c>
    </row>
    <row r="120" customFormat="false" ht="15.75" hidden="false" customHeight="false" outlineLevel="0" collapsed="false">
      <c r="A120" s="7" t="s">
        <v>128</v>
      </c>
      <c r="B120" s="7" t="n">
        <v>11</v>
      </c>
      <c r="C120" s="9" t="n">
        <v>94</v>
      </c>
      <c r="D120" s="9" t="n">
        <v>1424358</v>
      </c>
      <c r="E120" s="9" t="n">
        <v>280</v>
      </c>
      <c r="F120" s="9" t="n">
        <v>4277840</v>
      </c>
      <c r="G120" s="9" t="n">
        <v>0</v>
      </c>
      <c r="H120" s="9" t="n">
        <v>0</v>
      </c>
      <c r="I120" s="9" t="n">
        <v>374</v>
      </c>
      <c r="J120" s="9" t="n">
        <v>5702198</v>
      </c>
    </row>
    <row r="121" customFormat="false" ht="15.75" hidden="false" customHeight="false" outlineLevel="0" collapsed="false">
      <c r="A121" s="7" t="s">
        <v>129</v>
      </c>
      <c r="B121" s="7" t="n">
        <v>11</v>
      </c>
      <c r="C121" s="9" t="n">
        <v>20</v>
      </c>
      <c r="D121" s="9" t="n">
        <v>685180</v>
      </c>
      <c r="E121" s="9" t="n">
        <v>0</v>
      </c>
      <c r="F121" s="9" t="n">
        <v>0</v>
      </c>
      <c r="G121" s="9" t="n">
        <v>0</v>
      </c>
      <c r="H121" s="9" t="n">
        <v>0</v>
      </c>
      <c r="I121" s="9" t="n">
        <v>20</v>
      </c>
      <c r="J121" s="9" t="n">
        <v>685180</v>
      </c>
    </row>
    <row r="122" customFormat="false" ht="15.75" hidden="false" customHeight="false" outlineLevel="0" collapsed="false">
      <c r="A122" s="7" t="s">
        <v>130</v>
      </c>
      <c r="B122" s="7" t="n">
        <v>11</v>
      </c>
      <c r="C122" s="9" t="n">
        <v>56</v>
      </c>
      <c r="D122" s="9" t="n">
        <v>2663676</v>
      </c>
      <c r="E122" s="9" t="n">
        <v>29</v>
      </c>
      <c r="F122" s="9" t="n">
        <v>1382865</v>
      </c>
      <c r="G122" s="9" t="n">
        <v>0</v>
      </c>
      <c r="H122" s="9" t="n">
        <v>0</v>
      </c>
      <c r="I122" s="9" t="n">
        <v>85</v>
      </c>
      <c r="J122" s="9" t="n">
        <v>4046541</v>
      </c>
    </row>
    <row r="123" customFormat="false" ht="15.75" hidden="false" customHeight="false" outlineLevel="0" collapsed="false">
      <c r="A123" s="7" t="s">
        <v>131</v>
      </c>
      <c r="B123" s="7" t="n">
        <v>11</v>
      </c>
      <c r="C123" s="9" t="n">
        <v>70</v>
      </c>
      <c r="D123" s="9" t="n">
        <v>3488402</v>
      </c>
      <c r="E123" s="9" t="n">
        <v>0</v>
      </c>
      <c r="F123" s="9" t="n">
        <v>0</v>
      </c>
      <c r="G123" s="9" t="n">
        <v>0</v>
      </c>
      <c r="H123" s="9" t="n">
        <v>0</v>
      </c>
      <c r="I123" s="9" t="n">
        <v>70</v>
      </c>
      <c r="J123" s="9" t="n">
        <v>3488402</v>
      </c>
    </row>
    <row r="124" customFormat="false" ht="15.75" hidden="false" customHeight="false" outlineLevel="0" collapsed="false">
      <c r="A124" s="7" t="s">
        <v>132</v>
      </c>
      <c r="B124" s="7" t="n">
        <v>11</v>
      </c>
      <c r="C124" s="9" t="n">
        <v>20</v>
      </c>
      <c r="D124" s="9" t="n">
        <v>889893</v>
      </c>
      <c r="E124" s="9" t="n">
        <v>188</v>
      </c>
      <c r="F124" s="9" t="n">
        <v>8355472</v>
      </c>
      <c r="G124" s="9" t="n">
        <v>110</v>
      </c>
      <c r="H124" s="9" t="n">
        <v>4888797</v>
      </c>
      <c r="I124" s="9" t="n">
        <v>98</v>
      </c>
      <c r="J124" s="9" t="n">
        <v>4356568</v>
      </c>
    </row>
    <row r="125" customFormat="false" ht="15.75" hidden="false" customHeight="false" outlineLevel="0" collapsed="false">
      <c r="A125" s="7" t="s">
        <v>133</v>
      </c>
      <c r="B125" s="7" t="n">
        <v>11</v>
      </c>
      <c r="C125" s="9" t="n">
        <v>73</v>
      </c>
      <c r="D125" s="9" t="n">
        <v>2763750</v>
      </c>
      <c r="E125" s="9" t="n">
        <v>96</v>
      </c>
      <c r="F125" s="9" t="n">
        <v>3748144</v>
      </c>
      <c r="G125" s="9" t="n">
        <v>50</v>
      </c>
      <c r="H125" s="9" t="n">
        <v>1926596</v>
      </c>
      <c r="I125" s="9" t="n">
        <v>119</v>
      </c>
      <c r="J125" s="9" t="n">
        <v>4585298</v>
      </c>
    </row>
    <row r="126" customFormat="false" ht="15.75" hidden="false" customHeight="false" outlineLevel="0" collapsed="false">
      <c r="A126" s="7" t="s">
        <v>134</v>
      </c>
      <c r="B126" s="7" t="n">
        <v>11</v>
      </c>
      <c r="C126" s="9" t="n">
        <v>15</v>
      </c>
      <c r="D126" s="9" t="n">
        <v>431794</v>
      </c>
      <c r="E126" s="9" t="n">
        <v>0</v>
      </c>
      <c r="F126" s="9" t="n">
        <v>0</v>
      </c>
      <c r="G126" s="9" t="n">
        <v>0</v>
      </c>
      <c r="H126" s="9" t="n">
        <v>0</v>
      </c>
      <c r="I126" s="9" t="n">
        <v>15</v>
      </c>
      <c r="J126" s="9" t="n">
        <v>431794</v>
      </c>
    </row>
    <row r="127" customFormat="false" ht="15.75" hidden="false" customHeight="false" outlineLevel="0" collapsed="false">
      <c r="A127" s="7" t="s">
        <v>135</v>
      </c>
      <c r="B127" s="7" t="n">
        <v>11</v>
      </c>
      <c r="C127" s="9" t="n">
        <v>105</v>
      </c>
      <c r="D127" s="9" t="n">
        <v>19289969</v>
      </c>
      <c r="E127" s="9" t="n">
        <v>110</v>
      </c>
      <c r="F127" s="9" t="n">
        <v>20208980</v>
      </c>
      <c r="G127" s="9" t="n">
        <v>60</v>
      </c>
      <c r="H127" s="9" t="n">
        <v>11022963</v>
      </c>
      <c r="I127" s="9" t="n">
        <v>155</v>
      </c>
      <c r="J127" s="9" t="n">
        <v>28475986</v>
      </c>
    </row>
    <row r="128" customFormat="false" ht="15.75" hidden="false" customHeight="false" outlineLevel="0" collapsed="false">
      <c r="A128" s="7" t="s">
        <v>136</v>
      </c>
      <c r="B128" s="7" t="n">
        <v>11</v>
      </c>
      <c r="C128" s="9" t="n">
        <v>2417</v>
      </c>
      <c r="D128" s="9" t="n">
        <v>36123599</v>
      </c>
      <c r="E128" s="9" t="n">
        <v>4320</v>
      </c>
      <c r="F128" s="9" t="n">
        <v>66000960</v>
      </c>
      <c r="G128" s="9" t="n">
        <v>1884</v>
      </c>
      <c r="H128" s="9" t="n">
        <v>28559102</v>
      </c>
      <c r="I128" s="9" t="n">
        <v>4853</v>
      </c>
      <c r="J128" s="9" t="n">
        <v>73565457</v>
      </c>
    </row>
    <row r="129" customFormat="false" ht="15.75" hidden="false" customHeight="false" outlineLevel="0" collapsed="false">
      <c r="A129" s="7" t="s">
        <v>137</v>
      </c>
      <c r="B129" s="7" t="n">
        <v>11</v>
      </c>
      <c r="C129" s="9" t="n">
        <v>144</v>
      </c>
      <c r="D129" s="9" t="n">
        <v>22621104</v>
      </c>
      <c r="E129" s="9" t="n">
        <v>0</v>
      </c>
      <c r="F129" s="9" t="n">
        <v>0</v>
      </c>
      <c r="G129" s="9" t="n">
        <v>0</v>
      </c>
      <c r="H129" s="9" t="n">
        <v>0</v>
      </c>
      <c r="I129" s="9" t="n">
        <v>144</v>
      </c>
      <c r="J129" s="9" t="n">
        <v>22621104</v>
      </c>
    </row>
    <row r="130" customFormat="false" ht="15.75" hidden="false" customHeight="false" outlineLevel="0" collapsed="false">
      <c r="A130" s="7" t="s">
        <v>138</v>
      </c>
      <c r="B130" s="7" t="n">
        <v>11</v>
      </c>
      <c r="C130" s="9" t="n">
        <v>144</v>
      </c>
      <c r="D130" s="9" t="n">
        <v>22621104</v>
      </c>
      <c r="E130" s="9" t="n">
        <v>5</v>
      </c>
      <c r="F130" s="9" t="n">
        <v>0</v>
      </c>
      <c r="G130" s="9" t="n">
        <v>0</v>
      </c>
      <c r="H130" s="9" t="n">
        <v>0</v>
      </c>
      <c r="I130" s="9" t="n">
        <v>149</v>
      </c>
      <c r="J130" s="9" t="n">
        <v>22621104</v>
      </c>
    </row>
    <row r="131" customFormat="false" ht="15.75" hidden="false" customHeight="false" outlineLevel="0" collapsed="false">
      <c r="A131" s="7" t="s">
        <v>139</v>
      </c>
      <c r="B131" s="7" t="n">
        <v>11</v>
      </c>
      <c r="C131" s="9" t="n">
        <v>188</v>
      </c>
      <c r="D131" s="9" t="n">
        <v>34137846</v>
      </c>
      <c r="E131" s="9" t="n">
        <v>0</v>
      </c>
      <c r="F131" s="9" t="n">
        <v>0</v>
      </c>
      <c r="G131" s="9" t="n">
        <v>0</v>
      </c>
      <c r="H131" s="9" t="n">
        <v>0</v>
      </c>
      <c r="I131" s="9" t="n">
        <v>188</v>
      </c>
      <c r="J131" s="9" t="n">
        <v>34137846</v>
      </c>
    </row>
    <row r="132" customFormat="false" ht="15.75" hidden="false" customHeight="false" outlineLevel="0" collapsed="false">
      <c r="A132" s="7" t="s">
        <v>140</v>
      </c>
      <c r="B132" s="7" t="n">
        <v>11</v>
      </c>
      <c r="C132" s="9" t="n">
        <v>1777</v>
      </c>
      <c r="D132" s="9" t="n">
        <v>328831210</v>
      </c>
      <c r="E132" s="9" t="n">
        <v>350</v>
      </c>
      <c r="F132" s="9" t="n">
        <v>65245250</v>
      </c>
      <c r="G132" s="9" t="n">
        <v>801</v>
      </c>
      <c r="H132" s="9" t="n">
        <v>148403970</v>
      </c>
      <c r="I132" s="9" t="n">
        <v>1326</v>
      </c>
      <c r="J132" s="9" t="n">
        <v>245672490</v>
      </c>
    </row>
    <row r="133" customFormat="false" ht="15.75" hidden="false" customHeight="false" outlineLevel="0" collapsed="false">
      <c r="A133" s="7" t="s">
        <v>141</v>
      </c>
      <c r="B133" s="7" t="n">
        <v>11</v>
      </c>
      <c r="C133" s="9" t="n">
        <v>2763</v>
      </c>
      <c r="D133" s="9" t="n">
        <v>396839259</v>
      </c>
      <c r="E133" s="9" t="n">
        <v>751</v>
      </c>
      <c r="F133" s="9" t="n">
        <v>127694275</v>
      </c>
      <c r="G133" s="9" t="n">
        <v>802</v>
      </c>
      <c r="H133" s="9" t="n">
        <v>119714256</v>
      </c>
      <c r="I133" s="9" t="n">
        <v>2712</v>
      </c>
      <c r="J133" s="9" t="n">
        <v>404819278</v>
      </c>
    </row>
    <row r="134" customFormat="false" ht="15.75" hidden="false" customHeight="false" outlineLevel="0" collapsed="false">
      <c r="A134" s="7" t="s">
        <v>142</v>
      </c>
      <c r="B134" s="7" t="n">
        <v>11</v>
      </c>
      <c r="C134" s="9" t="n">
        <v>1150</v>
      </c>
      <c r="D134" s="9" t="n">
        <v>211217050</v>
      </c>
      <c r="E134" s="9" t="n">
        <v>0</v>
      </c>
      <c r="F134" s="9" t="n">
        <v>0</v>
      </c>
      <c r="G134" s="9" t="n">
        <v>0</v>
      </c>
      <c r="H134" s="9" t="n">
        <v>0</v>
      </c>
      <c r="I134" s="9" t="n">
        <v>1150</v>
      </c>
      <c r="J134" s="9" t="n">
        <v>211217050</v>
      </c>
    </row>
    <row r="135" customFormat="false" ht="15.75" hidden="false" customHeight="false" outlineLevel="0" collapsed="false">
      <c r="A135" s="7" t="s">
        <v>143</v>
      </c>
      <c r="B135" s="7" t="n">
        <v>11</v>
      </c>
      <c r="C135" s="9" t="n">
        <v>0</v>
      </c>
      <c r="D135" s="9" t="n">
        <v>0</v>
      </c>
      <c r="E135" s="9" t="n">
        <v>0</v>
      </c>
      <c r="F135" s="9" t="n">
        <v>0</v>
      </c>
      <c r="G135" s="9" t="n">
        <v>0</v>
      </c>
      <c r="H135" s="9" t="n">
        <v>0</v>
      </c>
      <c r="I135" s="9" t="n">
        <v>0</v>
      </c>
      <c r="J135" s="9" t="n">
        <v>0</v>
      </c>
    </row>
    <row r="136" customFormat="false" ht="15.75" hidden="false" customHeight="false" outlineLevel="0" collapsed="false">
      <c r="A136" s="7" t="s">
        <v>144</v>
      </c>
      <c r="B136" s="7" t="n">
        <v>11</v>
      </c>
      <c r="C136" s="9" t="n">
        <v>898</v>
      </c>
      <c r="D136" s="9" t="n">
        <v>163939346</v>
      </c>
      <c r="E136" s="9" t="n">
        <v>200</v>
      </c>
      <c r="F136" s="9" t="n">
        <v>36864000</v>
      </c>
      <c r="G136" s="9" t="n">
        <v>200</v>
      </c>
      <c r="H136" s="9" t="n">
        <v>36576201</v>
      </c>
      <c r="I136" s="9" t="n">
        <v>898</v>
      </c>
      <c r="J136" s="9" t="n">
        <v>164227145</v>
      </c>
    </row>
    <row r="137" customFormat="false" ht="15.75" hidden="false" customHeight="false" outlineLevel="0" collapsed="false">
      <c r="A137" s="7" t="s">
        <v>145</v>
      </c>
      <c r="B137" s="7" t="n">
        <v>11</v>
      </c>
      <c r="C137" s="9" t="n">
        <v>363</v>
      </c>
      <c r="D137" s="9" t="n">
        <v>64879823</v>
      </c>
      <c r="E137" s="9" t="n">
        <v>0</v>
      </c>
      <c r="F137" s="9" t="n">
        <v>0</v>
      </c>
      <c r="G137" s="9" t="n">
        <v>350</v>
      </c>
      <c r="H137" s="9" t="n">
        <v>62556303</v>
      </c>
      <c r="I137" s="9" t="n">
        <v>13</v>
      </c>
      <c r="J137" s="9" t="n">
        <v>2323520</v>
      </c>
    </row>
    <row r="138" customFormat="false" ht="15.75" hidden="false" customHeight="false" outlineLevel="0" collapsed="false">
      <c r="A138" s="7" t="s">
        <v>146</v>
      </c>
      <c r="B138" s="7" t="n">
        <v>11</v>
      </c>
      <c r="C138" s="9" t="n">
        <v>0</v>
      </c>
      <c r="D138" s="9" t="n">
        <v>0</v>
      </c>
      <c r="E138" s="9" t="n">
        <v>1429</v>
      </c>
      <c r="F138" s="9" t="n">
        <v>273869279</v>
      </c>
      <c r="G138" s="9" t="n">
        <v>1002</v>
      </c>
      <c r="H138" s="9" t="n">
        <v>190740295</v>
      </c>
      <c r="I138" s="9" t="n">
        <v>427</v>
      </c>
      <c r="J138" s="9" t="n">
        <v>83128984</v>
      </c>
    </row>
    <row r="139" customFormat="false" ht="15.75" hidden="false" customHeight="false" outlineLevel="0" collapsed="false">
      <c r="A139" s="7" t="s">
        <v>147</v>
      </c>
      <c r="B139" s="7" t="n">
        <v>11</v>
      </c>
      <c r="C139" s="9" t="n">
        <v>1018</v>
      </c>
      <c r="D139" s="9" t="n">
        <v>76379611</v>
      </c>
      <c r="E139" s="9" t="n">
        <v>100</v>
      </c>
      <c r="F139" s="9" t="n">
        <v>27752700</v>
      </c>
      <c r="G139" s="9" t="n">
        <v>230</v>
      </c>
      <c r="H139" s="9" t="n">
        <v>21778092</v>
      </c>
      <c r="I139" s="9" t="n">
        <v>888</v>
      </c>
      <c r="J139" s="9" t="n">
        <v>82354219</v>
      </c>
    </row>
    <row r="140" customFormat="false" ht="15.75" hidden="false" customHeight="false" outlineLevel="0" collapsed="false">
      <c r="A140" s="7" t="s">
        <v>148</v>
      </c>
      <c r="B140" s="7" t="n">
        <v>11</v>
      </c>
      <c r="C140" s="9" t="n">
        <v>0</v>
      </c>
      <c r="D140" s="9" t="n">
        <v>0</v>
      </c>
      <c r="E140" s="9" t="n">
        <v>0</v>
      </c>
      <c r="F140" s="9" t="n">
        <v>0</v>
      </c>
      <c r="G140" s="9" t="n">
        <v>0</v>
      </c>
      <c r="H140" s="9" t="n">
        <v>0</v>
      </c>
      <c r="I140" s="9" t="n">
        <v>0</v>
      </c>
      <c r="J140" s="9" t="n">
        <v>0</v>
      </c>
    </row>
    <row r="141" customFormat="false" ht="15.75" hidden="false" customHeight="false" outlineLevel="0" collapsed="false">
      <c r="A141" s="7" t="s">
        <v>149</v>
      </c>
      <c r="B141" s="7" t="n">
        <v>11</v>
      </c>
      <c r="C141" s="9" t="n">
        <v>1131</v>
      </c>
      <c r="D141" s="9" t="n">
        <v>214962168</v>
      </c>
      <c r="E141" s="9" t="n">
        <v>400</v>
      </c>
      <c r="F141" s="9" t="n">
        <v>76660400</v>
      </c>
      <c r="G141" s="9" t="n">
        <v>334</v>
      </c>
      <c r="H141" s="9" t="n">
        <v>63619816</v>
      </c>
      <c r="I141" s="9" t="n">
        <v>1197</v>
      </c>
      <c r="J141" s="9" t="n">
        <v>228002752</v>
      </c>
    </row>
    <row r="142" customFormat="false" ht="15.75" hidden="false" customHeight="false" outlineLevel="0" collapsed="false">
      <c r="A142" s="7" t="s">
        <v>150</v>
      </c>
      <c r="B142" s="7" t="n">
        <v>11</v>
      </c>
      <c r="C142" s="9" t="n">
        <v>0</v>
      </c>
      <c r="D142" s="9" t="n">
        <v>0</v>
      </c>
      <c r="E142" s="9" t="n">
        <v>0</v>
      </c>
      <c r="F142" s="9" t="n">
        <v>0</v>
      </c>
      <c r="G142" s="9" t="n">
        <v>0</v>
      </c>
      <c r="H142" s="9" t="n">
        <v>0</v>
      </c>
      <c r="I142" s="9" t="n">
        <v>0</v>
      </c>
      <c r="J142" s="9" t="n">
        <v>0</v>
      </c>
    </row>
    <row r="143" customFormat="false" ht="15.75" hidden="false" customHeight="false" outlineLevel="0" collapsed="false">
      <c r="A143" s="7" t="s">
        <v>151</v>
      </c>
      <c r="B143" s="7" t="n">
        <v>11</v>
      </c>
      <c r="C143" s="9" t="n">
        <v>319</v>
      </c>
      <c r="D143" s="9" t="n">
        <v>60576489</v>
      </c>
      <c r="E143" s="9" t="n">
        <v>0</v>
      </c>
      <c r="F143" s="9" t="n">
        <v>0</v>
      </c>
      <c r="G143" s="9" t="n">
        <v>0</v>
      </c>
      <c r="H143" s="9" t="n">
        <v>0</v>
      </c>
      <c r="I143" s="9" t="n">
        <v>319</v>
      </c>
      <c r="J143" s="9" t="n">
        <v>60576489</v>
      </c>
    </row>
    <row r="144" customFormat="false" ht="15.75" hidden="false" customHeight="false" outlineLevel="0" collapsed="false">
      <c r="A144" s="7" t="s">
        <v>152</v>
      </c>
      <c r="B144" s="7" t="n">
        <v>11</v>
      </c>
      <c r="C144" s="9" t="n">
        <v>0</v>
      </c>
      <c r="D144" s="9" t="n">
        <v>0</v>
      </c>
      <c r="E144" s="9" t="n">
        <v>0</v>
      </c>
      <c r="F144" s="9" t="n">
        <v>0</v>
      </c>
      <c r="G144" s="9" t="n">
        <v>0</v>
      </c>
      <c r="H144" s="9" t="n">
        <v>0</v>
      </c>
      <c r="I144" s="9" t="n">
        <v>0</v>
      </c>
      <c r="J144" s="9" t="n">
        <v>0</v>
      </c>
    </row>
    <row r="145" customFormat="false" ht="15.75" hidden="false" customHeight="false" outlineLevel="0" collapsed="false">
      <c r="A145" s="7" t="s">
        <v>153</v>
      </c>
      <c r="B145" s="7" t="n">
        <v>11</v>
      </c>
      <c r="C145" s="9" t="n">
        <v>0</v>
      </c>
      <c r="D145" s="9" t="n">
        <v>0</v>
      </c>
      <c r="E145" s="9" t="n">
        <v>0</v>
      </c>
      <c r="F145" s="9" t="n">
        <v>0</v>
      </c>
      <c r="G145" s="9" t="n">
        <v>0</v>
      </c>
      <c r="H145" s="9" t="n">
        <v>0</v>
      </c>
      <c r="I145" s="9" t="n">
        <v>0</v>
      </c>
      <c r="J145" s="9" t="n">
        <v>0</v>
      </c>
    </row>
    <row r="146" customFormat="false" ht="15.75" hidden="false" customHeight="false" outlineLevel="0" collapsed="false">
      <c r="A146" s="7" t="s">
        <v>154</v>
      </c>
      <c r="B146" s="7" t="n">
        <v>11</v>
      </c>
      <c r="C146" s="9" t="n">
        <v>50</v>
      </c>
      <c r="D146" s="9" t="n">
        <v>11656130</v>
      </c>
      <c r="E146" s="9" t="n">
        <v>0</v>
      </c>
      <c r="F146" s="9" t="n">
        <v>0</v>
      </c>
      <c r="G146" s="9" t="n">
        <v>0</v>
      </c>
      <c r="H146" s="9" t="n">
        <v>0</v>
      </c>
      <c r="I146" s="9" t="n">
        <v>50</v>
      </c>
      <c r="J146" s="9" t="n">
        <v>11656130</v>
      </c>
    </row>
    <row r="147" customFormat="false" ht="15.75" hidden="false" customHeight="false" outlineLevel="0" collapsed="false">
      <c r="A147" s="7" t="s">
        <v>155</v>
      </c>
      <c r="B147" s="7" t="n">
        <v>11</v>
      </c>
      <c r="C147" s="9" t="n">
        <v>0</v>
      </c>
      <c r="D147" s="9" t="n">
        <v>0</v>
      </c>
      <c r="E147" s="9" t="n">
        <v>20</v>
      </c>
      <c r="F147" s="9" t="n">
        <v>5799276</v>
      </c>
      <c r="G147" s="9" t="n">
        <v>20</v>
      </c>
      <c r="H147" s="9" t="n">
        <v>5799276</v>
      </c>
      <c r="I147" s="9" t="n">
        <v>0</v>
      </c>
      <c r="J147" s="9" t="n">
        <v>0</v>
      </c>
    </row>
    <row r="148" customFormat="false" ht="15.75" hidden="false" customHeight="false" outlineLevel="0" collapsed="false">
      <c r="A148" s="7" t="s">
        <v>156</v>
      </c>
      <c r="B148" s="7" t="n">
        <v>11</v>
      </c>
      <c r="C148" s="9" t="n">
        <v>265</v>
      </c>
      <c r="D148" s="9" t="n">
        <v>51536190</v>
      </c>
      <c r="E148" s="9" t="n">
        <v>0</v>
      </c>
      <c r="F148" s="9" t="n">
        <v>0</v>
      </c>
      <c r="G148" s="9" t="n">
        <v>0</v>
      </c>
      <c r="H148" s="9" t="n">
        <v>0</v>
      </c>
      <c r="I148" s="9" t="n">
        <v>265</v>
      </c>
      <c r="J148" s="9" t="n">
        <v>51536190</v>
      </c>
    </row>
    <row r="149" customFormat="false" ht="15.75" hidden="false" customHeight="false" outlineLevel="0" collapsed="false">
      <c r="A149" s="7" t="s">
        <v>157</v>
      </c>
      <c r="B149" s="7" t="n">
        <v>11</v>
      </c>
      <c r="C149" s="9" t="n">
        <v>100</v>
      </c>
      <c r="D149" s="9" t="n">
        <v>23336700</v>
      </c>
      <c r="E149" s="9" t="n">
        <v>0</v>
      </c>
      <c r="F149" s="9" t="n">
        <v>0</v>
      </c>
      <c r="G149" s="9" t="n">
        <v>0</v>
      </c>
      <c r="H149" s="9" t="n">
        <v>0</v>
      </c>
      <c r="I149" s="9" t="n">
        <v>100</v>
      </c>
      <c r="J149" s="9" t="n">
        <v>23336700</v>
      </c>
    </row>
    <row r="150" customFormat="false" ht="15.75" hidden="false" customHeight="false" outlineLevel="0" collapsed="false">
      <c r="A150" s="7" t="s">
        <v>158</v>
      </c>
      <c r="B150" s="7" t="n">
        <v>11</v>
      </c>
      <c r="C150" s="9" t="n">
        <v>0</v>
      </c>
      <c r="D150" s="9" t="n">
        <v>0</v>
      </c>
      <c r="E150" s="9" t="n">
        <v>20</v>
      </c>
      <c r="F150" s="9" t="n">
        <v>4627699</v>
      </c>
      <c r="G150" s="9" t="n">
        <v>20</v>
      </c>
      <c r="H150" s="9" t="n">
        <v>4627699</v>
      </c>
      <c r="I150" s="9" t="n">
        <v>0</v>
      </c>
      <c r="J150" s="9" t="n">
        <v>0</v>
      </c>
    </row>
    <row r="151" customFormat="false" ht="15.75" hidden="false" customHeight="false" outlineLevel="0" collapsed="false">
      <c r="A151" s="7" t="s">
        <v>159</v>
      </c>
      <c r="B151" s="7" t="n">
        <v>11</v>
      </c>
      <c r="C151" s="9" t="n">
        <v>81</v>
      </c>
      <c r="D151" s="9" t="n">
        <v>17829621</v>
      </c>
      <c r="E151" s="9" t="n">
        <v>0</v>
      </c>
      <c r="F151" s="9" t="n">
        <v>0</v>
      </c>
      <c r="G151" s="9" t="n">
        <v>0</v>
      </c>
      <c r="H151" s="9" t="n">
        <v>0</v>
      </c>
      <c r="I151" s="9" t="n">
        <v>81</v>
      </c>
      <c r="J151" s="9" t="n">
        <v>17829621</v>
      </c>
    </row>
    <row r="152" customFormat="false" ht="15.75" hidden="false" customHeight="false" outlineLevel="0" collapsed="false">
      <c r="A152" s="7" t="s">
        <v>160</v>
      </c>
      <c r="B152" s="7" t="n">
        <v>11</v>
      </c>
      <c r="C152" s="9" t="n">
        <v>51</v>
      </c>
      <c r="D152" s="9" t="n">
        <v>13482180</v>
      </c>
      <c r="E152" s="9" t="n">
        <v>0</v>
      </c>
      <c r="F152" s="9" t="n">
        <v>0</v>
      </c>
      <c r="G152" s="9" t="n">
        <v>5</v>
      </c>
      <c r="H152" s="9" t="n">
        <v>1320597</v>
      </c>
      <c r="I152" s="9" t="n">
        <v>46</v>
      </c>
      <c r="J152" s="9" t="n">
        <v>12161583</v>
      </c>
    </row>
    <row r="153" customFormat="false" ht="15.75" hidden="false" customHeight="false" outlineLevel="0" collapsed="false">
      <c r="A153" s="7" t="s">
        <v>161</v>
      </c>
      <c r="B153" s="7" t="n">
        <v>11</v>
      </c>
      <c r="C153" s="9" t="n">
        <v>110</v>
      </c>
      <c r="D153" s="9" t="n">
        <v>25633710</v>
      </c>
      <c r="E153" s="9" t="n">
        <v>0</v>
      </c>
      <c r="F153" s="9" t="n">
        <v>0</v>
      </c>
      <c r="G153" s="9" t="n">
        <v>0</v>
      </c>
      <c r="H153" s="9" t="n">
        <v>0</v>
      </c>
      <c r="I153" s="9" t="n">
        <v>110</v>
      </c>
      <c r="J153" s="9" t="n">
        <v>25633710</v>
      </c>
    </row>
    <row r="154" customFormat="false" ht="15.75" hidden="false" customHeight="false" outlineLevel="0" collapsed="false">
      <c r="A154" s="7" t="s">
        <v>162</v>
      </c>
      <c r="B154" s="7" t="n">
        <v>11</v>
      </c>
      <c r="C154" s="9" t="n">
        <v>0</v>
      </c>
      <c r="D154" s="9" t="n">
        <v>0</v>
      </c>
      <c r="E154" s="9" t="n">
        <v>10</v>
      </c>
      <c r="F154" s="9" t="n">
        <v>3160910</v>
      </c>
      <c r="G154" s="9" t="n">
        <v>10</v>
      </c>
      <c r="H154" s="9" t="n">
        <v>3160910</v>
      </c>
      <c r="I154" s="9" t="n">
        <v>0</v>
      </c>
      <c r="J154" s="9" t="n">
        <v>0</v>
      </c>
    </row>
    <row r="155" customFormat="false" ht="15.75" hidden="false" customHeight="false" outlineLevel="0" collapsed="false">
      <c r="A155" s="7" t="s">
        <v>163</v>
      </c>
      <c r="B155" s="7" t="n">
        <v>11</v>
      </c>
      <c r="C155" s="9" t="n">
        <v>842</v>
      </c>
      <c r="D155" s="9" t="n">
        <v>266468044</v>
      </c>
      <c r="E155" s="9" t="n">
        <v>184</v>
      </c>
      <c r="F155" s="9" t="n">
        <v>58772912</v>
      </c>
      <c r="G155" s="9" t="n">
        <v>40</v>
      </c>
      <c r="H155" s="9" t="n">
        <v>12679959</v>
      </c>
      <c r="I155" s="9" t="n">
        <v>986</v>
      </c>
      <c r="J155" s="9" t="n">
        <v>312560997</v>
      </c>
    </row>
    <row r="156" customFormat="false" ht="15.75" hidden="false" customHeight="false" outlineLevel="0" collapsed="false">
      <c r="A156" s="7" t="s">
        <v>164</v>
      </c>
      <c r="B156" s="7" t="n">
        <v>11</v>
      </c>
      <c r="C156" s="9" t="n">
        <v>0</v>
      </c>
      <c r="D156" s="9" t="n">
        <v>0</v>
      </c>
      <c r="E156" s="9" t="n">
        <v>10</v>
      </c>
      <c r="F156" s="9" t="n">
        <v>1441773</v>
      </c>
      <c r="G156" s="9" t="n">
        <v>10</v>
      </c>
      <c r="H156" s="9" t="n">
        <v>1441773</v>
      </c>
      <c r="I156" s="9" t="n">
        <v>0</v>
      </c>
      <c r="J156" s="9" t="n">
        <v>0</v>
      </c>
    </row>
    <row r="157" customFormat="false" ht="15.75" hidden="false" customHeight="false" outlineLevel="0" collapsed="false">
      <c r="A157" s="7" t="s">
        <v>165</v>
      </c>
      <c r="B157" s="7" t="n">
        <v>11</v>
      </c>
      <c r="C157" s="9" t="n">
        <v>130</v>
      </c>
      <c r="D157" s="9" t="n">
        <v>20015373</v>
      </c>
      <c r="E157" s="9" t="n">
        <v>0</v>
      </c>
      <c r="F157" s="9" t="n">
        <v>0</v>
      </c>
      <c r="G157" s="9" t="n">
        <v>30</v>
      </c>
      <c r="H157" s="9" t="n">
        <v>4618932</v>
      </c>
      <c r="I157" s="9" t="n">
        <v>100</v>
      </c>
      <c r="J157" s="9" t="n">
        <v>15396441</v>
      </c>
    </row>
    <row r="158" customFormat="false" ht="15.75" hidden="false" customHeight="false" outlineLevel="0" collapsed="false">
      <c r="A158" s="7" t="s">
        <v>166</v>
      </c>
      <c r="B158" s="7" t="n">
        <v>11</v>
      </c>
      <c r="C158" s="9" t="n">
        <v>0</v>
      </c>
      <c r="D158" s="9" t="n">
        <v>0</v>
      </c>
      <c r="E158" s="9" t="n">
        <v>10</v>
      </c>
      <c r="F158" s="9" t="n">
        <v>1600000</v>
      </c>
      <c r="G158" s="9" t="n">
        <v>10</v>
      </c>
      <c r="H158" s="9" t="n">
        <v>1600000</v>
      </c>
      <c r="I158" s="9" t="n">
        <v>0</v>
      </c>
      <c r="J158" s="9" t="n">
        <v>0</v>
      </c>
    </row>
    <row r="159" customFormat="false" ht="15.75" hidden="false" customHeight="false" outlineLevel="0" collapsed="false">
      <c r="A159" s="7" t="s">
        <v>167</v>
      </c>
      <c r="B159" s="7" t="n">
        <v>11</v>
      </c>
      <c r="C159" s="9" t="n">
        <v>0</v>
      </c>
      <c r="D159" s="9" t="n">
        <v>0</v>
      </c>
      <c r="E159" s="9" t="n">
        <v>0</v>
      </c>
      <c r="F159" s="9" t="n">
        <v>0</v>
      </c>
      <c r="G159" s="9" t="n">
        <v>0</v>
      </c>
      <c r="H159" s="9" t="n">
        <v>0</v>
      </c>
      <c r="I159" s="9" t="n">
        <v>0</v>
      </c>
      <c r="J159" s="9" t="n">
        <v>0</v>
      </c>
    </row>
    <row r="160" customFormat="false" ht="15.75" hidden="false" customHeight="false" outlineLevel="0" collapsed="false">
      <c r="A160" s="7" t="s">
        <v>168</v>
      </c>
      <c r="B160" s="7" t="n">
        <v>11</v>
      </c>
      <c r="C160" s="9" t="n">
        <v>671</v>
      </c>
      <c r="D160" s="9" t="n">
        <v>122496359</v>
      </c>
      <c r="E160" s="9" t="n">
        <v>210</v>
      </c>
      <c r="F160" s="9" t="n">
        <v>38707200</v>
      </c>
      <c r="G160" s="9" t="n">
        <v>445</v>
      </c>
      <c r="H160" s="9" t="n">
        <v>81425180</v>
      </c>
      <c r="I160" s="9" t="n">
        <v>436</v>
      </c>
      <c r="J160" s="9" t="n">
        <v>79778379</v>
      </c>
    </row>
    <row r="161" customFormat="false" ht="15.75" hidden="false" customHeight="false" outlineLevel="0" collapsed="false">
      <c r="A161" s="7" t="s">
        <v>169</v>
      </c>
      <c r="B161" s="7" t="n">
        <v>11</v>
      </c>
      <c r="C161" s="9" t="n">
        <v>856</v>
      </c>
      <c r="D161" s="9" t="n">
        <v>151588068</v>
      </c>
      <c r="E161" s="9" t="n">
        <v>0</v>
      </c>
      <c r="F161" s="9" t="n">
        <v>0</v>
      </c>
      <c r="G161" s="9" t="n">
        <v>0</v>
      </c>
      <c r="H161" s="9" t="n">
        <v>0</v>
      </c>
      <c r="I161" s="9" t="n">
        <v>856</v>
      </c>
      <c r="J161" s="9" t="n">
        <v>151588068</v>
      </c>
    </row>
    <row r="162" customFormat="false" ht="15.75" hidden="false" customHeight="false" outlineLevel="0" collapsed="false">
      <c r="A162" s="7" t="s">
        <v>170</v>
      </c>
      <c r="B162" s="7" t="n">
        <v>11</v>
      </c>
      <c r="C162" s="9" t="n">
        <v>369</v>
      </c>
      <c r="D162" s="9" t="n">
        <v>101340684</v>
      </c>
      <c r="E162" s="9" t="n">
        <v>40</v>
      </c>
      <c r="F162" s="9" t="n">
        <v>11101080</v>
      </c>
      <c r="G162" s="9" t="n">
        <v>245</v>
      </c>
      <c r="H162" s="9" t="n">
        <v>67766020</v>
      </c>
      <c r="I162" s="9" t="n">
        <v>164</v>
      </c>
      <c r="J162" s="9" t="n">
        <v>44675744</v>
      </c>
    </row>
    <row r="163" customFormat="false" ht="15.75" hidden="false" customHeight="false" outlineLevel="0" collapsed="false">
      <c r="A163" s="7" t="s">
        <v>171</v>
      </c>
      <c r="B163" s="7" t="n">
        <v>11</v>
      </c>
      <c r="C163" s="9" t="n">
        <v>0</v>
      </c>
      <c r="D163" s="9" t="n">
        <v>0</v>
      </c>
      <c r="E163" s="9" t="n">
        <v>70</v>
      </c>
      <c r="F163" s="9" t="n">
        <v>19320000</v>
      </c>
      <c r="G163" s="9" t="n">
        <v>70</v>
      </c>
      <c r="H163" s="9" t="n">
        <v>19320000</v>
      </c>
      <c r="I163" s="9" t="n">
        <v>0</v>
      </c>
      <c r="J163" s="9" t="n">
        <v>0</v>
      </c>
    </row>
    <row r="164" customFormat="false" ht="15.75" hidden="false" customHeight="false" outlineLevel="0" collapsed="false">
      <c r="A164" s="7" t="s">
        <v>172</v>
      </c>
      <c r="B164" s="7" t="n">
        <v>11</v>
      </c>
      <c r="C164" s="9" t="n">
        <v>359</v>
      </c>
      <c r="D164" s="9" t="n">
        <v>66649624</v>
      </c>
      <c r="E164" s="9" t="n">
        <v>100</v>
      </c>
      <c r="F164" s="9" t="n">
        <v>18850900</v>
      </c>
      <c r="G164" s="9" t="n">
        <v>0</v>
      </c>
      <c r="H164" s="9" t="n">
        <v>0</v>
      </c>
      <c r="I164" s="9" t="n">
        <v>459</v>
      </c>
      <c r="J164" s="9" t="n">
        <v>85500524</v>
      </c>
    </row>
    <row r="165" customFormat="false" ht="15.75" hidden="false" customHeight="false" outlineLevel="0" collapsed="false">
      <c r="A165" s="7" t="s">
        <v>173</v>
      </c>
      <c r="B165" s="7" t="n">
        <v>11</v>
      </c>
      <c r="C165" s="9" t="n">
        <v>414</v>
      </c>
      <c r="D165" s="9" t="n">
        <v>75697970</v>
      </c>
      <c r="E165" s="9" t="n">
        <v>70</v>
      </c>
      <c r="F165" s="9" t="n">
        <v>13195630</v>
      </c>
      <c r="G165" s="9" t="n">
        <v>0</v>
      </c>
      <c r="H165" s="9" t="n">
        <v>0</v>
      </c>
      <c r="I165" s="9" t="n">
        <v>484</v>
      </c>
      <c r="J165" s="9" t="n">
        <v>88893600</v>
      </c>
    </row>
    <row r="166" customFormat="false" ht="15.75" hidden="false" customHeight="false" outlineLevel="0" collapsed="false">
      <c r="A166" s="7" t="s">
        <v>174</v>
      </c>
      <c r="B166" s="7" t="n">
        <v>11</v>
      </c>
      <c r="C166" s="9" t="n">
        <v>100</v>
      </c>
      <c r="D166" s="9" t="n">
        <v>27457840</v>
      </c>
      <c r="E166" s="9" t="n">
        <v>0</v>
      </c>
      <c r="F166" s="9" t="n">
        <v>0</v>
      </c>
      <c r="G166" s="9" t="n">
        <v>95</v>
      </c>
      <c r="H166" s="9" t="n">
        <v>26084948</v>
      </c>
      <c r="I166" s="9" t="n">
        <v>5</v>
      </c>
      <c r="J166" s="9" t="n">
        <v>1372892</v>
      </c>
    </row>
    <row r="167" customFormat="false" ht="15.75" hidden="false" customHeight="false" outlineLevel="0" collapsed="false">
      <c r="A167" s="7" t="s">
        <v>175</v>
      </c>
      <c r="B167" s="7" t="n">
        <v>11</v>
      </c>
      <c r="C167" s="9" t="n">
        <v>0</v>
      </c>
      <c r="D167" s="9" t="n">
        <v>0</v>
      </c>
      <c r="E167" s="9" t="n">
        <v>0</v>
      </c>
      <c r="F167" s="9" t="n">
        <v>0</v>
      </c>
      <c r="G167" s="9" t="n">
        <v>0</v>
      </c>
      <c r="H167" s="9" t="n">
        <v>0</v>
      </c>
      <c r="I167" s="9" t="n">
        <v>0</v>
      </c>
      <c r="J167" s="9" t="n">
        <v>0</v>
      </c>
    </row>
    <row r="168" customFormat="false" ht="15.75" hidden="false" customHeight="false" outlineLevel="0" collapsed="false">
      <c r="A168" s="7" t="s">
        <v>176</v>
      </c>
      <c r="B168" s="7" t="n">
        <v>11</v>
      </c>
      <c r="C168" s="9" t="n">
        <v>0</v>
      </c>
      <c r="D168" s="9" t="n">
        <v>0</v>
      </c>
      <c r="E168" s="9" t="n">
        <v>0</v>
      </c>
      <c r="F168" s="9" t="n">
        <v>0</v>
      </c>
      <c r="G168" s="9" t="n">
        <v>0</v>
      </c>
      <c r="H168" s="9" t="n">
        <v>0</v>
      </c>
      <c r="I168" s="9" t="n">
        <v>0</v>
      </c>
      <c r="J168" s="9" t="n">
        <v>0</v>
      </c>
    </row>
    <row r="169" customFormat="false" ht="15.75" hidden="false" customHeight="false" outlineLevel="0" collapsed="false">
      <c r="A169" s="7" t="s">
        <v>177</v>
      </c>
      <c r="B169" s="7" t="n">
        <v>11</v>
      </c>
      <c r="C169" s="9" t="n">
        <v>1</v>
      </c>
      <c r="D169" s="9" t="n">
        <v>537037</v>
      </c>
      <c r="E169" s="9" t="n">
        <v>0</v>
      </c>
      <c r="F169" s="9" t="n">
        <v>0</v>
      </c>
      <c r="G169" s="9" t="n">
        <v>0</v>
      </c>
      <c r="H169" s="9" t="n">
        <v>0</v>
      </c>
      <c r="I169" s="9" t="n">
        <v>1</v>
      </c>
      <c r="J169" s="9" t="n">
        <v>537037</v>
      </c>
    </row>
    <row r="170" customFormat="false" ht="15.75" hidden="false" customHeight="false" outlineLevel="0" collapsed="false">
      <c r="A170" s="7" t="s">
        <v>178</v>
      </c>
      <c r="B170" s="7" t="n">
        <v>11</v>
      </c>
      <c r="C170" s="9" t="n">
        <v>0</v>
      </c>
      <c r="D170" s="9" t="n">
        <v>0</v>
      </c>
      <c r="E170" s="9" t="n">
        <v>144</v>
      </c>
      <c r="F170" s="9" t="n">
        <v>8408880</v>
      </c>
      <c r="G170" s="9" t="n">
        <v>0</v>
      </c>
      <c r="H170" s="9" t="n">
        <v>0</v>
      </c>
      <c r="I170" s="9" t="n">
        <v>144</v>
      </c>
      <c r="J170" s="9" t="n">
        <v>8408880</v>
      </c>
    </row>
    <row r="171" customFormat="false" ht="15.75" hidden="false" customHeight="false" outlineLevel="0" collapsed="false">
      <c r="A171" s="7" t="s">
        <v>179</v>
      </c>
      <c r="B171" s="7" t="n">
        <v>11</v>
      </c>
      <c r="C171" s="9" t="n">
        <v>19769</v>
      </c>
      <c r="D171" s="9" t="n">
        <v>98693870</v>
      </c>
      <c r="E171" s="9" t="n">
        <v>12360</v>
      </c>
      <c r="F171" s="9" t="n">
        <v>66005280</v>
      </c>
      <c r="G171" s="9" t="n">
        <v>7332</v>
      </c>
      <c r="H171" s="9" t="n">
        <v>37585177</v>
      </c>
      <c r="I171" s="9" t="n">
        <v>24797</v>
      </c>
      <c r="J171" s="9" t="n">
        <v>127113973</v>
      </c>
    </row>
    <row r="172" customFormat="false" ht="15.75" hidden="false" customHeight="false" outlineLevel="0" collapsed="false">
      <c r="A172" s="7" t="s">
        <v>180</v>
      </c>
      <c r="B172" s="7" t="n">
        <v>11</v>
      </c>
      <c r="C172" s="9" t="n">
        <v>936</v>
      </c>
      <c r="D172" s="9" t="n">
        <v>73550880</v>
      </c>
      <c r="E172" s="9" t="n">
        <v>480</v>
      </c>
      <c r="F172" s="9" t="n">
        <v>37718400</v>
      </c>
      <c r="G172" s="9" t="n">
        <v>360</v>
      </c>
      <c r="H172" s="9" t="n">
        <v>28288800</v>
      </c>
      <c r="I172" s="9" t="n">
        <v>1056</v>
      </c>
      <c r="J172" s="9" t="n">
        <v>82980480</v>
      </c>
    </row>
    <row r="173" customFormat="false" ht="15.75" hidden="false" customHeight="false" outlineLevel="0" collapsed="false">
      <c r="A173" s="7" t="s">
        <v>181</v>
      </c>
      <c r="B173" s="7" t="n">
        <v>11</v>
      </c>
      <c r="C173" s="9" t="n">
        <v>942</v>
      </c>
      <c r="D173" s="9" t="n">
        <v>48376183</v>
      </c>
      <c r="E173" s="9" t="n">
        <v>225</v>
      </c>
      <c r="F173" s="9" t="n">
        <v>11562525</v>
      </c>
      <c r="G173" s="9" t="n">
        <v>735</v>
      </c>
      <c r="H173" s="9" t="n">
        <v>37750600</v>
      </c>
      <c r="I173" s="9" t="n">
        <v>432</v>
      </c>
      <c r="J173" s="9" t="n">
        <v>22188108</v>
      </c>
    </row>
    <row r="174" customFormat="false" ht="15.75" hidden="false" customHeight="false" outlineLevel="0" collapsed="false">
      <c r="A174" s="7" t="s">
        <v>182</v>
      </c>
      <c r="B174" s="7" t="n">
        <v>11</v>
      </c>
      <c r="C174" s="9" t="n">
        <v>20</v>
      </c>
      <c r="D174" s="9" t="n">
        <v>1190400</v>
      </c>
      <c r="E174" s="9" t="n">
        <v>0</v>
      </c>
      <c r="F174" s="9" t="n">
        <v>0</v>
      </c>
      <c r="G174" s="9" t="n">
        <v>20</v>
      </c>
      <c r="H174" s="9" t="n">
        <v>1190400</v>
      </c>
      <c r="I174" s="9" t="n">
        <v>0</v>
      </c>
      <c r="J174" s="9" t="n">
        <v>0</v>
      </c>
    </row>
    <row r="175" customFormat="false" ht="15.75" hidden="false" customHeight="false" outlineLevel="0" collapsed="false">
      <c r="A175" s="7" t="s">
        <v>183</v>
      </c>
      <c r="B175" s="7" t="n">
        <v>11</v>
      </c>
      <c r="C175" s="9" t="n">
        <v>2741</v>
      </c>
      <c r="D175" s="9" t="n">
        <v>147708520</v>
      </c>
      <c r="E175" s="9" t="n">
        <v>100</v>
      </c>
      <c r="F175" s="9" t="n">
        <v>5440519</v>
      </c>
      <c r="G175" s="9" t="n">
        <v>90</v>
      </c>
      <c r="H175" s="9" t="n">
        <v>4851606</v>
      </c>
      <c r="I175" s="9" t="n">
        <v>2751</v>
      </c>
      <c r="J175" s="9" t="n">
        <v>148297433</v>
      </c>
    </row>
    <row r="176" customFormat="false" ht="15.75" hidden="false" customHeight="false" outlineLevel="0" collapsed="false">
      <c r="A176" s="7" t="s">
        <v>184</v>
      </c>
      <c r="B176" s="7" t="n">
        <v>11</v>
      </c>
      <c r="C176" s="9" t="n">
        <v>2639</v>
      </c>
      <c r="D176" s="9" t="n">
        <v>142406701</v>
      </c>
      <c r="E176" s="9" t="n">
        <v>240</v>
      </c>
      <c r="F176" s="9" t="n">
        <v>13057244</v>
      </c>
      <c r="G176" s="9" t="n">
        <v>805</v>
      </c>
      <c r="H176" s="9" t="n">
        <v>43469425</v>
      </c>
      <c r="I176" s="9" t="n">
        <v>2074</v>
      </c>
      <c r="J176" s="9" t="n">
        <v>111994520</v>
      </c>
    </row>
    <row r="177" customFormat="false" ht="15.75" hidden="false" customHeight="false" outlineLevel="0" collapsed="false">
      <c r="A177" s="7" t="s">
        <v>185</v>
      </c>
      <c r="B177" s="7" t="n">
        <v>11</v>
      </c>
      <c r="C177" s="9" t="n">
        <v>410</v>
      </c>
      <c r="D177" s="9" t="n">
        <v>75580754</v>
      </c>
      <c r="E177" s="9" t="n">
        <v>500</v>
      </c>
      <c r="F177" s="9" t="n">
        <v>92055000</v>
      </c>
      <c r="G177" s="9" t="n">
        <v>140</v>
      </c>
      <c r="H177" s="9" t="n">
        <v>25775658</v>
      </c>
      <c r="I177" s="9" t="n">
        <v>770</v>
      </c>
      <c r="J177" s="9" t="n">
        <v>141860096</v>
      </c>
    </row>
    <row r="178" customFormat="false" ht="15.75" hidden="false" customHeight="false" outlineLevel="0" collapsed="false">
      <c r="A178" s="7" t="s">
        <v>186</v>
      </c>
      <c r="B178" s="7" t="n">
        <v>11</v>
      </c>
      <c r="C178" s="9" t="n">
        <v>5050</v>
      </c>
      <c r="D178" s="9" t="n">
        <v>211852324</v>
      </c>
      <c r="E178" s="9" t="n">
        <v>0</v>
      </c>
      <c r="F178" s="9" t="n">
        <v>0</v>
      </c>
      <c r="G178" s="9" t="n">
        <v>3495</v>
      </c>
      <c r="H178" s="9" t="n">
        <v>142356471</v>
      </c>
      <c r="I178" s="9" t="n">
        <v>1555</v>
      </c>
      <c r="J178" s="9" t="n">
        <v>69495853</v>
      </c>
    </row>
    <row r="179" customFormat="false" ht="15.75" hidden="false" customHeight="false" outlineLevel="0" collapsed="false">
      <c r="A179" s="7" t="s">
        <v>187</v>
      </c>
      <c r="B179" s="7" t="n">
        <v>11</v>
      </c>
      <c r="C179" s="9" t="n">
        <v>63</v>
      </c>
      <c r="D179" s="9" t="n">
        <v>1709399</v>
      </c>
      <c r="E179" s="9" t="n">
        <v>1050</v>
      </c>
      <c r="F179" s="9" t="n">
        <v>37905000</v>
      </c>
      <c r="G179" s="9" t="n">
        <v>140</v>
      </c>
      <c r="H179" s="9" t="n">
        <v>5050653</v>
      </c>
      <c r="I179" s="9" t="n">
        <v>973</v>
      </c>
      <c r="J179" s="9" t="n">
        <v>34563746</v>
      </c>
    </row>
    <row r="180" customFormat="false" ht="15.75" hidden="false" customHeight="false" outlineLevel="0" collapsed="false">
      <c r="A180" s="7" t="s">
        <v>188</v>
      </c>
      <c r="B180" s="7" t="n">
        <v>11</v>
      </c>
      <c r="C180" s="9" t="n">
        <v>4401</v>
      </c>
      <c r="D180" s="9" t="n">
        <v>804961659</v>
      </c>
      <c r="E180" s="9" t="n">
        <v>8250</v>
      </c>
      <c r="F180" s="9" t="n">
        <v>1504016250</v>
      </c>
      <c r="G180" s="9" t="n">
        <v>5035</v>
      </c>
      <c r="H180" s="9" t="n">
        <v>1024805000</v>
      </c>
      <c r="I180" s="9" t="n">
        <v>7616</v>
      </c>
      <c r="J180" s="9" t="n">
        <v>1284172909</v>
      </c>
    </row>
    <row r="181" customFormat="false" ht="15.75" hidden="false" customHeight="false" outlineLevel="0" collapsed="false">
      <c r="A181" s="7" t="s">
        <v>189</v>
      </c>
      <c r="B181" s="7" t="n">
        <v>11</v>
      </c>
      <c r="C181" s="9" t="n">
        <v>720</v>
      </c>
      <c r="D181" s="9" t="n">
        <v>31472944</v>
      </c>
      <c r="E181" s="9" t="n">
        <v>0</v>
      </c>
      <c r="F181" s="9" t="n">
        <v>0</v>
      </c>
      <c r="G181" s="9" t="n">
        <v>30</v>
      </c>
      <c r="H181" s="9" t="n">
        <v>1324037</v>
      </c>
      <c r="I181" s="9" t="n">
        <v>690</v>
      </c>
      <c r="J181" s="9" t="n">
        <v>30148907</v>
      </c>
    </row>
    <row r="182" customFormat="false" ht="15.75" hidden="false" customHeight="false" outlineLevel="0" collapsed="false">
      <c r="A182" s="7" t="s">
        <v>190</v>
      </c>
      <c r="B182" s="7" t="n">
        <v>11</v>
      </c>
      <c r="C182" s="9" t="n">
        <v>9870</v>
      </c>
      <c r="D182" s="9" t="n">
        <v>285082902</v>
      </c>
      <c r="E182" s="9" t="n">
        <v>5250</v>
      </c>
      <c r="F182" s="9" t="n">
        <v>151620000</v>
      </c>
      <c r="G182" s="9" t="n">
        <v>3618</v>
      </c>
      <c r="H182" s="9" t="n">
        <v>104462346</v>
      </c>
      <c r="I182" s="9" t="n">
        <v>11502</v>
      </c>
      <c r="J182" s="9" t="n">
        <v>332240556</v>
      </c>
    </row>
    <row r="183" customFormat="false" ht="15.75" hidden="false" customHeight="false" outlineLevel="0" collapsed="false">
      <c r="A183" s="7" t="s">
        <v>191</v>
      </c>
      <c r="B183" s="7" t="n">
        <v>11</v>
      </c>
      <c r="C183" s="9" t="n">
        <v>17354</v>
      </c>
      <c r="D183" s="9" t="n">
        <v>502592377</v>
      </c>
      <c r="E183" s="9" t="n">
        <v>22500</v>
      </c>
      <c r="F183" s="9" t="n">
        <v>638970000</v>
      </c>
      <c r="G183" s="9" t="n">
        <v>23885</v>
      </c>
      <c r="H183" s="9" t="n">
        <v>682449875</v>
      </c>
      <c r="I183" s="9" t="n">
        <v>15969</v>
      </c>
      <c r="J183" s="9" t="n">
        <v>459112502</v>
      </c>
    </row>
    <row r="184" customFormat="false" ht="15.75" hidden="false" customHeight="false" outlineLevel="0" collapsed="false">
      <c r="A184" s="7" t="s">
        <v>192</v>
      </c>
      <c r="B184" s="7" t="n">
        <v>11</v>
      </c>
      <c r="C184" s="9" t="n">
        <v>13650</v>
      </c>
      <c r="D184" s="9" t="n">
        <v>98264919</v>
      </c>
      <c r="E184" s="9" t="n">
        <v>0</v>
      </c>
      <c r="F184" s="9" t="n">
        <v>0</v>
      </c>
      <c r="G184" s="9" t="n">
        <v>2675</v>
      </c>
      <c r="H184" s="9" t="n">
        <v>19257045</v>
      </c>
      <c r="I184" s="9" t="n">
        <v>10975</v>
      </c>
      <c r="J184" s="9" t="n">
        <v>79007874</v>
      </c>
    </row>
    <row r="185" customFormat="false" ht="15.75" hidden="false" customHeight="false" outlineLevel="0" collapsed="false">
      <c r="A185" s="7" t="s">
        <v>193</v>
      </c>
      <c r="B185" s="7" t="n">
        <v>11</v>
      </c>
      <c r="C185" s="9" t="n">
        <v>0</v>
      </c>
      <c r="D185" s="9" t="n">
        <v>0</v>
      </c>
      <c r="E185" s="9" t="n">
        <v>0</v>
      </c>
      <c r="F185" s="9" t="n">
        <v>0</v>
      </c>
      <c r="G185" s="9" t="n">
        <v>0</v>
      </c>
      <c r="H185" s="9" t="n">
        <v>0</v>
      </c>
      <c r="I185" s="9" t="n">
        <v>0</v>
      </c>
      <c r="J185" s="9" t="n">
        <v>0</v>
      </c>
    </row>
    <row r="186" customFormat="false" ht="15.75" hidden="false" customHeight="false" outlineLevel="0" collapsed="false">
      <c r="A186" s="7" t="s">
        <v>194</v>
      </c>
      <c r="B186" s="7" t="n">
        <v>11</v>
      </c>
      <c r="C186" s="9" t="n">
        <v>267820</v>
      </c>
      <c r="D186" s="9" t="n">
        <v>1812515599</v>
      </c>
      <c r="E186" s="9" t="n">
        <v>0</v>
      </c>
      <c r="F186" s="9" t="n">
        <v>0</v>
      </c>
      <c r="G186" s="9" t="n">
        <v>136285</v>
      </c>
      <c r="H186" s="9" t="n">
        <v>1185679500</v>
      </c>
      <c r="I186" s="9" t="n">
        <v>131535</v>
      </c>
      <c r="J186" s="9" t="n">
        <v>626836099</v>
      </c>
    </row>
    <row r="187" customFormat="false" ht="15.75" hidden="false" customHeight="false" outlineLevel="0" collapsed="false">
      <c r="A187" s="7" t="s">
        <v>195</v>
      </c>
      <c r="B187" s="7" t="n">
        <v>11</v>
      </c>
      <c r="C187" s="9" t="n">
        <v>0</v>
      </c>
      <c r="D187" s="9" t="n">
        <v>0</v>
      </c>
      <c r="E187" s="9" t="n">
        <v>0</v>
      </c>
      <c r="F187" s="9" t="n">
        <v>0</v>
      </c>
      <c r="G187" s="9" t="n">
        <v>0</v>
      </c>
      <c r="H187" s="9" t="n">
        <v>0</v>
      </c>
      <c r="I187" s="9" t="n">
        <v>0</v>
      </c>
      <c r="J187" s="9" t="n">
        <v>0</v>
      </c>
    </row>
    <row r="188" customFormat="false" ht="15.75" hidden="false" customHeight="false" outlineLevel="0" collapsed="false">
      <c r="A188" s="7" t="s">
        <v>196</v>
      </c>
      <c r="B188" s="7" t="n">
        <v>11</v>
      </c>
      <c r="C188" s="9" t="n">
        <v>0</v>
      </c>
      <c r="D188" s="9" t="n">
        <v>0</v>
      </c>
      <c r="E188" s="9" t="n">
        <v>0</v>
      </c>
      <c r="F188" s="9" t="n">
        <v>0</v>
      </c>
      <c r="G188" s="9" t="n">
        <v>0</v>
      </c>
      <c r="H188" s="9" t="n">
        <v>0</v>
      </c>
      <c r="I188" s="9" t="n">
        <v>0</v>
      </c>
      <c r="J188" s="9" t="n">
        <v>0</v>
      </c>
    </row>
    <row r="189" customFormat="false" ht="15.75" hidden="false" customHeight="false" outlineLevel="0" collapsed="false">
      <c r="A189" s="7" t="s">
        <v>197</v>
      </c>
      <c r="B189" s="7" t="n">
        <v>11</v>
      </c>
      <c r="C189" s="9" t="n">
        <v>1230</v>
      </c>
      <c r="D189" s="9" t="n">
        <v>8865855</v>
      </c>
      <c r="E189" s="9" t="n">
        <v>0</v>
      </c>
      <c r="F189" s="9" t="n">
        <v>0</v>
      </c>
      <c r="G189" s="9" t="n">
        <v>60</v>
      </c>
      <c r="H189" s="9" t="n">
        <v>432481</v>
      </c>
      <c r="I189" s="9" t="n">
        <v>1170</v>
      </c>
      <c r="J189" s="9" t="n">
        <v>8433374</v>
      </c>
    </row>
    <row r="190" customFormat="false" ht="15.75" hidden="false" customHeight="false" outlineLevel="0" collapsed="false">
      <c r="A190" s="7" t="s">
        <v>198</v>
      </c>
      <c r="B190" s="7" t="n">
        <v>11</v>
      </c>
      <c r="C190" s="9" t="n">
        <v>0</v>
      </c>
      <c r="D190" s="9" t="n">
        <v>0</v>
      </c>
      <c r="E190" s="9" t="n">
        <v>240</v>
      </c>
      <c r="F190" s="9" t="n">
        <v>7680000</v>
      </c>
      <c r="G190" s="9" t="n">
        <v>240</v>
      </c>
      <c r="H190" s="9" t="n">
        <v>7680000</v>
      </c>
      <c r="I190" s="9" t="n">
        <v>0</v>
      </c>
      <c r="J190" s="9" t="n">
        <v>0</v>
      </c>
    </row>
    <row r="191" customFormat="false" ht="15.75" hidden="false" customHeight="false" outlineLevel="0" collapsed="false">
      <c r="A191" s="7" t="s">
        <v>199</v>
      </c>
      <c r="B191" s="7" t="n">
        <v>11</v>
      </c>
      <c r="C191" s="9" t="n">
        <v>77684</v>
      </c>
      <c r="D191" s="9" t="n">
        <v>588888</v>
      </c>
      <c r="E191" s="9" t="n">
        <v>0</v>
      </c>
      <c r="F191" s="9" t="n">
        <v>0</v>
      </c>
      <c r="G191" s="9" t="n">
        <v>0</v>
      </c>
      <c r="H191" s="9" t="n">
        <v>0</v>
      </c>
      <c r="I191" s="9" t="n">
        <v>77684</v>
      </c>
      <c r="J191" s="9" t="n">
        <v>588888</v>
      </c>
    </row>
    <row r="192" customFormat="false" ht="15.75" hidden="false" customHeight="false" outlineLevel="0" collapsed="false">
      <c r="A192" s="7" t="s">
        <v>200</v>
      </c>
      <c r="B192" s="7" t="n">
        <v>11</v>
      </c>
      <c r="C192" s="9" t="n">
        <v>144</v>
      </c>
      <c r="D192" s="9" t="n">
        <v>1037304</v>
      </c>
      <c r="E192" s="9" t="n">
        <v>0</v>
      </c>
      <c r="F192" s="9" t="n">
        <v>0</v>
      </c>
      <c r="G192" s="9" t="n">
        <v>0</v>
      </c>
      <c r="H192" s="9" t="n">
        <v>0</v>
      </c>
      <c r="I192" s="9" t="n">
        <v>144</v>
      </c>
      <c r="J192" s="9" t="n">
        <v>1037304</v>
      </c>
    </row>
    <row r="193" customFormat="false" ht="15.75" hidden="false" customHeight="false" outlineLevel="0" collapsed="false">
      <c r="A193" s="7" t="s">
        <v>201</v>
      </c>
      <c r="B193" s="7" t="n">
        <v>11</v>
      </c>
      <c r="C193" s="9" t="n">
        <v>1200</v>
      </c>
      <c r="D193" s="9" t="n">
        <v>18831499</v>
      </c>
      <c r="E193" s="9" t="n">
        <v>192</v>
      </c>
      <c r="F193" s="9" t="n">
        <v>3111168</v>
      </c>
      <c r="G193" s="9" t="n">
        <v>360</v>
      </c>
      <c r="H193" s="9" t="n">
        <v>5674828</v>
      </c>
      <c r="I193" s="9" t="n">
        <v>1032</v>
      </c>
      <c r="J193" s="9" t="n">
        <v>16267839</v>
      </c>
    </row>
    <row r="194" customFormat="false" ht="15.75" hidden="false" customHeight="false" outlineLevel="0" collapsed="false">
      <c r="A194" s="7" t="s">
        <v>202</v>
      </c>
      <c r="B194" s="7" t="n">
        <v>11</v>
      </c>
      <c r="C194" s="9" t="n">
        <v>0</v>
      </c>
      <c r="D194" s="9" t="n">
        <v>0</v>
      </c>
      <c r="E194" s="9" t="n">
        <v>628</v>
      </c>
      <c r="F194" s="9" t="n">
        <v>6238841</v>
      </c>
      <c r="G194" s="9" t="n">
        <v>628</v>
      </c>
      <c r="H194" s="9" t="n">
        <v>6238841</v>
      </c>
      <c r="I194" s="9" t="n">
        <v>0</v>
      </c>
      <c r="J194" s="9" t="n">
        <v>0</v>
      </c>
    </row>
    <row r="195" customFormat="false" ht="15.75" hidden="false" customHeight="false" outlineLevel="0" collapsed="false">
      <c r="A195" s="7" t="s">
        <v>203</v>
      </c>
      <c r="B195" s="7" t="n">
        <v>11</v>
      </c>
      <c r="C195" s="9" t="n">
        <v>4854</v>
      </c>
      <c r="D195" s="9" t="n">
        <v>54640553</v>
      </c>
      <c r="E195" s="9" t="n">
        <v>720</v>
      </c>
      <c r="F195" s="9" t="n">
        <v>8450640</v>
      </c>
      <c r="G195" s="9" t="n">
        <v>366</v>
      </c>
      <c r="H195" s="9" t="n">
        <v>4142694</v>
      </c>
      <c r="I195" s="9" t="n">
        <v>5208</v>
      </c>
      <c r="J195" s="9" t="n">
        <v>58948499</v>
      </c>
    </row>
    <row r="196" customFormat="false" ht="15.75" hidden="false" customHeight="false" outlineLevel="0" collapsed="false">
      <c r="A196" s="7" t="s">
        <v>204</v>
      </c>
      <c r="B196" s="7" t="n">
        <v>11</v>
      </c>
      <c r="C196" s="9" t="n">
        <v>4605</v>
      </c>
      <c r="D196" s="9" t="n">
        <v>130136905</v>
      </c>
      <c r="E196" s="9" t="n">
        <v>9144</v>
      </c>
      <c r="F196" s="9" t="n">
        <v>292699440</v>
      </c>
      <c r="G196" s="9" t="n">
        <v>1258</v>
      </c>
      <c r="H196" s="9" t="n">
        <v>38688495</v>
      </c>
      <c r="I196" s="9" t="n">
        <v>12491</v>
      </c>
      <c r="J196" s="9" t="n">
        <v>384147850</v>
      </c>
    </row>
    <row r="197" customFormat="false" ht="15.75" hidden="false" customHeight="false" outlineLevel="0" collapsed="false">
      <c r="A197" s="7" t="s">
        <v>205</v>
      </c>
      <c r="B197" s="7" t="n">
        <v>11</v>
      </c>
      <c r="C197" s="9" t="n">
        <v>820</v>
      </c>
      <c r="D197" s="9" t="n">
        <v>49022428</v>
      </c>
      <c r="E197" s="9" t="n">
        <v>0</v>
      </c>
      <c r="F197" s="9" t="n">
        <v>0</v>
      </c>
      <c r="G197" s="9" t="n">
        <v>0</v>
      </c>
      <c r="H197" s="9" t="n">
        <v>0</v>
      </c>
      <c r="I197" s="9" t="n">
        <v>820</v>
      </c>
      <c r="J197" s="9" t="n">
        <v>49022428</v>
      </c>
    </row>
    <row r="198" customFormat="false" ht="15.75" hidden="false" customHeight="false" outlineLevel="0" collapsed="false">
      <c r="A198" s="7" t="s">
        <v>206</v>
      </c>
      <c r="B198" s="7" t="n">
        <v>11</v>
      </c>
      <c r="C198" s="9" t="n">
        <v>1118</v>
      </c>
      <c r="D198" s="9" t="n">
        <v>35672631</v>
      </c>
      <c r="E198" s="9" t="n">
        <v>240</v>
      </c>
      <c r="F198" s="9" t="n">
        <v>7887264</v>
      </c>
      <c r="G198" s="9" t="n">
        <v>544</v>
      </c>
      <c r="H198" s="9" t="n">
        <v>17449619</v>
      </c>
      <c r="I198" s="9" t="n">
        <v>814</v>
      </c>
      <c r="J198" s="9" t="n">
        <v>26110276</v>
      </c>
    </row>
    <row r="199" customFormat="false" ht="15.75" hidden="false" customHeight="false" outlineLevel="0" collapsed="false">
      <c r="A199" s="7" t="s">
        <v>207</v>
      </c>
      <c r="B199" s="7" t="n">
        <v>11</v>
      </c>
      <c r="C199" s="9" t="n">
        <v>1684</v>
      </c>
      <c r="D199" s="9" t="n">
        <v>3654565</v>
      </c>
      <c r="E199" s="9" t="n">
        <v>144</v>
      </c>
      <c r="F199" s="9" t="n">
        <v>0</v>
      </c>
      <c r="G199" s="9" t="n">
        <v>100</v>
      </c>
      <c r="H199" s="9" t="n">
        <v>199921</v>
      </c>
      <c r="I199" s="9" t="n">
        <v>1728</v>
      </c>
      <c r="J199" s="9" t="n">
        <v>3454644</v>
      </c>
    </row>
    <row r="200" customFormat="false" ht="15.75" hidden="false" customHeight="false" outlineLevel="0" collapsed="false">
      <c r="A200" s="7" t="s">
        <v>208</v>
      </c>
      <c r="B200" s="7" t="n">
        <v>11</v>
      </c>
      <c r="C200" s="9" t="n">
        <v>13</v>
      </c>
      <c r="D200" s="9" t="n">
        <v>107765</v>
      </c>
      <c r="E200" s="9" t="n">
        <v>0</v>
      </c>
      <c r="F200" s="9" t="n">
        <v>0</v>
      </c>
      <c r="G200" s="9" t="n">
        <v>0</v>
      </c>
      <c r="H200" s="9" t="n">
        <v>0</v>
      </c>
      <c r="I200" s="9" t="n">
        <v>13</v>
      </c>
      <c r="J200" s="9" t="n">
        <v>107765</v>
      </c>
    </row>
    <row r="201" customFormat="false" ht="15.75" hidden="false" customHeight="false" outlineLevel="0" collapsed="false">
      <c r="A201" s="7" t="s">
        <v>209</v>
      </c>
      <c r="B201" s="7" t="n">
        <v>11</v>
      </c>
      <c r="C201" s="9" t="n">
        <v>60</v>
      </c>
      <c r="D201" s="9" t="n">
        <v>3504600</v>
      </c>
      <c r="E201" s="9" t="n">
        <v>0</v>
      </c>
      <c r="F201" s="9" t="n">
        <v>0</v>
      </c>
      <c r="G201" s="9" t="n">
        <v>0</v>
      </c>
      <c r="H201" s="9" t="n">
        <v>0</v>
      </c>
      <c r="I201" s="9" t="n">
        <v>60</v>
      </c>
      <c r="J201" s="9" t="n">
        <v>3504600</v>
      </c>
    </row>
    <row r="202" customFormat="false" ht="15.75" hidden="false" customHeight="false" outlineLevel="0" collapsed="false">
      <c r="A202" s="7" t="s">
        <v>210</v>
      </c>
      <c r="B202" s="7" t="n">
        <v>11</v>
      </c>
      <c r="C202" s="9" t="n">
        <v>625</v>
      </c>
      <c r="D202" s="9" t="n">
        <v>6930861</v>
      </c>
      <c r="E202" s="9" t="n">
        <v>0</v>
      </c>
      <c r="F202" s="9" t="n">
        <v>0</v>
      </c>
      <c r="G202" s="9" t="n">
        <v>0</v>
      </c>
      <c r="H202" s="9" t="n">
        <v>0</v>
      </c>
      <c r="I202" s="9" t="n">
        <v>625</v>
      </c>
      <c r="J202" s="9" t="n">
        <v>6930861</v>
      </c>
    </row>
    <row r="203" customFormat="false" ht="15.75" hidden="false" customHeight="false" outlineLevel="0" collapsed="false">
      <c r="A203" s="7" t="s">
        <v>211</v>
      </c>
      <c r="B203" s="7" t="n">
        <v>11</v>
      </c>
      <c r="C203" s="9" t="n">
        <v>48</v>
      </c>
      <c r="D203" s="9" t="n">
        <v>711120</v>
      </c>
      <c r="E203" s="9" t="n">
        <v>372</v>
      </c>
      <c r="F203" s="9" t="n">
        <v>5511180</v>
      </c>
      <c r="G203" s="9" t="n">
        <v>420</v>
      </c>
      <c r="H203" s="9" t="n">
        <v>6222300</v>
      </c>
      <c r="I203" s="9" t="n">
        <v>0</v>
      </c>
      <c r="J203" s="9" t="n">
        <v>0</v>
      </c>
    </row>
    <row r="204" customFormat="false" ht="15.75" hidden="false" customHeight="false" outlineLevel="0" collapsed="false">
      <c r="A204" s="7" t="s">
        <v>212</v>
      </c>
      <c r="B204" s="7" t="n">
        <v>11</v>
      </c>
      <c r="C204" s="9" t="n">
        <v>10389</v>
      </c>
      <c r="D204" s="9" t="n">
        <v>127819633</v>
      </c>
      <c r="E204" s="9" t="n">
        <v>25200</v>
      </c>
      <c r="F204" s="9" t="n">
        <v>312883200</v>
      </c>
      <c r="G204" s="9" t="n">
        <v>2340</v>
      </c>
      <c r="H204" s="9" t="n">
        <v>28976499</v>
      </c>
      <c r="I204" s="9" t="n">
        <v>33249</v>
      </c>
      <c r="J204" s="9" t="n">
        <v>411726334</v>
      </c>
    </row>
    <row r="205" customFormat="false" ht="15.75" hidden="false" customHeight="false" outlineLevel="0" collapsed="false">
      <c r="A205" s="7" t="s">
        <v>213</v>
      </c>
      <c r="B205" s="7" t="n">
        <v>11</v>
      </c>
      <c r="C205" s="9" t="n">
        <v>5482</v>
      </c>
      <c r="D205" s="9" t="n">
        <v>109825599</v>
      </c>
      <c r="E205" s="9" t="n">
        <v>0</v>
      </c>
      <c r="F205" s="9" t="n">
        <v>0</v>
      </c>
      <c r="G205" s="9" t="n">
        <v>1662</v>
      </c>
      <c r="H205" s="9" t="n">
        <v>33296269</v>
      </c>
      <c r="I205" s="9" t="n">
        <v>3820</v>
      </c>
      <c r="J205" s="9" t="n">
        <v>76529330</v>
      </c>
    </row>
    <row r="206" customFormat="false" ht="15.75" hidden="false" customHeight="false" outlineLevel="0" collapsed="false">
      <c r="A206" s="7" t="s">
        <v>214</v>
      </c>
      <c r="B206" s="7" t="n">
        <v>11</v>
      </c>
      <c r="C206" s="9" t="n">
        <v>12310</v>
      </c>
      <c r="D206" s="9" t="n">
        <v>276503558</v>
      </c>
      <c r="E206" s="9" t="n">
        <v>360</v>
      </c>
      <c r="F206" s="9" t="n">
        <v>0</v>
      </c>
      <c r="G206" s="9" t="n">
        <v>2724</v>
      </c>
      <c r="H206" s="9" t="n">
        <v>59447174</v>
      </c>
      <c r="I206" s="9" t="n">
        <v>9946</v>
      </c>
      <c r="J206" s="9" t="n">
        <v>217056384</v>
      </c>
    </row>
    <row r="207" customFormat="false" ht="15.75" hidden="false" customHeight="false" outlineLevel="0" collapsed="false">
      <c r="A207" s="7" t="s">
        <v>215</v>
      </c>
      <c r="B207" s="7" t="n">
        <v>11</v>
      </c>
      <c r="C207" s="9" t="n">
        <v>2880</v>
      </c>
      <c r="D207" s="9" t="n">
        <v>115155133</v>
      </c>
      <c r="E207" s="9" t="n">
        <v>0</v>
      </c>
      <c r="F207" s="9" t="n">
        <v>0</v>
      </c>
      <c r="G207" s="9" t="n">
        <v>80</v>
      </c>
      <c r="H207" s="9" t="n">
        <v>3198754</v>
      </c>
      <c r="I207" s="9" t="n">
        <v>2800</v>
      </c>
      <c r="J207" s="9" t="n">
        <v>111956379</v>
      </c>
    </row>
    <row r="208" customFormat="false" ht="15.75" hidden="false" customHeight="false" outlineLevel="0" collapsed="false">
      <c r="A208" s="7" t="s">
        <v>216</v>
      </c>
      <c r="B208" s="7" t="n">
        <v>11</v>
      </c>
      <c r="C208" s="9" t="n">
        <v>54</v>
      </c>
      <c r="D208" s="9" t="n">
        <v>937602</v>
      </c>
      <c r="E208" s="9" t="n">
        <v>626</v>
      </c>
      <c r="F208" s="9" t="n">
        <v>10869238</v>
      </c>
      <c r="G208" s="9" t="n">
        <v>680</v>
      </c>
      <c r="H208" s="9" t="n">
        <v>11806840</v>
      </c>
      <c r="I208" s="9" t="n">
        <v>0</v>
      </c>
      <c r="J208" s="9" t="n">
        <v>0</v>
      </c>
    </row>
    <row r="209" customFormat="false" ht="15.75" hidden="false" customHeight="false" outlineLevel="0" collapsed="false">
      <c r="A209" s="7" t="s">
        <v>217</v>
      </c>
      <c r="B209" s="7" t="n">
        <v>11</v>
      </c>
      <c r="C209" s="9" t="n">
        <v>10</v>
      </c>
      <c r="D209" s="9" t="n">
        <v>1775003</v>
      </c>
      <c r="E209" s="9" t="n">
        <v>0</v>
      </c>
      <c r="F209" s="9" t="n">
        <v>0</v>
      </c>
      <c r="G209" s="9" t="n">
        <v>0</v>
      </c>
      <c r="H209" s="9" t="n">
        <v>0</v>
      </c>
      <c r="I209" s="9" t="n">
        <v>10</v>
      </c>
      <c r="J209" s="9" t="n">
        <v>1775003</v>
      </c>
    </row>
    <row r="210" customFormat="false" ht="15.75" hidden="false" customHeight="false" outlineLevel="0" collapsed="false">
      <c r="A210" s="7" t="s">
        <v>218</v>
      </c>
      <c r="B210" s="7" t="n">
        <v>11</v>
      </c>
      <c r="C210" s="9" t="n">
        <v>0</v>
      </c>
      <c r="D210" s="9" t="n">
        <v>0</v>
      </c>
      <c r="E210" s="9" t="n">
        <v>0</v>
      </c>
      <c r="F210" s="9" t="n">
        <v>0</v>
      </c>
      <c r="G210" s="9" t="n">
        <v>0</v>
      </c>
      <c r="H210" s="9" t="n">
        <v>0</v>
      </c>
      <c r="I210" s="9" t="n">
        <v>0</v>
      </c>
      <c r="J210" s="9" t="n">
        <v>0</v>
      </c>
    </row>
    <row r="211" customFormat="false" ht="15.75" hidden="false" customHeight="false" outlineLevel="0" collapsed="false">
      <c r="A211" s="7" t="s">
        <v>219</v>
      </c>
      <c r="B211" s="7" t="n">
        <v>11</v>
      </c>
      <c r="C211" s="9" t="n">
        <v>0</v>
      </c>
      <c r="D211" s="9" t="n">
        <v>0</v>
      </c>
      <c r="E211" s="9" t="n">
        <v>0</v>
      </c>
      <c r="F211" s="9" t="n">
        <v>0</v>
      </c>
      <c r="G211" s="9" t="n">
        <v>0</v>
      </c>
      <c r="H211" s="9" t="n">
        <v>0</v>
      </c>
      <c r="I211" s="9" t="n">
        <v>0</v>
      </c>
      <c r="J211" s="9" t="n">
        <v>0</v>
      </c>
    </row>
    <row r="212" customFormat="false" ht="15.75" hidden="false" customHeight="false" outlineLevel="0" collapsed="false">
      <c r="A212" s="7" t="s">
        <v>220</v>
      </c>
      <c r="B212" s="7" t="n">
        <v>11</v>
      </c>
      <c r="C212" s="9" t="n">
        <v>72</v>
      </c>
      <c r="D212" s="9" t="n">
        <v>1847966</v>
      </c>
      <c r="E212" s="9" t="n">
        <v>168</v>
      </c>
      <c r="F212" s="9" t="n">
        <v>4311921</v>
      </c>
      <c r="G212" s="9" t="n">
        <v>240</v>
      </c>
      <c r="H212" s="9" t="n">
        <v>6159887</v>
      </c>
      <c r="I212" s="9" t="n">
        <v>0</v>
      </c>
      <c r="J212" s="9" t="n">
        <v>0</v>
      </c>
    </row>
    <row r="213" customFormat="false" ht="15.75" hidden="false" customHeight="false" outlineLevel="0" collapsed="false">
      <c r="A213" s="7" t="s">
        <v>221</v>
      </c>
      <c r="B213" s="7" t="n">
        <v>11</v>
      </c>
      <c r="C213" s="9" t="n">
        <v>3818</v>
      </c>
      <c r="D213" s="9" t="n">
        <v>74735021</v>
      </c>
      <c r="E213" s="9" t="n">
        <v>360</v>
      </c>
      <c r="F213" s="9" t="n">
        <v>7088760</v>
      </c>
      <c r="G213" s="9" t="n">
        <v>0</v>
      </c>
      <c r="H213" s="9" t="n">
        <v>0</v>
      </c>
      <c r="I213" s="9" t="n">
        <v>4178</v>
      </c>
      <c r="J213" s="9" t="n">
        <v>81823781</v>
      </c>
    </row>
    <row r="214" customFormat="false" ht="15.75" hidden="false" customHeight="false" outlineLevel="0" collapsed="false">
      <c r="A214" s="7" t="s">
        <v>222</v>
      </c>
      <c r="B214" s="7" t="n">
        <v>11</v>
      </c>
      <c r="C214" s="9" t="n">
        <v>1076</v>
      </c>
      <c r="D214" s="9" t="n">
        <v>23090763</v>
      </c>
      <c r="E214" s="9" t="n">
        <v>0</v>
      </c>
      <c r="F214" s="9" t="n">
        <v>0</v>
      </c>
      <c r="G214" s="9" t="n">
        <v>10</v>
      </c>
      <c r="H214" s="9" t="n">
        <v>214598</v>
      </c>
      <c r="I214" s="9" t="n">
        <v>1066</v>
      </c>
      <c r="J214" s="9" t="n">
        <v>22876165</v>
      </c>
    </row>
    <row r="215" customFormat="false" ht="15.75" hidden="false" customHeight="false" outlineLevel="0" collapsed="false">
      <c r="A215" s="7" t="s">
        <v>223</v>
      </c>
      <c r="B215" s="7" t="n">
        <v>11</v>
      </c>
      <c r="C215" s="9" t="n">
        <v>1105</v>
      </c>
      <c r="D215" s="9" t="n">
        <v>47790304</v>
      </c>
      <c r="E215" s="9" t="n">
        <v>48</v>
      </c>
      <c r="F215" s="9" t="n">
        <v>2076576</v>
      </c>
      <c r="G215" s="9" t="n">
        <v>816</v>
      </c>
      <c r="H215" s="9" t="n">
        <v>35291738</v>
      </c>
      <c r="I215" s="9" t="n">
        <v>337</v>
      </c>
      <c r="J215" s="9" t="n">
        <v>14575142</v>
      </c>
    </row>
    <row r="216" customFormat="false" ht="15.75" hidden="false" customHeight="false" outlineLevel="0" collapsed="false">
      <c r="A216" s="7" t="s">
        <v>224</v>
      </c>
      <c r="B216" s="7" t="n">
        <v>11</v>
      </c>
      <c r="C216" s="9" t="n">
        <v>0</v>
      </c>
      <c r="D216" s="9" t="n">
        <v>0</v>
      </c>
      <c r="E216" s="9" t="n">
        <v>0</v>
      </c>
      <c r="F216" s="9" t="n">
        <v>0</v>
      </c>
      <c r="G216" s="9" t="n">
        <v>0</v>
      </c>
      <c r="H216" s="9" t="n">
        <v>0</v>
      </c>
      <c r="I216" s="9" t="n">
        <v>0</v>
      </c>
      <c r="J216" s="9" t="n">
        <v>0</v>
      </c>
    </row>
    <row r="217" customFormat="false" ht="15.75" hidden="false" customHeight="false" outlineLevel="0" collapsed="false">
      <c r="A217" s="7" t="s">
        <v>225</v>
      </c>
      <c r="B217" s="7" t="n">
        <v>11</v>
      </c>
      <c r="C217" s="9" t="n">
        <v>216</v>
      </c>
      <c r="D217" s="9" t="n">
        <v>4531917</v>
      </c>
      <c r="E217" s="9" t="n">
        <v>72</v>
      </c>
      <c r="F217" s="9" t="n">
        <v>1510639</v>
      </c>
      <c r="G217" s="9" t="n">
        <v>20</v>
      </c>
      <c r="H217" s="9" t="n">
        <v>419622</v>
      </c>
      <c r="I217" s="9" t="n">
        <v>268</v>
      </c>
      <c r="J217" s="9" t="n">
        <v>5622934</v>
      </c>
    </row>
    <row r="218" customFormat="false" ht="15.75" hidden="false" customHeight="false" outlineLevel="0" collapsed="false">
      <c r="A218" s="7" t="s">
        <v>226</v>
      </c>
      <c r="B218" s="7" t="n">
        <v>11</v>
      </c>
      <c r="C218" s="9" t="n">
        <v>360</v>
      </c>
      <c r="D218" s="9" t="n">
        <v>7553196</v>
      </c>
      <c r="E218" s="9" t="n">
        <v>0</v>
      </c>
      <c r="F218" s="9" t="n">
        <v>0</v>
      </c>
      <c r="G218" s="9" t="n">
        <v>360</v>
      </c>
      <c r="H218" s="9" t="n">
        <v>7553196</v>
      </c>
      <c r="I218" s="9" t="n">
        <v>0</v>
      </c>
      <c r="J218" s="9" t="n">
        <v>0</v>
      </c>
    </row>
    <row r="219" customFormat="false" ht="15.75" hidden="false" customHeight="false" outlineLevel="0" collapsed="false">
      <c r="A219" s="7" t="s">
        <v>227</v>
      </c>
      <c r="B219" s="7" t="n">
        <v>11</v>
      </c>
      <c r="C219" s="9" t="n">
        <v>490</v>
      </c>
      <c r="D219" s="9" t="n">
        <v>0</v>
      </c>
      <c r="E219" s="9" t="n">
        <v>0</v>
      </c>
      <c r="F219" s="9" t="n">
        <v>0</v>
      </c>
      <c r="G219" s="9" t="n">
        <v>20</v>
      </c>
      <c r="H219" s="9" t="n">
        <v>0</v>
      </c>
      <c r="I219" s="9" t="n">
        <v>470</v>
      </c>
      <c r="J219" s="9" t="n">
        <v>0</v>
      </c>
    </row>
    <row r="220" customFormat="false" ht="15.75" hidden="false" customHeight="false" outlineLevel="0" collapsed="false">
      <c r="A220" s="7" t="s">
        <v>228</v>
      </c>
      <c r="B220" s="7" t="n">
        <v>11</v>
      </c>
      <c r="C220" s="9" t="n">
        <v>1051</v>
      </c>
      <c r="D220" s="9" t="n">
        <v>92968119</v>
      </c>
      <c r="E220" s="9" t="n">
        <v>16</v>
      </c>
      <c r="F220" s="9" t="n">
        <v>1404928</v>
      </c>
      <c r="G220" s="9" t="n">
        <v>1000</v>
      </c>
      <c r="H220" s="9" t="n">
        <v>88447092</v>
      </c>
      <c r="I220" s="9" t="n">
        <v>67</v>
      </c>
      <c r="J220" s="9" t="n">
        <v>5925955</v>
      </c>
    </row>
    <row r="221" customFormat="false" ht="15.75" hidden="false" customHeight="false" outlineLevel="0" collapsed="false">
      <c r="A221" s="7" t="s">
        <v>229</v>
      </c>
      <c r="B221" s="7" t="n">
        <v>11</v>
      </c>
      <c r="C221" s="9" t="n">
        <v>2377</v>
      </c>
      <c r="D221" s="9" t="n">
        <v>214084138</v>
      </c>
      <c r="E221" s="9" t="n">
        <v>482</v>
      </c>
      <c r="F221" s="9" t="n">
        <v>43801786</v>
      </c>
      <c r="G221" s="9" t="n">
        <v>112</v>
      </c>
      <c r="H221" s="9" t="n">
        <v>10102562</v>
      </c>
      <c r="I221" s="9" t="n">
        <v>2747</v>
      </c>
      <c r="J221" s="9" t="n">
        <v>247783362</v>
      </c>
    </row>
    <row r="222" customFormat="false" ht="15.75" hidden="false" customHeight="false" outlineLevel="0" collapsed="false">
      <c r="A222" s="7" t="s">
        <v>230</v>
      </c>
      <c r="B222" s="7" t="n">
        <v>11</v>
      </c>
      <c r="C222" s="9" t="n">
        <v>869</v>
      </c>
      <c r="D222" s="9" t="n">
        <v>54538264</v>
      </c>
      <c r="E222" s="9" t="n">
        <v>560</v>
      </c>
      <c r="F222" s="9" t="n">
        <v>36495200</v>
      </c>
      <c r="G222" s="9" t="n">
        <v>0</v>
      </c>
      <c r="H222" s="9" t="n">
        <v>0</v>
      </c>
      <c r="I222" s="9" t="n">
        <v>1429</v>
      </c>
      <c r="J222" s="9" t="n">
        <v>91033464</v>
      </c>
    </row>
    <row r="223" customFormat="false" ht="15.75" hidden="false" customHeight="false" outlineLevel="0" collapsed="false">
      <c r="A223" s="7" t="s">
        <v>231</v>
      </c>
      <c r="B223" s="7" t="n">
        <v>11</v>
      </c>
      <c r="C223" s="9" t="n">
        <v>0</v>
      </c>
      <c r="D223" s="9" t="n">
        <v>0</v>
      </c>
      <c r="E223" s="9" t="n">
        <v>0</v>
      </c>
      <c r="F223" s="9" t="n">
        <v>0</v>
      </c>
      <c r="G223" s="9" t="n">
        <v>0</v>
      </c>
      <c r="H223" s="9" t="n">
        <v>0</v>
      </c>
      <c r="I223" s="9" t="n">
        <v>0</v>
      </c>
      <c r="J223" s="9" t="n">
        <v>0</v>
      </c>
    </row>
    <row r="224" customFormat="false" ht="15.75" hidden="false" customHeight="false" outlineLevel="0" collapsed="false">
      <c r="A224" s="7" t="s">
        <v>232</v>
      </c>
      <c r="B224" s="7" t="n">
        <v>11</v>
      </c>
      <c r="C224" s="9" t="n">
        <v>1001</v>
      </c>
      <c r="D224" s="9" t="n">
        <v>60663924</v>
      </c>
      <c r="E224" s="9" t="n">
        <v>240</v>
      </c>
      <c r="F224" s="9" t="n">
        <v>15244488</v>
      </c>
      <c r="G224" s="9" t="n">
        <v>344</v>
      </c>
      <c r="H224" s="9" t="n">
        <v>21041494</v>
      </c>
      <c r="I224" s="9" t="n">
        <v>897</v>
      </c>
      <c r="J224" s="9" t="n">
        <v>54866918</v>
      </c>
    </row>
    <row r="225" customFormat="false" ht="15.75" hidden="false" customHeight="false" outlineLevel="0" collapsed="false">
      <c r="A225" s="7" t="s">
        <v>233</v>
      </c>
      <c r="B225" s="7" t="n">
        <v>11</v>
      </c>
      <c r="C225" s="9" t="n">
        <v>2379</v>
      </c>
      <c r="D225" s="9" t="n">
        <v>135268730</v>
      </c>
      <c r="E225" s="9" t="n">
        <v>3400</v>
      </c>
      <c r="F225" s="9" t="n">
        <v>213248000</v>
      </c>
      <c r="G225" s="9" t="n">
        <v>4</v>
      </c>
      <c r="H225" s="9" t="n">
        <v>241230</v>
      </c>
      <c r="I225" s="9" t="n">
        <v>5775</v>
      </c>
      <c r="J225" s="9" t="n">
        <v>348275500</v>
      </c>
    </row>
    <row r="226" customFormat="false" ht="15.75" hidden="false" customHeight="false" outlineLevel="0" collapsed="false">
      <c r="A226" s="7" t="s">
        <v>234</v>
      </c>
      <c r="B226" s="7" t="n">
        <v>11</v>
      </c>
      <c r="C226" s="9" t="n">
        <v>17716</v>
      </c>
      <c r="D226" s="9" t="n">
        <v>982421388</v>
      </c>
      <c r="E226" s="9" t="n">
        <v>10350</v>
      </c>
      <c r="F226" s="9" t="n">
        <v>617708700</v>
      </c>
      <c r="G226" s="9" t="n">
        <v>5143</v>
      </c>
      <c r="H226" s="9" t="n">
        <v>306962431</v>
      </c>
      <c r="I226" s="9" t="n">
        <v>22923</v>
      </c>
      <c r="J226" s="9" t="n">
        <v>1293167657</v>
      </c>
    </row>
    <row r="227" customFormat="false" ht="15.75" hidden="false" customHeight="false" outlineLevel="0" collapsed="false">
      <c r="A227" s="7" t="s">
        <v>235</v>
      </c>
      <c r="B227" s="7" t="n">
        <v>11</v>
      </c>
      <c r="C227" s="9" t="n">
        <v>438</v>
      </c>
      <c r="D227" s="9" t="n">
        <v>30763340</v>
      </c>
      <c r="E227" s="9" t="n">
        <v>80</v>
      </c>
      <c r="F227" s="9" t="n">
        <v>5644800</v>
      </c>
      <c r="G227" s="9" t="n">
        <v>196</v>
      </c>
      <c r="H227" s="9" t="n">
        <v>13776053</v>
      </c>
      <c r="I227" s="9" t="n">
        <v>322</v>
      </c>
      <c r="J227" s="9" t="n">
        <v>22632087</v>
      </c>
    </row>
    <row r="228" customFormat="false" ht="15.75" hidden="false" customHeight="false" outlineLevel="0" collapsed="false">
      <c r="A228" s="7" t="s">
        <v>236</v>
      </c>
      <c r="B228" s="7" t="n">
        <v>11</v>
      </c>
      <c r="C228" s="9" t="n">
        <v>42</v>
      </c>
      <c r="D228" s="9" t="n">
        <v>2693922</v>
      </c>
      <c r="E228" s="9" t="n">
        <v>210</v>
      </c>
      <c r="F228" s="9" t="n">
        <v>13469610</v>
      </c>
      <c r="G228" s="9" t="n">
        <v>0</v>
      </c>
      <c r="H228" s="9" t="n">
        <v>0</v>
      </c>
      <c r="I228" s="9" t="n">
        <v>252</v>
      </c>
      <c r="J228" s="9" t="n">
        <v>16163532</v>
      </c>
    </row>
    <row r="229" customFormat="false" ht="15.75" hidden="false" customHeight="false" outlineLevel="0" collapsed="false">
      <c r="A229" s="7" t="s">
        <v>237</v>
      </c>
      <c r="B229" s="7" t="n">
        <v>11</v>
      </c>
      <c r="C229" s="9" t="n">
        <v>257</v>
      </c>
      <c r="D229" s="9" t="n">
        <v>2097921</v>
      </c>
      <c r="E229" s="9" t="n">
        <v>0</v>
      </c>
      <c r="F229" s="9" t="n">
        <v>0</v>
      </c>
      <c r="G229" s="9" t="n">
        <v>22</v>
      </c>
      <c r="H229" s="9" t="n">
        <v>179589</v>
      </c>
      <c r="I229" s="9" t="n">
        <v>235</v>
      </c>
      <c r="J229" s="9" t="n">
        <v>1918332</v>
      </c>
    </row>
    <row r="230" customFormat="false" ht="15.75" hidden="false" customHeight="false" outlineLevel="0" collapsed="false">
      <c r="A230" s="7" t="s">
        <v>238</v>
      </c>
      <c r="B230" s="7" t="n">
        <v>11</v>
      </c>
      <c r="C230" s="9" t="n">
        <v>942</v>
      </c>
      <c r="D230" s="9" t="n">
        <v>53507694</v>
      </c>
      <c r="E230" s="9" t="n">
        <v>0</v>
      </c>
      <c r="F230" s="9" t="n">
        <v>0</v>
      </c>
      <c r="G230" s="9" t="n">
        <v>0</v>
      </c>
      <c r="H230" s="9" t="n">
        <v>0</v>
      </c>
      <c r="I230" s="9" t="n">
        <v>942</v>
      </c>
      <c r="J230" s="9" t="n">
        <v>53507694</v>
      </c>
    </row>
    <row r="231" customFormat="false" ht="15.75" hidden="false" customHeight="false" outlineLevel="0" collapsed="false">
      <c r="A231" s="7" t="s">
        <v>239</v>
      </c>
      <c r="B231" s="7" t="n">
        <v>11</v>
      </c>
      <c r="C231" s="9" t="n">
        <v>0</v>
      </c>
      <c r="D231" s="9" t="n">
        <v>0</v>
      </c>
      <c r="E231" s="9" t="n">
        <v>12</v>
      </c>
      <c r="F231" s="9" t="n">
        <v>1428000</v>
      </c>
      <c r="G231" s="9" t="n">
        <v>12</v>
      </c>
      <c r="H231" s="9" t="n">
        <v>1428000</v>
      </c>
      <c r="I231" s="9" t="n">
        <v>0</v>
      </c>
      <c r="J231" s="9" t="n">
        <v>0</v>
      </c>
    </row>
    <row r="232" customFormat="false" ht="15.75" hidden="false" customHeight="false" outlineLevel="0" collapsed="false">
      <c r="A232" s="7" t="s">
        <v>240</v>
      </c>
      <c r="B232" s="7" t="n">
        <v>11</v>
      </c>
      <c r="C232" s="9" t="n">
        <v>148</v>
      </c>
      <c r="D232" s="9" t="n">
        <v>13840231</v>
      </c>
      <c r="E232" s="9" t="n">
        <v>1645</v>
      </c>
      <c r="F232" s="9" t="n">
        <v>153794340</v>
      </c>
      <c r="G232" s="9" t="n">
        <v>1768</v>
      </c>
      <c r="H232" s="9" t="n">
        <v>165297223</v>
      </c>
      <c r="I232" s="9" t="n">
        <v>25</v>
      </c>
      <c r="J232" s="9" t="n">
        <v>2337348</v>
      </c>
    </row>
    <row r="233" customFormat="false" ht="15.75" hidden="false" customHeight="false" outlineLevel="0" collapsed="false">
      <c r="A233" s="7" t="s">
        <v>241</v>
      </c>
      <c r="B233" s="7" t="n">
        <v>11</v>
      </c>
      <c r="C233" s="9" t="n">
        <v>873</v>
      </c>
      <c r="D233" s="9" t="n">
        <v>65564293</v>
      </c>
      <c r="E233" s="9" t="n">
        <v>317</v>
      </c>
      <c r="F233" s="9" t="n">
        <v>26234208</v>
      </c>
      <c r="G233" s="9" t="n">
        <v>4</v>
      </c>
      <c r="H233" s="9" t="n">
        <v>308566</v>
      </c>
      <c r="I233" s="9" t="n">
        <v>1186</v>
      </c>
      <c r="J233" s="9" t="n">
        <v>91489935</v>
      </c>
    </row>
    <row r="234" customFormat="false" ht="15.75" hidden="false" customHeight="false" outlineLevel="0" collapsed="false">
      <c r="A234" s="7" t="s">
        <v>242</v>
      </c>
      <c r="B234" s="7" t="n">
        <v>11</v>
      </c>
      <c r="C234" s="9" t="n">
        <v>188</v>
      </c>
      <c r="D234" s="9" t="n">
        <v>13132720</v>
      </c>
      <c r="E234" s="9" t="n">
        <v>54</v>
      </c>
      <c r="F234" s="9" t="n">
        <v>3797010</v>
      </c>
      <c r="G234" s="9" t="n">
        <v>105</v>
      </c>
      <c r="H234" s="9" t="n">
        <v>7345544</v>
      </c>
      <c r="I234" s="9" t="n">
        <v>137</v>
      </c>
      <c r="J234" s="9" t="n">
        <v>9584186</v>
      </c>
    </row>
    <row r="235" customFormat="false" ht="15.75" hidden="false" customHeight="false" outlineLevel="0" collapsed="false">
      <c r="A235" s="7" t="s">
        <v>243</v>
      </c>
      <c r="B235" s="7" t="n">
        <v>11</v>
      </c>
      <c r="C235" s="9" t="n">
        <v>1612</v>
      </c>
      <c r="D235" s="9" t="n">
        <v>148621497</v>
      </c>
      <c r="E235" s="9" t="n">
        <v>96</v>
      </c>
      <c r="F235" s="9" t="n">
        <v>8498854</v>
      </c>
      <c r="G235" s="9" t="n">
        <v>133</v>
      </c>
      <c r="H235" s="9" t="n">
        <v>12234781</v>
      </c>
      <c r="I235" s="9" t="n">
        <v>1575</v>
      </c>
      <c r="J235" s="9" t="n">
        <v>144885570</v>
      </c>
    </row>
    <row r="236" customFormat="false" ht="15.75" hidden="false" customHeight="false" outlineLevel="0" collapsed="false">
      <c r="A236" s="7" t="s">
        <v>244</v>
      </c>
      <c r="B236" s="7" t="n">
        <v>11</v>
      </c>
      <c r="C236" s="9" t="n">
        <v>48</v>
      </c>
      <c r="D236" s="9" t="n">
        <v>4214784</v>
      </c>
      <c r="E236" s="9" t="n">
        <v>16</v>
      </c>
      <c r="F236" s="9" t="n">
        <v>1404928</v>
      </c>
      <c r="G236" s="9" t="n">
        <v>60</v>
      </c>
      <c r="H236" s="9" t="n">
        <v>5268480</v>
      </c>
      <c r="I236" s="9" t="n">
        <v>4</v>
      </c>
      <c r="J236" s="9" t="n">
        <v>351232</v>
      </c>
    </row>
    <row r="237" customFormat="false" ht="15.75" hidden="false" customHeight="false" outlineLevel="0" collapsed="false">
      <c r="A237" s="7" t="s">
        <v>245</v>
      </c>
      <c r="B237" s="7" t="n">
        <v>11</v>
      </c>
      <c r="C237" s="9" t="n">
        <v>0</v>
      </c>
      <c r="D237" s="9" t="n">
        <v>0</v>
      </c>
      <c r="E237" s="9" t="n">
        <v>0</v>
      </c>
      <c r="F237" s="9" t="n">
        <v>0</v>
      </c>
      <c r="G237" s="9" t="n">
        <v>0</v>
      </c>
      <c r="H237" s="9" t="n">
        <v>0</v>
      </c>
      <c r="I237" s="9" t="n">
        <v>0</v>
      </c>
      <c r="J237" s="9" t="n">
        <v>0</v>
      </c>
    </row>
    <row r="238" customFormat="false" ht="15.75" hidden="false" customHeight="false" outlineLevel="0" collapsed="false">
      <c r="A238" s="7" t="s">
        <v>246</v>
      </c>
      <c r="B238" s="7" t="n">
        <v>11</v>
      </c>
      <c r="C238" s="9" t="n">
        <v>7091</v>
      </c>
      <c r="D238" s="9" t="n">
        <v>50541387</v>
      </c>
      <c r="E238" s="9" t="n">
        <v>1680</v>
      </c>
      <c r="F238" s="9" t="n">
        <v>11974267</v>
      </c>
      <c r="G238" s="9" t="n">
        <v>15</v>
      </c>
      <c r="H238" s="9" t="n">
        <v>106913</v>
      </c>
      <c r="I238" s="9" t="n">
        <v>8756</v>
      </c>
      <c r="J238" s="9" t="n">
        <v>62408741</v>
      </c>
    </row>
    <row r="239" customFormat="false" ht="15.75" hidden="false" customHeight="false" outlineLevel="0" collapsed="false">
      <c r="A239" s="7" t="s">
        <v>247</v>
      </c>
      <c r="B239" s="7" t="n">
        <v>11</v>
      </c>
      <c r="C239" s="9" t="n">
        <v>40256</v>
      </c>
      <c r="D239" s="9" t="n">
        <v>267812807</v>
      </c>
      <c r="E239" s="9" t="n">
        <v>3159</v>
      </c>
      <c r="F239" s="9" t="n">
        <v>20527315</v>
      </c>
      <c r="G239" s="9" t="n">
        <v>11</v>
      </c>
      <c r="H239" s="9" t="n">
        <v>73056</v>
      </c>
      <c r="I239" s="9" t="n">
        <v>43404</v>
      </c>
      <c r="J239" s="9" t="n">
        <v>288267066</v>
      </c>
    </row>
    <row r="240" customFormat="false" ht="15.75" hidden="false" customHeight="false" outlineLevel="0" collapsed="false">
      <c r="A240" s="7" t="s">
        <v>248</v>
      </c>
      <c r="B240" s="7" t="n">
        <v>11</v>
      </c>
      <c r="C240" s="9" t="n">
        <v>390</v>
      </c>
      <c r="D240" s="9" t="n">
        <v>1881670</v>
      </c>
      <c r="E240" s="9" t="n">
        <v>0</v>
      </c>
      <c r="F240" s="9" t="n">
        <v>0</v>
      </c>
      <c r="G240" s="9" t="n">
        <v>6</v>
      </c>
      <c r="H240" s="9" t="n">
        <v>28949</v>
      </c>
      <c r="I240" s="9" t="n">
        <v>384</v>
      </c>
      <c r="J240" s="9" t="n">
        <v>1852721</v>
      </c>
    </row>
    <row r="241" customFormat="false" ht="15.75" hidden="false" customHeight="false" outlineLevel="0" collapsed="false">
      <c r="A241" s="7" t="s">
        <v>249</v>
      </c>
      <c r="B241" s="7" t="n">
        <v>11</v>
      </c>
      <c r="C241" s="9" t="n">
        <v>426</v>
      </c>
      <c r="D241" s="9" t="n">
        <v>2002839</v>
      </c>
      <c r="E241" s="9" t="n">
        <v>0</v>
      </c>
      <c r="F241" s="9" t="n">
        <v>0</v>
      </c>
      <c r="G241" s="9" t="n">
        <v>6</v>
      </c>
      <c r="H241" s="9" t="n">
        <v>28209</v>
      </c>
      <c r="I241" s="9" t="n">
        <v>420</v>
      </c>
      <c r="J241" s="9" t="n">
        <v>1974630</v>
      </c>
    </row>
    <row r="242" customFormat="false" ht="15.75" hidden="false" customHeight="false" outlineLevel="0" collapsed="false">
      <c r="A242" s="7" t="s">
        <v>250</v>
      </c>
      <c r="B242" s="7" t="n">
        <v>11</v>
      </c>
      <c r="C242" s="9" t="n">
        <v>15361</v>
      </c>
      <c r="D242" s="9" t="n">
        <v>161248307</v>
      </c>
      <c r="E242" s="9" t="n">
        <v>1200</v>
      </c>
      <c r="F242" s="9" t="n">
        <v>8553048</v>
      </c>
      <c r="G242" s="9" t="n">
        <v>0</v>
      </c>
      <c r="H242" s="9" t="n">
        <v>0</v>
      </c>
      <c r="I242" s="9" t="n">
        <v>16561</v>
      </c>
      <c r="J242" s="9" t="n">
        <v>169801355</v>
      </c>
    </row>
    <row r="243" customFormat="false" ht="15.75" hidden="false" customHeight="false" outlineLevel="0" collapsed="false">
      <c r="A243" s="7" t="s">
        <v>251</v>
      </c>
      <c r="B243" s="7" t="n">
        <v>11</v>
      </c>
      <c r="C243" s="9" t="n">
        <v>0</v>
      </c>
      <c r="D243" s="9" t="n">
        <v>0</v>
      </c>
      <c r="E243" s="9" t="n">
        <v>0</v>
      </c>
      <c r="F243" s="9" t="n">
        <v>0</v>
      </c>
      <c r="G243" s="9" t="n">
        <v>0</v>
      </c>
      <c r="H243" s="9" t="n">
        <v>0</v>
      </c>
      <c r="I243" s="9" t="n">
        <v>0</v>
      </c>
      <c r="J243" s="9" t="n">
        <v>0</v>
      </c>
    </row>
    <row r="244" customFormat="false" ht="15.75" hidden="false" customHeight="false" outlineLevel="0" collapsed="false">
      <c r="A244" s="7" t="s">
        <v>252</v>
      </c>
      <c r="B244" s="7" t="n">
        <v>11</v>
      </c>
      <c r="C244" s="9" t="n">
        <v>0</v>
      </c>
      <c r="D244" s="9" t="n">
        <v>0</v>
      </c>
      <c r="E244" s="9" t="n">
        <v>0</v>
      </c>
      <c r="F244" s="9" t="n">
        <v>0</v>
      </c>
      <c r="G244" s="9" t="n">
        <v>0</v>
      </c>
      <c r="H244" s="9" t="n">
        <v>0</v>
      </c>
      <c r="I244" s="9" t="n">
        <v>0</v>
      </c>
      <c r="J244" s="9" t="n">
        <v>0</v>
      </c>
    </row>
    <row r="245" customFormat="false" ht="15.75" hidden="false" customHeight="false" outlineLevel="0" collapsed="false">
      <c r="A245" s="7" t="s">
        <v>253</v>
      </c>
      <c r="B245" s="7" t="n">
        <v>11</v>
      </c>
      <c r="C245" s="9" t="n">
        <v>0</v>
      </c>
      <c r="D245" s="9" t="n">
        <v>0</v>
      </c>
      <c r="E245" s="9" t="n">
        <v>0</v>
      </c>
      <c r="F245" s="9" t="n">
        <v>0</v>
      </c>
      <c r="G245" s="9" t="n">
        <v>0</v>
      </c>
      <c r="H245" s="9" t="n">
        <v>0</v>
      </c>
      <c r="I245" s="9" t="n">
        <v>0</v>
      </c>
      <c r="J245" s="9" t="n">
        <v>0</v>
      </c>
    </row>
    <row r="246" customFormat="false" ht="15.75" hidden="false" customHeight="false" outlineLevel="0" collapsed="false">
      <c r="A246" s="7" t="s">
        <v>254</v>
      </c>
      <c r="B246" s="7" t="n">
        <v>11</v>
      </c>
      <c r="C246" s="9" t="n">
        <v>58</v>
      </c>
      <c r="D246" s="9" t="n">
        <v>1993093</v>
      </c>
      <c r="E246" s="9" t="n">
        <v>140</v>
      </c>
      <c r="F246" s="9" t="n">
        <v>4811520</v>
      </c>
      <c r="G246" s="9" t="n">
        <v>20</v>
      </c>
      <c r="H246" s="9" t="n">
        <v>687335</v>
      </c>
      <c r="I246" s="9" t="n">
        <v>178</v>
      </c>
      <c r="J246" s="9" t="n">
        <v>6117278</v>
      </c>
    </row>
    <row r="247" customFormat="false" ht="15.75" hidden="false" customHeight="false" outlineLevel="0" collapsed="false">
      <c r="A247" s="7" t="s">
        <v>255</v>
      </c>
      <c r="B247" s="7" t="n">
        <v>11</v>
      </c>
      <c r="C247" s="9" t="n">
        <v>0</v>
      </c>
      <c r="D247" s="9" t="n">
        <v>884858</v>
      </c>
      <c r="E247" s="9" t="n">
        <v>0</v>
      </c>
      <c r="F247" s="9" t="n">
        <v>0</v>
      </c>
      <c r="G247" s="9" t="n">
        <v>0</v>
      </c>
      <c r="H247" s="9" t="n">
        <v>0</v>
      </c>
      <c r="I247" s="9" t="n">
        <v>0</v>
      </c>
      <c r="J247" s="9" t="n">
        <v>884858</v>
      </c>
    </row>
    <row r="248" customFormat="false" ht="15.75" hidden="false" customHeight="false" outlineLevel="0" collapsed="false">
      <c r="A248" s="7" t="s">
        <v>256</v>
      </c>
      <c r="B248" s="7" t="n">
        <v>11</v>
      </c>
      <c r="C248" s="9" t="n">
        <v>0</v>
      </c>
      <c r="D248" s="9" t="n">
        <v>0</v>
      </c>
      <c r="E248" s="9" t="n">
        <v>120</v>
      </c>
      <c r="F248" s="9" t="n">
        <v>5221853</v>
      </c>
      <c r="G248" s="9" t="n">
        <v>120</v>
      </c>
      <c r="H248" s="9" t="n">
        <v>5221853</v>
      </c>
      <c r="I248" s="9" t="n">
        <v>0</v>
      </c>
      <c r="J248" s="9" t="n">
        <v>0</v>
      </c>
    </row>
    <row r="249" customFormat="false" ht="15.75" hidden="false" customHeight="false" outlineLevel="0" collapsed="false">
      <c r="A249" s="7" t="s">
        <v>257</v>
      </c>
      <c r="B249" s="7" t="n">
        <v>11</v>
      </c>
      <c r="C249" s="9" t="n">
        <v>18</v>
      </c>
      <c r="D249" s="9" t="n">
        <v>996240</v>
      </c>
      <c r="E249" s="9" t="n">
        <v>8</v>
      </c>
      <c r="F249" s="9" t="n">
        <v>426960</v>
      </c>
      <c r="G249" s="9" t="n">
        <v>0</v>
      </c>
      <c r="H249" s="9" t="n">
        <v>0</v>
      </c>
      <c r="I249" s="9" t="n">
        <v>26</v>
      </c>
      <c r="J249" s="9" t="n">
        <v>1423200</v>
      </c>
    </row>
    <row r="250" customFormat="false" ht="15.75" hidden="false" customHeight="false" outlineLevel="0" collapsed="false">
      <c r="A250" s="7" t="s">
        <v>258</v>
      </c>
      <c r="B250" s="7" t="n">
        <v>11</v>
      </c>
      <c r="C250" s="9" t="n">
        <v>1245</v>
      </c>
      <c r="D250" s="9" t="n">
        <v>4797732</v>
      </c>
      <c r="E250" s="9" t="n">
        <v>120</v>
      </c>
      <c r="F250" s="9" t="n">
        <v>1838592</v>
      </c>
      <c r="G250" s="9" t="n">
        <v>50</v>
      </c>
      <c r="H250" s="9" t="n">
        <v>765862</v>
      </c>
      <c r="I250" s="9" t="n">
        <v>1315</v>
      </c>
      <c r="J250" s="9" t="n">
        <v>5870462</v>
      </c>
    </row>
    <row r="251" customFormat="false" ht="15.75" hidden="false" customHeight="false" outlineLevel="0" collapsed="false">
      <c r="A251" s="7" t="s">
        <v>259</v>
      </c>
      <c r="B251" s="7" t="n">
        <v>11</v>
      </c>
      <c r="C251" s="9" t="n">
        <v>110</v>
      </c>
      <c r="D251" s="9" t="n">
        <v>2420810</v>
      </c>
      <c r="E251" s="9" t="n">
        <v>0</v>
      </c>
      <c r="F251" s="9" t="n">
        <v>0</v>
      </c>
      <c r="G251" s="9" t="n">
        <v>20</v>
      </c>
      <c r="H251" s="9" t="n">
        <v>440147</v>
      </c>
      <c r="I251" s="9" t="n">
        <v>90</v>
      </c>
      <c r="J251" s="9" t="n">
        <v>1980663</v>
      </c>
    </row>
    <row r="252" customFormat="false" ht="15.75" hidden="false" customHeight="false" outlineLevel="0" collapsed="false">
      <c r="A252" s="7" t="s">
        <v>260</v>
      </c>
      <c r="B252" s="7" t="n">
        <v>11</v>
      </c>
      <c r="C252" s="9" t="n">
        <v>2</v>
      </c>
      <c r="D252" s="9" t="n">
        <v>109792</v>
      </c>
      <c r="E252" s="9" t="n">
        <v>5</v>
      </c>
      <c r="F252" s="9" t="n">
        <v>350400</v>
      </c>
      <c r="G252" s="9" t="n">
        <v>0</v>
      </c>
      <c r="H252" s="9" t="n">
        <v>0</v>
      </c>
      <c r="I252" s="9" t="n">
        <v>7</v>
      </c>
      <c r="J252" s="9" t="n">
        <v>460192</v>
      </c>
    </row>
    <row r="253" customFormat="false" ht="15.75" hidden="false" customHeight="false" outlineLevel="0" collapsed="false">
      <c r="A253" s="7" t="s">
        <v>261</v>
      </c>
      <c r="B253" s="7" t="n">
        <v>11</v>
      </c>
      <c r="C253" s="9" t="n">
        <v>0</v>
      </c>
      <c r="D253" s="9" t="n">
        <v>0</v>
      </c>
      <c r="E253" s="9" t="n">
        <v>0</v>
      </c>
      <c r="F253" s="9" t="n">
        <v>0</v>
      </c>
      <c r="G253" s="9" t="n">
        <v>0</v>
      </c>
      <c r="H253" s="9" t="n">
        <v>0</v>
      </c>
      <c r="I253" s="9" t="n">
        <v>0</v>
      </c>
      <c r="J253" s="9" t="n">
        <v>0</v>
      </c>
    </row>
    <row r="254" customFormat="false" ht="15.75" hidden="false" customHeight="false" outlineLevel="0" collapsed="false">
      <c r="A254" s="7" t="s">
        <v>262</v>
      </c>
      <c r="B254" s="7" t="n">
        <v>11</v>
      </c>
      <c r="C254" s="9" t="n">
        <v>0</v>
      </c>
      <c r="D254" s="9" t="n">
        <v>0</v>
      </c>
      <c r="E254" s="9" t="n">
        <v>4</v>
      </c>
      <c r="F254" s="9" t="n">
        <v>330624</v>
      </c>
      <c r="G254" s="9" t="n">
        <v>0</v>
      </c>
      <c r="H254" s="9" t="n">
        <v>0</v>
      </c>
      <c r="I254" s="9" t="n">
        <v>4</v>
      </c>
      <c r="J254" s="9" t="n">
        <v>330624</v>
      </c>
    </row>
    <row r="255" customFormat="false" ht="15.75" hidden="false" customHeight="false" outlineLevel="0" collapsed="false">
      <c r="A255" s="7" t="s">
        <v>263</v>
      </c>
      <c r="B255" s="7" t="n">
        <v>11</v>
      </c>
      <c r="C255" s="9" t="n">
        <v>0</v>
      </c>
      <c r="D255" s="9" t="n">
        <v>0</v>
      </c>
      <c r="E255" s="9" t="n">
        <v>0</v>
      </c>
      <c r="F255" s="9" t="n">
        <v>0</v>
      </c>
      <c r="G255" s="9" t="n">
        <v>0</v>
      </c>
      <c r="H255" s="9" t="n">
        <v>0</v>
      </c>
      <c r="I255" s="9" t="n">
        <v>0</v>
      </c>
      <c r="J255" s="9" t="n">
        <v>0</v>
      </c>
    </row>
    <row r="256" customFormat="false" ht="15.75" hidden="false" customHeight="false" outlineLevel="0" collapsed="false">
      <c r="A256" s="7" t="s">
        <v>264</v>
      </c>
      <c r="B256" s="7" t="n">
        <v>11</v>
      </c>
      <c r="C256" s="9" t="n">
        <v>0</v>
      </c>
      <c r="D256" s="9" t="n">
        <v>0</v>
      </c>
      <c r="E256" s="9" t="n">
        <v>0</v>
      </c>
      <c r="F256" s="9" t="n">
        <v>0</v>
      </c>
      <c r="G256" s="9" t="n">
        <v>0</v>
      </c>
      <c r="H256" s="9" t="n">
        <v>0</v>
      </c>
      <c r="I256" s="9" t="n">
        <v>0</v>
      </c>
      <c r="J256" s="9" t="n">
        <v>0</v>
      </c>
    </row>
    <row r="257" customFormat="false" ht="15.75" hidden="false" customHeight="false" outlineLevel="0" collapsed="false">
      <c r="A257" s="7" t="s">
        <v>265</v>
      </c>
      <c r="B257" s="7" t="n">
        <v>11</v>
      </c>
      <c r="C257" s="9" t="n">
        <v>0</v>
      </c>
      <c r="D257" s="9" t="n">
        <v>0</v>
      </c>
      <c r="E257" s="9" t="n">
        <v>5</v>
      </c>
      <c r="F257" s="9" t="n">
        <v>412800</v>
      </c>
      <c r="G257" s="9" t="n">
        <v>0</v>
      </c>
      <c r="H257" s="9" t="n">
        <v>0</v>
      </c>
      <c r="I257" s="9" t="n">
        <v>5</v>
      </c>
      <c r="J257" s="9" t="n">
        <v>412800</v>
      </c>
    </row>
    <row r="258" customFormat="false" ht="15.75" hidden="false" customHeight="false" outlineLevel="0" collapsed="false">
      <c r="A258" s="7" t="s">
        <v>266</v>
      </c>
      <c r="B258" s="7" t="n">
        <v>11</v>
      </c>
      <c r="C258" s="9" t="n">
        <v>0</v>
      </c>
      <c r="D258" s="9" t="n">
        <v>0</v>
      </c>
      <c r="E258" s="9" t="n">
        <v>5</v>
      </c>
      <c r="F258" s="9" t="n">
        <v>441600</v>
      </c>
      <c r="G258" s="9" t="n">
        <v>0</v>
      </c>
      <c r="H258" s="9" t="n">
        <v>0</v>
      </c>
      <c r="I258" s="9" t="n">
        <v>5</v>
      </c>
      <c r="J258" s="9" t="n">
        <v>441600</v>
      </c>
    </row>
    <row r="259" customFormat="false" ht="15.75" hidden="false" customHeight="false" outlineLevel="0" collapsed="false">
      <c r="A259" s="7" t="s">
        <v>267</v>
      </c>
      <c r="B259" s="7" t="n">
        <v>11</v>
      </c>
      <c r="C259" s="9" t="n">
        <v>1</v>
      </c>
      <c r="D259" s="9" t="n">
        <v>39000</v>
      </c>
      <c r="E259" s="9" t="n">
        <v>5</v>
      </c>
      <c r="F259" s="9" t="n">
        <v>408000</v>
      </c>
      <c r="G259" s="9" t="n">
        <v>0</v>
      </c>
      <c r="H259" s="9" t="n">
        <v>0</v>
      </c>
      <c r="I259" s="9" t="n">
        <v>6</v>
      </c>
      <c r="J259" s="9" t="n">
        <v>447000</v>
      </c>
    </row>
    <row r="260" customFormat="false" ht="15.75" hidden="false" customHeight="false" outlineLevel="0" collapsed="false">
      <c r="A260" s="7" t="s">
        <v>268</v>
      </c>
      <c r="B260" s="7" t="n">
        <v>11</v>
      </c>
      <c r="C260" s="9" t="n">
        <v>0</v>
      </c>
      <c r="D260" s="9" t="n">
        <v>0</v>
      </c>
      <c r="E260" s="9" t="n">
        <v>0</v>
      </c>
      <c r="F260" s="9" t="n">
        <v>0</v>
      </c>
      <c r="G260" s="9" t="n">
        <v>0</v>
      </c>
      <c r="H260" s="9" t="n">
        <v>0</v>
      </c>
      <c r="I260" s="9" t="n">
        <v>0</v>
      </c>
      <c r="J260" s="9" t="n">
        <v>0</v>
      </c>
    </row>
    <row r="261" customFormat="false" ht="15.75" hidden="false" customHeight="false" outlineLevel="0" collapsed="false">
      <c r="A261" s="7" t="s">
        <v>269</v>
      </c>
      <c r="B261" s="7" t="n">
        <v>11</v>
      </c>
      <c r="C261" s="9" t="n">
        <v>0</v>
      </c>
      <c r="D261" s="9" t="n">
        <v>0</v>
      </c>
      <c r="E261" s="9" t="n">
        <v>0</v>
      </c>
      <c r="F261" s="9" t="n">
        <v>0</v>
      </c>
      <c r="G261" s="9" t="n">
        <v>0</v>
      </c>
      <c r="H261" s="9" t="n">
        <v>0</v>
      </c>
      <c r="I261" s="9" t="n">
        <v>0</v>
      </c>
      <c r="J261" s="9" t="n">
        <v>0</v>
      </c>
    </row>
    <row r="262" customFormat="false" ht="15.75" hidden="false" customHeight="false" outlineLevel="0" collapsed="false">
      <c r="A262" s="7" t="s">
        <v>270</v>
      </c>
      <c r="B262" s="7" t="n">
        <v>11</v>
      </c>
      <c r="C262" s="9" t="n">
        <v>0</v>
      </c>
      <c r="D262" s="9" t="n">
        <v>0</v>
      </c>
      <c r="E262" s="9" t="n">
        <v>0</v>
      </c>
      <c r="F262" s="9" t="n">
        <v>0</v>
      </c>
      <c r="G262" s="9" t="n">
        <v>0</v>
      </c>
      <c r="H262" s="9" t="n">
        <v>0</v>
      </c>
      <c r="I262" s="9" t="n">
        <v>0</v>
      </c>
      <c r="J262" s="9" t="n">
        <v>0</v>
      </c>
    </row>
    <row r="263" customFormat="false" ht="15.75" hidden="false" customHeight="false" outlineLevel="0" collapsed="false">
      <c r="A263" s="7" t="s">
        <v>271</v>
      </c>
      <c r="B263" s="7" t="n">
        <v>11</v>
      </c>
      <c r="C263" s="9" t="n">
        <v>0</v>
      </c>
      <c r="D263" s="9" t="n">
        <v>0</v>
      </c>
      <c r="E263" s="9" t="n">
        <v>0</v>
      </c>
      <c r="F263" s="9" t="n">
        <v>0</v>
      </c>
      <c r="G263" s="9" t="n">
        <v>0</v>
      </c>
      <c r="H263" s="9" t="n">
        <v>0</v>
      </c>
      <c r="I263" s="9" t="n">
        <v>0</v>
      </c>
      <c r="J263" s="9" t="n">
        <v>0</v>
      </c>
    </row>
    <row r="264" customFormat="false" ht="15.75" hidden="false" customHeight="false" outlineLevel="0" collapsed="false">
      <c r="A264" s="7" t="s">
        <v>272</v>
      </c>
      <c r="B264" s="7" t="n">
        <v>11</v>
      </c>
      <c r="C264" s="9" t="n">
        <v>8</v>
      </c>
      <c r="D264" s="9" t="n">
        <v>1065272</v>
      </c>
      <c r="E264" s="9" t="n">
        <v>8</v>
      </c>
      <c r="F264" s="9" t="n">
        <v>1065272</v>
      </c>
      <c r="G264" s="9" t="n">
        <v>16</v>
      </c>
      <c r="H264" s="9" t="n">
        <v>2130544</v>
      </c>
      <c r="I264" s="9" t="n">
        <v>0</v>
      </c>
      <c r="J264" s="9" t="n">
        <v>0</v>
      </c>
    </row>
    <row r="265" customFormat="false" ht="15.75" hidden="false" customHeight="false" outlineLevel="0" collapsed="false">
      <c r="A265" s="7" t="s">
        <v>273</v>
      </c>
      <c r="B265" s="7" t="n">
        <v>11</v>
      </c>
      <c r="C265" s="9" t="n">
        <v>0</v>
      </c>
      <c r="D265" s="9" t="n">
        <v>0</v>
      </c>
      <c r="E265" s="9" t="n">
        <v>0</v>
      </c>
      <c r="F265" s="9" t="n">
        <v>0</v>
      </c>
      <c r="G265" s="9" t="n">
        <v>0</v>
      </c>
      <c r="H265" s="9" t="n">
        <v>0</v>
      </c>
      <c r="I265" s="9" t="n">
        <v>0</v>
      </c>
      <c r="J265" s="9" t="n">
        <v>0</v>
      </c>
    </row>
    <row r="266" customFormat="false" ht="15.75" hidden="false" customHeight="false" outlineLevel="0" collapsed="false">
      <c r="A266" s="7" t="s">
        <v>274</v>
      </c>
      <c r="B266" s="7" t="n">
        <v>11</v>
      </c>
      <c r="C266" s="9" t="n">
        <v>0</v>
      </c>
      <c r="D266" s="9" t="n">
        <v>0</v>
      </c>
      <c r="E266" s="9" t="n">
        <v>14</v>
      </c>
      <c r="F266" s="9" t="n">
        <v>473144</v>
      </c>
      <c r="G266" s="9" t="n">
        <v>0</v>
      </c>
      <c r="H266" s="9" t="n">
        <v>0</v>
      </c>
      <c r="I266" s="9" t="n">
        <v>14</v>
      </c>
      <c r="J266" s="9" t="n">
        <v>473144</v>
      </c>
    </row>
    <row r="267" customFormat="false" ht="15.75" hidden="false" customHeight="false" outlineLevel="0" collapsed="false">
      <c r="A267" s="7" t="s">
        <v>275</v>
      </c>
      <c r="B267" s="7" t="n">
        <v>11</v>
      </c>
      <c r="C267" s="9" t="n">
        <v>0</v>
      </c>
      <c r="D267" s="9" t="n">
        <v>0</v>
      </c>
      <c r="E267" s="9" t="n">
        <v>0</v>
      </c>
      <c r="F267" s="9" t="n">
        <v>0</v>
      </c>
      <c r="G267" s="9" t="n">
        <v>0</v>
      </c>
      <c r="H267" s="9" t="n">
        <v>0</v>
      </c>
      <c r="I267" s="9" t="n">
        <v>0</v>
      </c>
      <c r="J267" s="9" t="n">
        <v>0</v>
      </c>
    </row>
    <row r="268" customFormat="false" ht="15.75" hidden="false" customHeight="false" outlineLevel="0" collapsed="false">
      <c r="A268" s="7" t="s">
        <v>276</v>
      </c>
      <c r="B268" s="7" t="n">
        <v>11</v>
      </c>
      <c r="C268" s="9" t="n">
        <v>0</v>
      </c>
      <c r="D268" s="9" t="n">
        <v>0</v>
      </c>
      <c r="E268" s="9" t="n">
        <v>0</v>
      </c>
      <c r="F268" s="9" t="n">
        <v>0</v>
      </c>
      <c r="G268" s="9" t="n">
        <v>0</v>
      </c>
      <c r="H268" s="9" t="n">
        <v>0</v>
      </c>
      <c r="I268" s="9" t="n">
        <v>0</v>
      </c>
      <c r="J268" s="9" t="n">
        <v>0</v>
      </c>
    </row>
    <row r="269" customFormat="false" ht="15.75" hidden="false" customHeight="false" outlineLevel="0" collapsed="false">
      <c r="A269" s="7" t="s">
        <v>277</v>
      </c>
      <c r="B269" s="7" t="n">
        <v>11</v>
      </c>
      <c r="C269" s="9" t="n">
        <v>0</v>
      </c>
      <c r="D269" s="9" t="n">
        <v>0</v>
      </c>
      <c r="E269" s="9" t="n">
        <v>0</v>
      </c>
      <c r="F269" s="9" t="n">
        <v>0</v>
      </c>
      <c r="G269" s="9" t="n">
        <v>0</v>
      </c>
      <c r="H269" s="9" t="n">
        <v>0</v>
      </c>
      <c r="I269" s="9" t="n">
        <v>0</v>
      </c>
      <c r="J269" s="9" t="n">
        <v>0</v>
      </c>
    </row>
    <row r="270" customFormat="false" ht="15.75" hidden="false" customHeight="false" outlineLevel="0" collapsed="false">
      <c r="A270" s="7" t="s">
        <v>278</v>
      </c>
      <c r="B270" s="7" t="n">
        <v>11</v>
      </c>
      <c r="C270" s="9" t="n">
        <v>0</v>
      </c>
      <c r="D270" s="9" t="n">
        <v>0</v>
      </c>
      <c r="E270" s="9" t="n">
        <v>0</v>
      </c>
      <c r="F270" s="9" t="n">
        <v>0</v>
      </c>
      <c r="G270" s="9" t="n">
        <v>0</v>
      </c>
      <c r="H270" s="9" t="n">
        <v>0</v>
      </c>
      <c r="I270" s="9" t="n">
        <v>0</v>
      </c>
      <c r="J270" s="9" t="n">
        <v>0</v>
      </c>
    </row>
    <row r="271" customFormat="false" ht="15.75" hidden="false" customHeight="false" outlineLevel="0" collapsed="false">
      <c r="A271" s="7" t="s">
        <v>279</v>
      </c>
      <c r="B271" s="7" t="n">
        <v>11</v>
      </c>
      <c r="C271" s="9" t="n">
        <v>0</v>
      </c>
      <c r="D271" s="9" t="n">
        <v>0</v>
      </c>
      <c r="E271" s="9" t="n">
        <v>0</v>
      </c>
      <c r="F271" s="9" t="n">
        <v>0</v>
      </c>
      <c r="G271" s="9" t="n">
        <v>0</v>
      </c>
      <c r="H271" s="9" t="n">
        <v>0</v>
      </c>
      <c r="I271" s="9" t="n">
        <v>0</v>
      </c>
      <c r="J271" s="9" t="n">
        <v>0</v>
      </c>
    </row>
    <row r="272" customFormat="false" ht="15.75" hidden="false" customHeight="false" outlineLevel="0" collapsed="false">
      <c r="A272" s="7" t="s">
        <v>280</v>
      </c>
      <c r="B272" s="7" t="n">
        <v>11</v>
      </c>
      <c r="C272" s="9" t="n">
        <v>0</v>
      </c>
      <c r="D272" s="9" t="n">
        <v>0</v>
      </c>
      <c r="E272" s="9" t="n">
        <v>0</v>
      </c>
      <c r="F272" s="9" t="n">
        <v>0</v>
      </c>
      <c r="G272" s="9" t="n">
        <v>0</v>
      </c>
      <c r="H272" s="9" t="n">
        <v>0</v>
      </c>
      <c r="I272" s="9" t="n">
        <v>0</v>
      </c>
      <c r="J272" s="9" t="n">
        <v>0</v>
      </c>
    </row>
    <row r="273" customFormat="false" ht="15.75" hidden="false" customHeight="false" outlineLevel="0" collapsed="false">
      <c r="A273" s="7" t="s">
        <v>281</v>
      </c>
      <c r="B273" s="7" t="n">
        <v>11</v>
      </c>
      <c r="C273" s="9" t="n">
        <v>73</v>
      </c>
      <c r="D273" s="9" t="n">
        <v>1260398</v>
      </c>
      <c r="E273" s="9" t="n">
        <v>92</v>
      </c>
      <c r="F273" s="9" t="n">
        <v>1587600</v>
      </c>
      <c r="G273" s="9" t="n">
        <v>50</v>
      </c>
      <c r="H273" s="9" t="n">
        <v>863030</v>
      </c>
      <c r="I273" s="9" t="n">
        <v>115</v>
      </c>
      <c r="J273" s="9" t="n">
        <v>1984968</v>
      </c>
    </row>
    <row r="274" customFormat="false" ht="15.75" hidden="false" customHeight="false" outlineLevel="0" collapsed="false">
      <c r="A274" s="7" t="s">
        <v>282</v>
      </c>
      <c r="B274" s="7" t="n">
        <v>11</v>
      </c>
      <c r="C274" s="9" t="n">
        <v>28</v>
      </c>
      <c r="D274" s="9" t="n">
        <v>2027260</v>
      </c>
      <c r="E274" s="9" t="n">
        <v>32</v>
      </c>
      <c r="F274" s="9" t="n">
        <v>2156459</v>
      </c>
      <c r="G274" s="9" t="n">
        <v>60</v>
      </c>
      <c r="H274" s="9" t="n">
        <v>4183719</v>
      </c>
      <c r="I274" s="9" t="n">
        <v>0</v>
      </c>
      <c r="J274" s="9" t="n">
        <v>0</v>
      </c>
    </row>
    <row r="275" customFormat="false" ht="15.75" hidden="false" customHeight="false" outlineLevel="0" collapsed="false">
      <c r="A275" s="7" t="s">
        <v>283</v>
      </c>
      <c r="B275" s="7" t="n">
        <v>11</v>
      </c>
      <c r="C275" s="9" t="n">
        <v>2369</v>
      </c>
      <c r="D275" s="9" t="n">
        <v>50850002</v>
      </c>
      <c r="E275" s="9" t="n">
        <v>786</v>
      </c>
      <c r="F275" s="9" t="n">
        <v>26964000</v>
      </c>
      <c r="G275" s="9" t="n">
        <v>505</v>
      </c>
      <c r="H275" s="9" t="n">
        <v>17451373</v>
      </c>
      <c r="I275" s="9" t="n">
        <v>2650</v>
      </c>
      <c r="J275" s="9" t="n">
        <v>60362629</v>
      </c>
    </row>
    <row r="276" customFormat="false" ht="15.75" hidden="false" customHeight="false" outlineLevel="0" collapsed="false">
      <c r="A276" s="7" t="s">
        <v>284</v>
      </c>
      <c r="B276" s="7" t="n">
        <v>11</v>
      </c>
      <c r="C276" s="9" t="n">
        <v>150</v>
      </c>
      <c r="D276" s="9" t="n">
        <v>6866424</v>
      </c>
      <c r="E276" s="9" t="n">
        <v>20</v>
      </c>
      <c r="F276" s="9" t="n">
        <v>920640</v>
      </c>
      <c r="G276" s="9" t="n">
        <v>0</v>
      </c>
      <c r="H276" s="9" t="n">
        <v>0</v>
      </c>
      <c r="I276" s="9" t="n">
        <v>170</v>
      </c>
      <c r="J276" s="9" t="n">
        <v>7787064</v>
      </c>
    </row>
    <row r="277" customFormat="false" ht="15.75" hidden="false" customHeight="false" outlineLevel="0" collapsed="false">
      <c r="A277" s="7" t="s">
        <v>285</v>
      </c>
      <c r="B277" s="7" t="n">
        <v>11</v>
      </c>
      <c r="C277" s="9" t="n">
        <v>0</v>
      </c>
      <c r="D277" s="9" t="n">
        <v>0</v>
      </c>
      <c r="E277" s="9" t="n">
        <v>0</v>
      </c>
      <c r="F277" s="9" t="n">
        <v>0</v>
      </c>
      <c r="G277" s="9" t="n">
        <v>0</v>
      </c>
      <c r="H277" s="9" t="n">
        <v>0</v>
      </c>
      <c r="I277" s="9" t="n">
        <v>0</v>
      </c>
      <c r="J277" s="9" t="n">
        <v>0</v>
      </c>
    </row>
    <row r="278" customFormat="false" ht="15.75" hidden="false" customHeight="false" outlineLevel="0" collapsed="false">
      <c r="A278" s="7" t="s">
        <v>286</v>
      </c>
      <c r="B278" s="7" t="n">
        <v>11</v>
      </c>
      <c r="C278" s="9" t="n">
        <v>8</v>
      </c>
      <c r="D278" s="9" t="n">
        <v>847410</v>
      </c>
      <c r="E278" s="9" t="n">
        <v>7</v>
      </c>
      <c r="F278" s="9" t="n">
        <v>741484</v>
      </c>
      <c r="G278" s="9" t="n">
        <v>15</v>
      </c>
      <c r="H278" s="9" t="n">
        <v>1588894</v>
      </c>
      <c r="I278" s="9" t="n">
        <v>0</v>
      </c>
      <c r="J278" s="9" t="n">
        <v>0</v>
      </c>
    </row>
    <row r="279" customFormat="false" ht="15.75" hidden="false" customHeight="false" outlineLevel="0" collapsed="false">
      <c r="A279" s="7" t="s">
        <v>287</v>
      </c>
      <c r="B279" s="7" t="n">
        <v>11</v>
      </c>
      <c r="C279" s="9" t="n">
        <v>8</v>
      </c>
      <c r="D279" s="9" t="n">
        <v>888480</v>
      </c>
      <c r="E279" s="9" t="n">
        <v>0</v>
      </c>
      <c r="F279" s="9" t="n">
        <v>0</v>
      </c>
      <c r="G279" s="9" t="n">
        <v>0</v>
      </c>
      <c r="H279" s="9" t="n">
        <v>0</v>
      </c>
      <c r="I279" s="9" t="n">
        <v>8</v>
      </c>
      <c r="J279" s="9" t="n">
        <v>888480</v>
      </c>
    </row>
    <row r="280" customFormat="false" ht="15.75" hidden="false" customHeight="false" outlineLevel="0" collapsed="false">
      <c r="A280" s="7" t="s">
        <v>288</v>
      </c>
      <c r="B280" s="7" t="n">
        <v>11</v>
      </c>
      <c r="C280" s="9" t="n">
        <v>72</v>
      </c>
      <c r="D280" s="9" t="n">
        <v>1717560</v>
      </c>
      <c r="E280" s="9" t="n">
        <v>0</v>
      </c>
      <c r="F280" s="9" t="n">
        <v>0</v>
      </c>
      <c r="G280" s="9" t="n">
        <v>0</v>
      </c>
      <c r="H280" s="9" t="n">
        <v>0</v>
      </c>
      <c r="I280" s="9" t="n">
        <v>72</v>
      </c>
      <c r="J280" s="9" t="n">
        <v>1717560</v>
      </c>
    </row>
    <row r="281" customFormat="false" ht="15.75" hidden="false" customHeight="false" outlineLevel="0" collapsed="false">
      <c r="A281" s="7" t="s">
        <v>289</v>
      </c>
      <c r="B281" s="7" t="n">
        <v>11</v>
      </c>
      <c r="C281" s="9" t="n">
        <v>5453</v>
      </c>
      <c r="D281" s="9" t="n">
        <v>18544800</v>
      </c>
      <c r="E281" s="9" t="n">
        <v>0</v>
      </c>
      <c r="F281" s="9" t="n">
        <v>0</v>
      </c>
      <c r="G281" s="9" t="n">
        <v>0</v>
      </c>
      <c r="H281" s="9" t="n">
        <v>0</v>
      </c>
      <c r="I281" s="9" t="n">
        <v>5453</v>
      </c>
      <c r="J281" s="9" t="n">
        <v>18544800</v>
      </c>
    </row>
    <row r="282" customFormat="false" ht="15.75" hidden="false" customHeight="false" outlineLevel="0" collapsed="false">
      <c r="A282" s="7" t="s">
        <v>290</v>
      </c>
      <c r="B282" s="7" t="n">
        <v>11</v>
      </c>
      <c r="C282" s="9" t="n">
        <v>751</v>
      </c>
      <c r="D282" s="9" t="n">
        <v>66828163</v>
      </c>
      <c r="E282" s="9" t="n">
        <v>396</v>
      </c>
      <c r="F282" s="9" t="n">
        <v>35237664</v>
      </c>
      <c r="G282" s="9" t="n">
        <v>853</v>
      </c>
      <c r="H282" s="9" t="n">
        <v>75904229</v>
      </c>
      <c r="I282" s="9" t="n">
        <v>294</v>
      </c>
      <c r="J282" s="9" t="n">
        <v>26161598</v>
      </c>
    </row>
    <row r="283" customFormat="false" ht="15.75" hidden="false" customHeight="false" outlineLevel="0" collapsed="false">
      <c r="A283" s="7" t="s">
        <v>291</v>
      </c>
      <c r="B283" s="7" t="n">
        <v>11</v>
      </c>
      <c r="C283" s="9" t="n">
        <v>1042</v>
      </c>
      <c r="D283" s="9" t="n">
        <v>97310015</v>
      </c>
      <c r="E283" s="9" t="n">
        <v>455</v>
      </c>
      <c r="F283" s="9" t="n">
        <v>42538860</v>
      </c>
      <c r="G283" s="9" t="n">
        <v>917</v>
      </c>
      <c r="H283" s="9" t="n">
        <v>85665610</v>
      </c>
      <c r="I283" s="9" t="n">
        <v>580</v>
      </c>
      <c r="J283" s="9" t="n">
        <v>54183265</v>
      </c>
    </row>
    <row r="284" customFormat="false" ht="15.75" hidden="false" customHeight="false" outlineLevel="0" collapsed="false">
      <c r="A284" s="7" t="s">
        <v>292</v>
      </c>
      <c r="B284" s="7" t="n">
        <v>11</v>
      </c>
      <c r="C284" s="9" t="n">
        <v>212</v>
      </c>
      <c r="D284" s="9" t="n">
        <v>16761815</v>
      </c>
      <c r="E284" s="9" t="n">
        <v>332</v>
      </c>
      <c r="F284" s="9" t="n">
        <v>28432224</v>
      </c>
      <c r="G284" s="9" t="n">
        <v>544</v>
      </c>
      <c r="H284" s="9" t="n">
        <v>45194039</v>
      </c>
      <c r="I284" s="9" t="n">
        <v>0</v>
      </c>
      <c r="J284" s="9" t="n">
        <v>0</v>
      </c>
    </row>
    <row r="285" customFormat="false" ht="15.75" hidden="false" customHeight="false" outlineLevel="0" collapsed="false">
      <c r="A285" s="7"/>
      <c r="B285" s="7"/>
      <c r="C285" s="6"/>
      <c r="D285" s="6" t="n">
        <v>15266188020</v>
      </c>
      <c r="E285" s="6"/>
      <c r="F285" s="6" t="n">
        <v>7821004404</v>
      </c>
      <c r="G285" s="6"/>
      <c r="H285" s="6" t="n">
        <v>7330307950</v>
      </c>
      <c r="I285" s="6"/>
      <c r="J285" s="6" t="n">
        <v>15756884474</v>
      </c>
    </row>
  </sheetData>
  <mergeCells count="4">
    <mergeCell ref="C1:D1"/>
    <mergeCell ref="E1:F1"/>
    <mergeCell ref="G1:H1"/>
    <mergeCell ref="I1:J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H410"/>
  <sheetViews>
    <sheetView showFormulas="false" showGridLines="true" showRowColHeaders="true" showZeros="true" rightToLeft="false" tabSelected="false" showOutlineSymbols="true" defaultGridColor="true" view="normal" topLeftCell="A393" colorId="64" zoomScale="100" zoomScaleNormal="100" zoomScalePageLayoutView="100" workbookViewId="0">
      <selection pane="topLeft" activeCell="D407" activeCellId="0" sqref="D407"/>
    </sheetView>
  </sheetViews>
  <sheetFormatPr defaultColWidth="9.1484375" defaultRowHeight="15" customHeight="false" zeroHeight="false" outlineLevelRow="0" outlineLevelCol="0"/>
  <cols>
    <col collapsed="false" customWidth="true" hidden="false" outlineLevel="0" max="1" min="1" style="13" width="13.29"/>
    <col collapsed="false" customWidth="true" hidden="false" outlineLevel="0" max="2" min="2" style="14" width="41.86"/>
    <col collapsed="false" customWidth="true" hidden="false" outlineLevel="0" max="3" min="3" style="13" width="8.57"/>
    <col collapsed="false" customWidth="false" hidden="false" outlineLevel="0" max="4" min="4" style="14" width="9.14"/>
    <col collapsed="false" customWidth="true" hidden="false" outlineLevel="0" max="5" min="5" style="14" width="10"/>
    <col collapsed="false" customWidth="true" hidden="false" outlineLevel="0" max="6" min="6" style="15" width="17.29"/>
    <col collapsed="false" customWidth="false" hidden="false" outlineLevel="0" max="252" min="7" style="14" width="9.14"/>
    <col collapsed="false" customWidth="true" hidden="false" outlineLevel="0" max="253" min="253" style="14" width="13.29"/>
    <col collapsed="false" customWidth="true" hidden="false" outlineLevel="0" max="254" min="254" style="14" width="41.86"/>
    <col collapsed="false" customWidth="true" hidden="false" outlineLevel="0" max="255" min="255" style="14" width="8.57"/>
    <col collapsed="false" customWidth="false" hidden="false" outlineLevel="0" max="256" min="256" style="14" width="9.14"/>
    <col collapsed="false" customWidth="true" hidden="false" outlineLevel="0" max="257" min="257" style="14" width="10"/>
    <col collapsed="false" customWidth="true" hidden="false" outlineLevel="0" max="258" min="258" style="14" width="10.14"/>
    <col collapsed="false" customWidth="true" hidden="false" outlineLevel="0" max="259" min="259" style="14" width="17.29"/>
    <col collapsed="false" customWidth="true" hidden="false" outlineLevel="0" max="261" min="260" style="14" width="14.57"/>
    <col collapsed="false" customWidth="false" hidden="false" outlineLevel="0" max="508" min="262" style="14" width="9.14"/>
    <col collapsed="false" customWidth="true" hidden="false" outlineLevel="0" max="509" min="509" style="14" width="13.29"/>
    <col collapsed="false" customWidth="true" hidden="false" outlineLevel="0" max="510" min="510" style="14" width="41.86"/>
    <col collapsed="false" customWidth="true" hidden="false" outlineLevel="0" max="511" min="511" style="14" width="8.57"/>
    <col collapsed="false" customWidth="false" hidden="false" outlineLevel="0" max="512" min="512" style="14" width="9.14"/>
    <col collapsed="false" customWidth="true" hidden="false" outlineLevel="0" max="513" min="513" style="14" width="10"/>
    <col collapsed="false" customWidth="true" hidden="false" outlineLevel="0" max="514" min="514" style="14" width="10.14"/>
    <col collapsed="false" customWidth="true" hidden="false" outlineLevel="0" max="515" min="515" style="14" width="17.29"/>
    <col collapsed="false" customWidth="true" hidden="false" outlineLevel="0" max="517" min="516" style="14" width="14.57"/>
    <col collapsed="false" customWidth="false" hidden="false" outlineLevel="0" max="764" min="518" style="14" width="9.14"/>
    <col collapsed="false" customWidth="true" hidden="false" outlineLevel="0" max="765" min="765" style="14" width="13.29"/>
    <col collapsed="false" customWidth="true" hidden="false" outlineLevel="0" max="766" min="766" style="14" width="41.86"/>
    <col collapsed="false" customWidth="true" hidden="false" outlineLevel="0" max="767" min="767" style="14" width="8.57"/>
    <col collapsed="false" customWidth="false" hidden="false" outlineLevel="0" max="768" min="768" style="14" width="9.14"/>
    <col collapsed="false" customWidth="true" hidden="false" outlineLevel="0" max="769" min="769" style="14" width="10"/>
    <col collapsed="false" customWidth="true" hidden="false" outlineLevel="0" max="770" min="770" style="14" width="10.14"/>
    <col collapsed="false" customWidth="true" hidden="false" outlineLevel="0" max="771" min="771" style="14" width="17.29"/>
    <col collapsed="false" customWidth="true" hidden="false" outlineLevel="0" max="773" min="772" style="14" width="14.57"/>
    <col collapsed="false" customWidth="false" hidden="false" outlineLevel="0" max="1020" min="774" style="14" width="9.14"/>
    <col collapsed="false" customWidth="true" hidden="false" outlineLevel="0" max="1021" min="1021" style="14" width="13.29"/>
    <col collapsed="false" customWidth="true" hidden="false" outlineLevel="0" max="1022" min="1022" style="14" width="41.86"/>
    <col collapsed="false" customWidth="true" hidden="false" outlineLevel="0" max="1023" min="1023" style="14" width="8.57"/>
    <col collapsed="false" customWidth="false" hidden="false" outlineLevel="0" max="1024" min="1024" style="14" width="9.14"/>
    <col collapsed="false" customWidth="true" hidden="false" outlineLevel="0" max="1025" min="1025" style="14" width="10"/>
    <col collapsed="false" customWidth="true" hidden="false" outlineLevel="0" max="1026" min="1026" style="14" width="10.14"/>
    <col collapsed="false" customWidth="true" hidden="false" outlineLevel="0" max="1027" min="1027" style="14" width="17.29"/>
    <col collapsed="false" customWidth="true" hidden="false" outlineLevel="0" max="1029" min="1028" style="14" width="14.57"/>
    <col collapsed="false" customWidth="false" hidden="false" outlineLevel="0" max="1276" min="1030" style="14" width="9.14"/>
    <col collapsed="false" customWidth="true" hidden="false" outlineLevel="0" max="1277" min="1277" style="14" width="13.29"/>
    <col collapsed="false" customWidth="true" hidden="false" outlineLevel="0" max="1278" min="1278" style="14" width="41.86"/>
    <col collapsed="false" customWidth="true" hidden="false" outlineLevel="0" max="1279" min="1279" style="14" width="8.57"/>
    <col collapsed="false" customWidth="false" hidden="false" outlineLevel="0" max="1280" min="1280" style="14" width="9.14"/>
    <col collapsed="false" customWidth="true" hidden="false" outlineLevel="0" max="1281" min="1281" style="14" width="10"/>
    <col collapsed="false" customWidth="true" hidden="false" outlineLevel="0" max="1282" min="1282" style="14" width="10.14"/>
    <col collapsed="false" customWidth="true" hidden="false" outlineLevel="0" max="1283" min="1283" style="14" width="17.29"/>
    <col collapsed="false" customWidth="true" hidden="false" outlineLevel="0" max="1285" min="1284" style="14" width="14.57"/>
    <col collapsed="false" customWidth="false" hidden="false" outlineLevel="0" max="1532" min="1286" style="14" width="9.14"/>
    <col collapsed="false" customWidth="true" hidden="false" outlineLevel="0" max="1533" min="1533" style="14" width="13.29"/>
    <col collapsed="false" customWidth="true" hidden="false" outlineLevel="0" max="1534" min="1534" style="14" width="41.86"/>
    <col collapsed="false" customWidth="true" hidden="false" outlineLevel="0" max="1535" min="1535" style="14" width="8.57"/>
    <col collapsed="false" customWidth="false" hidden="false" outlineLevel="0" max="1536" min="1536" style="14" width="9.14"/>
    <col collapsed="false" customWidth="true" hidden="false" outlineLevel="0" max="1537" min="1537" style="14" width="10"/>
    <col collapsed="false" customWidth="true" hidden="false" outlineLevel="0" max="1538" min="1538" style="14" width="10.14"/>
    <col collapsed="false" customWidth="true" hidden="false" outlineLevel="0" max="1539" min="1539" style="14" width="17.29"/>
    <col collapsed="false" customWidth="true" hidden="false" outlineLevel="0" max="1541" min="1540" style="14" width="14.57"/>
    <col collapsed="false" customWidth="false" hidden="false" outlineLevel="0" max="1788" min="1542" style="14" width="9.14"/>
    <col collapsed="false" customWidth="true" hidden="false" outlineLevel="0" max="1789" min="1789" style="14" width="13.29"/>
    <col collapsed="false" customWidth="true" hidden="false" outlineLevel="0" max="1790" min="1790" style="14" width="41.86"/>
    <col collapsed="false" customWidth="true" hidden="false" outlineLevel="0" max="1791" min="1791" style="14" width="8.57"/>
    <col collapsed="false" customWidth="false" hidden="false" outlineLevel="0" max="1792" min="1792" style="14" width="9.14"/>
    <col collapsed="false" customWidth="true" hidden="false" outlineLevel="0" max="1793" min="1793" style="14" width="10"/>
    <col collapsed="false" customWidth="true" hidden="false" outlineLevel="0" max="1794" min="1794" style="14" width="10.14"/>
    <col collapsed="false" customWidth="true" hidden="false" outlineLevel="0" max="1795" min="1795" style="14" width="17.29"/>
    <col collapsed="false" customWidth="true" hidden="false" outlineLevel="0" max="1797" min="1796" style="14" width="14.57"/>
    <col collapsed="false" customWidth="false" hidden="false" outlineLevel="0" max="2044" min="1798" style="14" width="9.14"/>
    <col collapsed="false" customWidth="true" hidden="false" outlineLevel="0" max="2045" min="2045" style="14" width="13.29"/>
    <col collapsed="false" customWidth="true" hidden="false" outlineLevel="0" max="2046" min="2046" style="14" width="41.86"/>
    <col collapsed="false" customWidth="true" hidden="false" outlineLevel="0" max="2047" min="2047" style="14" width="8.57"/>
    <col collapsed="false" customWidth="false" hidden="false" outlineLevel="0" max="2048" min="2048" style="14" width="9.14"/>
    <col collapsed="false" customWidth="true" hidden="false" outlineLevel="0" max="2049" min="2049" style="14" width="10"/>
    <col collapsed="false" customWidth="true" hidden="false" outlineLevel="0" max="2050" min="2050" style="14" width="10.14"/>
    <col collapsed="false" customWidth="true" hidden="false" outlineLevel="0" max="2051" min="2051" style="14" width="17.29"/>
    <col collapsed="false" customWidth="true" hidden="false" outlineLevel="0" max="2053" min="2052" style="14" width="14.57"/>
    <col collapsed="false" customWidth="false" hidden="false" outlineLevel="0" max="2300" min="2054" style="14" width="9.14"/>
    <col collapsed="false" customWidth="true" hidden="false" outlineLevel="0" max="2301" min="2301" style="14" width="13.29"/>
    <col collapsed="false" customWidth="true" hidden="false" outlineLevel="0" max="2302" min="2302" style="14" width="41.86"/>
    <col collapsed="false" customWidth="true" hidden="false" outlineLevel="0" max="2303" min="2303" style="14" width="8.57"/>
    <col collapsed="false" customWidth="false" hidden="false" outlineLevel="0" max="2304" min="2304" style="14" width="9.14"/>
    <col collapsed="false" customWidth="true" hidden="false" outlineLevel="0" max="2305" min="2305" style="14" width="10"/>
    <col collapsed="false" customWidth="true" hidden="false" outlineLevel="0" max="2306" min="2306" style="14" width="10.14"/>
    <col collapsed="false" customWidth="true" hidden="false" outlineLevel="0" max="2307" min="2307" style="14" width="17.29"/>
    <col collapsed="false" customWidth="true" hidden="false" outlineLevel="0" max="2309" min="2308" style="14" width="14.57"/>
    <col collapsed="false" customWidth="false" hidden="false" outlineLevel="0" max="2556" min="2310" style="14" width="9.14"/>
    <col collapsed="false" customWidth="true" hidden="false" outlineLevel="0" max="2557" min="2557" style="14" width="13.29"/>
    <col collapsed="false" customWidth="true" hidden="false" outlineLevel="0" max="2558" min="2558" style="14" width="41.86"/>
    <col collapsed="false" customWidth="true" hidden="false" outlineLevel="0" max="2559" min="2559" style="14" width="8.57"/>
    <col collapsed="false" customWidth="false" hidden="false" outlineLevel="0" max="2560" min="2560" style="14" width="9.14"/>
    <col collapsed="false" customWidth="true" hidden="false" outlineLevel="0" max="2561" min="2561" style="14" width="10"/>
    <col collapsed="false" customWidth="true" hidden="false" outlineLevel="0" max="2562" min="2562" style="14" width="10.14"/>
    <col collapsed="false" customWidth="true" hidden="false" outlineLevel="0" max="2563" min="2563" style="14" width="17.29"/>
    <col collapsed="false" customWidth="true" hidden="false" outlineLevel="0" max="2565" min="2564" style="14" width="14.57"/>
    <col collapsed="false" customWidth="false" hidden="false" outlineLevel="0" max="2812" min="2566" style="14" width="9.14"/>
    <col collapsed="false" customWidth="true" hidden="false" outlineLevel="0" max="2813" min="2813" style="14" width="13.29"/>
    <col collapsed="false" customWidth="true" hidden="false" outlineLevel="0" max="2814" min="2814" style="14" width="41.86"/>
    <col collapsed="false" customWidth="true" hidden="false" outlineLevel="0" max="2815" min="2815" style="14" width="8.57"/>
    <col collapsed="false" customWidth="false" hidden="false" outlineLevel="0" max="2816" min="2816" style="14" width="9.14"/>
    <col collapsed="false" customWidth="true" hidden="false" outlineLevel="0" max="2817" min="2817" style="14" width="10"/>
    <col collapsed="false" customWidth="true" hidden="false" outlineLevel="0" max="2818" min="2818" style="14" width="10.14"/>
    <col collapsed="false" customWidth="true" hidden="false" outlineLevel="0" max="2819" min="2819" style="14" width="17.29"/>
    <col collapsed="false" customWidth="true" hidden="false" outlineLevel="0" max="2821" min="2820" style="14" width="14.57"/>
    <col collapsed="false" customWidth="false" hidden="false" outlineLevel="0" max="3068" min="2822" style="14" width="9.14"/>
    <col collapsed="false" customWidth="true" hidden="false" outlineLevel="0" max="3069" min="3069" style="14" width="13.29"/>
    <col collapsed="false" customWidth="true" hidden="false" outlineLevel="0" max="3070" min="3070" style="14" width="41.86"/>
    <col collapsed="false" customWidth="true" hidden="false" outlineLevel="0" max="3071" min="3071" style="14" width="8.57"/>
    <col collapsed="false" customWidth="false" hidden="false" outlineLevel="0" max="3072" min="3072" style="14" width="9.14"/>
    <col collapsed="false" customWidth="true" hidden="false" outlineLevel="0" max="3073" min="3073" style="14" width="10"/>
    <col collapsed="false" customWidth="true" hidden="false" outlineLevel="0" max="3074" min="3074" style="14" width="10.14"/>
    <col collapsed="false" customWidth="true" hidden="false" outlineLevel="0" max="3075" min="3075" style="14" width="17.29"/>
    <col collapsed="false" customWidth="true" hidden="false" outlineLevel="0" max="3077" min="3076" style="14" width="14.57"/>
    <col collapsed="false" customWidth="false" hidden="false" outlineLevel="0" max="3324" min="3078" style="14" width="9.14"/>
    <col collapsed="false" customWidth="true" hidden="false" outlineLevel="0" max="3325" min="3325" style="14" width="13.29"/>
    <col collapsed="false" customWidth="true" hidden="false" outlineLevel="0" max="3326" min="3326" style="14" width="41.86"/>
    <col collapsed="false" customWidth="true" hidden="false" outlineLevel="0" max="3327" min="3327" style="14" width="8.57"/>
    <col collapsed="false" customWidth="false" hidden="false" outlineLevel="0" max="3328" min="3328" style="14" width="9.14"/>
    <col collapsed="false" customWidth="true" hidden="false" outlineLevel="0" max="3329" min="3329" style="14" width="10"/>
    <col collapsed="false" customWidth="true" hidden="false" outlineLevel="0" max="3330" min="3330" style="14" width="10.14"/>
    <col collapsed="false" customWidth="true" hidden="false" outlineLevel="0" max="3331" min="3331" style="14" width="17.29"/>
    <col collapsed="false" customWidth="true" hidden="false" outlineLevel="0" max="3333" min="3332" style="14" width="14.57"/>
    <col collapsed="false" customWidth="false" hidden="false" outlineLevel="0" max="3580" min="3334" style="14" width="9.14"/>
    <col collapsed="false" customWidth="true" hidden="false" outlineLevel="0" max="3581" min="3581" style="14" width="13.29"/>
    <col collapsed="false" customWidth="true" hidden="false" outlineLevel="0" max="3582" min="3582" style="14" width="41.86"/>
    <col collapsed="false" customWidth="true" hidden="false" outlineLevel="0" max="3583" min="3583" style="14" width="8.57"/>
    <col collapsed="false" customWidth="false" hidden="false" outlineLevel="0" max="3584" min="3584" style="14" width="9.14"/>
    <col collapsed="false" customWidth="true" hidden="false" outlineLevel="0" max="3585" min="3585" style="14" width="10"/>
    <col collapsed="false" customWidth="true" hidden="false" outlineLevel="0" max="3586" min="3586" style="14" width="10.14"/>
    <col collapsed="false" customWidth="true" hidden="false" outlineLevel="0" max="3587" min="3587" style="14" width="17.29"/>
    <col collapsed="false" customWidth="true" hidden="false" outlineLevel="0" max="3589" min="3588" style="14" width="14.57"/>
    <col collapsed="false" customWidth="false" hidden="false" outlineLevel="0" max="3836" min="3590" style="14" width="9.14"/>
    <col collapsed="false" customWidth="true" hidden="false" outlineLevel="0" max="3837" min="3837" style="14" width="13.29"/>
    <col collapsed="false" customWidth="true" hidden="false" outlineLevel="0" max="3838" min="3838" style="14" width="41.86"/>
    <col collapsed="false" customWidth="true" hidden="false" outlineLevel="0" max="3839" min="3839" style="14" width="8.57"/>
    <col collapsed="false" customWidth="false" hidden="false" outlineLevel="0" max="3840" min="3840" style="14" width="9.14"/>
    <col collapsed="false" customWidth="true" hidden="false" outlineLevel="0" max="3841" min="3841" style="14" width="10"/>
    <col collapsed="false" customWidth="true" hidden="false" outlineLevel="0" max="3842" min="3842" style="14" width="10.14"/>
    <col collapsed="false" customWidth="true" hidden="false" outlineLevel="0" max="3843" min="3843" style="14" width="17.29"/>
    <col collapsed="false" customWidth="true" hidden="false" outlineLevel="0" max="3845" min="3844" style="14" width="14.57"/>
    <col collapsed="false" customWidth="false" hidden="false" outlineLevel="0" max="4092" min="3846" style="14" width="9.14"/>
    <col collapsed="false" customWidth="true" hidden="false" outlineLevel="0" max="4093" min="4093" style="14" width="13.29"/>
    <col collapsed="false" customWidth="true" hidden="false" outlineLevel="0" max="4094" min="4094" style="14" width="41.86"/>
    <col collapsed="false" customWidth="true" hidden="false" outlineLevel="0" max="4095" min="4095" style="14" width="8.57"/>
    <col collapsed="false" customWidth="false" hidden="false" outlineLevel="0" max="4096" min="4096" style="14" width="9.14"/>
    <col collapsed="false" customWidth="true" hidden="false" outlineLevel="0" max="4097" min="4097" style="14" width="10"/>
    <col collapsed="false" customWidth="true" hidden="false" outlineLevel="0" max="4098" min="4098" style="14" width="10.14"/>
    <col collapsed="false" customWidth="true" hidden="false" outlineLevel="0" max="4099" min="4099" style="14" width="17.29"/>
    <col collapsed="false" customWidth="true" hidden="false" outlineLevel="0" max="4101" min="4100" style="14" width="14.57"/>
    <col collapsed="false" customWidth="false" hidden="false" outlineLevel="0" max="4348" min="4102" style="14" width="9.14"/>
    <col collapsed="false" customWidth="true" hidden="false" outlineLevel="0" max="4349" min="4349" style="14" width="13.29"/>
    <col collapsed="false" customWidth="true" hidden="false" outlineLevel="0" max="4350" min="4350" style="14" width="41.86"/>
    <col collapsed="false" customWidth="true" hidden="false" outlineLevel="0" max="4351" min="4351" style="14" width="8.57"/>
    <col collapsed="false" customWidth="false" hidden="false" outlineLevel="0" max="4352" min="4352" style="14" width="9.14"/>
    <col collapsed="false" customWidth="true" hidden="false" outlineLevel="0" max="4353" min="4353" style="14" width="10"/>
    <col collapsed="false" customWidth="true" hidden="false" outlineLevel="0" max="4354" min="4354" style="14" width="10.14"/>
    <col collapsed="false" customWidth="true" hidden="false" outlineLevel="0" max="4355" min="4355" style="14" width="17.29"/>
    <col collapsed="false" customWidth="true" hidden="false" outlineLevel="0" max="4357" min="4356" style="14" width="14.57"/>
    <col collapsed="false" customWidth="false" hidden="false" outlineLevel="0" max="4604" min="4358" style="14" width="9.14"/>
    <col collapsed="false" customWidth="true" hidden="false" outlineLevel="0" max="4605" min="4605" style="14" width="13.29"/>
    <col collapsed="false" customWidth="true" hidden="false" outlineLevel="0" max="4606" min="4606" style="14" width="41.86"/>
    <col collapsed="false" customWidth="true" hidden="false" outlineLevel="0" max="4607" min="4607" style="14" width="8.57"/>
    <col collapsed="false" customWidth="false" hidden="false" outlineLevel="0" max="4608" min="4608" style="14" width="9.14"/>
    <col collapsed="false" customWidth="true" hidden="false" outlineLevel="0" max="4609" min="4609" style="14" width="10"/>
    <col collapsed="false" customWidth="true" hidden="false" outlineLevel="0" max="4610" min="4610" style="14" width="10.14"/>
    <col collapsed="false" customWidth="true" hidden="false" outlineLevel="0" max="4611" min="4611" style="14" width="17.29"/>
    <col collapsed="false" customWidth="true" hidden="false" outlineLevel="0" max="4613" min="4612" style="14" width="14.57"/>
    <col collapsed="false" customWidth="false" hidden="false" outlineLevel="0" max="4860" min="4614" style="14" width="9.14"/>
    <col collapsed="false" customWidth="true" hidden="false" outlineLevel="0" max="4861" min="4861" style="14" width="13.29"/>
    <col collapsed="false" customWidth="true" hidden="false" outlineLevel="0" max="4862" min="4862" style="14" width="41.86"/>
    <col collapsed="false" customWidth="true" hidden="false" outlineLevel="0" max="4863" min="4863" style="14" width="8.57"/>
    <col collapsed="false" customWidth="false" hidden="false" outlineLevel="0" max="4864" min="4864" style="14" width="9.14"/>
    <col collapsed="false" customWidth="true" hidden="false" outlineLevel="0" max="4865" min="4865" style="14" width="10"/>
    <col collapsed="false" customWidth="true" hidden="false" outlineLevel="0" max="4866" min="4866" style="14" width="10.14"/>
    <col collapsed="false" customWidth="true" hidden="false" outlineLevel="0" max="4867" min="4867" style="14" width="17.29"/>
    <col collapsed="false" customWidth="true" hidden="false" outlineLevel="0" max="4869" min="4868" style="14" width="14.57"/>
    <col collapsed="false" customWidth="false" hidden="false" outlineLevel="0" max="5116" min="4870" style="14" width="9.14"/>
    <col collapsed="false" customWidth="true" hidden="false" outlineLevel="0" max="5117" min="5117" style="14" width="13.29"/>
    <col collapsed="false" customWidth="true" hidden="false" outlineLevel="0" max="5118" min="5118" style="14" width="41.86"/>
    <col collapsed="false" customWidth="true" hidden="false" outlineLevel="0" max="5119" min="5119" style="14" width="8.57"/>
    <col collapsed="false" customWidth="false" hidden="false" outlineLevel="0" max="5120" min="5120" style="14" width="9.14"/>
    <col collapsed="false" customWidth="true" hidden="false" outlineLevel="0" max="5121" min="5121" style="14" width="10"/>
    <col collapsed="false" customWidth="true" hidden="false" outlineLevel="0" max="5122" min="5122" style="14" width="10.14"/>
    <col collapsed="false" customWidth="true" hidden="false" outlineLevel="0" max="5123" min="5123" style="14" width="17.29"/>
    <col collapsed="false" customWidth="true" hidden="false" outlineLevel="0" max="5125" min="5124" style="14" width="14.57"/>
    <col collapsed="false" customWidth="false" hidden="false" outlineLevel="0" max="5372" min="5126" style="14" width="9.14"/>
    <col collapsed="false" customWidth="true" hidden="false" outlineLevel="0" max="5373" min="5373" style="14" width="13.29"/>
    <col collapsed="false" customWidth="true" hidden="false" outlineLevel="0" max="5374" min="5374" style="14" width="41.86"/>
    <col collapsed="false" customWidth="true" hidden="false" outlineLevel="0" max="5375" min="5375" style="14" width="8.57"/>
    <col collapsed="false" customWidth="false" hidden="false" outlineLevel="0" max="5376" min="5376" style="14" width="9.14"/>
    <col collapsed="false" customWidth="true" hidden="false" outlineLevel="0" max="5377" min="5377" style="14" width="10"/>
    <col collapsed="false" customWidth="true" hidden="false" outlineLevel="0" max="5378" min="5378" style="14" width="10.14"/>
    <col collapsed="false" customWidth="true" hidden="false" outlineLevel="0" max="5379" min="5379" style="14" width="17.29"/>
    <col collapsed="false" customWidth="true" hidden="false" outlineLevel="0" max="5381" min="5380" style="14" width="14.57"/>
    <col collapsed="false" customWidth="false" hidden="false" outlineLevel="0" max="5628" min="5382" style="14" width="9.14"/>
    <col collapsed="false" customWidth="true" hidden="false" outlineLevel="0" max="5629" min="5629" style="14" width="13.29"/>
    <col collapsed="false" customWidth="true" hidden="false" outlineLevel="0" max="5630" min="5630" style="14" width="41.86"/>
    <col collapsed="false" customWidth="true" hidden="false" outlineLevel="0" max="5631" min="5631" style="14" width="8.57"/>
    <col collapsed="false" customWidth="false" hidden="false" outlineLevel="0" max="5632" min="5632" style="14" width="9.14"/>
    <col collapsed="false" customWidth="true" hidden="false" outlineLevel="0" max="5633" min="5633" style="14" width="10"/>
    <col collapsed="false" customWidth="true" hidden="false" outlineLevel="0" max="5634" min="5634" style="14" width="10.14"/>
    <col collapsed="false" customWidth="true" hidden="false" outlineLevel="0" max="5635" min="5635" style="14" width="17.29"/>
    <col collapsed="false" customWidth="true" hidden="false" outlineLevel="0" max="5637" min="5636" style="14" width="14.57"/>
    <col collapsed="false" customWidth="false" hidden="false" outlineLevel="0" max="5884" min="5638" style="14" width="9.14"/>
    <col collapsed="false" customWidth="true" hidden="false" outlineLevel="0" max="5885" min="5885" style="14" width="13.29"/>
    <col collapsed="false" customWidth="true" hidden="false" outlineLevel="0" max="5886" min="5886" style="14" width="41.86"/>
    <col collapsed="false" customWidth="true" hidden="false" outlineLevel="0" max="5887" min="5887" style="14" width="8.57"/>
    <col collapsed="false" customWidth="false" hidden="false" outlineLevel="0" max="5888" min="5888" style="14" width="9.14"/>
    <col collapsed="false" customWidth="true" hidden="false" outlineLevel="0" max="5889" min="5889" style="14" width="10"/>
    <col collapsed="false" customWidth="true" hidden="false" outlineLevel="0" max="5890" min="5890" style="14" width="10.14"/>
    <col collapsed="false" customWidth="true" hidden="false" outlineLevel="0" max="5891" min="5891" style="14" width="17.29"/>
    <col collapsed="false" customWidth="true" hidden="false" outlineLevel="0" max="5893" min="5892" style="14" width="14.57"/>
    <col collapsed="false" customWidth="false" hidden="false" outlineLevel="0" max="6140" min="5894" style="14" width="9.14"/>
    <col collapsed="false" customWidth="true" hidden="false" outlineLevel="0" max="6141" min="6141" style="14" width="13.29"/>
    <col collapsed="false" customWidth="true" hidden="false" outlineLevel="0" max="6142" min="6142" style="14" width="41.86"/>
    <col collapsed="false" customWidth="true" hidden="false" outlineLevel="0" max="6143" min="6143" style="14" width="8.57"/>
    <col collapsed="false" customWidth="false" hidden="false" outlineLevel="0" max="6144" min="6144" style="14" width="9.14"/>
    <col collapsed="false" customWidth="true" hidden="false" outlineLevel="0" max="6145" min="6145" style="14" width="10"/>
    <col collapsed="false" customWidth="true" hidden="false" outlineLevel="0" max="6146" min="6146" style="14" width="10.14"/>
    <col collapsed="false" customWidth="true" hidden="false" outlineLevel="0" max="6147" min="6147" style="14" width="17.29"/>
    <col collapsed="false" customWidth="true" hidden="false" outlineLevel="0" max="6149" min="6148" style="14" width="14.57"/>
    <col collapsed="false" customWidth="false" hidden="false" outlineLevel="0" max="6396" min="6150" style="14" width="9.14"/>
    <col collapsed="false" customWidth="true" hidden="false" outlineLevel="0" max="6397" min="6397" style="14" width="13.29"/>
    <col collapsed="false" customWidth="true" hidden="false" outlineLevel="0" max="6398" min="6398" style="14" width="41.86"/>
    <col collapsed="false" customWidth="true" hidden="false" outlineLevel="0" max="6399" min="6399" style="14" width="8.57"/>
    <col collapsed="false" customWidth="false" hidden="false" outlineLevel="0" max="6400" min="6400" style="14" width="9.14"/>
    <col collapsed="false" customWidth="true" hidden="false" outlineLevel="0" max="6401" min="6401" style="14" width="10"/>
    <col collapsed="false" customWidth="true" hidden="false" outlineLevel="0" max="6402" min="6402" style="14" width="10.14"/>
    <col collapsed="false" customWidth="true" hidden="false" outlineLevel="0" max="6403" min="6403" style="14" width="17.29"/>
    <col collapsed="false" customWidth="true" hidden="false" outlineLevel="0" max="6405" min="6404" style="14" width="14.57"/>
    <col collapsed="false" customWidth="false" hidden="false" outlineLevel="0" max="6652" min="6406" style="14" width="9.14"/>
    <col collapsed="false" customWidth="true" hidden="false" outlineLevel="0" max="6653" min="6653" style="14" width="13.29"/>
    <col collapsed="false" customWidth="true" hidden="false" outlineLevel="0" max="6654" min="6654" style="14" width="41.86"/>
    <col collapsed="false" customWidth="true" hidden="false" outlineLevel="0" max="6655" min="6655" style="14" width="8.57"/>
    <col collapsed="false" customWidth="false" hidden="false" outlineLevel="0" max="6656" min="6656" style="14" width="9.14"/>
    <col collapsed="false" customWidth="true" hidden="false" outlineLevel="0" max="6657" min="6657" style="14" width="10"/>
    <col collapsed="false" customWidth="true" hidden="false" outlineLevel="0" max="6658" min="6658" style="14" width="10.14"/>
    <col collapsed="false" customWidth="true" hidden="false" outlineLevel="0" max="6659" min="6659" style="14" width="17.29"/>
    <col collapsed="false" customWidth="true" hidden="false" outlineLevel="0" max="6661" min="6660" style="14" width="14.57"/>
    <col collapsed="false" customWidth="false" hidden="false" outlineLevel="0" max="6908" min="6662" style="14" width="9.14"/>
    <col collapsed="false" customWidth="true" hidden="false" outlineLevel="0" max="6909" min="6909" style="14" width="13.29"/>
    <col collapsed="false" customWidth="true" hidden="false" outlineLevel="0" max="6910" min="6910" style="14" width="41.86"/>
    <col collapsed="false" customWidth="true" hidden="false" outlineLevel="0" max="6911" min="6911" style="14" width="8.57"/>
    <col collapsed="false" customWidth="false" hidden="false" outlineLevel="0" max="6912" min="6912" style="14" width="9.14"/>
    <col collapsed="false" customWidth="true" hidden="false" outlineLevel="0" max="6913" min="6913" style="14" width="10"/>
    <col collapsed="false" customWidth="true" hidden="false" outlineLevel="0" max="6914" min="6914" style="14" width="10.14"/>
    <col collapsed="false" customWidth="true" hidden="false" outlineLevel="0" max="6915" min="6915" style="14" width="17.29"/>
    <col collapsed="false" customWidth="true" hidden="false" outlineLevel="0" max="6917" min="6916" style="14" width="14.57"/>
    <col collapsed="false" customWidth="false" hidden="false" outlineLevel="0" max="7164" min="6918" style="14" width="9.14"/>
    <col collapsed="false" customWidth="true" hidden="false" outlineLevel="0" max="7165" min="7165" style="14" width="13.29"/>
    <col collapsed="false" customWidth="true" hidden="false" outlineLevel="0" max="7166" min="7166" style="14" width="41.86"/>
    <col collapsed="false" customWidth="true" hidden="false" outlineLevel="0" max="7167" min="7167" style="14" width="8.57"/>
    <col collapsed="false" customWidth="false" hidden="false" outlineLevel="0" max="7168" min="7168" style="14" width="9.14"/>
    <col collapsed="false" customWidth="true" hidden="false" outlineLevel="0" max="7169" min="7169" style="14" width="10"/>
    <col collapsed="false" customWidth="true" hidden="false" outlineLevel="0" max="7170" min="7170" style="14" width="10.14"/>
    <col collapsed="false" customWidth="true" hidden="false" outlineLevel="0" max="7171" min="7171" style="14" width="17.29"/>
    <col collapsed="false" customWidth="true" hidden="false" outlineLevel="0" max="7173" min="7172" style="14" width="14.57"/>
    <col collapsed="false" customWidth="false" hidden="false" outlineLevel="0" max="7420" min="7174" style="14" width="9.14"/>
    <col collapsed="false" customWidth="true" hidden="false" outlineLevel="0" max="7421" min="7421" style="14" width="13.29"/>
    <col collapsed="false" customWidth="true" hidden="false" outlineLevel="0" max="7422" min="7422" style="14" width="41.86"/>
    <col collapsed="false" customWidth="true" hidden="false" outlineLevel="0" max="7423" min="7423" style="14" width="8.57"/>
    <col collapsed="false" customWidth="false" hidden="false" outlineLevel="0" max="7424" min="7424" style="14" width="9.14"/>
    <col collapsed="false" customWidth="true" hidden="false" outlineLevel="0" max="7425" min="7425" style="14" width="10"/>
    <col collapsed="false" customWidth="true" hidden="false" outlineLevel="0" max="7426" min="7426" style="14" width="10.14"/>
    <col collapsed="false" customWidth="true" hidden="false" outlineLevel="0" max="7427" min="7427" style="14" width="17.29"/>
    <col collapsed="false" customWidth="true" hidden="false" outlineLevel="0" max="7429" min="7428" style="14" width="14.57"/>
    <col collapsed="false" customWidth="false" hidden="false" outlineLevel="0" max="7676" min="7430" style="14" width="9.14"/>
    <col collapsed="false" customWidth="true" hidden="false" outlineLevel="0" max="7677" min="7677" style="14" width="13.29"/>
    <col collapsed="false" customWidth="true" hidden="false" outlineLevel="0" max="7678" min="7678" style="14" width="41.86"/>
    <col collapsed="false" customWidth="true" hidden="false" outlineLevel="0" max="7679" min="7679" style="14" width="8.57"/>
    <col collapsed="false" customWidth="false" hidden="false" outlineLevel="0" max="7680" min="7680" style="14" width="9.14"/>
    <col collapsed="false" customWidth="true" hidden="false" outlineLevel="0" max="7681" min="7681" style="14" width="10"/>
    <col collapsed="false" customWidth="true" hidden="false" outlineLevel="0" max="7682" min="7682" style="14" width="10.14"/>
    <col collapsed="false" customWidth="true" hidden="false" outlineLevel="0" max="7683" min="7683" style="14" width="17.29"/>
    <col collapsed="false" customWidth="true" hidden="false" outlineLevel="0" max="7685" min="7684" style="14" width="14.57"/>
    <col collapsed="false" customWidth="false" hidden="false" outlineLevel="0" max="7932" min="7686" style="14" width="9.14"/>
    <col collapsed="false" customWidth="true" hidden="false" outlineLevel="0" max="7933" min="7933" style="14" width="13.29"/>
    <col collapsed="false" customWidth="true" hidden="false" outlineLevel="0" max="7934" min="7934" style="14" width="41.86"/>
    <col collapsed="false" customWidth="true" hidden="false" outlineLevel="0" max="7935" min="7935" style="14" width="8.57"/>
    <col collapsed="false" customWidth="false" hidden="false" outlineLevel="0" max="7936" min="7936" style="14" width="9.14"/>
    <col collapsed="false" customWidth="true" hidden="false" outlineLevel="0" max="7937" min="7937" style="14" width="10"/>
    <col collapsed="false" customWidth="true" hidden="false" outlineLevel="0" max="7938" min="7938" style="14" width="10.14"/>
    <col collapsed="false" customWidth="true" hidden="false" outlineLevel="0" max="7939" min="7939" style="14" width="17.29"/>
    <col collapsed="false" customWidth="true" hidden="false" outlineLevel="0" max="7941" min="7940" style="14" width="14.57"/>
    <col collapsed="false" customWidth="false" hidden="false" outlineLevel="0" max="8188" min="7942" style="14" width="9.14"/>
    <col collapsed="false" customWidth="true" hidden="false" outlineLevel="0" max="8189" min="8189" style="14" width="13.29"/>
    <col collapsed="false" customWidth="true" hidden="false" outlineLevel="0" max="8190" min="8190" style="14" width="41.86"/>
    <col collapsed="false" customWidth="true" hidden="false" outlineLevel="0" max="8191" min="8191" style="14" width="8.57"/>
    <col collapsed="false" customWidth="false" hidden="false" outlineLevel="0" max="8192" min="8192" style="14" width="9.14"/>
    <col collapsed="false" customWidth="true" hidden="false" outlineLevel="0" max="8193" min="8193" style="14" width="10"/>
    <col collapsed="false" customWidth="true" hidden="false" outlineLevel="0" max="8194" min="8194" style="14" width="10.14"/>
    <col collapsed="false" customWidth="true" hidden="false" outlineLevel="0" max="8195" min="8195" style="14" width="17.29"/>
    <col collapsed="false" customWidth="true" hidden="false" outlineLevel="0" max="8197" min="8196" style="14" width="14.57"/>
    <col collapsed="false" customWidth="false" hidden="false" outlineLevel="0" max="8444" min="8198" style="14" width="9.14"/>
    <col collapsed="false" customWidth="true" hidden="false" outlineLevel="0" max="8445" min="8445" style="14" width="13.29"/>
    <col collapsed="false" customWidth="true" hidden="false" outlineLevel="0" max="8446" min="8446" style="14" width="41.86"/>
    <col collapsed="false" customWidth="true" hidden="false" outlineLevel="0" max="8447" min="8447" style="14" width="8.57"/>
    <col collapsed="false" customWidth="false" hidden="false" outlineLevel="0" max="8448" min="8448" style="14" width="9.14"/>
    <col collapsed="false" customWidth="true" hidden="false" outlineLevel="0" max="8449" min="8449" style="14" width="10"/>
    <col collapsed="false" customWidth="true" hidden="false" outlineLevel="0" max="8450" min="8450" style="14" width="10.14"/>
    <col collapsed="false" customWidth="true" hidden="false" outlineLevel="0" max="8451" min="8451" style="14" width="17.29"/>
    <col collapsed="false" customWidth="true" hidden="false" outlineLevel="0" max="8453" min="8452" style="14" width="14.57"/>
    <col collapsed="false" customWidth="false" hidden="false" outlineLevel="0" max="8700" min="8454" style="14" width="9.14"/>
    <col collapsed="false" customWidth="true" hidden="false" outlineLevel="0" max="8701" min="8701" style="14" width="13.29"/>
    <col collapsed="false" customWidth="true" hidden="false" outlineLevel="0" max="8702" min="8702" style="14" width="41.86"/>
    <col collapsed="false" customWidth="true" hidden="false" outlineLevel="0" max="8703" min="8703" style="14" width="8.57"/>
    <col collapsed="false" customWidth="false" hidden="false" outlineLevel="0" max="8704" min="8704" style="14" width="9.14"/>
    <col collapsed="false" customWidth="true" hidden="false" outlineLevel="0" max="8705" min="8705" style="14" width="10"/>
    <col collapsed="false" customWidth="true" hidden="false" outlineLevel="0" max="8706" min="8706" style="14" width="10.14"/>
    <col collapsed="false" customWidth="true" hidden="false" outlineLevel="0" max="8707" min="8707" style="14" width="17.29"/>
    <col collapsed="false" customWidth="true" hidden="false" outlineLevel="0" max="8709" min="8708" style="14" width="14.57"/>
    <col collapsed="false" customWidth="false" hidden="false" outlineLevel="0" max="8956" min="8710" style="14" width="9.14"/>
    <col collapsed="false" customWidth="true" hidden="false" outlineLevel="0" max="8957" min="8957" style="14" width="13.29"/>
    <col collapsed="false" customWidth="true" hidden="false" outlineLevel="0" max="8958" min="8958" style="14" width="41.86"/>
    <col collapsed="false" customWidth="true" hidden="false" outlineLevel="0" max="8959" min="8959" style="14" width="8.57"/>
    <col collapsed="false" customWidth="false" hidden="false" outlineLevel="0" max="8960" min="8960" style="14" width="9.14"/>
    <col collapsed="false" customWidth="true" hidden="false" outlineLevel="0" max="8961" min="8961" style="14" width="10"/>
    <col collapsed="false" customWidth="true" hidden="false" outlineLevel="0" max="8962" min="8962" style="14" width="10.14"/>
    <col collapsed="false" customWidth="true" hidden="false" outlineLevel="0" max="8963" min="8963" style="14" width="17.29"/>
    <col collapsed="false" customWidth="true" hidden="false" outlineLevel="0" max="8965" min="8964" style="14" width="14.57"/>
    <col collapsed="false" customWidth="false" hidden="false" outlineLevel="0" max="9212" min="8966" style="14" width="9.14"/>
    <col collapsed="false" customWidth="true" hidden="false" outlineLevel="0" max="9213" min="9213" style="14" width="13.29"/>
    <col collapsed="false" customWidth="true" hidden="false" outlineLevel="0" max="9214" min="9214" style="14" width="41.86"/>
    <col collapsed="false" customWidth="true" hidden="false" outlineLevel="0" max="9215" min="9215" style="14" width="8.57"/>
    <col collapsed="false" customWidth="false" hidden="false" outlineLevel="0" max="9216" min="9216" style="14" width="9.14"/>
    <col collapsed="false" customWidth="true" hidden="false" outlineLevel="0" max="9217" min="9217" style="14" width="10"/>
    <col collapsed="false" customWidth="true" hidden="false" outlineLevel="0" max="9218" min="9218" style="14" width="10.14"/>
    <col collapsed="false" customWidth="true" hidden="false" outlineLevel="0" max="9219" min="9219" style="14" width="17.29"/>
    <col collapsed="false" customWidth="true" hidden="false" outlineLevel="0" max="9221" min="9220" style="14" width="14.57"/>
    <col collapsed="false" customWidth="false" hidden="false" outlineLevel="0" max="9468" min="9222" style="14" width="9.14"/>
    <col collapsed="false" customWidth="true" hidden="false" outlineLevel="0" max="9469" min="9469" style="14" width="13.29"/>
    <col collapsed="false" customWidth="true" hidden="false" outlineLevel="0" max="9470" min="9470" style="14" width="41.86"/>
    <col collapsed="false" customWidth="true" hidden="false" outlineLevel="0" max="9471" min="9471" style="14" width="8.57"/>
    <col collapsed="false" customWidth="false" hidden="false" outlineLevel="0" max="9472" min="9472" style="14" width="9.14"/>
    <col collapsed="false" customWidth="true" hidden="false" outlineLevel="0" max="9473" min="9473" style="14" width="10"/>
    <col collapsed="false" customWidth="true" hidden="false" outlineLevel="0" max="9474" min="9474" style="14" width="10.14"/>
    <col collapsed="false" customWidth="true" hidden="false" outlineLevel="0" max="9475" min="9475" style="14" width="17.29"/>
    <col collapsed="false" customWidth="true" hidden="false" outlineLevel="0" max="9477" min="9476" style="14" width="14.57"/>
    <col collapsed="false" customWidth="false" hidden="false" outlineLevel="0" max="9724" min="9478" style="14" width="9.14"/>
    <col collapsed="false" customWidth="true" hidden="false" outlineLevel="0" max="9725" min="9725" style="14" width="13.29"/>
    <col collapsed="false" customWidth="true" hidden="false" outlineLevel="0" max="9726" min="9726" style="14" width="41.86"/>
    <col collapsed="false" customWidth="true" hidden="false" outlineLevel="0" max="9727" min="9727" style="14" width="8.57"/>
    <col collapsed="false" customWidth="false" hidden="false" outlineLevel="0" max="9728" min="9728" style="14" width="9.14"/>
    <col collapsed="false" customWidth="true" hidden="false" outlineLevel="0" max="9729" min="9729" style="14" width="10"/>
    <col collapsed="false" customWidth="true" hidden="false" outlineLevel="0" max="9730" min="9730" style="14" width="10.14"/>
    <col collapsed="false" customWidth="true" hidden="false" outlineLevel="0" max="9731" min="9731" style="14" width="17.29"/>
    <col collapsed="false" customWidth="true" hidden="false" outlineLevel="0" max="9733" min="9732" style="14" width="14.57"/>
    <col collapsed="false" customWidth="false" hidden="false" outlineLevel="0" max="9980" min="9734" style="14" width="9.14"/>
    <col collapsed="false" customWidth="true" hidden="false" outlineLevel="0" max="9981" min="9981" style="14" width="13.29"/>
    <col collapsed="false" customWidth="true" hidden="false" outlineLevel="0" max="9982" min="9982" style="14" width="41.86"/>
    <col collapsed="false" customWidth="true" hidden="false" outlineLevel="0" max="9983" min="9983" style="14" width="8.57"/>
    <col collapsed="false" customWidth="false" hidden="false" outlineLevel="0" max="9984" min="9984" style="14" width="9.14"/>
    <col collapsed="false" customWidth="true" hidden="false" outlineLevel="0" max="9985" min="9985" style="14" width="10"/>
    <col collapsed="false" customWidth="true" hidden="false" outlineLevel="0" max="9986" min="9986" style="14" width="10.14"/>
    <col collapsed="false" customWidth="true" hidden="false" outlineLevel="0" max="9987" min="9987" style="14" width="17.29"/>
    <col collapsed="false" customWidth="true" hidden="false" outlineLevel="0" max="9989" min="9988" style="14" width="14.57"/>
    <col collapsed="false" customWidth="false" hidden="false" outlineLevel="0" max="10236" min="9990" style="14" width="9.14"/>
    <col collapsed="false" customWidth="true" hidden="false" outlineLevel="0" max="10237" min="10237" style="14" width="13.29"/>
    <col collapsed="false" customWidth="true" hidden="false" outlineLevel="0" max="10238" min="10238" style="14" width="41.86"/>
    <col collapsed="false" customWidth="true" hidden="false" outlineLevel="0" max="10239" min="10239" style="14" width="8.57"/>
    <col collapsed="false" customWidth="false" hidden="false" outlineLevel="0" max="10240" min="10240" style="14" width="9.14"/>
    <col collapsed="false" customWidth="true" hidden="false" outlineLevel="0" max="10241" min="10241" style="14" width="10"/>
    <col collapsed="false" customWidth="true" hidden="false" outlineLevel="0" max="10242" min="10242" style="14" width="10.14"/>
    <col collapsed="false" customWidth="true" hidden="false" outlineLevel="0" max="10243" min="10243" style="14" width="17.29"/>
    <col collapsed="false" customWidth="true" hidden="false" outlineLevel="0" max="10245" min="10244" style="14" width="14.57"/>
    <col collapsed="false" customWidth="false" hidden="false" outlineLevel="0" max="10492" min="10246" style="14" width="9.14"/>
    <col collapsed="false" customWidth="true" hidden="false" outlineLevel="0" max="10493" min="10493" style="14" width="13.29"/>
    <col collapsed="false" customWidth="true" hidden="false" outlineLevel="0" max="10494" min="10494" style="14" width="41.86"/>
    <col collapsed="false" customWidth="true" hidden="false" outlineLevel="0" max="10495" min="10495" style="14" width="8.57"/>
    <col collapsed="false" customWidth="false" hidden="false" outlineLevel="0" max="10496" min="10496" style="14" width="9.14"/>
    <col collapsed="false" customWidth="true" hidden="false" outlineLevel="0" max="10497" min="10497" style="14" width="10"/>
    <col collapsed="false" customWidth="true" hidden="false" outlineLevel="0" max="10498" min="10498" style="14" width="10.14"/>
    <col collapsed="false" customWidth="true" hidden="false" outlineLevel="0" max="10499" min="10499" style="14" width="17.29"/>
    <col collapsed="false" customWidth="true" hidden="false" outlineLevel="0" max="10501" min="10500" style="14" width="14.57"/>
    <col collapsed="false" customWidth="false" hidden="false" outlineLevel="0" max="10748" min="10502" style="14" width="9.14"/>
    <col collapsed="false" customWidth="true" hidden="false" outlineLevel="0" max="10749" min="10749" style="14" width="13.29"/>
    <col collapsed="false" customWidth="true" hidden="false" outlineLevel="0" max="10750" min="10750" style="14" width="41.86"/>
    <col collapsed="false" customWidth="true" hidden="false" outlineLevel="0" max="10751" min="10751" style="14" width="8.57"/>
    <col collapsed="false" customWidth="false" hidden="false" outlineLevel="0" max="10752" min="10752" style="14" width="9.14"/>
    <col collapsed="false" customWidth="true" hidden="false" outlineLevel="0" max="10753" min="10753" style="14" width="10"/>
    <col collapsed="false" customWidth="true" hidden="false" outlineLevel="0" max="10754" min="10754" style="14" width="10.14"/>
    <col collapsed="false" customWidth="true" hidden="false" outlineLevel="0" max="10755" min="10755" style="14" width="17.29"/>
    <col collapsed="false" customWidth="true" hidden="false" outlineLevel="0" max="10757" min="10756" style="14" width="14.57"/>
    <col collapsed="false" customWidth="false" hidden="false" outlineLevel="0" max="11004" min="10758" style="14" width="9.14"/>
    <col collapsed="false" customWidth="true" hidden="false" outlineLevel="0" max="11005" min="11005" style="14" width="13.29"/>
    <col collapsed="false" customWidth="true" hidden="false" outlineLevel="0" max="11006" min="11006" style="14" width="41.86"/>
    <col collapsed="false" customWidth="true" hidden="false" outlineLevel="0" max="11007" min="11007" style="14" width="8.57"/>
    <col collapsed="false" customWidth="false" hidden="false" outlineLevel="0" max="11008" min="11008" style="14" width="9.14"/>
    <col collapsed="false" customWidth="true" hidden="false" outlineLevel="0" max="11009" min="11009" style="14" width="10"/>
    <col collapsed="false" customWidth="true" hidden="false" outlineLevel="0" max="11010" min="11010" style="14" width="10.14"/>
    <col collapsed="false" customWidth="true" hidden="false" outlineLevel="0" max="11011" min="11011" style="14" width="17.29"/>
    <col collapsed="false" customWidth="true" hidden="false" outlineLevel="0" max="11013" min="11012" style="14" width="14.57"/>
    <col collapsed="false" customWidth="false" hidden="false" outlineLevel="0" max="11260" min="11014" style="14" width="9.14"/>
    <col collapsed="false" customWidth="true" hidden="false" outlineLevel="0" max="11261" min="11261" style="14" width="13.29"/>
    <col collapsed="false" customWidth="true" hidden="false" outlineLevel="0" max="11262" min="11262" style="14" width="41.86"/>
    <col collapsed="false" customWidth="true" hidden="false" outlineLevel="0" max="11263" min="11263" style="14" width="8.57"/>
    <col collapsed="false" customWidth="false" hidden="false" outlineLevel="0" max="11264" min="11264" style="14" width="9.14"/>
    <col collapsed="false" customWidth="true" hidden="false" outlineLevel="0" max="11265" min="11265" style="14" width="10"/>
    <col collapsed="false" customWidth="true" hidden="false" outlineLevel="0" max="11266" min="11266" style="14" width="10.14"/>
    <col collapsed="false" customWidth="true" hidden="false" outlineLevel="0" max="11267" min="11267" style="14" width="17.29"/>
    <col collapsed="false" customWidth="true" hidden="false" outlineLevel="0" max="11269" min="11268" style="14" width="14.57"/>
    <col collapsed="false" customWidth="false" hidden="false" outlineLevel="0" max="11516" min="11270" style="14" width="9.14"/>
    <col collapsed="false" customWidth="true" hidden="false" outlineLevel="0" max="11517" min="11517" style="14" width="13.29"/>
    <col collapsed="false" customWidth="true" hidden="false" outlineLevel="0" max="11518" min="11518" style="14" width="41.86"/>
    <col collapsed="false" customWidth="true" hidden="false" outlineLevel="0" max="11519" min="11519" style="14" width="8.57"/>
    <col collapsed="false" customWidth="false" hidden="false" outlineLevel="0" max="11520" min="11520" style="14" width="9.14"/>
    <col collapsed="false" customWidth="true" hidden="false" outlineLevel="0" max="11521" min="11521" style="14" width="10"/>
    <col collapsed="false" customWidth="true" hidden="false" outlineLevel="0" max="11522" min="11522" style="14" width="10.14"/>
    <col collapsed="false" customWidth="true" hidden="false" outlineLevel="0" max="11523" min="11523" style="14" width="17.29"/>
    <col collapsed="false" customWidth="true" hidden="false" outlineLevel="0" max="11525" min="11524" style="14" width="14.57"/>
    <col collapsed="false" customWidth="false" hidden="false" outlineLevel="0" max="11772" min="11526" style="14" width="9.14"/>
    <col collapsed="false" customWidth="true" hidden="false" outlineLevel="0" max="11773" min="11773" style="14" width="13.29"/>
    <col collapsed="false" customWidth="true" hidden="false" outlineLevel="0" max="11774" min="11774" style="14" width="41.86"/>
    <col collapsed="false" customWidth="true" hidden="false" outlineLevel="0" max="11775" min="11775" style="14" width="8.57"/>
    <col collapsed="false" customWidth="false" hidden="false" outlineLevel="0" max="11776" min="11776" style="14" width="9.14"/>
    <col collapsed="false" customWidth="true" hidden="false" outlineLevel="0" max="11777" min="11777" style="14" width="10"/>
    <col collapsed="false" customWidth="true" hidden="false" outlineLevel="0" max="11778" min="11778" style="14" width="10.14"/>
    <col collapsed="false" customWidth="true" hidden="false" outlineLevel="0" max="11779" min="11779" style="14" width="17.29"/>
    <col collapsed="false" customWidth="true" hidden="false" outlineLevel="0" max="11781" min="11780" style="14" width="14.57"/>
    <col collapsed="false" customWidth="false" hidden="false" outlineLevel="0" max="12028" min="11782" style="14" width="9.14"/>
    <col collapsed="false" customWidth="true" hidden="false" outlineLevel="0" max="12029" min="12029" style="14" width="13.29"/>
    <col collapsed="false" customWidth="true" hidden="false" outlineLevel="0" max="12030" min="12030" style="14" width="41.86"/>
    <col collapsed="false" customWidth="true" hidden="false" outlineLevel="0" max="12031" min="12031" style="14" width="8.57"/>
    <col collapsed="false" customWidth="false" hidden="false" outlineLevel="0" max="12032" min="12032" style="14" width="9.14"/>
    <col collapsed="false" customWidth="true" hidden="false" outlineLevel="0" max="12033" min="12033" style="14" width="10"/>
    <col collapsed="false" customWidth="true" hidden="false" outlineLevel="0" max="12034" min="12034" style="14" width="10.14"/>
    <col collapsed="false" customWidth="true" hidden="false" outlineLevel="0" max="12035" min="12035" style="14" width="17.29"/>
    <col collapsed="false" customWidth="true" hidden="false" outlineLevel="0" max="12037" min="12036" style="14" width="14.57"/>
    <col collapsed="false" customWidth="false" hidden="false" outlineLevel="0" max="12284" min="12038" style="14" width="9.14"/>
    <col collapsed="false" customWidth="true" hidden="false" outlineLevel="0" max="12285" min="12285" style="14" width="13.29"/>
    <col collapsed="false" customWidth="true" hidden="false" outlineLevel="0" max="12286" min="12286" style="14" width="41.86"/>
    <col collapsed="false" customWidth="true" hidden="false" outlineLevel="0" max="12287" min="12287" style="14" width="8.57"/>
    <col collapsed="false" customWidth="false" hidden="false" outlineLevel="0" max="12288" min="12288" style="14" width="9.14"/>
    <col collapsed="false" customWidth="true" hidden="false" outlineLevel="0" max="12289" min="12289" style="14" width="10"/>
    <col collapsed="false" customWidth="true" hidden="false" outlineLevel="0" max="12290" min="12290" style="14" width="10.14"/>
    <col collapsed="false" customWidth="true" hidden="false" outlineLevel="0" max="12291" min="12291" style="14" width="17.29"/>
    <col collapsed="false" customWidth="true" hidden="false" outlineLevel="0" max="12293" min="12292" style="14" width="14.57"/>
    <col collapsed="false" customWidth="false" hidden="false" outlineLevel="0" max="12540" min="12294" style="14" width="9.14"/>
    <col collapsed="false" customWidth="true" hidden="false" outlineLevel="0" max="12541" min="12541" style="14" width="13.29"/>
    <col collapsed="false" customWidth="true" hidden="false" outlineLevel="0" max="12542" min="12542" style="14" width="41.86"/>
    <col collapsed="false" customWidth="true" hidden="false" outlineLevel="0" max="12543" min="12543" style="14" width="8.57"/>
    <col collapsed="false" customWidth="false" hidden="false" outlineLevel="0" max="12544" min="12544" style="14" width="9.14"/>
    <col collapsed="false" customWidth="true" hidden="false" outlineLevel="0" max="12545" min="12545" style="14" width="10"/>
    <col collapsed="false" customWidth="true" hidden="false" outlineLevel="0" max="12546" min="12546" style="14" width="10.14"/>
    <col collapsed="false" customWidth="true" hidden="false" outlineLevel="0" max="12547" min="12547" style="14" width="17.29"/>
    <col collapsed="false" customWidth="true" hidden="false" outlineLevel="0" max="12549" min="12548" style="14" width="14.57"/>
    <col collapsed="false" customWidth="false" hidden="false" outlineLevel="0" max="12796" min="12550" style="14" width="9.14"/>
    <col collapsed="false" customWidth="true" hidden="false" outlineLevel="0" max="12797" min="12797" style="14" width="13.29"/>
    <col collapsed="false" customWidth="true" hidden="false" outlineLevel="0" max="12798" min="12798" style="14" width="41.86"/>
    <col collapsed="false" customWidth="true" hidden="false" outlineLevel="0" max="12799" min="12799" style="14" width="8.57"/>
    <col collapsed="false" customWidth="false" hidden="false" outlineLevel="0" max="12800" min="12800" style="14" width="9.14"/>
    <col collapsed="false" customWidth="true" hidden="false" outlineLevel="0" max="12801" min="12801" style="14" width="10"/>
    <col collapsed="false" customWidth="true" hidden="false" outlineLevel="0" max="12802" min="12802" style="14" width="10.14"/>
    <col collapsed="false" customWidth="true" hidden="false" outlineLevel="0" max="12803" min="12803" style="14" width="17.29"/>
    <col collapsed="false" customWidth="true" hidden="false" outlineLevel="0" max="12805" min="12804" style="14" width="14.57"/>
    <col collapsed="false" customWidth="false" hidden="false" outlineLevel="0" max="13052" min="12806" style="14" width="9.14"/>
    <col collapsed="false" customWidth="true" hidden="false" outlineLevel="0" max="13053" min="13053" style="14" width="13.29"/>
    <col collapsed="false" customWidth="true" hidden="false" outlineLevel="0" max="13054" min="13054" style="14" width="41.86"/>
    <col collapsed="false" customWidth="true" hidden="false" outlineLevel="0" max="13055" min="13055" style="14" width="8.57"/>
    <col collapsed="false" customWidth="false" hidden="false" outlineLevel="0" max="13056" min="13056" style="14" width="9.14"/>
    <col collapsed="false" customWidth="true" hidden="false" outlineLevel="0" max="13057" min="13057" style="14" width="10"/>
    <col collapsed="false" customWidth="true" hidden="false" outlineLevel="0" max="13058" min="13058" style="14" width="10.14"/>
    <col collapsed="false" customWidth="true" hidden="false" outlineLevel="0" max="13059" min="13059" style="14" width="17.29"/>
    <col collapsed="false" customWidth="true" hidden="false" outlineLevel="0" max="13061" min="13060" style="14" width="14.57"/>
    <col collapsed="false" customWidth="false" hidden="false" outlineLevel="0" max="13308" min="13062" style="14" width="9.14"/>
    <col collapsed="false" customWidth="true" hidden="false" outlineLevel="0" max="13309" min="13309" style="14" width="13.29"/>
    <col collapsed="false" customWidth="true" hidden="false" outlineLevel="0" max="13310" min="13310" style="14" width="41.86"/>
    <col collapsed="false" customWidth="true" hidden="false" outlineLevel="0" max="13311" min="13311" style="14" width="8.57"/>
    <col collapsed="false" customWidth="false" hidden="false" outlineLevel="0" max="13312" min="13312" style="14" width="9.14"/>
    <col collapsed="false" customWidth="true" hidden="false" outlineLevel="0" max="13313" min="13313" style="14" width="10"/>
    <col collapsed="false" customWidth="true" hidden="false" outlineLevel="0" max="13314" min="13314" style="14" width="10.14"/>
    <col collapsed="false" customWidth="true" hidden="false" outlineLevel="0" max="13315" min="13315" style="14" width="17.29"/>
    <col collapsed="false" customWidth="true" hidden="false" outlineLevel="0" max="13317" min="13316" style="14" width="14.57"/>
    <col collapsed="false" customWidth="false" hidden="false" outlineLevel="0" max="13564" min="13318" style="14" width="9.14"/>
    <col collapsed="false" customWidth="true" hidden="false" outlineLevel="0" max="13565" min="13565" style="14" width="13.29"/>
    <col collapsed="false" customWidth="true" hidden="false" outlineLevel="0" max="13566" min="13566" style="14" width="41.86"/>
    <col collapsed="false" customWidth="true" hidden="false" outlineLevel="0" max="13567" min="13567" style="14" width="8.57"/>
    <col collapsed="false" customWidth="false" hidden="false" outlineLevel="0" max="13568" min="13568" style="14" width="9.14"/>
    <col collapsed="false" customWidth="true" hidden="false" outlineLevel="0" max="13569" min="13569" style="14" width="10"/>
    <col collapsed="false" customWidth="true" hidden="false" outlineLevel="0" max="13570" min="13570" style="14" width="10.14"/>
    <col collapsed="false" customWidth="true" hidden="false" outlineLevel="0" max="13571" min="13571" style="14" width="17.29"/>
    <col collapsed="false" customWidth="true" hidden="false" outlineLevel="0" max="13573" min="13572" style="14" width="14.57"/>
    <col collapsed="false" customWidth="false" hidden="false" outlineLevel="0" max="13820" min="13574" style="14" width="9.14"/>
    <col collapsed="false" customWidth="true" hidden="false" outlineLevel="0" max="13821" min="13821" style="14" width="13.29"/>
    <col collapsed="false" customWidth="true" hidden="false" outlineLevel="0" max="13822" min="13822" style="14" width="41.86"/>
    <col collapsed="false" customWidth="true" hidden="false" outlineLevel="0" max="13823" min="13823" style="14" width="8.57"/>
    <col collapsed="false" customWidth="false" hidden="false" outlineLevel="0" max="13824" min="13824" style="14" width="9.14"/>
    <col collapsed="false" customWidth="true" hidden="false" outlineLevel="0" max="13825" min="13825" style="14" width="10"/>
    <col collapsed="false" customWidth="true" hidden="false" outlineLevel="0" max="13826" min="13826" style="14" width="10.14"/>
    <col collapsed="false" customWidth="true" hidden="false" outlineLevel="0" max="13827" min="13827" style="14" width="17.29"/>
    <col collapsed="false" customWidth="true" hidden="false" outlineLevel="0" max="13829" min="13828" style="14" width="14.57"/>
    <col collapsed="false" customWidth="false" hidden="false" outlineLevel="0" max="14076" min="13830" style="14" width="9.14"/>
    <col collapsed="false" customWidth="true" hidden="false" outlineLevel="0" max="14077" min="14077" style="14" width="13.29"/>
    <col collapsed="false" customWidth="true" hidden="false" outlineLevel="0" max="14078" min="14078" style="14" width="41.86"/>
    <col collapsed="false" customWidth="true" hidden="false" outlineLevel="0" max="14079" min="14079" style="14" width="8.57"/>
    <col collapsed="false" customWidth="false" hidden="false" outlineLevel="0" max="14080" min="14080" style="14" width="9.14"/>
    <col collapsed="false" customWidth="true" hidden="false" outlineLevel="0" max="14081" min="14081" style="14" width="10"/>
    <col collapsed="false" customWidth="true" hidden="false" outlineLevel="0" max="14082" min="14082" style="14" width="10.14"/>
    <col collapsed="false" customWidth="true" hidden="false" outlineLevel="0" max="14083" min="14083" style="14" width="17.29"/>
    <col collapsed="false" customWidth="true" hidden="false" outlineLevel="0" max="14085" min="14084" style="14" width="14.57"/>
    <col collapsed="false" customWidth="false" hidden="false" outlineLevel="0" max="14332" min="14086" style="14" width="9.14"/>
    <col collapsed="false" customWidth="true" hidden="false" outlineLevel="0" max="14333" min="14333" style="14" width="13.29"/>
    <col collapsed="false" customWidth="true" hidden="false" outlineLevel="0" max="14334" min="14334" style="14" width="41.86"/>
    <col collapsed="false" customWidth="true" hidden="false" outlineLevel="0" max="14335" min="14335" style="14" width="8.57"/>
    <col collapsed="false" customWidth="false" hidden="false" outlineLevel="0" max="14336" min="14336" style="14" width="9.14"/>
    <col collapsed="false" customWidth="true" hidden="false" outlineLevel="0" max="14337" min="14337" style="14" width="10"/>
    <col collapsed="false" customWidth="true" hidden="false" outlineLevel="0" max="14338" min="14338" style="14" width="10.14"/>
    <col collapsed="false" customWidth="true" hidden="false" outlineLevel="0" max="14339" min="14339" style="14" width="17.29"/>
    <col collapsed="false" customWidth="true" hidden="false" outlineLevel="0" max="14341" min="14340" style="14" width="14.57"/>
    <col collapsed="false" customWidth="false" hidden="false" outlineLevel="0" max="14588" min="14342" style="14" width="9.14"/>
    <col collapsed="false" customWidth="true" hidden="false" outlineLevel="0" max="14589" min="14589" style="14" width="13.29"/>
    <col collapsed="false" customWidth="true" hidden="false" outlineLevel="0" max="14590" min="14590" style="14" width="41.86"/>
    <col collapsed="false" customWidth="true" hidden="false" outlineLevel="0" max="14591" min="14591" style="14" width="8.57"/>
    <col collapsed="false" customWidth="false" hidden="false" outlineLevel="0" max="14592" min="14592" style="14" width="9.14"/>
    <col collapsed="false" customWidth="true" hidden="false" outlineLevel="0" max="14593" min="14593" style="14" width="10"/>
    <col collapsed="false" customWidth="true" hidden="false" outlineLevel="0" max="14594" min="14594" style="14" width="10.14"/>
    <col collapsed="false" customWidth="true" hidden="false" outlineLevel="0" max="14595" min="14595" style="14" width="17.29"/>
    <col collapsed="false" customWidth="true" hidden="false" outlineLevel="0" max="14597" min="14596" style="14" width="14.57"/>
    <col collapsed="false" customWidth="false" hidden="false" outlineLevel="0" max="14844" min="14598" style="14" width="9.14"/>
    <col collapsed="false" customWidth="true" hidden="false" outlineLevel="0" max="14845" min="14845" style="14" width="13.29"/>
    <col collapsed="false" customWidth="true" hidden="false" outlineLevel="0" max="14846" min="14846" style="14" width="41.86"/>
    <col collapsed="false" customWidth="true" hidden="false" outlineLevel="0" max="14847" min="14847" style="14" width="8.57"/>
    <col collapsed="false" customWidth="false" hidden="false" outlineLevel="0" max="14848" min="14848" style="14" width="9.14"/>
    <col collapsed="false" customWidth="true" hidden="false" outlineLevel="0" max="14849" min="14849" style="14" width="10"/>
    <col collapsed="false" customWidth="true" hidden="false" outlineLevel="0" max="14850" min="14850" style="14" width="10.14"/>
    <col collapsed="false" customWidth="true" hidden="false" outlineLevel="0" max="14851" min="14851" style="14" width="17.29"/>
    <col collapsed="false" customWidth="true" hidden="false" outlineLevel="0" max="14853" min="14852" style="14" width="14.57"/>
    <col collapsed="false" customWidth="false" hidden="false" outlineLevel="0" max="15100" min="14854" style="14" width="9.14"/>
    <col collapsed="false" customWidth="true" hidden="false" outlineLevel="0" max="15101" min="15101" style="14" width="13.29"/>
    <col collapsed="false" customWidth="true" hidden="false" outlineLevel="0" max="15102" min="15102" style="14" width="41.86"/>
    <col collapsed="false" customWidth="true" hidden="false" outlineLevel="0" max="15103" min="15103" style="14" width="8.57"/>
    <col collapsed="false" customWidth="false" hidden="false" outlineLevel="0" max="15104" min="15104" style="14" width="9.14"/>
    <col collapsed="false" customWidth="true" hidden="false" outlineLevel="0" max="15105" min="15105" style="14" width="10"/>
    <col collapsed="false" customWidth="true" hidden="false" outlineLevel="0" max="15106" min="15106" style="14" width="10.14"/>
    <col collapsed="false" customWidth="true" hidden="false" outlineLevel="0" max="15107" min="15107" style="14" width="17.29"/>
    <col collapsed="false" customWidth="true" hidden="false" outlineLevel="0" max="15109" min="15108" style="14" width="14.57"/>
    <col collapsed="false" customWidth="false" hidden="false" outlineLevel="0" max="15356" min="15110" style="14" width="9.14"/>
    <col collapsed="false" customWidth="true" hidden="false" outlineLevel="0" max="15357" min="15357" style="14" width="13.29"/>
    <col collapsed="false" customWidth="true" hidden="false" outlineLevel="0" max="15358" min="15358" style="14" width="41.86"/>
    <col collapsed="false" customWidth="true" hidden="false" outlineLevel="0" max="15359" min="15359" style="14" width="8.57"/>
    <col collapsed="false" customWidth="false" hidden="false" outlineLevel="0" max="15360" min="15360" style="14" width="9.14"/>
    <col collapsed="false" customWidth="true" hidden="false" outlineLevel="0" max="15361" min="15361" style="14" width="10"/>
    <col collapsed="false" customWidth="true" hidden="false" outlineLevel="0" max="15362" min="15362" style="14" width="10.14"/>
    <col collapsed="false" customWidth="true" hidden="false" outlineLevel="0" max="15363" min="15363" style="14" width="17.29"/>
    <col collapsed="false" customWidth="true" hidden="false" outlineLevel="0" max="15365" min="15364" style="14" width="14.57"/>
    <col collapsed="false" customWidth="false" hidden="false" outlineLevel="0" max="15612" min="15366" style="14" width="9.14"/>
    <col collapsed="false" customWidth="true" hidden="false" outlineLevel="0" max="15613" min="15613" style="14" width="13.29"/>
    <col collapsed="false" customWidth="true" hidden="false" outlineLevel="0" max="15614" min="15614" style="14" width="41.86"/>
    <col collapsed="false" customWidth="true" hidden="false" outlineLevel="0" max="15615" min="15615" style="14" width="8.57"/>
    <col collapsed="false" customWidth="false" hidden="false" outlineLevel="0" max="15616" min="15616" style="14" width="9.14"/>
    <col collapsed="false" customWidth="true" hidden="false" outlineLevel="0" max="15617" min="15617" style="14" width="10"/>
    <col collapsed="false" customWidth="true" hidden="false" outlineLevel="0" max="15618" min="15618" style="14" width="10.14"/>
    <col collapsed="false" customWidth="true" hidden="false" outlineLevel="0" max="15619" min="15619" style="14" width="17.29"/>
    <col collapsed="false" customWidth="true" hidden="false" outlineLevel="0" max="15621" min="15620" style="14" width="14.57"/>
    <col collapsed="false" customWidth="false" hidden="false" outlineLevel="0" max="15868" min="15622" style="14" width="9.14"/>
    <col collapsed="false" customWidth="true" hidden="false" outlineLevel="0" max="15869" min="15869" style="14" width="13.29"/>
    <col collapsed="false" customWidth="true" hidden="false" outlineLevel="0" max="15870" min="15870" style="14" width="41.86"/>
    <col collapsed="false" customWidth="true" hidden="false" outlineLevel="0" max="15871" min="15871" style="14" width="8.57"/>
    <col collapsed="false" customWidth="false" hidden="false" outlineLevel="0" max="15872" min="15872" style="14" width="9.14"/>
    <col collapsed="false" customWidth="true" hidden="false" outlineLevel="0" max="15873" min="15873" style="14" width="10"/>
    <col collapsed="false" customWidth="true" hidden="false" outlineLevel="0" max="15874" min="15874" style="14" width="10.14"/>
    <col collapsed="false" customWidth="true" hidden="false" outlineLevel="0" max="15875" min="15875" style="14" width="17.29"/>
    <col collapsed="false" customWidth="true" hidden="false" outlineLevel="0" max="15877" min="15876" style="14" width="14.57"/>
    <col collapsed="false" customWidth="false" hidden="false" outlineLevel="0" max="16124" min="15878" style="14" width="9.14"/>
    <col collapsed="false" customWidth="true" hidden="false" outlineLevel="0" max="16125" min="16125" style="14" width="13.29"/>
    <col collapsed="false" customWidth="true" hidden="false" outlineLevel="0" max="16126" min="16126" style="14" width="41.86"/>
    <col collapsed="false" customWidth="true" hidden="false" outlineLevel="0" max="16127" min="16127" style="14" width="8.57"/>
    <col collapsed="false" customWidth="false" hidden="false" outlineLevel="0" max="16128" min="16128" style="14" width="9.14"/>
    <col collapsed="false" customWidth="true" hidden="false" outlineLevel="0" max="16129" min="16129" style="14" width="10"/>
    <col collapsed="false" customWidth="true" hidden="false" outlineLevel="0" max="16130" min="16130" style="14" width="10.14"/>
    <col collapsed="false" customWidth="true" hidden="false" outlineLevel="0" max="16131" min="16131" style="14" width="17.29"/>
    <col collapsed="false" customWidth="true" hidden="false" outlineLevel="0" max="16133" min="16132" style="14" width="14.57"/>
    <col collapsed="false" customWidth="false" hidden="false" outlineLevel="0" max="16384" min="16134" style="14" width="9.14"/>
  </cols>
  <sheetData>
    <row r="2" customFormat="false" ht="15" hidden="false" customHeight="false" outlineLevel="0" collapsed="false">
      <c r="A2" s="16" t="s">
        <v>294</v>
      </c>
      <c r="B2" s="16"/>
      <c r="C2" s="16"/>
      <c r="D2" s="16"/>
      <c r="E2" s="17"/>
      <c r="F2" s="18"/>
    </row>
    <row r="4" customFormat="false" ht="15" hidden="false" customHeight="false" outlineLevel="0" collapsed="false">
      <c r="A4" s="19" t="s">
        <v>295</v>
      </c>
      <c r="B4" s="20" t="s">
        <v>296</v>
      </c>
      <c r="C4" s="19" t="s">
        <v>297</v>
      </c>
      <c r="D4" s="20" t="s">
        <v>298</v>
      </c>
      <c r="E4" s="20" t="s">
        <v>299</v>
      </c>
      <c r="F4" s="21" t="s">
        <v>300</v>
      </c>
    </row>
    <row r="5" customFormat="false" ht="15" hidden="false" customHeight="false" outlineLevel="0" collapsed="false">
      <c r="A5" s="22" t="s">
        <v>301</v>
      </c>
      <c r="B5" s="22" t="s">
        <v>302</v>
      </c>
      <c r="C5" s="22" t="s">
        <v>303</v>
      </c>
      <c r="D5" s="22"/>
      <c r="E5" s="22"/>
      <c r="F5" s="23" t="n">
        <f aca="false">D5*E5</f>
        <v>0</v>
      </c>
    </row>
    <row r="6" customFormat="false" ht="15" hidden="false" customHeight="false" outlineLevel="0" collapsed="false">
      <c r="A6" s="22" t="s">
        <v>304</v>
      </c>
      <c r="B6" s="22" t="s">
        <v>23</v>
      </c>
      <c r="C6" s="22" t="s">
        <v>305</v>
      </c>
      <c r="D6" s="24"/>
      <c r="E6" s="24"/>
      <c r="F6" s="25" t="n">
        <f aca="false">D6*E6</f>
        <v>0</v>
      </c>
    </row>
    <row r="7" customFormat="false" ht="15" hidden="false" customHeight="false" outlineLevel="0" collapsed="false">
      <c r="A7" s="22" t="s">
        <v>306</v>
      </c>
      <c r="B7" s="22" t="s">
        <v>12</v>
      </c>
      <c r="C7" s="22" t="s">
        <v>305</v>
      </c>
      <c r="D7" s="24"/>
      <c r="E7" s="24"/>
      <c r="F7" s="25" t="n">
        <f aca="false">D7*E7</f>
        <v>0</v>
      </c>
    </row>
    <row r="8" customFormat="false" ht="15" hidden="false" customHeight="false" outlineLevel="0" collapsed="false">
      <c r="A8" s="26" t="s">
        <v>307</v>
      </c>
      <c r="B8" s="26" t="s">
        <v>13</v>
      </c>
      <c r="C8" s="26" t="s">
        <v>305</v>
      </c>
      <c r="D8" s="27" t="n">
        <v>132</v>
      </c>
      <c r="E8" s="28" t="n">
        <v>17367.3</v>
      </c>
      <c r="F8" s="25" t="n">
        <f aca="false">D8*E8</f>
        <v>2292483.6</v>
      </c>
    </row>
    <row r="9" customFormat="false" ht="15" hidden="false" customHeight="false" outlineLevel="0" collapsed="false">
      <c r="A9" s="22" t="s">
        <v>308</v>
      </c>
      <c r="B9" s="22" t="s">
        <v>24</v>
      </c>
      <c r="C9" s="22" t="s">
        <v>305</v>
      </c>
      <c r="D9" s="24"/>
      <c r="E9" s="24"/>
      <c r="F9" s="25" t="n">
        <f aca="false">D9*E9</f>
        <v>0</v>
      </c>
      <c r="G9" s="13"/>
    </row>
    <row r="10" customFormat="false" ht="15" hidden="false" customHeight="false" outlineLevel="0" collapsed="false">
      <c r="A10" s="22" t="s">
        <v>309</v>
      </c>
      <c r="B10" s="22" t="s">
        <v>14</v>
      </c>
      <c r="C10" s="22" t="s">
        <v>303</v>
      </c>
      <c r="D10" s="24"/>
      <c r="E10" s="24"/>
      <c r="F10" s="25" t="n">
        <f aca="false">D10*E10</f>
        <v>0</v>
      </c>
    </row>
    <row r="11" customFormat="false" ht="15" hidden="false" customHeight="false" outlineLevel="0" collapsed="false">
      <c r="A11" s="26" t="s">
        <v>310</v>
      </c>
      <c r="B11" s="26" t="s">
        <v>15</v>
      </c>
      <c r="C11" s="26" t="s">
        <v>311</v>
      </c>
      <c r="D11" s="29" t="n">
        <v>227</v>
      </c>
      <c r="E11" s="28" t="n">
        <v>83500.2</v>
      </c>
      <c r="F11" s="25" t="n">
        <f aca="false">D11*E11</f>
        <v>18954545.4</v>
      </c>
    </row>
    <row r="12" customFormat="false" ht="15" hidden="false" customHeight="false" outlineLevel="0" collapsed="false">
      <c r="A12" s="26" t="s">
        <v>312</v>
      </c>
      <c r="B12" s="26" t="s">
        <v>16</v>
      </c>
      <c r="C12" s="26" t="s">
        <v>303</v>
      </c>
      <c r="D12" s="29" t="n">
        <v>150</v>
      </c>
      <c r="E12" s="28" t="n">
        <v>75700.8</v>
      </c>
      <c r="F12" s="25" t="n">
        <f aca="false">D12*E12</f>
        <v>11355120</v>
      </c>
    </row>
    <row r="13" customFormat="false" ht="15" hidden="false" customHeight="false" outlineLevel="0" collapsed="false">
      <c r="A13" s="22" t="s">
        <v>313</v>
      </c>
      <c r="B13" s="22" t="s">
        <v>17</v>
      </c>
      <c r="C13" s="22" t="s">
        <v>311</v>
      </c>
      <c r="D13" s="30" t="n">
        <v>0</v>
      </c>
      <c r="E13" s="30"/>
      <c r="F13" s="25" t="n">
        <f aca="false">D13*E13</f>
        <v>0</v>
      </c>
    </row>
    <row r="14" customFormat="false" ht="15" hidden="false" customHeight="false" outlineLevel="0" collapsed="false">
      <c r="A14" s="22" t="s">
        <v>314</v>
      </c>
      <c r="B14" s="22" t="s">
        <v>315</v>
      </c>
      <c r="C14" s="22" t="s">
        <v>311</v>
      </c>
      <c r="D14" s="24"/>
      <c r="E14" s="24"/>
      <c r="F14" s="25" t="n">
        <f aca="false">D14*E14</f>
        <v>0</v>
      </c>
    </row>
    <row r="15" customFormat="false" ht="15" hidden="false" customHeight="false" outlineLevel="0" collapsed="false">
      <c r="A15" s="22" t="s">
        <v>316</v>
      </c>
      <c r="B15" s="22" t="s">
        <v>317</v>
      </c>
      <c r="C15" s="22" t="s">
        <v>311</v>
      </c>
      <c r="D15" s="24"/>
      <c r="E15" s="24"/>
      <c r="F15" s="25" t="n">
        <f aca="false">D15*E15</f>
        <v>0</v>
      </c>
    </row>
    <row r="16" customFormat="false" ht="15" hidden="false" customHeight="false" outlineLevel="0" collapsed="false">
      <c r="A16" s="26" t="s">
        <v>318</v>
      </c>
      <c r="B16" s="26" t="s">
        <v>18</v>
      </c>
      <c r="C16" s="26" t="s">
        <v>305</v>
      </c>
      <c r="D16" s="29" t="n">
        <v>116</v>
      </c>
      <c r="E16" s="28" t="n">
        <v>12041.1</v>
      </c>
      <c r="F16" s="25" t="n">
        <f aca="false">D16*E16</f>
        <v>1396767.6</v>
      </c>
    </row>
    <row r="17" customFormat="false" ht="15" hidden="false" customHeight="false" outlineLevel="0" collapsed="false">
      <c r="A17" s="26" t="s">
        <v>319</v>
      </c>
      <c r="B17" s="26" t="s">
        <v>19</v>
      </c>
      <c r="C17" s="26" t="s">
        <v>305</v>
      </c>
      <c r="D17" s="29" t="n">
        <v>78</v>
      </c>
      <c r="E17" s="28" t="n">
        <v>12041.1</v>
      </c>
      <c r="F17" s="25" t="n">
        <f aca="false">D17*E17</f>
        <v>939205.8</v>
      </c>
    </row>
    <row r="18" customFormat="false" ht="15" hidden="false" customHeight="false" outlineLevel="0" collapsed="false">
      <c r="A18" s="22" t="s">
        <v>320</v>
      </c>
      <c r="B18" s="22" t="s">
        <v>321</v>
      </c>
      <c r="C18" s="22" t="s">
        <v>311</v>
      </c>
      <c r="D18" s="24"/>
      <c r="E18" s="24"/>
      <c r="F18" s="25" t="n">
        <f aca="false">D18*E18</f>
        <v>0</v>
      </c>
    </row>
    <row r="19" customFormat="false" ht="15" hidden="false" customHeight="false" outlineLevel="0" collapsed="false">
      <c r="A19" s="22" t="s">
        <v>322</v>
      </c>
      <c r="B19" s="22" t="s">
        <v>20</v>
      </c>
      <c r="C19" s="22" t="s">
        <v>303</v>
      </c>
      <c r="D19" s="24"/>
      <c r="E19" s="24"/>
      <c r="F19" s="25" t="n">
        <f aca="false">D19*E19</f>
        <v>0</v>
      </c>
    </row>
    <row r="20" customFormat="false" ht="15" hidden="false" customHeight="false" outlineLevel="0" collapsed="false">
      <c r="A20" s="31" t="s">
        <v>323</v>
      </c>
      <c r="B20" s="31" t="s">
        <v>21</v>
      </c>
      <c r="C20" s="31" t="s">
        <v>311</v>
      </c>
      <c r="D20" s="32" t="n">
        <v>48</v>
      </c>
      <c r="E20" s="28" t="n">
        <v>139243.5</v>
      </c>
      <c r="F20" s="25" t="n">
        <f aca="false">D20*E20</f>
        <v>6683688</v>
      </c>
    </row>
    <row r="21" customFormat="false" ht="15" hidden="false" customHeight="false" outlineLevel="0" collapsed="false">
      <c r="A21" s="22" t="s">
        <v>324</v>
      </c>
      <c r="B21" s="22" t="s">
        <v>22</v>
      </c>
      <c r="C21" s="22" t="s">
        <v>303</v>
      </c>
      <c r="D21" s="24"/>
      <c r="E21" s="24"/>
      <c r="F21" s="25" t="n">
        <f aca="false">D21*E21</f>
        <v>0</v>
      </c>
    </row>
    <row r="22" customFormat="false" ht="15" hidden="false" customHeight="false" outlineLevel="0" collapsed="false">
      <c r="A22" s="22" t="s">
        <v>325</v>
      </c>
      <c r="B22" s="22" t="s">
        <v>326</v>
      </c>
      <c r="C22" s="22" t="s">
        <v>327</v>
      </c>
      <c r="D22" s="24"/>
      <c r="E22" s="24"/>
      <c r="F22" s="25" t="n">
        <f aca="false">D22*E22</f>
        <v>0</v>
      </c>
    </row>
    <row r="23" customFormat="false" ht="15" hidden="false" customHeight="false" outlineLevel="0" collapsed="false">
      <c r="A23" s="22" t="s">
        <v>328</v>
      </c>
      <c r="B23" s="22" t="s">
        <v>329</v>
      </c>
      <c r="C23" s="22" t="s">
        <v>327</v>
      </c>
      <c r="D23" s="24"/>
      <c r="E23" s="24"/>
      <c r="F23" s="25" t="n">
        <f aca="false">D23*E23</f>
        <v>0</v>
      </c>
    </row>
    <row r="24" customFormat="false" ht="15" hidden="false" customHeight="false" outlineLevel="0" collapsed="false">
      <c r="A24" s="22" t="s">
        <v>330</v>
      </c>
      <c r="B24" s="22" t="s">
        <v>331</v>
      </c>
      <c r="C24" s="22" t="s">
        <v>303</v>
      </c>
      <c r="D24" s="24"/>
      <c r="E24" s="24"/>
      <c r="F24" s="25" t="n">
        <f aca="false">D24*E24</f>
        <v>0</v>
      </c>
    </row>
    <row r="25" customFormat="false" ht="15" hidden="false" customHeight="false" outlineLevel="0" collapsed="false">
      <c r="A25" s="22" t="s">
        <v>332</v>
      </c>
      <c r="B25" s="22" t="s">
        <v>333</v>
      </c>
      <c r="C25" s="22" t="s">
        <v>303</v>
      </c>
      <c r="D25" s="24"/>
      <c r="E25" s="24"/>
      <c r="F25" s="25" t="n">
        <f aca="false">D25*E25</f>
        <v>0</v>
      </c>
    </row>
    <row r="26" customFormat="false" ht="15" hidden="false" customHeight="false" outlineLevel="0" collapsed="false">
      <c r="A26" s="22" t="s">
        <v>334</v>
      </c>
      <c r="B26" s="22" t="s">
        <v>335</v>
      </c>
      <c r="C26" s="22" t="s">
        <v>303</v>
      </c>
      <c r="D26" s="24"/>
      <c r="E26" s="24"/>
      <c r="F26" s="25" t="n">
        <f aca="false">D26*E26</f>
        <v>0</v>
      </c>
    </row>
    <row r="27" customFormat="false" ht="15" hidden="false" customHeight="false" outlineLevel="0" collapsed="false">
      <c r="A27" s="31" t="s">
        <v>336</v>
      </c>
      <c r="B27" s="31" t="s">
        <v>38</v>
      </c>
      <c r="C27" s="31" t="s">
        <v>303</v>
      </c>
      <c r="D27" s="32" t="n">
        <v>273485</v>
      </c>
      <c r="E27" s="33" t="n">
        <v>31208</v>
      </c>
      <c r="F27" s="25" t="n">
        <f aca="false">D27*E27</f>
        <v>8534919880</v>
      </c>
    </row>
    <row r="28" customFormat="false" ht="15" hidden="false" customHeight="false" outlineLevel="0" collapsed="false">
      <c r="A28" s="22" t="s">
        <v>337</v>
      </c>
      <c r="B28" s="22" t="s">
        <v>338</v>
      </c>
      <c r="C28" s="22" t="s">
        <v>303</v>
      </c>
      <c r="D28" s="24"/>
      <c r="E28" s="24"/>
      <c r="F28" s="25" t="n">
        <f aca="false">D28*E28</f>
        <v>0</v>
      </c>
    </row>
    <row r="29" customFormat="false" ht="15" hidden="false" customHeight="false" outlineLevel="0" collapsed="false">
      <c r="A29" s="22" t="s">
        <v>339</v>
      </c>
      <c r="B29" s="22" t="s">
        <v>340</v>
      </c>
      <c r="C29" s="22" t="s">
        <v>303</v>
      </c>
      <c r="D29" s="24"/>
      <c r="E29" s="24"/>
      <c r="F29" s="25" t="n">
        <f aca="false">D29*E29</f>
        <v>0</v>
      </c>
    </row>
    <row r="30" customFormat="false" ht="15" hidden="false" customHeight="false" outlineLevel="0" collapsed="false">
      <c r="A30" s="22" t="s">
        <v>341</v>
      </c>
      <c r="B30" s="22" t="s">
        <v>342</v>
      </c>
      <c r="C30" s="22" t="s">
        <v>303</v>
      </c>
      <c r="D30" s="24"/>
      <c r="E30" s="24"/>
      <c r="F30" s="25" t="n">
        <f aca="false">D30*E30</f>
        <v>0</v>
      </c>
    </row>
    <row r="31" customFormat="false" ht="15" hidden="false" customHeight="false" outlineLevel="0" collapsed="false">
      <c r="A31" s="22" t="s">
        <v>343</v>
      </c>
      <c r="B31" s="22" t="s">
        <v>344</v>
      </c>
      <c r="C31" s="22" t="s">
        <v>303</v>
      </c>
      <c r="D31" s="24"/>
      <c r="E31" s="24"/>
      <c r="F31" s="25" t="n">
        <f aca="false">D31*E31</f>
        <v>0</v>
      </c>
    </row>
    <row r="32" s="36" customFormat="true" ht="15" hidden="false" customHeight="false" outlineLevel="0" collapsed="false">
      <c r="A32" s="24" t="s">
        <v>345</v>
      </c>
      <c r="B32" s="34" t="s">
        <v>346</v>
      </c>
      <c r="C32" s="24" t="s">
        <v>327</v>
      </c>
      <c r="D32" s="35" t="n">
        <v>306</v>
      </c>
      <c r="E32" s="33" t="n">
        <v>51389</v>
      </c>
      <c r="F32" s="25" t="n">
        <f aca="false">D32*E32</f>
        <v>15725034</v>
      </c>
    </row>
    <row r="33" customFormat="false" ht="15" hidden="false" customHeight="false" outlineLevel="0" collapsed="false">
      <c r="A33" s="26" t="s">
        <v>347</v>
      </c>
      <c r="B33" s="26" t="s">
        <v>348</v>
      </c>
      <c r="C33" s="26" t="s">
        <v>327</v>
      </c>
      <c r="D33" s="29" t="n">
        <v>25076</v>
      </c>
      <c r="E33" s="33" t="n">
        <v>36184</v>
      </c>
      <c r="F33" s="25" t="n">
        <f aca="false">D33*E33</f>
        <v>907349984</v>
      </c>
    </row>
    <row r="34" customFormat="false" ht="15" hidden="false" customHeight="false" outlineLevel="0" collapsed="false">
      <c r="A34" s="26" t="s">
        <v>349</v>
      </c>
      <c r="B34" s="26" t="s">
        <v>42</v>
      </c>
      <c r="C34" s="22" t="s">
        <v>327</v>
      </c>
      <c r="D34" s="29" t="n">
        <v>130</v>
      </c>
      <c r="E34" s="33" t="n">
        <v>52485</v>
      </c>
      <c r="F34" s="25" t="n">
        <f aca="false">D34*E34</f>
        <v>6823050</v>
      </c>
    </row>
    <row r="35" customFormat="false" ht="15" hidden="false" customHeight="false" outlineLevel="0" collapsed="false">
      <c r="A35" s="22" t="s">
        <v>350</v>
      </c>
      <c r="B35" s="22" t="s">
        <v>351</v>
      </c>
      <c r="C35" s="22" t="s">
        <v>327</v>
      </c>
      <c r="D35" s="24"/>
      <c r="E35" s="24"/>
      <c r="F35" s="25" t="n">
        <f aca="false">D35*E35</f>
        <v>0</v>
      </c>
    </row>
    <row r="36" customFormat="false" ht="15" hidden="false" customHeight="false" outlineLevel="0" collapsed="false">
      <c r="A36" s="22" t="s">
        <v>352</v>
      </c>
      <c r="B36" s="22" t="s">
        <v>41</v>
      </c>
      <c r="C36" s="22" t="s">
        <v>303</v>
      </c>
      <c r="D36" s="24"/>
      <c r="E36" s="24"/>
      <c r="F36" s="25" t="n">
        <f aca="false">D36*E36</f>
        <v>0</v>
      </c>
    </row>
    <row r="37" customFormat="false" ht="15" hidden="false" customHeight="false" outlineLevel="0" collapsed="false">
      <c r="A37" s="22" t="s">
        <v>353</v>
      </c>
      <c r="B37" s="22" t="s">
        <v>354</v>
      </c>
      <c r="C37" s="22" t="s">
        <v>355</v>
      </c>
      <c r="D37" s="24"/>
      <c r="E37" s="24"/>
      <c r="F37" s="25" t="n">
        <f aca="false">D37*E37</f>
        <v>0</v>
      </c>
    </row>
    <row r="38" customFormat="false" ht="15" hidden="false" customHeight="false" outlineLevel="0" collapsed="false">
      <c r="A38" s="26" t="s">
        <v>356</v>
      </c>
      <c r="B38" s="26" t="s">
        <v>357</v>
      </c>
      <c r="C38" s="26" t="s">
        <v>327</v>
      </c>
      <c r="D38" s="29" t="n">
        <v>62</v>
      </c>
      <c r="E38" s="33" t="n">
        <v>29119.92</v>
      </c>
      <c r="F38" s="25" t="n">
        <f aca="false">D38*E38</f>
        <v>1805435.04</v>
      </c>
    </row>
    <row r="39" customFormat="false" ht="15" hidden="false" customHeight="false" outlineLevel="0" collapsed="false">
      <c r="A39" s="37" t="s">
        <v>358</v>
      </c>
      <c r="B39" s="26" t="s">
        <v>50</v>
      </c>
      <c r="C39" s="37" t="s">
        <v>327</v>
      </c>
      <c r="D39" s="29" t="n">
        <v>750</v>
      </c>
      <c r="E39" s="33" t="n">
        <v>3463.24</v>
      </c>
      <c r="F39" s="25" t="n">
        <f aca="false">D39*E39</f>
        <v>2597430</v>
      </c>
    </row>
    <row r="40" customFormat="false" ht="15" hidden="false" customHeight="false" outlineLevel="0" collapsed="false">
      <c r="A40" s="37" t="s">
        <v>359</v>
      </c>
      <c r="B40" s="26" t="s">
        <v>360</v>
      </c>
      <c r="C40" s="37" t="s">
        <v>327</v>
      </c>
      <c r="D40" s="29" t="n">
        <v>995</v>
      </c>
      <c r="E40" s="33" t="n">
        <v>4761.96</v>
      </c>
      <c r="F40" s="25" t="n">
        <f aca="false">D40*E40</f>
        <v>4738150.2</v>
      </c>
    </row>
    <row r="41" customFormat="false" ht="15" hidden="false" customHeight="false" outlineLevel="0" collapsed="false">
      <c r="A41" s="37" t="s">
        <v>361</v>
      </c>
      <c r="B41" s="26" t="s">
        <v>51</v>
      </c>
      <c r="C41" s="37" t="s">
        <v>327</v>
      </c>
      <c r="D41" s="29" t="n">
        <v>770</v>
      </c>
      <c r="E41" s="33" t="n">
        <v>3896.14</v>
      </c>
      <c r="F41" s="25" t="n">
        <f aca="false">D41*E41</f>
        <v>3000027.8</v>
      </c>
    </row>
    <row r="42" customFormat="false" ht="15" hidden="false" customHeight="false" outlineLevel="0" collapsed="false">
      <c r="A42" s="22" t="s">
        <v>362</v>
      </c>
      <c r="B42" s="26" t="s">
        <v>52</v>
      </c>
      <c r="C42" s="22" t="s">
        <v>303</v>
      </c>
      <c r="D42" s="29" t="n">
        <v>1708</v>
      </c>
      <c r="E42" s="33" t="n">
        <v>21643.38</v>
      </c>
      <c r="F42" s="25" t="n">
        <f aca="false">D42*E42</f>
        <v>36966893.04</v>
      </c>
    </row>
    <row r="43" customFormat="false" ht="15" hidden="false" customHeight="false" outlineLevel="0" collapsed="false">
      <c r="A43" s="22" t="s">
        <v>363</v>
      </c>
      <c r="B43" s="22" t="s">
        <v>364</v>
      </c>
      <c r="C43" s="22" t="s">
        <v>303</v>
      </c>
      <c r="D43" s="24"/>
      <c r="E43" s="24"/>
      <c r="F43" s="25" t="n">
        <f aca="false">D43*E43</f>
        <v>0</v>
      </c>
    </row>
    <row r="44" customFormat="false" ht="15" hidden="false" customHeight="false" outlineLevel="0" collapsed="false">
      <c r="A44" s="22" t="s">
        <v>365</v>
      </c>
      <c r="B44" s="22" t="s">
        <v>366</v>
      </c>
      <c r="C44" s="22" t="s">
        <v>367</v>
      </c>
      <c r="D44" s="24"/>
      <c r="E44" s="24"/>
      <c r="F44" s="25" t="n">
        <f aca="false">D44*E44</f>
        <v>0</v>
      </c>
    </row>
    <row r="45" customFormat="false" ht="25.35" hidden="false" customHeight="false" outlineLevel="0" collapsed="false">
      <c r="A45" s="22" t="s">
        <v>368</v>
      </c>
      <c r="B45" s="22" t="s">
        <v>369</v>
      </c>
      <c r="C45" s="22" t="s">
        <v>367</v>
      </c>
      <c r="D45" s="24"/>
      <c r="E45" s="24"/>
      <c r="F45" s="25" t="n">
        <f aca="false">D45*E45</f>
        <v>0</v>
      </c>
    </row>
    <row r="46" customFormat="false" ht="25.35" hidden="false" customHeight="false" outlineLevel="0" collapsed="false">
      <c r="A46" s="22" t="s">
        <v>370</v>
      </c>
      <c r="B46" s="22" t="s">
        <v>371</v>
      </c>
      <c r="C46" s="22" t="s">
        <v>367</v>
      </c>
      <c r="D46" s="24"/>
      <c r="E46" s="24"/>
      <c r="F46" s="25" t="n">
        <f aca="false">D46*E46</f>
        <v>0</v>
      </c>
    </row>
    <row r="47" customFormat="false" ht="15" hidden="false" customHeight="false" outlineLevel="0" collapsed="false">
      <c r="A47" s="22" t="s">
        <v>372</v>
      </c>
      <c r="B47" s="22" t="s">
        <v>373</v>
      </c>
      <c r="C47" s="22" t="s">
        <v>303</v>
      </c>
      <c r="D47" s="24"/>
      <c r="E47" s="24"/>
      <c r="F47" s="25" t="n">
        <f aca="false">D47*E47</f>
        <v>0</v>
      </c>
    </row>
    <row r="48" customFormat="false" ht="15" hidden="false" customHeight="false" outlineLevel="0" collapsed="false">
      <c r="A48" s="22" t="s">
        <v>374</v>
      </c>
      <c r="B48" s="22" t="s">
        <v>375</v>
      </c>
      <c r="C48" s="22" t="s">
        <v>303</v>
      </c>
      <c r="D48" s="24"/>
      <c r="E48" s="24"/>
      <c r="F48" s="25" t="n">
        <f aca="false">D48*E48</f>
        <v>0</v>
      </c>
    </row>
    <row r="49" customFormat="false" ht="15" hidden="false" customHeight="false" outlineLevel="0" collapsed="false">
      <c r="A49" s="22" t="s">
        <v>376</v>
      </c>
      <c r="B49" s="26" t="s">
        <v>377</v>
      </c>
      <c r="C49" s="22" t="s">
        <v>303</v>
      </c>
      <c r="D49" s="29" t="n">
        <v>240</v>
      </c>
      <c r="E49" s="33" t="n">
        <v>18180.14</v>
      </c>
      <c r="F49" s="25" t="n">
        <f aca="false">D49*E49</f>
        <v>4363233.6</v>
      </c>
    </row>
    <row r="50" customFormat="false" ht="15" hidden="false" customHeight="false" outlineLevel="0" collapsed="false">
      <c r="A50" s="22" t="s">
        <v>378</v>
      </c>
      <c r="B50" s="26" t="s">
        <v>53</v>
      </c>
      <c r="C50" s="22" t="s">
        <v>303</v>
      </c>
      <c r="D50" s="29" t="n">
        <v>3590</v>
      </c>
      <c r="E50" s="33" t="n">
        <v>9955.88</v>
      </c>
      <c r="F50" s="25" t="n">
        <f aca="false">D50*E50</f>
        <v>35741609.2</v>
      </c>
    </row>
    <row r="51" customFormat="false" ht="15" hidden="false" customHeight="false" outlineLevel="0" collapsed="false">
      <c r="A51" s="22" t="s">
        <v>379</v>
      </c>
      <c r="B51" s="26" t="s">
        <v>380</v>
      </c>
      <c r="C51" s="26" t="s">
        <v>327</v>
      </c>
      <c r="D51" s="29" t="n">
        <v>37</v>
      </c>
      <c r="E51" s="33" t="n">
        <v>19698.8</v>
      </c>
      <c r="F51" s="25" t="n">
        <f aca="false">D51*E51</f>
        <v>728855.6</v>
      </c>
    </row>
    <row r="52" customFormat="false" ht="15" hidden="false" customHeight="false" outlineLevel="0" collapsed="false">
      <c r="A52" s="26" t="s">
        <v>381</v>
      </c>
      <c r="B52" s="26" t="s">
        <v>382</v>
      </c>
      <c r="C52" s="26" t="s">
        <v>327</v>
      </c>
      <c r="D52" s="29" t="n">
        <v>132</v>
      </c>
      <c r="E52" s="33" t="n">
        <v>23981.55</v>
      </c>
      <c r="F52" s="25" t="n">
        <f aca="false">D52*E52</f>
        <v>3165564.6</v>
      </c>
    </row>
    <row r="53" customFormat="false" ht="15" hidden="false" customHeight="false" outlineLevel="0" collapsed="false">
      <c r="A53" s="26" t="s">
        <v>383</v>
      </c>
      <c r="B53" s="26" t="s">
        <v>384</v>
      </c>
      <c r="C53" s="26" t="s">
        <v>327</v>
      </c>
      <c r="D53" s="29" t="n">
        <v>40</v>
      </c>
      <c r="E53" s="33" t="n">
        <v>42045.88</v>
      </c>
      <c r="F53" s="25" t="n">
        <f aca="false">D53*E53</f>
        <v>1681835.2</v>
      </c>
    </row>
    <row r="54" customFormat="false" ht="15" hidden="false" customHeight="false" outlineLevel="0" collapsed="false">
      <c r="A54" s="22" t="s">
        <v>385</v>
      </c>
      <c r="B54" s="26" t="s">
        <v>129</v>
      </c>
      <c r="C54" s="22" t="s">
        <v>327</v>
      </c>
      <c r="D54" s="29" t="n">
        <v>15</v>
      </c>
      <c r="E54" s="33" t="n">
        <v>31689.58</v>
      </c>
      <c r="F54" s="25" t="n">
        <f aca="false">D54*E54</f>
        <v>475343.7</v>
      </c>
    </row>
    <row r="55" customFormat="false" ht="15" hidden="false" customHeight="false" outlineLevel="0" collapsed="false">
      <c r="A55" s="22" t="s">
        <v>386</v>
      </c>
      <c r="B55" s="26" t="s">
        <v>130</v>
      </c>
      <c r="C55" s="22" t="s">
        <v>327</v>
      </c>
      <c r="D55" s="29" t="n">
        <v>86</v>
      </c>
      <c r="E55" s="33" t="n">
        <v>44108.62</v>
      </c>
      <c r="F55" s="25" t="n">
        <f aca="false">D55*E55</f>
        <v>3793341.32</v>
      </c>
    </row>
    <row r="56" customFormat="false" ht="25.35" hidden="false" customHeight="false" outlineLevel="0" collapsed="false">
      <c r="A56" s="22" t="s">
        <v>387</v>
      </c>
      <c r="B56" s="26" t="s">
        <v>131</v>
      </c>
      <c r="C56" s="22" t="s">
        <v>327</v>
      </c>
      <c r="D56" s="29" t="n">
        <v>36</v>
      </c>
      <c r="E56" s="33" t="n">
        <v>46250</v>
      </c>
      <c r="F56" s="25" t="n">
        <f aca="false">D56*E56</f>
        <v>1665000</v>
      </c>
    </row>
    <row r="57" customFormat="false" ht="15" hidden="false" customHeight="false" outlineLevel="0" collapsed="false">
      <c r="A57" s="22" t="s">
        <v>388</v>
      </c>
      <c r="B57" s="26" t="s">
        <v>132</v>
      </c>
      <c r="C57" s="22" t="s">
        <v>327</v>
      </c>
      <c r="D57" s="29" t="n">
        <v>53</v>
      </c>
      <c r="E57" s="33" t="n">
        <v>41110.7</v>
      </c>
      <c r="F57" s="25" t="n">
        <f aca="false">D57*E57</f>
        <v>2178867.1</v>
      </c>
    </row>
    <row r="58" customFormat="false" ht="15" hidden="false" customHeight="false" outlineLevel="0" collapsed="false">
      <c r="A58" s="22" t="s">
        <v>389</v>
      </c>
      <c r="B58" s="22" t="s">
        <v>390</v>
      </c>
      <c r="C58" s="22" t="s">
        <v>327</v>
      </c>
      <c r="D58" s="24"/>
      <c r="E58" s="24"/>
      <c r="F58" s="25" t="n">
        <f aca="false">D58*E58</f>
        <v>0</v>
      </c>
    </row>
    <row r="59" customFormat="false" ht="15" hidden="false" customHeight="false" outlineLevel="0" collapsed="false">
      <c r="A59" s="22" t="s">
        <v>391</v>
      </c>
      <c r="B59" s="26" t="s">
        <v>133</v>
      </c>
      <c r="C59" s="22" t="s">
        <v>327</v>
      </c>
      <c r="D59" s="29" t="n">
        <v>35</v>
      </c>
      <c r="E59" s="33" t="n">
        <v>35115.78</v>
      </c>
      <c r="F59" s="25" t="n">
        <f aca="false">D59*E59</f>
        <v>1229052.3</v>
      </c>
    </row>
    <row r="60" customFormat="false" ht="15" hidden="false" customHeight="false" outlineLevel="0" collapsed="false">
      <c r="A60" s="22" t="s">
        <v>392</v>
      </c>
      <c r="B60" s="26" t="s">
        <v>54</v>
      </c>
      <c r="C60" s="22" t="s">
        <v>393</v>
      </c>
      <c r="D60" s="29" t="n">
        <v>5692</v>
      </c>
      <c r="E60" s="33" t="n">
        <v>13852.02</v>
      </c>
      <c r="F60" s="25" t="n">
        <f aca="false">D60*E60</f>
        <v>78845697.84</v>
      </c>
    </row>
    <row r="61" customFormat="false" ht="15" hidden="false" customHeight="false" outlineLevel="0" collapsed="false">
      <c r="A61" s="22" t="s">
        <v>394</v>
      </c>
      <c r="B61" s="26" t="s">
        <v>55</v>
      </c>
      <c r="C61" s="22" t="s">
        <v>395</v>
      </c>
      <c r="D61" s="29" t="n">
        <v>258</v>
      </c>
      <c r="E61" s="33" t="n">
        <v>82678.31</v>
      </c>
      <c r="F61" s="25" t="n">
        <f aca="false">D61*E61</f>
        <v>21331003.98</v>
      </c>
    </row>
    <row r="62" customFormat="false" ht="15" hidden="false" customHeight="false" outlineLevel="0" collapsed="false">
      <c r="A62" s="22" t="s">
        <v>396</v>
      </c>
      <c r="B62" s="26" t="s">
        <v>134</v>
      </c>
      <c r="C62" s="22" t="s">
        <v>327</v>
      </c>
      <c r="D62" s="29" t="n">
        <v>15</v>
      </c>
      <c r="E62" s="33" t="n">
        <v>26979.48</v>
      </c>
      <c r="F62" s="25" t="n">
        <f aca="false">D62*E62</f>
        <v>404692.2</v>
      </c>
    </row>
    <row r="63" customFormat="false" ht="15" hidden="false" customHeight="false" outlineLevel="0" collapsed="false">
      <c r="A63" s="22" t="s">
        <v>397</v>
      </c>
      <c r="B63" s="22" t="s">
        <v>398</v>
      </c>
      <c r="C63" s="22" t="s">
        <v>327</v>
      </c>
      <c r="D63" s="24"/>
      <c r="E63" s="24"/>
      <c r="F63" s="25" t="n">
        <f aca="false">D63*E63</f>
        <v>0</v>
      </c>
    </row>
    <row r="64" customFormat="false" ht="15" hidden="false" customHeight="false" outlineLevel="0" collapsed="false">
      <c r="A64" s="22" t="s">
        <v>399</v>
      </c>
      <c r="B64" s="26" t="s">
        <v>56</v>
      </c>
      <c r="C64" s="22" t="s">
        <v>393</v>
      </c>
      <c r="D64" s="29" t="n">
        <v>1056</v>
      </c>
      <c r="E64" s="33" t="n">
        <v>9004.05</v>
      </c>
      <c r="F64" s="25" t="n">
        <f aca="false">D64*E64</f>
        <v>9508276.8</v>
      </c>
    </row>
    <row r="65" customFormat="false" ht="15" hidden="false" customHeight="false" outlineLevel="0" collapsed="false">
      <c r="A65" s="22" t="s">
        <v>400</v>
      </c>
      <c r="B65" s="26" t="s">
        <v>57</v>
      </c>
      <c r="C65" s="22" t="s">
        <v>393</v>
      </c>
      <c r="D65" s="29" t="n">
        <v>766</v>
      </c>
      <c r="E65" s="33" t="n">
        <v>16449.46</v>
      </c>
      <c r="F65" s="25" t="n">
        <f aca="false">D65*E65</f>
        <v>12600286.36</v>
      </c>
    </row>
    <row r="66" customFormat="false" ht="15" hidden="false" customHeight="false" outlineLevel="0" collapsed="false">
      <c r="A66" s="22" t="s">
        <v>401</v>
      </c>
      <c r="B66" s="22" t="s">
        <v>402</v>
      </c>
      <c r="C66" s="22" t="s">
        <v>393</v>
      </c>
      <c r="D66" s="24"/>
      <c r="E66" s="24"/>
      <c r="F66" s="25" t="n">
        <f aca="false">D66*E66</f>
        <v>0</v>
      </c>
    </row>
    <row r="67" customFormat="false" ht="15" hidden="false" customHeight="false" outlineLevel="0" collapsed="false">
      <c r="A67" s="22" t="s">
        <v>403</v>
      </c>
      <c r="B67" s="26" t="s">
        <v>58</v>
      </c>
      <c r="C67" s="22" t="s">
        <v>393</v>
      </c>
      <c r="D67" s="29" t="n">
        <v>2892</v>
      </c>
      <c r="E67" s="33" t="n">
        <v>8051.28</v>
      </c>
      <c r="F67" s="25" t="n">
        <f aca="false">D67*E67</f>
        <v>23284301.76</v>
      </c>
    </row>
    <row r="68" customFormat="false" ht="15" hidden="false" customHeight="false" outlineLevel="0" collapsed="false">
      <c r="A68" s="22" t="s">
        <v>404</v>
      </c>
      <c r="B68" s="26" t="s">
        <v>59</v>
      </c>
      <c r="C68" s="22" t="s">
        <v>393</v>
      </c>
      <c r="D68" s="29" t="n">
        <v>2848</v>
      </c>
      <c r="E68" s="33" t="n">
        <v>15583.64</v>
      </c>
      <c r="F68" s="25" t="n">
        <f aca="false">D68*E68</f>
        <v>44382206.72</v>
      </c>
    </row>
    <row r="69" customFormat="false" ht="15" hidden="false" customHeight="false" outlineLevel="0" collapsed="false">
      <c r="A69" s="22" t="s">
        <v>405</v>
      </c>
      <c r="B69" s="26" t="s">
        <v>60</v>
      </c>
      <c r="C69" s="22" t="s">
        <v>393</v>
      </c>
      <c r="D69" s="29" t="n">
        <v>1637</v>
      </c>
      <c r="E69" s="33" t="n">
        <v>32897.98</v>
      </c>
      <c r="F69" s="25" t="n">
        <f aca="false">D69*E69</f>
        <v>53853993.26</v>
      </c>
    </row>
    <row r="70" customFormat="false" ht="15" hidden="false" customHeight="false" outlineLevel="0" collapsed="false">
      <c r="A70" s="22" t="s">
        <v>406</v>
      </c>
      <c r="B70" s="22" t="s">
        <v>407</v>
      </c>
      <c r="C70" s="22" t="s">
        <v>327</v>
      </c>
      <c r="D70" s="24"/>
      <c r="E70" s="24"/>
      <c r="F70" s="25" t="n">
        <f aca="false">D70*E70</f>
        <v>0</v>
      </c>
    </row>
    <row r="71" customFormat="false" ht="15" hidden="false" customHeight="false" outlineLevel="0" collapsed="false">
      <c r="A71" s="22" t="s">
        <v>408</v>
      </c>
      <c r="B71" s="26" t="s">
        <v>49</v>
      </c>
      <c r="C71" s="22" t="s">
        <v>327</v>
      </c>
      <c r="D71" s="29" t="n">
        <v>1570</v>
      </c>
      <c r="E71" s="33" t="n">
        <v>4588.04</v>
      </c>
      <c r="F71" s="25" t="n">
        <f aca="false">D71*E71</f>
        <v>7203222.8</v>
      </c>
    </row>
    <row r="72" customFormat="false" ht="15" hidden="false" customHeight="false" outlineLevel="0" collapsed="false">
      <c r="A72" s="22" t="s">
        <v>409</v>
      </c>
      <c r="B72" s="22" t="s">
        <v>410</v>
      </c>
      <c r="C72" s="22" t="s">
        <v>303</v>
      </c>
      <c r="D72" s="24"/>
      <c r="E72" s="24"/>
      <c r="F72" s="25" t="n">
        <f aca="false">D72*E72</f>
        <v>0</v>
      </c>
    </row>
    <row r="73" customFormat="false" ht="15" hidden="false" customHeight="false" outlineLevel="0" collapsed="false">
      <c r="A73" s="22" t="s">
        <v>411</v>
      </c>
      <c r="B73" s="26" t="s">
        <v>62</v>
      </c>
      <c r="C73" s="22" t="s">
        <v>327</v>
      </c>
      <c r="D73" s="29" t="n">
        <v>1844</v>
      </c>
      <c r="E73" s="33" t="n">
        <v>4588.04</v>
      </c>
      <c r="F73" s="25" t="n">
        <f aca="false">D73*E73</f>
        <v>8460345.76</v>
      </c>
    </row>
    <row r="74" customFormat="false" ht="15" hidden="false" customHeight="false" outlineLevel="0" collapsed="false">
      <c r="A74" s="22" t="s">
        <v>412</v>
      </c>
      <c r="B74" s="22" t="s">
        <v>413</v>
      </c>
      <c r="C74" s="22" t="s">
        <v>303</v>
      </c>
      <c r="D74" s="24"/>
      <c r="E74" s="24"/>
      <c r="F74" s="25" t="n">
        <f aca="false">D74*E74</f>
        <v>0</v>
      </c>
    </row>
    <row r="75" customFormat="false" ht="15" hidden="false" customHeight="false" outlineLevel="0" collapsed="false">
      <c r="A75" s="22" t="s">
        <v>414</v>
      </c>
      <c r="B75" s="26" t="s">
        <v>64</v>
      </c>
      <c r="C75" s="22" t="s">
        <v>303</v>
      </c>
      <c r="D75" s="29" t="n">
        <v>25</v>
      </c>
      <c r="E75" s="33" t="n">
        <v>181805.14</v>
      </c>
      <c r="F75" s="25" t="n">
        <f aca="false">D75*E75</f>
        <v>4545128.5</v>
      </c>
    </row>
    <row r="76" customFormat="false" ht="15" hidden="false" customHeight="false" outlineLevel="0" collapsed="false">
      <c r="A76" s="22" t="s">
        <v>415</v>
      </c>
      <c r="B76" s="26" t="s">
        <v>65</v>
      </c>
      <c r="C76" s="22" t="s">
        <v>303</v>
      </c>
      <c r="D76" s="29" t="n">
        <v>7</v>
      </c>
      <c r="E76" s="33" t="n">
        <v>177477.02</v>
      </c>
      <c r="F76" s="25" t="n">
        <f aca="false">D76*E76</f>
        <v>1242339.14</v>
      </c>
    </row>
    <row r="77" customFormat="false" ht="15" hidden="false" customHeight="false" outlineLevel="0" collapsed="false">
      <c r="A77" s="22" t="s">
        <v>416</v>
      </c>
      <c r="B77" s="26" t="s">
        <v>66</v>
      </c>
      <c r="C77" s="22" t="s">
        <v>393</v>
      </c>
      <c r="D77" s="29" t="n">
        <v>1419</v>
      </c>
      <c r="E77" s="33" t="n">
        <v>14717.84</v>
      </c>
      <c r="F77" s="25" t="n">
        <f aca="false">D77*E77</f>
        <v>20884614.96</v>
      </c>
    </row>
    <row r="78" customFormat="false" ht="15" hidden="false" customHeight="false" outlineLevel="0" collapsed="false">
      <c r="A78" s="22" t="s">
        <v>417</v>
      </c>
      <c r="B78" s="26" t="s">
        <v>418</v>
      </c>
      <c r="C78" s="22" t="s">
        <v>393</v>
      </c>
      <c r="D78" s="29" t="n">
        <v>5123</v>
      </c>
      <c r="E78" s="33" t="n">
        <v>14284.93</v>
      </c>
      <c r="F78" s="25" t="n">
        <f aca="false">D78*E78</f>
        <v>73181696.39</v>
      </c>
    </row>
    <row r="79" customFormat="false" ht="15" hidden="false" customHeight="false" outlineLevel="0" collapsed="false">
      <c r="A79" s="22" t="s">
        <v>419</v>
      </c>
      <c r="B79" s="22" t="s">
        <v>420</v>
      </c>
      <c r="C79" s="22" t="s">
        <v>393</v>
      </c>
      <c r="D79" s="24"/>
      <c r="E79" s="24"/>
      <c r="F79" s="25" t="n">
        <f aca="false">D79*E79</f>
        <v>0</v>
      </c>
    </row>
    <row r="80" customFormat="false" ht="15" hidden="false" customHeight="false" outlineLevel="0" collapsed="false">
      <c r="A80" s="22" t="s">
        <v>421</v>
      </c>
      <c r="B80" s="22" t="s">
        <v>422</v>
      </c>
      <c r="C80" s="22" t="s">
        <v>393</v>
      </c>
      <c r="D80" s="24"/>
      <c r="E80" s="24"/>
      <c r="F80" s="25" t="n">
        <f aca="false">D80*E80</f>
        <v>0</v>
      </c>
    </row>
    <row r="81" customFormat="false" ht="25.35" hidden="false" customHeight="false" outlineLevel="0" collapsed="false">
      <c r="A81" s="22" t="s">
        <v>423</v>
      </c>
      <c r="B81" s="22" t="s">
        <v>424</v>
      </c>
      <c r="C81" s="22" t="s">
        <v>393</v>
      </c>
      <c r="D81" s="24"/>
      <c r="E81" s="24"/>
      <c r="F81" s="25" t="n">
        <f aca="false">D81*E81</f>
        <v>0</v>
      </c>
    </row>
    <row r="82" customFormat="false" ht="15" hidden="false" customHeight="false" outlineLevel="0" collapsed="false">
      <c r="A82" s="22" t="s">
        <v>425</v>
      </c>
      <c r="B82" s="38" t="s">
        <v>426</v>
      </c>
      <c r="C82" s="22" t="s">
        <v>393</v>
      </c>
      <c r="D82" s="35" t="n">
        <v>720</v>
      </c>
      <c r="E82" s="33" t="n">
        <v>36534.19</v>
      </c>
      <c r="F82" s="25" t="n">
        <f aca="false">D82*E82</f>
        <v>26304616.8</v>
      </c>
    </row>
    <row r="83" customFormat="false" ht="15" hidden="false" customHeight="false" outlineLevel="0" collapsed="false">
      <c r="A83" s="22" t="s">
        <v>427</v>
      </c>
      <c r="B83" s="22" t="s">
        <v>428</v>
      </c>
      <c r="C83" s="22" t="s">
        <v>393</v>
      </c>
      <c r="D83" s="24"/>
      <c r="E83" s="24"/>
      <c r="F83" s="25" t="n">
        <f aca="false">D83*E83</f>
        <v>0</v>
      </c>
    </row>
    <row r="84" customFormat="false" ht="15" hidden="false" customHeight="false" outlineLevel="0" collapsed="false">
      <c r="A84" s="22" t="s">
        <v>429</v>
      </c>
      <c r="B84" s="26" t="s">
        <v>67</v>
      </c>
      <c r="C84" s="22" t="s">
        <v>393</v>
      </c>
      <c r="D84" s="29" t="n">
        <v>191</v>
      </c>
      <c r="E84" s="33" t="n">
        <v>15583.64</v>
      </c>
      <c r="F84" s="25" t="n">
        <f aca="false">D84*E84</f>
        <v>2976475.24</v>
      </c>
    </row>
    <row r="85" customFormat="false" ht="15" hidden="false" customHeight="false" outlineLevel="0" collapsed="false">
      <c r="A85" s="22" t="s">
        <v>430</v>
      </c>
      <c r="B85" s="26" t="s">
        <v>68</v>
      </c>
      <c r="C85" s="22" t="s">
        <v>393</v>
      </c>
      <c r="D85" s="29" t="n">
        <v>364</v>
      </c>
      <c r="E85" s="33" t="n">
        <v>43633.64</v>
      </c>
      <c r="F85" s="25" t="n">
        <f aca="false">D85*E85</f>
        <v>15882644.96</v>
      </c>
    </row>
    <row r="86" customFormat="false" ht="15" hidden="false" customHeight="false" outlineLevel="0" collapsed="false">
      <c r="A86" s="22" t="s">
        <v>431</v>
      </c>
      <c r="B86" s="26" t="s">
        <v>69</v>
      </c>
      <c r="C86" s="22" t="s">
        <v>303</v>
      </c>
      <c r="D86" s="29" t="n">
        <v>150</v>
      </c>
      <c r="E86" s="33" t="n">
        <v>96963.24</v>
      </c>
      <c r="F86" s="25" t="n">
        <f aca="false">D86*E86</f>
        <v>14544486</v>
      </c>
    </row>
    <row r="87" customFormat="false" ht="15" hidden="false" customHeight="false" outlineLevel="0" collapsed="false">
      <c r="A87" s="22" t="s">
        <v>432</v>
      </c>
      <c r="B87" s="26" t="s">
        <v>70</v>
      </c>
      <c r="C87" s="22" t="s">
        <v>303</v>
      </c>
      <c r="D87" s="29" t="n">
        <v>79</v>
      </c>
      <c r="E87" s="33" t="n">
        <v>135055.14</v>
      </c>
      <c r="F87" s="25" t="n">
        <f aca="false">D87*E87</f>
        <v>10669356.06</v>
      </c>
    </row>
    <row r="88" customFormat="false" ht="15" hidden="false" customHeight="false" outlineLevel="0" collapsed="false">
      <c r="A88" s="22" t="s">
        <v>433</v>
      </c>
      <c r="B88" s="26" t="s">
        <v>71</v>
      </c>
      <c r="C88" s="22" t="s">
        <v>393</v>
      </c>
      <c r="D88" s="29" t="n">
        <v>817</v>
      </c>
      <c r="E88" s="33" t="n">
        <v>14717.84</v>
      </c>
      <c r="F88" s="25" t="n">
        <f aca="false">D88*E88</f>
        <v>12024475.28</v>
      </c>
    </row>
    <row r="89" customFormat="false" ht="15" hidden="false" customHeight="false" outlineLevel="0" collapsed="false">
      <c r="A89" s="22" t="s">
        <v>434</v>
      </c>
      <c r="B89" s="26" t="s">
        <v>435</v>
      </c>
      <c r="C89" s="22" t="s">
        <v>395</v>
      </c>
      <c r="D89" s="29" t="n">
        <v>245</v>
      </c>
      <c r="E89" s="33" t="n">
        <v>49347.43</v>
      </c>
      <c r="F89" s="25" t="n">
        <f aca="false">D89*E89</f>
        <v>12090120.35</v>
      </c>
    </row>
    <row r="90" customFormat="false" ht="25.35" hidden="false" customHeight="false" outlineLevel="0" collapsed="false">
      <c r="A90" s="22" t="s">
        <v>436</v>
      </c>
      <c r="B90" s="26" t="s">
        <v>72</v>
      </c>
      <c r="C90" s="22" t="s">
        <v>393</v>
      </c>
      <c r="D90" s="29" t="n">
        <v>1734</v>
      </c>
      <c r="E90" s="33" t="n">
        <v>22509.19</v>
      </c>
      <c r="F90" s="25" t="n">
        <f aca="false">D90*E90</f>
        <v>39030935.46</v>
      </c>
    </row>
    <row r="91" customFormat="false" ht="15" hidden="false" customHeight="false" outlineLevel="0" collapsed="false">
      <c r="A91" s="22" t="s">
        <v>437</v>
      </c>
      <c r="B91" s="22" t="s">
        <v>438</v>
      </c>
      <c r="C91" s="22" t="s">
        <v>393</v>
      </c>
      <c r="D91" s="24"/>
      <c r="E91" s="24"/>
      <c r="F91" s="25" t="n">
        <f aca="false">D91*E91</f>
        <v>0</v>
      </c>
    </row>
    <row r="92" customFormat="false" ht="25.35" hidden="false" customHeight="false" outlineLevel="0" collapsed="false">
      <c r="A92" s="22" t="s">
        <v>439</v>
      </c>
      <c r="B92" s="26" t="s">
        <v>73</v>
      </c>
      <c r="C92" s="22" t="s">
        <v>393</v>
      </c>
      <c r="D92" s="29" t="n">
        <v>1072</v>
      </c>
      <c r="E92" s="33" t="n">
        <v>32032.16</v>
      </c>
      <c r="F92" s="25" t="n">
        <f aca="false">D92*E92</f>
        <v>34338475.52</v>
      </c>
    </row>
    <row r="93" customFormat="false" ht="15" hidden="false" customHeight="false" outlineLevel="0" collapsed="false">
      <c r="A93" s="22" t="s">
        <v>440</v>
      </c>
      <c r="B93" s="26" t="s">
        <v>77</v>
      </c>
      <c r="C93" s="22" t="s">
        <v>393</v>
      </c>
      <c r="D93" s="29" t="n">
        <v>846</v>
      </c>
      <c r="E93" s="33" t="n">
        <v>5886.76</v>
      </c>
      <c r="F93" s="25" t="n">
        <f aca="false">D93*E93</f>
        <v>4980198.96</v>
      </c>
    </row>
    <row r="94" customFormat="false" ht="15" hidden="false" customHeight="false" outlineLevel="0" collapsed="false">
      <c r="A94" s="22" t="s">
        <v>441</v>
      </c>
      <c r="B94" s="26" t="s">
        <v>78</v>
      </c>
      <c r="C94" s="22" t="s">
        <v>393</v>
      </c>
      <c r="D94" s="29" t="n">
        <v>4801</v>
      </c>
      <c r="E94" s="33" t="n">
        <v>10388.78</v>
      </c>
      <c r="F94" s="25" t="n">
        <f aca="false">D94*E94</f>
        <v>49876532.78</v>
      </c>
    </row>
    <row r="95" customFormat="false" ht="15" hidden="false" customHeight="false" outlineLevel="0" collapsed="false">
      <c r="A95" s="22" t="s">
        <v>442</v>
      </c>
      <c r="B95" s="26" t="s">
        <v>79</v>
      </c>
      <c r="C95" s="22" t="s">
        <v>393</v>
      </c>
      <c r="D95" s="29" t="n">
        <v>339</v>
      </c>
      <c r="E95" s="33" t="n">
        <v>19911.76</v>
      </c>
      <c r="F95" s="25" t="n">
        <f aca="false">D95*E95</f>
        <v>6750086.64</v>
      </c>
    </row>
    <row r="96" customFormat="false" ht="15" hidden="false" customHeight="false" outlineLevel="0" collapsed="false">
      <c r="A96" s="22" t="s">
        <v>443</v>
      </c>
      <c r="B96" s="22" t="s">
        <v>76</v>
      </c>
      <c r="C96" s="22" t="s">
        <v>395</v>
      </c>
      <c r="D96" s="24"/>
      <c r="E96" s="24"/>
      <c r="F96" s="25" t="n">
        <f aca="false">D96*E96</f>
        <v>0</v>
      </c>
    </row>
    <row r="97" customFormat="false" ht="25.35" hidden="false" customHeight="false" outlineLevel="0" collapsed="false">
      <c r="A97" s="22" t="s">
        <v>444</v>
      </c>
      <c r="B97" s="26" t="s">
        <v>445</v>
      </c>
      <c r="C97" s="22" t="s">
        <v>393</v>
      </c>
      <c r="D97" s="29" t="n">
        <v>778</v>
      </c>
      <c r="E97" s="33" t="n">
        <v>13852.02</v>
      </c>
      <c r="F97" s="25" t="n">
        <f aca="false">D97*E97</f>
        <v>10776871.56</v>
      </c>
    </row>
    <row r="98" customFormat="false" ht="15" hidden="false" customHeight="false" outlineLevel="0" collapsed="false">
      <c r="A98" s="22" t="s">
        <v>446</v>
      </c>
      <c r="B98" s="26" t="s">
        <v>75</v>
      </c>
      <c r="C98" s="22" t="s">
        <v>327</v>
      </c>
      <c r="D98" s="29" t="n">
        <v>800</v>
      </c>
      <c r="E98" s="33" t="n">
        <v>345.95</v>
      </c>
      <c r="F98" s="25" t="n">
        <f aca="false">D98*E98</f>
        <v>276760</v>
      </c>
    </row>
    <row r="99" customFormat="false" ht="15" hidden="false" customHeight="false" outlineLevel="0" collapsed="false">
      <c r="A99" s="22" t="s">
        <v>447</v>
      </c>
      <c r="B99" s="38" t="s">
        <v>448</v>
      </c>
      <c r="C99" s="22" t="s">
        <v>393</v>
      </c>
      <c r="D99" s="35" t="n">
        <v>26074</v>
      </c>
      <c r="E99" s="33" t="n">
        <v>5194.86</v>
      </c>
      <c r="F99" s="25" t="n">
        <f aca="false">D99*E99</f>
        <v>135450779.64</v>
      </c>
    </row>
    <row r="100" customFormat="false" ht="15" hidden="false" customHeight="false" outlineLevel="0" collapsed="false">
      <c r="A100" s="22" t="s">
        <v>449</v>
      </c>
      <c r="B100" s="26" t="s">
        <v>80</v>
      </c>
      <c r="C100" s="22" t="s">
        <v>393</v>
      </c>
      <c r="D100" s="29" t="n">
        <v>252</v>
      </c>
      <c r="E100" s="33" t="n">
        <v>13852.02</v>
      </c>
      <c r="F100" s="25" t="n">
        <f aca="false">D100*E100</f>
        <v>3490709.04</v>
      </c>
    </row>
    <row r="101" customFormat="false" ht="15" hidden="false" customHeight="false" outlineLevel="0" collapsed="false">
      <c r="A101" s="22" t="s">
        <v>450</v>
      </c>
      <c r="B101" s="26" t="s">
        <v>81</v>
      </c>
      <c r="C101" s="22" t="s">
        <v>451</v>
      </c>
      <c r="D101" s="29" t="n">
        <v>516</v>
      </c>
      <c r="E101" s="33" t="n">
        <v>14717.84</v>
      </c>
      <c r="F101" s="25" t="n">
        <f aca="false">D101*E101</f>
        <v>7594405.44</v>
      </c>
    </row>
    <row r="102" customFormat="false" ht="25.35" hidden="false" customHeight="false" outlineLevel="0" collapsed="false">
      <c r="A102" s="22" t="s">
        <v>452</v>
      </c>
      <c r="B102" s="22" t="s">
        <v>453</v>
      </c>
      <c r="C102" s="22" t="s">
        <v>367</v>
      </c>
      <c r="D102" s="24"/>
      <c r="E102" s="24"/>
      <c r="F102" s="25" t="n">
        <f aca="false">D102*E102</f>
        <v>0</v>
      </c>
    </row>
    <row r="103" customFormat="false" ht="15" hidden="false" customHeight="false" outlineLevel="0" collapsed="false">
      <c r="A103" s="22" t="s">
        <v>454</v>
      </c>
      <c r="B103" s="22" t="s">
        <v>455</v>
      </c>
      <c r="C103" s="22" t="s">
        <v>367</v>
      </c>
      <c r="D103" s="24"/>
      <c r="E103" s="24"/>
      <c r="F103" s="25" t="n">
        <f aca="false">D103*E103</f>
        <v>0</v>
      </c>
    </row>
    <row r="104" customFormat="false" ht="15" hidden="false" customHeight="false" outlineLevel="0" collapsed="false">
      <c r="A104" s="22" t="s">
        <v>456</v>
      </c>
      <c r="B104" s="22" t="s">
        <v>457</v>
      </c>
      <c r="C104" s="22" t="s">
        <v>458</v>
      </c>
      <c r="D104" s="24"/>
      <c r="E104" s="24"/>
      <c r="F104" s="25" t="n">
        <f aca="false">D104*E104</f>
        <v>0</v>
      </c>
    </row>
    <row r="105" customFormat="false" ht="15" hidden="false" customHeight="false" outlineLevel="0" collapsed="false">
      <c r="A105" s="22" t="s">
        <v>459</v>
      </c>
      <c r="B105" s="26" t="s">
        <v>82</v>
      </c>
      <c r="C105" s="22" t="s">
        <v>451</v>
      </c>
      <c r="D105" s="29" t="n">
        <v>2024</v>
      </c>
      <c r="E105" s="33" t="n">
        <v>6925.54</v>
      </c>
      <c r="F105" s="25" t="n">
        <f aca="false">D105*E105</f>
        <v>14017292.96</v>
      </c>
    </row>
    <row r="106" customFormat="false" ht="15" hidden="false" customHeight="false" outlineLevel="0" collapsed="false">
      <c r="A106" s="22" t="s">
        <v>460</v>
      </c>
      <c r="B106" s="26" t="s">
        <v>83</v>
      </c>
      <c r="C106" s="22" t="s">
        <v>393</v>
      </c>
      <c r="D106" s="29" t="n">
        <v>744</v>
      </c>
      <c r="E106" s="33" t="n">
        <v>7272.43</v>
      </c>
      <c r="F106" s="25" t="n">
        <f aca="false">D106*E106</f>
        <v>5410687.92</v>
      </c>
    </row>
    <row r="107" customFormat="false" ht="15" hidden="false" customHeight="false" outlineLevel="0" collapsed="false">
      <c r="A107" s="22" t="s">
        <v>461</v>
      </c>
      <c r="B107" s="26" t="s">
        <v>84</v>
      </c>
      <c r="C107" s="22" t="s">
        <v>451</v>
      </c>
      <c r="D107" s="29" t="n">
        <v>9318</v>
      </c>
      <c r="E107" s="33" t="n">
        <v>29434.74</v>
      </c>
      <c r="F107" s="25" t="n">
        <f aca="false">D107*E107</f>
        <v>274272907.32</v>
      </c>
    </row>
    <row r="108" customFormat="false" ht="15" hidden="false" customHeight="false" outlineLevel="0" collapsed="false">
      <c r="A108" s="22" t="s">
        <v>462</v>
      </c>
      <c r="B108" s="26" t="s">
        <v>85</v>
      </c>
      <c r="C108" s="22" t="s">
        <v>393</v>
      </c>
      <c r="D108" s="29" t="n">
        <v>15053</v>
      </c>
      <c r="E108" s="33" t="n">
        <v>8657.17</v>
      </c>
      <c r="F108" s="25" t="n">
        <f aca="false">D108*E108</f>
        <v>130316380.01</v>
      </c>
    </row>
    <row r="109" customFormat="false" ht="15" hidden="false" customHeight="false" outlineLevel="0" collapsed="false">
      <c r="A109" s="22" t="s">
        <v>463</v>
      </c>
      <c r="B109" s="26" t="s">
        <v>86</v>
      </c>
      <c r="C109" s="22" t="s">
        <v>451</v>
      </c>
      <c r="D109" s="29" t="n">
        <v>47727</v>
      </c>
      <c r="E109" s="33" t="n">
        <v>6925.54</v>
      </c>
      <c r="F109" s="25" t="n">
        <f aca="false">D109*E109</f>
        <v>330535247.58</v>
      </c>
    </row>
    <row r="110" customFormat="false" ht="15" hidden="false" customHeight="false" outlineLevel="0" collapsed="false">
      <c r="A110" s="22" t="s">
        <v>464</v>
      </c>
      <c r="B110" s="26" t="s">
        <v>465</v>
      </c>
      <c r="C110" s="22" t="s">
        <v>451</v>
      </c>
      <c r="D110" s="29" t="n">
        <v>2810</v>
      </c>
      <c r="E110" s="33" t="n">
        <v>16882.36</v>
      </c>
      <c r="F110" s="25" t="n">
        <f aca="false">D110*E110</f>
        <v>47439431.6</v>
      </c>
    </row>
    <row r="111" customFormat="false" ht="15" hidden="false" customHeight="false" outlineLevel="0" collapsed="false">
      <c r="A111" s="22" t="s">
        <v>466</v>
      </c>
      <c r="B111" s="26" t="s">
        <v>125</v>
      </c>
      <c r="C111" s="22" t="s">
        <v>451</v>
      </c>
      <c r="D111" s="29" t="n">
        <v>644</v>
      </c>
      <c r="E111" s="33" t="n">
        <v>41988.04</v>
      </c>
      <c r="F111" s="25" t="n">
        <f aca="false">D111*E111</f>
        <v>27040297.76</v>
      </c>
    </row>
    <row r="112" customFormat="false" ht="15" hidden="false" customHeight="false" outlineLevel="0" collapsed="false">
      <c r="A112" s="22" t="s">
        <v>467</v>
      </c>
      <c r="B112" s="26" t="s">
        <v>110</v>
      </c>
      <c r="C112" s="22" t="s">
        <v>451</v>
      </c>
      <c r="D112" s="29" t="n">
        <v>420</v>
      </c>
      <c r="E112" s="33" t="n">
        <v>16882.36</v>
      </c>
      <c r="F112" s="25" t="n">
        <f aca="false">D112*E112</f>
        <v>7090591.2</v>
      </c>
    </row>
    <row r="113" customFormat="false" ht="15" hidden="false" customHeight="false" outlineLevel="0" collapsed="false">
      <c r="A113" s="22" t="s">
        <v>468</v>
      </c>
      <c r="B113" s="26" t="s">
        <v>89</v>
      </c>
      <c r="C113" s="22" t="s">
        <v>393</v>
      </c>
      <c r="D113" s="29" t="n">
        <v>444</v>
      </c>
      <c r="E113" s="33" t="n">
        <v>22942.1</v>
      </c>
      <c r="F113" s="25" t="n">
        <f aca="false">D113*E113</f>
        <v>10186292.4</v>
      </c>
    </row>
    <row r="114" customFormat="false" ht="15" hidden="false" customHeight="false" outlineLevel="0" collapsed="false">
      <c r="A114" s="22" t="s">
        <v>469</v>
      </c>
      <c r="B114" s="26" t="s">
        <v>90</v>
      </c>
      <c r="C114" s="22" t="s">
        <v>393</v>
      </c>
      <c r="D114" s="29" t="n">
        <v>539</v>
      </c>
      <c r="E114" s="33" t="n">
        <v>49780.34</v>
      </c>
      <c r="F114" s="25" t="n">
        <f aca="false">D114*E114</f>
        <v>26831603.26</v>
      </c>
    </row>
    <row r="115" customFormat="false" ht="15" hidden="false" customHeight="false" outlineLevel="0" collapsed="false">
      <c r="A115" s="22" t="s">
        <v>470</v>
      </c>
      <c r="B115" s="26" t="s">
        <v>91</v>
      </c>
      <c r="C115" s="22" t="s">
        <v>393</v>
      </c>
      <c r="D115" s="29" t="n">
        <v>5847</v>
      </c>
      <c r="E115" s="33" t="n">
        <v>9090.07</v>
      </c>
      <c r="F115" s="25" t="n">
        <f aca="false">D115*E115</f>
        <v>53149639.29</v>
      </c>
    </row>
    <row r="116" customFormat="false" ht="15" hidden="false" customHeight="false" outlineLevel="0" collapsed="false">
      <c r="A116" s="22" t="s">
        <v>471</v>
      </c>
      <c r="B116" s="26" t="s">
        <v>92</v>
      </c>
      <c r="C116" s="22" t="s">
        <v>327</v>
      </c>
      <c r="D116" s="29" t="n">
        <v>38000</v>
      </c>
      <c r="E116" s="33" t="n">
        <v>459.08</v>
      </c>
      <c r="F116" s="25" t="n">
        <f aca="false">D116*E116</f>
        <v>17445040</v>
      </c>
    </row>
    <row r="117" customFormat="false" ht="15" hidden="false" customHeight="false" outlineLevel="0" collapsed="false">
      <c r="A117" s="22" t="s">
        <v>472</v>
      </c>
      <c r="B117" s="26" t="s">
        <v>94</v>
      </c>
      <c r="C117" s="22" t="s">
        <v>393</v>
      </c>
      <c r="D117" s="29" t="n">
        <v>168</v>
      </c>
      <c r="E117" s="33" t="n">
        <v>9090.07</v>
      </c>
      <c r="F117" s="25" t="n">
        <f aca="false">D117*E117</f>
        <v>1527131.76</v>
      </c>
    </row>
    <row r="118" customFormat="false" ht="15" hidden="false" customHeight="false" outlineLevel="0" collapsed="false">
      <c r="A118" s="22" t="s">
        <v>473</v>
      </c>
      <c r="B118" s="26" t="s">
        <v>93</v>
      </c>
      <c r="C118" s="22" t="s">
        <v>393</v>
      </c>
      <c r="D118" s="29" t="n">
        <v>36</v>
      </c>
      <c r="E118" s="33" t="n">
        <v>49780.34</v>
      </c>
      <c r="F118" s="25" t="n">
        <f aca="false">D118*E118</f>
        <v>1792092.24</v>
      </c>
    </row>
    <row r="119" customFormat="false" ht="15" hidden="false" customHeight="false" outlineLevel="0" collapsed="false">
      <c r="A119" s="22" t="s">
        <v>474</v>
      </c>
      <c r="B119" s="22" t="s">
        <v>475</v>
      </c>
      <c r="C119" s="22" t="s">
        <v>393</v>
      </c>
      <c r="D119" s="22"/>
      <c r="E119" s="22"/>
      <c r="F119" s="23" t="n">
        <f aca="false">D119*E119</f>
        <v>0</v>
      </c>
    </row>
    <row r="120" customFormat="false" ht="15" hidden="false" customHeight="false" outlineLevel="0" collapsed="false">
      <c r="A120" s="22" t="s">
        <v>476</v>
      </c>
      <c r="B120" s="22" t="s">
        <v>107</v>
      </c>
      <c r="C120" s="22" t="s">
        <v>393</v>
      </c>
      <c r="D120" s="22"/>
      <c r="E120" s="22"/>
      <c r="F120" s="23" t="n">
        <f aca="false">D120*E120</f>
        <v>0</v>
      </c>
    </row>
    <row r="121" customFormat="false" ht="15" hidden="false" customHeight="false" outlineLevel="0" collapsed="false">
      <c r="A121" s="22" t="s">
        <v>477</v>
      </c>
      <c r="B121" s="22" t="s">
        <v>478</v>
      </c>
      <c r="C121" s="22" t="s">
        <v>393</v>
      </c>
      <c r="D121" s="22"/>
      <c r="E121" s="22"/>
      <c r="F121" s="23" t="n">
        <f aca="false">D121*E121</f>
        <v>0</v>
      </c>
    </row>
    <row r="122" customFormat="false" ht="15" hidden="false" customHeight="false" outlineLevel="0" collapsed="false">
      <c r="A122" s="22" t="s">
        <v>479</v>
      </c>
      <c r="B122" s="38" t="s">
        <v>108</v>
      </c>
      <c r="C122" s="22" t="s">
        <v>393</v>
      </c>
      <c r="D122" s="35" t="n">
        <v>1370</v>
      </c>
      <c r="E122" s="33" t="n">
        <v>6925.54</v>
      </c>
      <c r="F122" s="25" t="n">
        <f aca="false">D122*E122</f>
        <v>9487989.8</v>
      </c>
    </row>
    <row r="123" customFormat="false" ht="15" hidden="false" customHeight="false" outlineLevel="0" collapsed="false">
      <c r="A123" s="22" t="s">
        <v>480</v>
      </c>
      <c r="B123" s="26" t="s">
        <v>481</v>
      </c>
      <c r="C123" s="22" t="s">
        <v>393</v>
      </c>
      <c r="D123" s="29" t="n">
        <v>14488</v>
      </c>
      <c r="E123" s="33" t="n">
        <v>45451.28</v>
      </c>
      <c r="F123" s="25" t="n">
        <f aca="false">D123*E123</f>
        <v>658498144.64</v>
      </c>
    </row>
    <row r="124" customFormat="false" ht="15" hidden="false" customHeight="false" outlineLevel="0" collapsed="false">
      <c r="A124" s="22" t="s">
        <v>482</v>
      </c>
      <c r="B124" s="26" t="s">
        <v>483</v>
      </c>
      <c r="C124" s="22" t="s">
        <v>393</v>
      </c>
      <c r="D124" s="29" t="n">
        <v>78</v>
      </c>
      <c r="E124" s="33" t="n">
        <v>15150.74</v>
      </c>
      <c r="F124" s="25" t="n">
        <f aca="false">D124*E124</f>
        <v>1181757.72</v>
      </c>
    </row>
    <row r="125" customFormat="false" ht="15" hidden="false" customHeight="false" outlineLevel="0" collapsed="false">
      <c r="A125" s="22" t="s">
        <v>484</v>
      </c>
      <c r="B125" s="26" t="s">
        <v>95</v>
      </c>
      <c r="C125" s="22" t="s">
        <v>451</v>
      </c>
      <c r="D125" s="39" t="n">
        <v>78</v>
      </c>
      <c r="E125" s="40" t="n">
        <v>108650.74</v>
      </c>
      <c r="F125" s="41" t="n">
        <f aca="false">D125*E125</f>
        <v>8474757.72</v>
      </c>
    </row>
    <row r="126" customFormat="false" ht="15" hidden="false" customHeight="false" outlineLevel="0" collapsed="false">
      <c r="A126" s="22" t="s">
        <v>485</v>
      </c>
      <c r="B126" s="26" t="s">
        <v>88</v>
      </c>
      <c r="C126" s="22" t="s">
        <v>311</v>
      </c>
      <c r="D126" s="29" t="n">
        <v>548</v>
      </c>
      <c r="E126" s="33" t="n">
        <v>19549.92</v>
      </c>
      <c r="F126" s="25" t="n">
        <f aca="false">D126*E126</f>
        <v>10713356.16</v>
      </c>
    </row>
    <row r="127" customFormat="false" ht="15" hidden="false" customHeight="false" outlineLevel="0" collapsed="false">
      <c r="A127" s="22" t="s">
        <v>486</v>
      </c>
      <c r="B127" s="22" t="s">
        <v>487</v>
      </c>
      <c r="C127" s="22" t="s">
        <v>311</v>
      </c>
      <c r="D127" s="22"/>
      <c r="E127" s="22"/>
      <c r="F127" s="23" t="n">
        <f aca="false">D127*E127</f>
        <v>0</v>
      </c>
    </row>
    <row r="128" customFormat="false" ht="15" hidden="false" customHeight="false" outlineLevel="0" collapsed="false">
      <c r="A128" s="22" t="s">
        <v>488</v>
      </c>
      <c r="B128" s="26" t="s">
        <v>96</v>
      </c>
      <c r="C128" s="22" t="s">
        <v>395</v>
      </c>
      <c r="D128" s="29" t="n">
        <v>340</v>
      </c>
      <c r="E128" s="33" t="n">
        <v>108650.74</v>
      </c>
      <c r="F128" s="25" t="n">
        <f aca="false">D128*E128</f>
        <v>36941251.6</v>
      </c>
    </row>
    <row r="129" customFormat="false" ht="15" hidden="false" customHeight="false" outlineLevel="0" collapsed="false">
      <c r="A129" s="22" t="s">
        <v>489</v>
      </c>
      <c r="B129" s="22" t="s">
        <v>490</v>
      </c>
      <c r="C129" s="22" t="s">
        <v>393</v>
      </c>
      <c r="D129" s="22"/>
      <c r="E129" s="22"/>
      <c r="F129" s="23" t="n">
        <f aca="false">D129*E129</f>
        <v>0</v>
      </c>
    </row>
    <row r="130" customFormat="false" ht="15" hidden="false" customHeight="false" outlineLevel="0" collapsed="false">
      <c r="A130" s="22" t="s">
        <v>491</v>
      </c>
      <c r="B130" s="26" t="s">
        <v>97</v>
      </c>
      <c r="C130" s="22" t="s">
        <v>327</v>
      </c>
      <c r="D130" s="29" t="n">
        <v>42800</v>
      </c>
      <c r="E130" s="33" t="n">
        <v>459.08</v>
      </c>
      <c r="F130" s="25" t="n">
        <f aca="false">D130*E130</f>
        <v>19648624</v>
      </c>
    </row>
    <row r="131" customFormat="false" ht="15" hidden="false" customHeight="false" outlineLevel="0" collapsed="false">
      <c r="A131" s="22" t="s">
        <v>492</v>
      </c>
      <c r="B131" s="26" t="s">
        <v>98</v>
      </c>
      <c r="C131" s="22" t="s">
        <v>393</v>
      </c>
      <c r="D131" s="29" t="n">
        <v>738</v>
      </c>
      <c r="E131" s="33" t="n">
        <v>9869.86</v>
      </c>
      <c r="F131" s="25" t="n">
        <f aca="false">D131*E131</f>
        <v>7283956.68</v>
      </c>
    </row>
    <row r="132" customFormat="false" ht="15" hidden="false" customHeight="false" outlineLevel="0" collapsed="false">
      <c r="A132" s="22" t="s">
        <v>493</v>
      </c>
      <c r="B132" s="27" t="s">
        <v>99</v>
      </c>
      <c r="C132" s="24" t="s">
        <v>393</v>
      </c>
      <c r="D132" s="29" t="n">
        <v>172</v>
      </c>
      <c r="E132" s="33" t="n">
        <v>5800.74</v>
      </c>
      <c r="F132" s="25" t="n">
        <f aca="false">D132*E132</f>
        <v>997727.28</v>
      </c>
    </row>
    <row r="133" customFormat="false" ht="15" hidden="false" customHeight="false" outlineLevel="0" collapsed="false">
      <c r="A133" s="22" t="s">
        <v>494</v>
      </c>
      <c r="B133" s="26" t="s">
        <v>100</v>
      </c>
      <c r="C133" s="22" t="s">
        <v>393</v>
      </c>
      <c r="D133" s="39" t="n">
        <v>1923</v>
      </c>
      <c r="E133" s="40" t="n">
        <v>49780.34</v>
      </c>
      <c r="F133" s="41" t="n">
        <f aca="false">D133*E133</f>
        <v>95727593.82</v>
      </c>
    </row>
    <row r="134" customFormat="false" ht="15" hidden="false" customHeight="false" outlineLevel="0" collapsed="false">
      <c r="A134" s="22" t="s">
        <v>495</v>
      </c>
      <c r="B134" s="38" t="s">
        <v>496</v>
      </c>
      <c r="C134" s="22" t="s">
        <v>393</v>
      </c>
      <c r="D134" s="42" t="n">
        <v>144</v>
      </c>
      <c r="E134" s="43" t="n">
        <v>6925.54</v>
      </c>
      <c r="F134" s="44" t="n">
        <f aca="false">D134*E134</f>
        <v>997277.76</v>
      </c>
    </row>
    <row r="135" customFormat="false" ht="15" hidden="false" customHeight="false" outlineLevel="0" collapsed="false">
      <c r="A135" s="22" t="s">
        <v>497</v>
      </c>
      <c r="B135" s="26" t="s">
        <v>101</v>
      </c>
      <c r="C135" s="22" t="s">
        <v>393</v>
      </c>
      <c r="D135" s="29" t="n">
        <v>26572</v>
      </c>
      <c r="E135" s="33" t="n">
        <v>9090.07</v>
      </c>
      <c r="F135" s="25" t="n">
        <f aca="false">D135*E135</f>
        <v>241541340.04</v>
      </c>
    </row>
    <row r="136" customFormat="false" ht="15" hidden="false" customHeight="false" outlineLevel="0" collapsed="false">
      <c r="A136" s="22" t="s">
        <v>498</v>
      </c>
      <c r="B136" s="26" t="s">
        <v>102</v>
      </c>
      <c r="C136" s="22" t="s">
        <v>393</v>
      </c>
      <c r="D136" s="29" t="n">
        <v>489</v>
      </c>
      <c r="E136" s="33" t="n">
        <v>22942.1</v>
      </c>
      <c r="F136" s="25" t="n">
        <f aca="false">D136*E136</f>
        <v>11218686.9</v>
      </c>
    </row>
    <row r="137" customFormat="false" ht="15" hidden="false" customHeight="false" outlineLevel="0" collapsed="false">
      <c r="A137" s="22" t="s">
        <v>499</v>
      </c>
      <c r="B137" s="26" t="s">
        <v>103</v>
      </c>
      <c r="C137" s="22" t="s">
        <v>393</v>
      </c>
      <c r="D137" s="29" t="n">
        <v>1236</v>
      </c>
      <c r="E137" s="33" t="n">
        <v>12986.22</v>
      </c>
      <c r="F137" s="25" t="n">
        <f aca="false">D137*E137</f>
        <v>16050967.92</v>
      </c>
    </row>
    <row r="138" customFormat="false" ht="15" hidden="false" customHeight="false" outlineLevel="0" collapsed="false">
      <c r="A138" s="22" t="s">
        <v>500</v>
      </c>
      <c r="B138" s="26" t="s">
        <v>104</v>
      </c>
      <c r="C138" s="22" t="s">
        <v>393</v>
      </c>
      <c r="D138" s="29" t="n">
        <v>285</v>
      </c>
      <c r="E138" s="33" t="n">
        <v>18180.14</v>
      </c>
      <c r="F138" s="25" t="n">
        <f aca="false">D138*E138</f>
        <v>5181339.9</v>
      </c>
    </row>
    <row r="139" customFormat="false" ht="15" hidden="false" customHeight="false" outlineLevel="0" collapsed="false">
      <c r="A139" s="22" t="s">
        <v>501</v>
      </c>
      <c r="B139" s="26" t="s">
        <v>105</v>
      </c>
      <c r="C139" s="22" t="s">
        <v>393</v>
      </c>
      <c r="D139" s="29" t="n">
        <v>30</v>
      </c>
      <c r="E139" s="33" t="n">
        <v>49780.34</v>
      </c>
      <c r="F139" s="25" t="n">
        <f aca="false">D139*E139</f>
        <v>1493410.2</v>
      </c>
    </row>
    <row r="140" customFormat="false" ht="15" hidden="false" customHeight="false" outlineLevel="0" collapsed="false">
      <c r="A140" s="22" t="s">
        <v>502</v>
      </c>
      <c r="B140" s="27" t="s">
        <v>106</v>
      </c>
      <c r="C140" s="24" t="s">
        <v>393</v>
      </c>
      <c r="D140" s="29" t="n">
        <v>749</v>
      </c>
      <c r="E140" s="33" t="n">
        <v>9090.07</v>
      </c>
      <c r="F140" s="25" t="n">
        <f aca="false">D140*E140</f>
        <v>6808462.43</v>
      </c>
    </row>
    <row r="141" customFormat="false" ht="15" hidden="false" customHeight="false" outlineLevel="0" collapsed="false">
      <c r="A141" s="22" t="s">
        <v>503</v>
      </c>
      <c r="B141" s="27" t="s">
        <v>112</v>
      </c>
      <c r="C141" s="24" t="s">
        <v>327</v>
      </c>
      <c r="D141" s="29" t="n">
        <v>870</v>
      </c>
      <c r="E141" s="33" t="n">
        <v>7618.38</v>
      </c>
      <c r="F141" s="25" t="n">
        <f aca="false">D141*E141</f>
        <v>6627990.6</v>
      </c>
    </row>
    <row r="142" customFormat="false" ht="15" hidden="false" customHeight="false" outlineLevel="0" collapsed="false">
      <c r="A142" s="22" t="s">
        <v>504</v>
      </c>
      <c r="B142" s="26" t="s">
        <v>111</v>
      </c>
      <c r="C142" s="22" t="s">
        <v>327</v>
      </c>
      <c r="D142" s="29" t="n">
        <v>1460</v>
      </c>
      <c r="E142" s="33" t="n">
        <v>7618.38</v>
      </c>
      <c r="F142" s="25" t="n">
        <f aca="false">D142*E142</f>
        <v>11122834.8</v>
      </c>
    </row>
    <row r="143" customFormat="false" ht="15" hidden="false" customHeight="false" outlineLevel="0" collapsed="false">
      <c r="A143" s="22" t="s">
        <v>505</v>
      </c>
      <c r="B143" s="26" t="s">
        <v>114</v>
      </c>
      <c r="C143" s="22" t="s">
        <v>393</v>
      </c>
      <c r="D143" s="29" t="n">
        <v>261</v>
      </c>
      <c r="E143" s="33" t="n">
        <v>18180.14</v>
      </c>
      <c r="F143" s="25" t="n">
        <f aca="false">D143*E143</f>
        <v>4745016.54</v>
      </c>
    </row>
    <row r="144" customFormat="false" ht="15" hidden="false" customHeight="false" outlineLevel="0" collapsed="false">
      <c r="A144" s="22" t="s">
        <v>506</v>
      </c>
      <c r="B144" s="26" t="s">
        <v>113</v>
      </c>
      <c r="C144" s="22" t="s">
        <v>393</v>
      </c>
      <c r="D144" s="29" t="n">
        <v>312</v>
      </c>
      <c r="E144" s="33" t="n">
        <v>15583.64</v>
      </c>
      <c r="F144" s="25" t="n">
        <f aca="false">D144*E144</f>
        <v>4862095.68</v>
      </c>
    </row>
    <row r="145" customFormat="false" ht="15" hidden="false" customHeight="false" outlineLevel="0" collapsed="false">
      <c r="A145" s="22" t="s">
        <v>507</v>
      </c>
      <c r="B145" s="26" t="s">
        <v>115</v>
      </c>
      <c r="C145" s="22" t="s">
        <v>327</v>
      </c>
      <c r="D145" s="29" t="n">
        <v>1947</v>
      </c>
      <c r="E145" s="33" t="n">
        <v>6059.74</v>
      </c>
      <c r="F145" s="25" t="n">
        <f aca="false">D145*E145</f>
        <v>11798313.78</v>
      </c>
    </row>
    <row r="146" customFormat="false" ht="15" hidden="false" customHeight="false" outlineLevel="0" collapsed="false">
      <c r="A146" s="22" t="s">
        <v>508</v>
      </c>
      <c r="B146" s="26" t="s">
        <v>116</v>
      </c>
      <c r="C146" s="22" t="s">
        <v>393</v>
      </c>
      <c r="D146" s="29" t="n">
        <v>1969</v>
      </c>
      <c r="E146" s="33" t="n">
        <v>19045.95</v>
      </c>
      <c r="F146" s="25" t="n">
        <f aca="false">D146*E146</f>
        <v>37501475.55</v>
      </c>
    </row>
    <row r="147" customFormat="false" ht="15" hidden="false" customHeight="false" outlineLevel="0" collapsed="false">
      <c r="A147" s="22" t="s">
        <v>509</v>
      </c>
      <c r="B147" s="26" t="s">
        <v>117</v>
      </c>
      <c r="C147" s="22" t="s">
        <v>393</v>
      </c>
      <c r="D147" s="29" t="n">
        <v>470</v>
      </c>
      <c r="E147" s="33" t="n">
        <v>16449.46</v>
      </c>
      <c r="F147" s="25" t="n">
        <f aca="false">D147*E147</f>
        <v>7731246.2</v>
      </c>
    </row>
    <row r="148" customFormat="false" ht="15" hidden="false" customHeight="false" outlineLevel="0" collapsed="false">
      <c r="A148" s="22" t="s">
        <v>510</v>
      </c>
      <c r="B148" s="26" t="s">
        <v>118</v>
      </c>
      <c r="C148" s="22" t="s">
        <v>395</v>
      </c>
      <c r="D148" s="29" t="n">
        <v>288</v>
      </c>
      <c r="E148" s="33" t="n">
        <v>14284.93</v>
      </c>
      <c r="F148" s="25" t="n">
        <f aca="false">D148*E148</f>
        <v>4114059.84</v>
      </c>
    </row>
    <row r="149" customFormat="false" ht="15" hidden="false" customHeight="false" outlineLevel="0" collapsed="false">
      <c r="A149" s="22" t="s">
        <v>511</v>
      </c>
      <c r="B149" s="26" t="s">
        <v>119</v>
      </c>
      <c r="C149" s="22" t="s">
        <v>327</v>
      </c>
      <c r="D149" s="29" t="n">
        <v>260</v>
      </c>
      <c r="E149" s="33" t="n">
        <v>21643.38</v>
      </c>
      <c r="F149" s="25" t="n">
        <f aca="false">D149*E149</f>
        <v>5627278.8</v>
      </c>
    </row>
    <row r="150" customFormat="false" ht="15" hidden="false" customHeight="false" outlineLevel="0" collapsed="false">
      <c r="A150" s="22" t="s">
        <v>512</v>
      </c>
      <c r="B150" s="26" t="s">
        <v>120</v>
      </c>
      <c r="C150" s="22" t="s">
        <v>327</v>
      </c>
      <c r="D150" s="29" t="n">
        <v>80</v>
      </c>
      <c r="E150" s="33" t="n">
        <v>20777.57</v>
      </c>
      <c r="F150" s="25" t="n">
        <f aca="false">D150*E150</f>
        <v>1662205.6</v>
      </c>
    </row>
    <row r="151" customFormat="false" ht="15" hidden="false" customHeight="false" outlineLevel="0" collapsed="false">
      <c r="A151" s="22" t="s">
        <v>513</v>
      </c>
      <c r="B151" s="26" t="s">
        <v>121</v>
      </c>
      <c r="C151" s="22" t="s">
        <v>393</v>
      </c>
      <c r="D151" s="29" t="n">
        <v>2934</v>
      </c>
      <c r="E151" s="33" t="n">
        <v>11254.6</v>
      </c>
      <c r="F151" s="25" t="n">
        <f aca="false">D151*E151</f>
        <v>33020996.4</v>
      </c>
    </row>
    <row r="152" customFormat="false" ht="15" hidden="false" customHeight="false" outlineLevel="0" collapsed="false">
      <c r="A152" s="22" t="s">
        <v>514</v>
      </c>
      <c r="B152" s="26" t="s">
        <v>122</v>
      </c>
      <c r="C152" s="22" t="s">
        <v>327</v>
      </c>
      <c r="D152" s="29" t="n">
        <v>163</v>
      </c>
      <c r="E152" s="33" t="n">
        <v>8138.24</v>
      </c>
      <c r="F152" s="25" t="n">
        <f aca="false">D152*E152</f>
        <v>1326533.12</v>
      </c>
    </row>
    <row r="153" customFormat="false" ht="15" hidden="false" customHeight="false" outlineLevel="0" collapsed="false">
      <c r="A153" s="22" t="s">
        <v>515</v>
      </c>
      <c r="B153" s="38" t="s">
        <v>516</v>
      </c>
      <c r="C153" s="22" t="s">
        <v>451</v>
      </c>
      <c r="D153" s="35" t="n">
        <v>72</v>
      </c>
      <c r="E153" s="33" t="n">
        <v>22509.19</v>
      </c>
      <c r="F153" s="25" t="n">
        <f aca="false">D153*E153</f>
        <v>1620661.68</v>
      </c>
    </row>
    <row r="154" customFormat="false" ht="15" hidden="false" customHeight="false" outlineLevel="0" collapsed="false">
      <c r="A154" s="22" t="s">
        <v>517</v>
      </c>
      <c r="B154" s="26" t="s">
        <v>123</v>
      </c>
      <c r="C154" s="22" t="s">
        <v>393</v>
      </c>
      <c r="D154" s="29" t="n">
        <v>132</v>
      </c>
      <c r="E154" s="33" t="n">
        <v>17315.26</v>
      </c>
      <c r="F154" s="25" t="n">
        <f aca="false">D154*E154</f>
        <v>2285614.32</v>
      </c>
    </row>
    <row r="155" customFormat="false" ht="15" hidden="false" customHeight="false" outlineLevel="0" collapsed="false">
      <c r="A155" s="22" t="s">
        <v>518</v>
      </c>
      <c r="B155" s="22" t="s">
        <v>519</v>
      </c>
      <c r="C155" s="22" t="s">
        <v>327</v>
      </c>
      <c r="D155" s="24"/>
      <c r="E155" s="24"/>
      <c r="F155" s="25" t="n">
        <f aca="false">D155*E155</f>
        <v>0</v>
      </c>
    </row>
    <row r="156" customFormat="false" ht="15" hidden="false" customHeight="false" outlineLevel="0" collapsed="false">
      <c r="A156" s="22" t="s">
        <v>520</v>
      </c>
      <c r="B156" s="26" t="s">
        <v>124</v>
      </c>
      <c r="C156" s="22" t="s">
        <v>393</v>
      </c>
      <c r="D156" s="29" t="n">
        <v>8</v>
      </c>
      <c r="E156" s="33" t="n">
        <v>17315.26</v>
      </c>
      <c r="F156" s="25" t="n">
        <f aca="false">D156*E156</f>
        <v>138522.08</v>
      </c>
    </row>
    <row r="157" customFormat="false" ht="15" hidden="false" customHeight="false" outlineLevel="0" collapsed="false">
      <c r="A157" s="22" t="s">
        <v>521</v>
      </c>
      <c r="B157" s="38" t="s">
        <v>522</v>
      </c>
      <c r="C157" s="22" t="s">
        <v>327</v>
      </c>
      <c r="D157" s="35" t="n">
        <v>5934</v>
      </c>
      <c r="E157" s="33" t="n">
        <v>8224.26</v>
      </c>
      <c r="F157" s="25" t="n">
        <f aca="false">D157*E157</f>
        <v>48802758.84</v>
      </c>
    </row>
    <row r="158" customFormat="false" ht="15" hidden="false" customHeight="false" outlineLevel="0" collapsed="false">
      <c r="A158" s="22" t="s">
        <v>523</v>
      </c>
      <c r="B158" s="26" t="s">
        <v>126</v>
      </c>
      <c r="C158" s="22" t="s">
        <v>327</v>
      </c>
      <c r="D158" s="29" t="n">
        <v>34074</v>
      </c>
      <c r="E158" s="33" t="n">
        <v>5453.86</v>
      </c>
      <c r="F158" s="25" t="n">
        <f aca="false">D158*E158</f>
        <v>185834825.64</v>
      </c>
    </row>
    <row r="159" customFormat="false" ht="15" hidden="false" customHeight="false" outlineLevel="0" collapsed="false">
      <c r="A159" s="22" t="s">
        <v>524</v>
      </c>
      <c r="B159" s="26" t="s">
        <v>127</v>
      </c>
      <c r="C159" s="22" t="s">
        <v>327</v>
      </c>
      <c r="D159" s="29" t="n">
        <v>2463</v>
      </c>
      <c r="E159" s="33" t="n">
        <v>5453.86</v>
      </c>
      <c r="F159" s="25" t="n">
        <f aca="false">D159*E159</f>
        <v>13432857.18</v>
      </c>
    </row>
    <row r="160" customFormat="false" ht="15" hidden="false" customHeight="false" outlineLevel="0" collapsed="false">
      <c r="A160" s="22" t="s">
        <v>525</v>
      </c>
      <c r="B160" s="26" t="s">
        <v>128</v>
      </c>
      <c r="C160" s="22" t="s">
        <v>327</v>
      </c>
      <c r="D160" s="29" t="n">
        <v>454</v>
      </c>
      <c r="E160" s="33" t="n">
        <v>14284.93</v>
      </c>
      <c r="F160" s="25" t="n">
        <f aca="false">D160*E160</f>
        <v>6485358.22</v>
      </c>
    </row>
    <row r="161" customFormat="false" ht="15" hidden="false" customHeight="false" outlineLevel="0" collapsed="false">
      <c r="A161" s="22" t="s">
        <v>526</v>
      </c>
      <c r="B161" s="22" t="s">
        <v>527</v>
      </c>
      <c r="C161" s="22" t="s">
        <v>528</v>
      </c>
      <c r="D161" s="22"/>
      <c r="E161" s="22"/>
      <c r="F161" s="23" t="n">
        <f aca="false">D161*E161</f>
        <v>0</v>
      </c>
    </row>
    <row r="162" customFormat="false" ht="25.35" hidden="false" customHeight="false" outlineLevel="0" collapsed="false">
      <c r="A162" s="22" t="s">
        <v>529</v>
      </c>
      <c r="B162" s="38" t="s">
        <v>168</v>
      </c>
      <c r="C162" s="22" t="s">
        <v>303</v>
      </c>
      <c r="D162" s="35" t="n">
        <v>83</v>
      </c>
      <c r="E162" s="33" t="n">
        <v>30500</v>
      </c>
      <c r="F162" s="25" t="n">
        <f aca="false">D162*E162</f>
        <v>2531500</v>
      </c>
    </row>
    <row r="163" customFormat="false" ht="25.35" hidden="false" customHeight="false" outlineLevel="0" collapsed="false">
      <c r="A163" s="22" t="s">
        <v>530</v>
      </c>
      <c r="B163" s="26" t="s">
        <v>147</v>
      </c>
      <c r="C163" s="22" t="s">
        <v>327</v>
      </c>
      <c r="D163" s="29" t="n">
        <v>344</v>
      </c>
      <c r="E163" s="33" t="n">
        <v>4608.33</v>
      </c>
      <c r="F163" s="25" t="n">
        <f aca="false">D163*E163</f>
        <v>1585265.52</v>
      </c>
    </row>
    <row r="164" customFormat="false" ht="25.35" hidden="false" customHeight="false" outlineLevel="0" collapsed="false">
      <c r="A164" s="22" t="s">
        <v>531</v>
      </c>
      <c r="B164" s="22" t="s">
        <v>532</v>
      </c>
      <c r="C164" s="22" t="s">
        <v>528</v>
      </c>
      <c r="D164" s="24"/>
      <c r="E164" s="24"/>
      <c r="F164" s="25" t="n">
        <f aca="false">D164*E164</f>
        <v>0</v>
      </c>
    </row>
    <row r="165" customFormat="false" ht="25.35" hidden="false" customHeight="false" outlineLevel="0" collapsed="false">
      <c r="A165" s="37" t="s">
        <v>533</v>
      </c>
      <c r="B165" s="26" t="s">
        <v>140</v>
      </c>
      <c r="C165" s="37" t="s">
        <v>528</v>
      </c>
      <c r="D165" s="29" t="n">
        <v>1328</v>
      </c>
      <c r="E165" s="33" t="n">
        <v>186415</v>
      </c>
      <c r="F165" s="25" t="n">
        <f aca="false">D165*E165</f>
        <v>247559120</v>
      </c>
    </row>
    <row r="166" customFormat="false" ht="25.35" hidden="false" customHeight="false" outlineLevel="0" collapsed="false">
      <c r="A166" s="37" t="s">
        <v>534</v>
      </c>
      <c r="B166" s="26" t="s">
        <v>142</v>
      </c>
      <c r="C166" s="37" t="s">
        <v>528</v>
      </c>
      <c r="D166" s="29" t="n">
        <v>1150</v>
      </c>
      <c r="E166" s="33" t="n">
        <v>183667</v>
      </c>
      <c r="F166" s="25" t="n">
        <f aca="false">D166*E166</f>
        <v>211217050</v>
      </c>
    </row>
    <row r="167" customFormat="false" ht="25.35" hidden="false" customHeight="false" outlineLevel="0" collapsed="false">
      <c r="A167" s="37" t="s">
        <v>535</v>
      </c>
      <c r="B167" s="26" t="s">
        <v>141</v>
      </c>
      <c r="C167" s="37" t="s">
        <v>528</v>
      </c>
      <c r="D167" s="29" t="n">
        <v>2539</v>
      </c>
      <c r="E167" s="33" t="n">
        <v>186415</v>
      </c>
      <c r="F167" s="25" t="n">
        <f aca="false">D167*E167</f>
        <v>473307685</v>
      </c>
    </row>
    <row r="168" customFormat="false" ht="25.35" hidden="false" customHeight="false" outlineLevel="0" collapsed="false">
      <c r="A168" s="22" t="s">
        <v>536</v>
      </c>
      <c r="B168" s="22" t="s">
        <v>149</v>
      </c>
      <c r="C168" s="22" t="s">
        <v>528</v>
      </c>
      <c r="D168" s="24"/>
      <c r="E168" s="24"/>
      <c r="F168" s="25" t="n">
        <f aca="false">D168*E168</f>
        <v>0</v>
      </c>
    </row>
    <row r="169" customFormat="false" ht="25.35" hidden="false" customHeight="false" outlineLevel="0" collapsed="false">
      <c r="A169" s="22" t="s">
        <v>537</v>
      </c>
      <c r="B169" s="22" t="s">
        <v>143</v>
      </c>
      <c r="C169" s="22" t="s">
        <v>528</v>
      </c>
      <c r="D169" s="24"/>
      <c r="E169" s="24"/>
      <c r="F169" s="25" t="n">
        <f aca="false">D169*E169</f>
        <v>0</v>
      </c>
    </row>
    <row r="170" customFormat="false" ht="25.35" hidden="false" customHeight="false" outlineLevel="0" collapsed="false">
      <c r="A170" s="22" t="s">
        <v>538</v>
      </c>
      <c r="B170" s="26" t="s">
        <v>144</v>
      </c>
      <c r="C170" s="22" t="s">
        <v>528</v>
      </c>
      <c r="D170" s="29" t="n">
        <v>583</v>
      </c>
      <c r="E170" s="33" t="n">
        <v>184320</v>
      </c>
      <c r="F170" s="25" t="n">
        <f aca="false">D170*E170</f>
        <v>107458560</v>
      </c>
    </row>
    <row r="171" customFormat="false" ht="25.35" hidden="false" customHeight="false" outlineLevel="0" collapsed="false">
      <c r="A171" s="22" t="s">
        <v>539</v>
      </c>
      <c r="B171" s="26" t="s">
        <v>146</v>
      </c>
      <c r="C171" s="22" t="s">
        <v>528</v>
      </c>
      <c r="D171" s="29" t="n">
        <v>115</v>
      </c>
      <c r="E171" s="33" t="n">
        <v>191651</v>
      </c>
      <c r="F171" s="25" t="n">
        <f aca="false">D171*E171</f>
        <v>22039865</v>
      </c>
    </row>
    <row r="172" customFormat="false" ht="25.35" hidden="false" customHeight="false" outlineLevel="0" collapsed="false">
      <c r="A172" s="22" t="s">
        <v>540</v>
      </c>
      <c r="B172" s="26" t="s">
        <v>149</v>
      </c>
      <c r="C172" s="22" t="s">
        <v>327</v>
      </c>
      <c r="D172" s="29" t="n">
        <v>1236</v>
      </c>
      <c r="E172" s="33" t="n">
        <v>16000</v>
      </c>
      <c r="F172" s="25" t="n">
        <f aca="false">D172*E172</f>
        <v>19776000</v>
      </c>
    </row>
    <row r="173" customFormat="false" ht="25.35" hidden="false" customHeight="false" outlineLevel="0" collapsed="false">
      <c r="A173" s="22" t="s">
        <v>541</v>
      </c>
      <c r="B173" s="22" t="s">
        <v>542</v>
      </c>
      <c r="C173" s="22" t="s">
        <v>528</v>
      </c>
      <c r="D173" s="24"/>
      <c r="E173" s="24"/>
      <c r="F173" s="25" t="n">
        <f aca="false">D173*E173</f>
        <v>0</v>
      </c>
    </row>
    <row r="174" customFormat="false" ht="25.35" hidden="false" customHeight="false" outlineLevel="0" collapsed="false">
      <c r="A174" s="22" t="s">
        <v>543</v>
      </c>
      <c r="B174" s="22" t="s">
        <v>148</v>
      </c>
      <c r="C174" s="22" t="s">
        <v>303</v>
      </c>
      <c r="D174" s="24"/>
      <c r="E174" s="24"/>
      <c r="F174" s="25" t="n">
        <f aca="false">D174*E174</f>
        <v>0</v>
      </c>
    </row>
    <row r="175" customFormat="false" ht="25.35" hidden="false" customHeight="false" outlineLevel="0" collapsed="false">
      <c r="A175" s="22" t="s">
        <v>544</v>
      </c>
      <c r="B175" s="22" t="s">
        <v>146</v>
      </c>
      <c r="C175" s="22" t="s">
        <v>327</v>
      </c>
      <c r="D175" s="24"/>
      <c r="E175" s="24"/>
      <c r="F175" s="25" t="n">
        <f aca="false">D175*E175</f>
        <v>0</v>
      </c>
    </row>
    <row r="176" customFormat="false" ht="25.35" hidden="false" customHeight="false" outlineLevel="0" collapsed="false">
      <c r="A176" s="22" t="s">
        <v>545</v>
      </c>
      <c r="B176" s="22" t="s">
        <v>546</v>
      </c>
      <c r="C176" s="22" t="s">
        <v>528</v>
      </c>
      <c r="D176" s="24"/>
      <c r="E176" s="24"/>
      <c r="F176" s="25" t="n">
        <f aca="false">D176*E176</f>
        <v>0</v>
      </c>
    </row>
    <row r="177" customFormat="false" ht="25.35" hidden="false" customHeight="false" outlineLevel="0" collapsed="false">
      <c r="A177" s="26" t="s">
        <v>547</v>
      </c>
      <c r="B177" s="26" t="s">
        <v>548</v>
      </c>
      <c r="C177" s="26" t="s">
        <v>528</v>
      </c>
      <c r="D177" s="29" t="n">
        <v>810</v>
      </c>
      <c r="E177" s="33" t="n">
        <v>115200</v>
      </c>
      <c r="F177" s="25" t="n">
        <f aca="false">D177*E177</f>
        <v>93312000</v>
      </c>
    </row>
    <row r="178" customFormat="false" ht="25.35" hidden="false" customHeight="false" outlineLevel="0" collapsed="false">
      <c r="A178" s="26" t="s">
        <v>549</v>
      </c>
      <c r="B178" s="26" t="s">
        <v>550</v>
      </c>
      <c r="C178" s="26" t="s">
        <v>528</v>
      </c>
      <c r="D178" s="29" t="n">
        <v>280</v>
      </c>
      <c r="E178" s="33" t="n">
        <v>267055</v>
      </c>
      <c r="F178" s="25" t="n">
        <f aca="false">D178*E178</f>
        <v>74775400</v>
      </c>
    </row>
    <row r="179" customFormat="false" ht="25.35" hidden="false" customHeight="false" outlineLevel="0" collapsed="false">
      <c r="A179" s="22" t="s">
        <v>551</v>
      </c>
      <c r="B179" s="26" t="s">
        <v>139</v>
      </c>
      <c r="C179" s="22" t="s">
        <v>528</v>
      </c>
      <c r="D179" s="29" t="n">
        <v>188</v>
      </c>
      <c r="E179" s="33" t="n">
        <v>183667</v>
      </c>
      <c r="F179" s="25" t="n">
        <f aca="false">D179*E179</f>
        <v>34529396</v>
      </c>
    </row>
    <row r="180" customFormat="false" ht="25.35" hidden="false" customHeight="false" outlineLevel="0" collapsed="false">
      <c r="A180" s="22" t="s">
        <v>552</v>
      </c>
      <c r="B180" s="22" t="s">
        <v>553</v>
      </c>
      <c r="C180" s="22" t="s">
        <v>528</v>
      </c>
      <c r="D180" s="24"/>
      <c r="E180" s="24"/>
      <c r="F180" s="25" t="n">
        <f aca="false">D180*E180</f>
        <v>0</v>
      </c>
    </row>
    <row r="181" customFormat="false" ht="25.35" hidden="false" customHeight="false" outlineLevel="0" collapsed="false">
      <c r="A181" s="22" t="s">
        <v>554</v>
      </c>
      <c r="B181" s="22" t="s">
        <v>553</v>
      </c>
      <c r="C181" s="22" t="s">
        <v>303</v>
      </c>
      <c r="D181" s="24"/>
      <c r="E181" s="24"/>
      <c r="F181" s="25" t="n">
        <f aca="false">D181*E181</f>
        <v>0</v>
      </c>
    </row>
    <row r="182" customFormat="false" ht="25.35" hidden="false" customHeight="false" outlineLevel="0" collapsed="false">
      <c r="A182" s="37" t="s">
        <v>555</v>
      </c>
      <c r="B182" s="26" t="s">
        <v>556</v>
      </c>
      <c r="C182" s="37" t="s">
        <v>528</v>
      </c>
      <c r="D182" s="29" t="n">
        <v>2</v>
      </c>
      <c r="E182" s="33" t="n">
        <v>184473</v>
      </c>
      <c r="F182" s="25" t="n">
        <f aca="false">D182*E182</f>
        <v>368946</v>
      </c>
    </row>
    <row r="183" customFormat="false" ht="25.35" hidden="false" customHeight="false" outlineLevel="0" collapsed="false">
      <c r="A183" s="22" t="s">
        <v>557</v>
      </c>
      <c r="B183" s="26" t="s">
        <v>151</v>
      </c>
      <c r="C183" s="22" t="s">
        <v>528</v>
      </c>
      <c r="D183" s="29" t="n">
        <v>319</v>
      </c>
      <c r="E183" s="33" t="n">
        <v>189655</v>
      </c>
      <c r="F183" s="25" t="n">
        <f aca="false">D183*E183</f>
        <v>60499945</v>
      </c>
    </row>
    <row r="184" customFormat="false" ht="25.35" hidden="false" customHeight="false" outlineLevel="0" collapsed="false">
      <c r="A184" s="22" t="s">
        <v>558</v>
      </c>
      <c r="B184" s="26" t="s">
        <v>559</v>
      </c>
      <c r="C184" s="22" t="s">
        <v>528</v>
      </c>
      <c r="D184" s="29" t="n">
        <v>50</v>
      </c>
      <c r="E184" s="33" t="n">
        <v>170182</v>
      </c>
      <c r="F184" s="25" t="n">
        <f aca="false">D184*E184</f>
        <v>8509100</v>
      </c>
    </row>
    <row r="185" customFormat="false" ht="25.35" hidden="false" customHeight="false" outlineLevel="0" collapsed="false">
      <c r="A185" s="22" t="s">
        <v>560</v>
      </c>
      <c r="B185" s="22" t="s">
        <v>561</v>
      </c>
      <c r="C185" s="22" t="s">
        <v>528</v>
      </c>
      <c r="D185" s="24"/>
      <c r="E185" s="24"/>
      <c r="F185" s="25" t="n">
        <f aca="false">D185*E185</f>
        <v>0</v>
      </c>
    </row>
    <row r="186" customFormat="false" ht="15" hidden="false" customHeight="false" outlineLevel="0" collapsed="false">
      <c r="A186" s="22" t="s">
        <v>562</v>
      </c>
      <c r="B186" s="22" t="s">
        <v>563</v>
      </c>
      <c r="C186" s="22" t="s">
        <v>327</v>
      </c>
      <c r="D186" s="24"/>
      <c r="E186" s="24"/>
      <c r="F186" s="25" t="n">
        <f aca="false">D186*E186</f>
        <v>0</v>
      </c>
    </row>
    <row r="187" s="47" customFormat="true" ht="15" hidden="false" customHeight="false" outlineLevel="0" collapsed="false">
      <c r="A187" s="45" t="s">
        <v>564</v>
      </c>
      <c r="B187" s="45" t="s">
        <v>40</v>
      </c>
      <c r="C187" s="45" t="s">
        <v>327</v>
      </c>
      <c r="D187" s="46" t="n">
        <v>2430</v>
      </c>
      <c r="E187" s="28" t="n">
        <v>40050</v>
      </c>
      <c r="F187" s="25" t="n">
        <f aca="false">D187*E187</f>
        <v>97321500</v>
      </c>
    </row>
    <row r="188" customFormat="false" ht="15" hidden="false" customHeight="false" outlineLevel="0" collapsed="false">
      <c r="A188" s="22" t="s">
        <v>565</v>
      </c>
      <c r="B188" s="22" t="s">
        <v>43</v>
      </c>
      <c r="C188" s="22" t="s">
        <v>303</v>
      </c>
      <c r="D188" s="24"/>
      <c r="E188" s="24"/>
      <c r="F188" s="25" t="n">
        <f aca="false">D188*E188</f>
        <v>0</v>
      </c>
    </row>
    <row r="189" customFormat="false" ht="15" hidden="false" customHeight="false" outlineLevel="0" collapsed="false">
      <c r="A189" s="26" t="s">
        <v>566</v>
      </c>
      <c r="B189" s="26" t="s">
        <v>44</v>
      </c>
      <c r="C189" s="26" t="s">
        <v>327</v>
      </c>
      <c r="D189" s="29" t="n">
        <v>9455</v>
      </c>
      <c r="E189" s="33" t="n">
        <v>36184</v>
      </c>
      <c r="F189" s="25" t="n">
        <f aca="false">D189*E189</f>
        <v>342119720</v>
      </c>
    </row>
    <row r="190" customFormat="false" ht="15" hidden="false" customHeight="false" outlineLevel="0" collapsed="false">
      <c r="A190" s="26" t="s">
        <v>567</v>
      </c>
      <c r="B190" s="26" t="s">
        <v>45</v>
      </c>
      <c r="C190" s="26" t="s">
        <v>327</v>
      </c>
      <c r="D190" s="29" t="n">
        <v>95</v>
      </c>
      <c r="E190" s="33" t="n">
        <v>36184</v>
      </c>
      <c r="F190" s="25" t="n">
        <f aca="false">D190*E190</f>
        <v>3437480</v>
      </c>
    </row>
    <row r="191" customFormat="false" ht="15" hidden="false" customHeight="false" outlineLevel="0" collapsed="false">
      <c r="A191" s="26" t="s">
        <v>568</v>
      </c>
      <c r="B191" s="26" t="s">
        <v>46</v>
      </c>
      <c r="C191" s="26" t="s">
        <v>327</v>
      </c>
      <c r="D191" s="29" t="n">
        <v>65</v>
      </c>
      <c r="E191" s="33" t="n">
        <v>36184</v>
      </c>
      <c r="F191" s="25" t="n">
        <f aca="false">D191*E191</f>
        <v>2351960</v>
      </c>
    </row>
    <row r="192" customFormat="false" ht="25.35" hidden="false" customHeight="false" outlineLevel="0" collapsed="false">
      <c r="A192" s="22" t="s">
        <v>569</v>
      </c>
      <c r="B192" s="22" t="s">
        <v>570</v>
      </c>
      <c r="C192" s="22" t="s">
        <v>327</v>
      </c>
      <c r="D192" s="24"/>
      <c r="E192" s="24"/>
      <c r="F192" s="25" t="n">
        <f aca="false">D192*E192</f>
        <v>0</v>
      </c>
    </row>
    <row r="193" customFormat="false" ht="25.35" hidden="false" customHeight="false" outlineLevel="0" collapsed="false">
      <c r="A193" s="22" t="s">
        <v>571</v>
      </c>
      <c r="B193" s="26" t="s">
        <v>572</v>
      </c>
      <c r="C193" s="22" t="s">
        <v>528</v>
      </c>
      <c r="D193" s="29" t="n">
        <v>123</v>
      </c>
      <c r="E193" s="33" t="n">
        <v>234589</v>
      </c>
      <c r="F193" s="25" t="n">
        <f aca="false">D193*E193</f>
        <v>28854447</v>
      </c>
    </row>
    <row r="194" customFormat="false" ht="25.35" hidden="false" customHeight="false" outlineLevel="0" collapsed="false">
      <c r="A194" s="22" t="s">
        <v>573</v>
      </c>
      <c r="B194" s="26" t="s">
        <v>574</v>
      </c>
      <c r="C194" s="22" t="s">
        <v>528</v>
      </c>
      <c r="D194" s="29" t="n">
        <v>117</v>
      </c>
      <c r="E194" s="33" t="n">
        <v>167564</v>
      </c>
      <c r="F194" s="25" t="n">
        <f aca="false">D194*E194</f>
        <v>19604988</v>
      </c>
    </row>
    <row r="195" customFormat="false" ht="25.35" hidden="false" customHeight="false" outlineLevel="0" collapsed="false">
      <c r="A195" s="22" t="s">
        <v>575</v>
      </c>
      <c r="B195" s="37" t="s">
        <v>155</v>
      </c>
      <c r="C195" s="22" t="s">
        <v>528</v>
      </c>
      <c r="D195" s="22"/>
      <c r="E195" s="22"/>
      <c r="F195" s="23" t="n">
        <f aca="false">D195*E195</f>
        <v>0</v>
      </c>
    </row>
    <row r="196" customFormat="false" ht="25.35" hidden="false" customHeight="false" outlineLevel="0" collapsed="false">
      <c r="A196" s="22" t="s">
        <v>576</v>
      </c>
      <c r="B196" s="26" t="s">
        <v>577</v>
      </c>
      <c r="C196" s="22" t="s">
        <v>528</v>
      </c>
      <c r="D196" s="29" t="n">
        <v>70</v>
      </c>
      <c r="E196" s="33" t="n">
        <v>234589</v>
      </c>
      <c r="F196" s="25" t="n">
        <f aca="false">D196*E196</f>
        <v>16421230</v>
      </c>
    </row>
    <row r="197" customFormat="false" ht="25.35" hidden="false" customHeight="false" outlineLevel="0" collapsed="false">
      <c r="A197" s="22" t="s">
        <v>578</v>
      </c>
      <c r="B197" s="38" t="s">
        <v>161</v>
      </c>
      <c r="C197" s="22" t="s">
        <v>528</v>
      </c>
      <c r="D197" s="35" t="n">
        <v>92</v>
      </c>
      <c r="E197" s="33" t="n">
        <v>234589</v>
      </c>
      <c r="F197" s="25" t="n">
        <f aca="false">D197*E197</f>
        <v>21582188</v>
      </c>
    </row>
    <row r="198" customFormat="false" ht="37.3" hidden="false" customHeight="false" outlineLevel="0" collapsed="false">
      <c r="A198" s="22" t="s">
        <v>579</v>
      </c>
      <c r="B198" s="22" t="s">
        <v>580</v>
      </c>
      <c r="C198" s="22" t="s">
        <v>528</v>
      </c>
      <c r="D198" s="24"/>
      <c r="E198" s="24"/>
      <c r="F198" s="25" t="n">
        <f aca="false">D198*E198</f>
        <v>0</v>
      </c>
    </row>
    <row r="199" customFormat="false" ht="25.35" hidden="false" customHeight="false" outlineLevel="0" collapsed="false">
      <c r="A199" s="22" t="s">
        <v>581</v>
      </c>
      <c r="B199" s="26" t="s">
        <v>582</v>
      </c>
      <c r="C199" s="22" t="s">
        <v>528</v>
      </c>
      <c r="D199" s="48" t="n">
        <v>84</v>
      </c>
      <c r="E199" s="49" t="n">
        <v>234589</v>
      </c>
      <c r="F199" s="23" t="n">
        <f aca="false">D199*E199</f>
        <v>19705476</v>
      </c>
    </row>
    <row r="200" customFormat="false" ht="25.35" hidden="false" customHeight="false" outlineLevel="0" collapsed="false">
      <c r="A200" s="22" t="s">
        <v>583</v>
      </c>
      <c r="B200" s="26" t="s">
        <v>156</v>
      </c>
      <c r="C200" s="22" t="s">
        <v>528</v>
      </c>
      <c r="D200" s="48" t="n">
        <v>137</v>
      </c>
      <c r="E200" s="49" t="n">
        <v>234589</v>
      </c>
      <c r="F200" s="23" t="n">
        <f aca="false">D200*E200</f>
        <v>32138693</v>
      </c>
    </row>
    <row r="201" customFormat="false" ht="25.35" hidden="false" customHeight="false" outlineLevel="0" collapsed="false">
      <c r="A201" s="22" t="s">
        <v>584</v>
      </c>
      <c r="B201" s="26" t="s">
        <v>157</v>
      </c>
      <c r="C201" s="22" t="s">
        <v>528</v>
      </c>
      <c r="D201" s="48" t="n">
        <v>100</v>
      </c>
      <c r="E201" s="49" t="n">
        <v>234589</v>
      </c>
      <c r="F201" s="23" t="n">
        <f aca="false">D201*E201</f>
        <v>23458900</v>
      </c>
    </row>
    <row r="202" customFormat="false" ht="25.35" hidden="false" customHeight="false" outlineLevel="0" collapsed="false">
      <c r="A202" s="22" t="s">
        <v>585</v>
      </c>
      <c r="B202" s="26" t="s">
        <v>586</v>
      </c>
      <c r="C202" s="22" t="s">
        <v>528</v>
      </c>
      <c r="D202" s="48" t="n">
        <v>351</v>
      </c>
      <c r="E202" s="49" t="n">
        <v>115200</v>
      </c>
      <c r="F202" s="23" t="n">
        <f aca="false">D202*E202</f>
        <v>40435200</v>
      </c>
    </row>
    <row r="203" customFormat="false" ht="25.35" hidden="false" customHeight="false" outlineLevel="0" collapsed="false">
      <c r="A203" s="22" t="s">
        <v>587</v>
      </c>
      <c r="B203" s="38" t="s">
        <v>163</v>
      </c>
      <c r="C203" s="22" t="s">
        <v>528</v>
      </c>
      <c r="D203" s="50" t="n">
        <v>1286</v>
      </c>
      <c r="E203" s="49" t="n">
        <v>319418</v>
      </c>
      <c r="F203" s="23" t="n">
        <f aca="false">D203*E203</f>
        <v>410771548</v>
      </c>
    </row>
    <row r="204" customFormat="false" ht="25.35" hidden="false" customHeight="false" outlineLevel="0" collapsed="false">
      <c r="A204" s="22" t="s">
        <v>588</v>
      </c>
      <c r="B204" s="22" t="s">
        <v>167</v>
      </c>
      <c r="C204" s="22" t="s">
        <v>528</v>
      </c>
      <c r="D204" s="22"/>
      <c r="E204" s="22"/>
      <c r="F204" s="23" t="n">
        <f aca="false">D204*E204</f>
        <v>0</v>
      </c>
    </row>
    <row r="205" customFormat="false" ht="25.35" hidden="false" customHeight="false" outlineLevel="0" collapsed="false">
      <c r="A205" s="22" t="s">
        <v>589</v>
      </c>
      <c r="B205" s="22" t="s">
        <v>168</v>
      </c>
      <c r="C205" s="22" t="s">
        <v>528</v>
      </c>
      <c r="D205" s="22"/>
      <c r="E205" s="22"/>
      <c r="F205" s="23" t="n">
        <f aca="false">D205*E205</f>
        <v>0</v>
      </c>
    </row>
    <row r="206" customFormat="false" ht="25.35" hidden="false" customHeight="false" outlineLevel="0" collapsed="false">
      <c r="A206" s="22" t="s">
        <v>590</v>
      </c>
      <c r="B206" s="22" t="s">
        <v>164</v>
      </c>
      <c r="C206" s="22" t="s">
        <v>528</v>
      </c>
      <c r="D206" s="22"/>
      <c r="E206" s="22"/>
      <c r="F206" s="23" t="n">
        <f aca="false">D206*E206</f>
        <v>0</v>
      </c>
    </row>
    <row r="207" customFormat="false" ht="25.35" hidden="false" customHeight="false" outlineLevel="0" collapsed="false">
      <c r="A207" s="22" t="s">
        <v>591</v>
      </c>
      <c r="B207" s="38" t="s">
        <v>165</v>
      </c>
      <c r="C207" s="22" t="s">
        <v>528</v>
      </c>
      <c r="D207" s="50" t="n">
        <v>94</v>
      </c>
      <c r="E207" s="49" t="n">
        <v>0</v>
      </c>
      <c r="F207" s="23" t="n">
        <f aca="false">D207*E207</f>
        <v>0</v>
      </c>
    </row>
    <row r="208" customFormat="false" ht="25.35" hidden="false" customHeight="false" outlineLevel="0" collapsed="false">
      <c r="A208" s="22" t="s">
        <v>592</v>
      </c>
      <c r="B208" s="22" t="s">
        <v>166</v>
      </c>
      <c r="C208" s="22" t="s">
        <v>528</v>
      </c>
      <c r="D208" s="22"/>
      <c r="E208" s="22"/>
      <c r="F208" s="23" t="n">
        <f aca="false">D208*E208</f>
        <v>0</v>
      </c>
    </row>
    <row r="209" customFormat="false" ht="25.35" hidden="false" customHeight="false" outlineLevel="0" collapsed="false">
      <c r="A209" s="22" t="s">
        <v>593</v>
      </c>
      <c r="B209" s="22" t="s">
        <v>171</v>
      </c>
      <c r="C209" s="22" t="s">
        <v>528</v>
      </c>
      <c r="D209" s="22"/>
      <c r="E209" s="22"/>
      <c r="F209" s="23" t="n">
        <f aca="false">D209*E209</f>
        <v>0</v>
      </c>
    </row>
    <row r="210" customFormat="false" ht="25.35" hidden="false" customHeight="false" outlineLevel="0" collapsed="false">
      <c r="A210" s="22" t="s">
        <v>594</v>
      </c>
      <c r="B210" s="38" t="s">
        <v>172</v>
      </c>
      <c r="C210" s="22" t="s">
        <v>528</v>
      </c>
      <c r="D210" s="35" t="n">
        <v>489</v>
      </c>
      <c r="E210" s="33" t="n">
        <v>188509</v>
      </c>
      <c r="F210" s="25" t="n">
        <f aca="false">D210*E210</f>
        <v>92180901</v>
      </c>
    </row>
    <row r="211" customFormat="false" ht="25.35" hidden="false" customHeight="false" outlineLevel="0" collapsed="false">
      <c r="A211" s="22" t="s">
        <v>595</v>
      </c>
      <c r="B211" s="38" t="s">
        <v>173</v>
      </c>
      <c r="C211" s="22" t="s">
        <v>528</v>
      </c>
      <c r="D211" s="35" t="n">
        <v>509</v>
      </c>
      <c r="E211" s="33" t="n">
        <v>188509</v>
      </c>
      <c r="F211" s="25" t="n">
        <f aca="false">D211*E211</f>
        <v>95951081</v>
      </c>
    </row>
    <row r="212" customFormat="false" ht="25.35" hidden="false" customHeight="false" outlineLevel="0" collapsed="false">
      <c r="A212" s="22" t="s">
        <v>596</v>
      </c>
      <c r="B212" s="22" t="s">
        <v>145</v>
      </c>
      <c r="C212" s="22" t="s">
        <v>528</v>
      </c>
      <c r="D212" s="24"/>
      <c r="E212" s="24"/>
      <c r="F212" s="25" t="n">
        <f aca="false">D212*E212</f>
        <v>0</v>
      </c>
    </row>
    <row r="213" customFormat="false" ht="25.35" hidden="false" customHeight="false" outlineLevel="0" collapsed="false">
      <c r="A213" s="22" t="s">
        <v>597</v>
      </c>
      <c r="B213" s="22" t="s">
        <v>598</v>
      </c>
      <c r="C213" s="22" t="s">
        <v>528</v>
      </c>
      <c r="D213" s="24"/>
      <c r="E213" s="24"/>
      <c r="F213" s="25" t="n">
        <f aca="false">D213*E213</f>
        <v>0</v>
      </c>
    </row>
    <row r="214" customFormat="false" ht="25.35" hidden="false" customHeight="false" outlineLevel="0" collapsed="false">
      <c r="A214" s="22" t="s">
        <v>599</v>
      </c>
      <c r="B214" s="26" t="s">
        <v>600</v>
      </c>
      <c r="C214" s="22" t="s">
        <v>528</v>
      </c>
      <c r="D214" s="29" t="n">
        <v>144</v>
      </c>
      <c r="E214" s="33" t="n">
        <v>157091</v>
      </c>
      <c r="F214" s="25" t="n">
        <f aca="false">D214*E214</f>
        <v>22621104</v>
      </c>
    </row>
    <row r="215" customFormat="false" ht="25.35" hidden="false" customHeight="false" outlineLevel="0" collapsed="false">
      <c r="A215" s="22" t="s">
        <v>601</v>
      </c>
      <c r="B215" s="26" t="s">
        <v>602</v>
      </c>
      <c r="C215" s="22" t="s">
        <v>528</v>
      </c>
      <c r="D215" s="29" t="n">
        <v>149</v>
      </c>
      <c r="E215" s="33" t="n">
        <v>157091</v>
      </c>
      <c r="F215" s="25" t="n">
        <f aca="false">D215*E215</f>
        <v>23406559</v>
      </c>
    </row>
    <row r="216" customFormat="false" ht="25.35" hidden="false" customHeight="false" outlineLevel="0" collapsed="false">
      <c r="A216" s="22" t="s">
        <v>603</v>
      </c>
      <c r="B216" s="22" t="s">
        <v>604</v>
      </c>
      <c r="C216" s="22" t="s">
        <v>528</v>
      </c>
      <c r="D216" s="22"/>
      <c r="E216" s="22"/>
      <c r="F216" s="23" t="n">
        <f aca="false">D216*E216</f>
        <v>0</v>
      </c>
    </row>
    <row r="217" customFormat="false" ht="15" hidden="false" customHeight="false" outlineLevel="0" collapsed="false">
      <c r="A217" s="22" t="s">
        <v>605</v>
      </c>
      <c r="B217" s="22" t="s">
        <v>606</v>
      </c>
      <c r="C217" s="22" t="s">
        <v>528</v>
      </c>
      <c r="D217" s="22"/>
      <c r="E217" s="22"/>
      <c r="F217" s="23" t="n">
        <f aca="false">D217*E217</f>
        <v>0</v>
      </c>
    </row>
    <row r="218" customFormat="false" ht="25.35" hidden="false" customHeight="false" outlineLevel="0" collapsed="false">
      <c r="A218" s="22" t="s">
        <v>607</v>
      </c>
      <c r="B218" s="22" t="s">
        <v>608</v>
      </c>
      <c r="C218" s="22" t="s">
        <v>528</v>
      </c>
      <c r="D218" s="22"/>
      <c r="E218" s="22"/>
      <c r="F218" s="23" t="n">
        <f aca="false">D218*E218</f>
        <v>0</v>
      </c>
    </row>
    <row r="219" customFormat="false" ht="25.35" hidden="false" customHeight="false" outlineLevel="0" collapsed="false">
      <c r="A219" s="22" t="s">
        <v>609</v>
      </c>
      <c r="B219" s="22" t="s">
        <v>610</v>
      </c>
      <c r="C219" s="22" t="s">
        <v>528</v>
      </c>
      <c r="D219" s="22"/>
      <c r="E219" s="22"/>
      <c r="F219" s="23" t="n">
        <f aca="false">D219*E219</f>
        <v>0</v>
      </c>
    </row>
    <row r="220" customFormat="false" ht="25.35" hidden="false" customHeight="false" outlineLevel="0" collapsed="false">
      <c r="A220" s="22" t="s">
        <v>611</v>
      </c>
      <c r="B220" s="22" t="s">
        <v>147</v>
      </c>
      <c r="C220" s="22" t="s">
        <v>528</v>
      </c>
      <c r="D220" s="22"/>
      <c r="E220" s="22"/>
      <c r="F220" s="23" t="n">
        <f aca="false">D220*E220</f>
        <v>0</v>
      </c>
    </row>
    <row r="221" customFormat="false" ht="25.35" hidden="false" customHeight="false" outlineLevel="0" collapsed="false">
      <c r="A221" s="22" t="s">
        <v>612</v>
      </c>
      <c r="B221" s="22" t="s">
        <v>613</v>
      </c>
      <c r="C221" s="22" t="s">
        <v>528</v>
      </c>
      <c r="D221" s="22"/>
      <c r="E221" s="22"/>
      <c r="F221" s="23" t="n">
        <f aca="false">D221*E221</f>
        <v>0</v>
      </c>
      <c r="H221" s="51"/>
    </row>
    <row r="222" customFormat="false" ht="25.35" hidden="false" customHeight="false" outlineLevel="0" collapsed="false">
      <c r="A222" s="22" t="s">
        <v>614</v>
      </c>
      <c r="B222" s="22" t="s">
        <v>148</v>
      </c>
      <c r="C222" s="22" t="s">
        <v>528</v>
      </c>
      <c r="D222" s="22"/>
      <c r="E222" s="22"/>
      <c r="F222" s="23" t="n">
        <f aca="false">D222*E222</f>
        <v>0</v>
      </c>
    </row>
    <row r="223" customFormat="false" ht="25.35" hidden="false" customHeight="false" outlineLevel="0" collapsed="false">
      <c r="A223" s="22" t="s">
        <v>615</v>
      </c>
      <c r="B223" s="22" t="s">
        <v>616</v>
      </c>
      <c r="C223" s="22" t="s">
        <v>528</v>
      </c>
      <c r="D223" s="22"/>
      <c r="E223" s="22"/>
      <c r="F223" s="23" t="n">
        <f aca="false">D223*E223</f>
        <v>0</v>
      </c>
    </row>
    <row r="224" customFormat="false" ht="25.35" hidden="false" customHeight="false" outlineLevel="0" collapsed="false">
      <c r="A224" s="22" t="s">
        <v>617</v>
      </c>
      <c r="B224" s="22" t="s">
        <v>618</v>
      </c>
      <c r="C224" s="22" t="s">
        <v>528</v>
      </c>
      <c r="D224" s="22"/>
      <c r="E224" s="22"/>
      <c r="F224" s="23" t="n">
        <f aca="false">D224*E224</f>
        <v>0</v>
      </c>
    </row>
    <row r="225" customFormat="false" ht="15" hidden="false" customHeight="false" outlineLevel="0" collapsed="false">
      <c r="A225" s="22" t="s">
        <v>619</v>
      </c>
      <c r="B225" s="22" t="s">
        <v>150</v>
      </c>
      <c r="C225" s="22" t="s">
        <v>528</v>
      </c>
      <c r="D225" s="22"/>
      <c r="E225" s="22"/>
      <c r="F225" s="23" t="n">
        <f aca="false">D225*E225</f>
        <v>0</v>
      </c>
    </row>
    <row r="226" customFormat="false" ht="25.35" hidden="false" customHeight="false" outlineLevel="0" collapsed="false">
      <c r="A226" s="22" t="s">
        <v>620</v>
      </c>
      <c r="B226" s="22" t="s">
        <v>153</v>
      </c>
      <c r="C226" s="22" t="s">
        <v>528</v>
      </c>
      <c r="D226" s="22"/>
      <c r="E226" s="22"/>
      <c r="F226" s="23" t="n">
        <f aca="false">D226*E226</f>
        <v>0</v>
      </c>
    </row>
    <row r="227" customFormat="false" ht="25.35" hidden="false" customHeight="false" outlineLevel="0" collapsed="false">
      <c r="A227" s="22" t="s">
        <v>621</v>
      </c>
      <c r="B227" s="38" t="s">
        <v>159</v>
      </c>
      <c r="C227" s="22" t="s">
        <v>528</v>
      </c>
      <c r="D227" s="50" t="n">
        <v>59</v>
      </c>
      <c r="E227" s="49" t="n">
        <v>264273</v>
      </c>
      <c r="F227" s="23" t="n">
        <f aca="false">D227*E227</f>
        <v>15592107</v>
      </c>
    </row>
    <row r="228" customFormat="false" ht="25.35" hidden="false" customHeight="false" outlineLevel="0" collapsed="false">
      <c r="A228" s="22" t="s">
        <v>622</v>
      </c>
      <c r="B228" s="38" t="s">
        <v>160</v>
      </c>
      <c r="C228" s="22" t="s">
        <v>528</v>
      </c>
      <c r="D228" s="50" t="n">
        <v>4</v>
      </c>
      <c r="E228" s="49" t="n">
        <v>264273</v>
      </c>
      <c r="F228" s="23" t="n">
        <f aca="false">D228*E228</f>
        <v>1057092</v>
      </c>
    </row>
    <row r="229" customFormat="false" ht="25.35" hidden="false" customHeight="false" outlineLevel="0" collapsed="false">
      <c r="A229" s="22" t="s">
        <v>623</v>
      </c>
      <c r="B229" s="22" t="s">
        <v>158</v>
      </c>
      <c r="C229" s="22" t="s">
        <v>528</v>
      </c>
      <c r="D229" s="22"/>
      <c r="E229" s="22"/>
      <c r="F229" s="23" t="n">
        <f aca="false">D229*E229</f>
        <v>0</v>
      </c>
    </row>
    <row r="230" customFormat="false" ht="25.35" hidden="false" customHeight="false" outlineLevel="0" collapsed="false">
      <c r="A230" s="22" t="s">
        <v>624</v>
      </c>
      <c r="B230" s="22" t="s">
        <v>625</v>
      </c>
      <c r="C230" s="22" t="s">
        <v>528</v>
      </c>
      <c r="D230" s="22"/>
      <c r="E230" s="22"/>
      <c r="F230" s="23" t="n">
        <f aca="false">D230*E230</f>
        <v>0</v>
      </c>
    </row>
    <row r="231" customFormat="false" ht="25.35" hidden="false" customHeight="false" outlineLevel="0" collapsed="false">
      <c r="A231" s="22" t="s">
        <v>626</v>
      </c>
      <c r="B231" s="22" t="s">
        <v>627</v>
      </c>
      <c r="C231" s="22" t="s">
        <v>528</v>
      </c>
      <c r="D231" s="22"/>
      <c r="E231" s="22"/>
      <c r="F231" s="23" t="n">
        <f aca="false">D231*E231</f>
        <v>0</v>
      </c>
    </row>
    <row r="232" customFormat="false" ht="25.35" hidden="false" customHeight="false" outlineLevel="0" collapsed="false">
      <c r="A232" s="22" t="s">
        <v>628</v>
      </c>
      <c r="B232" s="22" t="s">
        <v>629</v>
      </c>
      <c r="C232" s="22" t="s">
        <v>528</v>
      </c>
      <c r="D232" s="22"/>
      <c r="E232" s="22"/>
      <c r="F232" s="23" t="n">
        <f aca="false">D232*E232</f>
        <v>0</v>
      </c>
    </row>
    <row r="233" customFormat="false" ht="25.35" hidden="false" customHeight="false" outlineLevel="0" collapsed="false">
      <c r="A233" s="22" t="s">
        <v>630</v>
      </c>
      <c r="B233" s="22" t="s">
        <v>631</v>
      </c>
      <c r="C233" s="22" t="s">
        <v>528</v>
      </c>
      <c r="D233" s="22"/>
      <c r="E233" s="22"/>
      <c r="F233" s="23" t="n">
        <f aca="false">D233*E233</f>
        <v>0</v>
      </c>
    </row>
    <row r="234" customFormat="false" ht="25.35" hidden="false" customHeight="false" outlineLevel="0" collapsed="false">
      <c r="A234" s="22" t="s">
        <v>632</v>
      </c>
      <c r="B234" s="22" t="s">
        <v>633</v>
      </c>
      <c r="C234" s="22" t="s">
        <v>528</v>
      </c>
      <c r="D234" s="22"/>
      <c r="E234" s="22"/>
      <c r="F234" s="23" t="n">
        <f aca="false">D234*E234</f>
        <v>0</v>
      </c>
    </row>
    <row r="235" customFormat="false" ht="25.35" hidden="false" customHeight="false" outlineLevel="0" collapsed="false">
      <c r="A235" s="22" t="s">
        <v>634</v>
      </c>
      <c r="B235" s="38" t="s">
        <v>174</v>
      </c>
      <c r="C235" s="22" t="s">
        <v>528</v>
      </c>
      <c r="D235" s="35" t="n">
        <v>5</v>
      </c>
      <c r="E235" s="33" t="n">
        <v>274636</v>
      </c>
      <c r="F235" s="25" t="n">
        <f aca="false">D235*E235</f>
        <v>1373180</v>
      </c>
    </row>
    <row r="236" customFormat="false" ht="15" hidden="false" customHeight="false" outlineLevel="0" collapsed="false">
      <c r="A236" s="22" t="s">
        <v>635</v>
      </c>
      <c r="B236" s="22" t="s">
        <v>162</v>
      </c>
      <c r="C236" s="22" t="s">
        <v>528</v>
      </c>
      <c r="D236" s="24"/>
      <c r="E236" s="24"/>
      <c r="F236" s="25" t="n">
        <f aca="false">D236*E236</f>
        <v>0</v>
      </c>
    </row>
    <row r="237" customFormat="false" ht="25.35" hidden="false" customHeight="false" outlineLevel="0" collapsed="false">
      <c r="A237" s="22" t="s">
        <v>636</v>
      </c>
      <c r="B237" s="22" t="s">
        <v>637</v>
      </c>
      <c r="C237" s="22" t="s">
        <v>528</v>
      </c>
      <c r="D237" s="24"/>
      <c r="E237" s="24"/>
      <c r="F237" s="25" t="n">
        <f aca="false">D237*E237</f>
        <v>0</v>
      </c>
    </row>
    <row r="238" customFormat="false" ht="25.35" hidden="false" customHeight="false" outlineLevel="0" collapsed="false">
      <c r="A238" s="22" t="s">
        <v>638</v>
      </c>
      <c r="B238" s="38" t="s">
        <v>169</v>
      </c>
      <c r="C238" s="22" t="s">
        <v>528</v>
      </c>
      <c r="D238" s="35" t="n">
        <v>670</v>
      </c>
      <c r="E238" s="33" t="n">
        <v>182083</v>
      </c>
      <c r="F238" s="25" t="n">
        <f aca="false">D238*E238</f>
        <v>121995610</v>
      </c>
    </row>
    <row r="239" customFormat="false" ht="25.35" hidden="false" customHeight="false" outlineLevel="0" collapsed="false">
      <c r="A239" s="22" t="s">
        <v>639</v>
      </c>
      <c r="B239" s="22" t="s">
        <v>152</v>
      </c>
      <c r="C239" s="22" t="s">
        <v>528</v>
      </c>
      <c r="D239" s="22"/>
      <c r="E239" s="22"/>
      <c r="F239" s="23" t="n">
        <f aca="false">D239*E239</f>
        <v>0</v>
      </c>
    </row>
    <row r="240" customFormat="false" ht="15" hidden="false" customHeight="false" outlineLevel="0" collapsed="false">
      <c r="A240" s="22" t="s">
        <v>640</v>
      </c>
      <c r="B240" s="22" t="s">
        <v>641</v>
      </c>
      <c r="C240" s="22" t="s">
        <v>311</v>
      </c>
      <c r="D240" s="22"/>
      <c r="E240" s="22"/>
      <c r="F240" s="23" t="n">
        <f aca="false">D240*E240</f>
        <v>0</v>
      </c>
    </row>
    <row r="241" customFormat="false" ht="15" hidden="false" customHeight="false" outlineLevel="0" collapsed="false">
      <c r="A241" s="22" t="s">
        <v>642</v>
      </c>
      <c r="B241" s="22" t="s">
        <v>643</v>
      </c>
      <c r="C241" s="22" t="s">
        <v>303</v>
      </c>
      <c r="D241" s="22"/>
      <c r="E241" s="22"/>
      <c r="F241" s="23" t="n">
        <f aca="false">D241*E241</f>
        <v>0</v>
      </c>
    </row>
    <row r="242" customFormat="false" ht="15" hidden="false" customHeight="false" outlineLevel="0" collapsed="false">
      <c r="A242" s="22" t="s">
        <v>644</v>
      </c>
      <c r="B242" s="22" t="s">
        <v>645</v>
      </c>
      <c r="C242" s="22" t="s">
        <v>303</v>
      </c>
      <c r="D242" s="22"/>
      <c r="E242" s="22"/>
      <c r="F242" s="23" t="n">
        <f aca="false">D242*E242</f>
        <v>0</v>
      </c>
    </row>
    <row r="243" customFormat="false" ht="25.35" hidden="false" customHeight="false" outlineLevel="0" collapsed="false">
      <c r="A243" s="22" t="s">
        <v>646</v>
      </c>
      <c r="B243" s="38" t="s">
        <v>193</v>
      </c>
      <c r="C243" s="22" t="s">
        <v>528</v>
      </c>
      <c r="D243" s="50" t="n">
        <v>250</v>
      </c>
      <c r="E243" s="49" t="n">
        <v>213651.57</v>
      </c>
      <c r="F243" s="23" t="n">
        <f aca="false">D243*E243</f>
        <v>53412892.5</v>
      </c>
    </row>
    <row r="244" customFormat="false" ht="15" hidden="false" customHeight="false" outlineLevel="0" collapsed="false">
      <c r="A244" s="22" t="s">
        <v>647</v>
      </c>
      <c r="B244" s="38" t="s">
        <v>195</v>
      </c>
      <c r="C244" s="22" t="s">
        <v>528</v>
      </c>
      <c r="D244" s="50" t="n">
        <v>9805</v>
      </c>
      <c r="E244" s="49" t="n">
        <v>213651.57</v>
      </c>
      <c r="F244" s="23" t="n">
        <f aca="false">D244*E244</f>
        <v>2094853643.85</v>
      </c>
    </row>
    <row r="245" customFormat="false" ht="25.35" hidden="false" customHeight="false" outlineLevel="0" collapsed="false">
      <c r="A245" s="22" t="s">
        <v>648</v>
      </c>
      <c r="B245" s="22" t="s">
        <v>649</v>
      </c>
      <c r="C245" s="22" t="s">
        <v>303</v>
      </c>
      <c r="D245" s="22"/>
      <c r="E245" s="22"/>
      <c r="F245" s="23" t="n">
        <f aca="false">D245*E245</f>
        <v>0</v>
      </c>
    </row>
    <row r="246" customFormat="false" ht="15" hidden="false" customHeight="false" outlineLevel="0" collapsed="false">
      <c r="A246" s="22" t="s">
        <v>650</v>
      </c>
      <c r="B246" s="22" t="s">
        <v>651</v>
      </c>
      <c r="C246" s="22" t="s">
        <v>303</v>
      </c>
      <c r="D246" s="22"/>
      <c r="E246" s="22"/>
      <c r="F246" s="23" t="n">
        <f aca="false">D246*E246</f>
        <v>0</v>
      </c>
    </row>
    <row r="247" customFormat="false" ht="15" hidden="false" customHeight="false" outlineLevel="0" collapsed="false">
      <c r="A247" s="22" t="s">
        <v>652</v>
      </c>
      <c r="B247" s="22" t="s">
        <v>653</v>
      </c>
      <c r="C247" s="22" t="s">
        <v>654</v>
      </c>
      <c r="D247" s="22"/>
      <c r="E247" s="22"/>
      <c r="F247" s="23" t="n">
        <f aca="false">D247*E247</f>
        <v>0</v>
      </c>
    </row>
    <row r="248" customFormat="false" ht="15" hidden="false" customHeight="false" outlineLevel="0" collapsed="false">
      <c r="A248" s="22" t="s">
        <v>655</v>
      </c>
      <c r="B248" s="22" t="s">
        <v>251</v>
      </c>
      <c r="C248" s="22" t="s">
        <v>327</v>
      </c>
      <c r="D248" s="22"/>
      <c r="E248" s="22"/>
      <c r="F248" s="23" t="n">
        <f aca="false">D248*E248</f>
        <v>0</v>
      </c>
    </row>
    <row r="249" customFormat="false" ht="25.35" hidden="false" customHeight="false" outlineLevel="0" collapsed="false">
      <c r="A249" s="22" t="s">
        <v>656</v>
      </c>
      <c r="B249" s="22" t="s">
        <v>252</v>
      </c>
      <c r="C249" s="22" t="s">
        <v>327</v>
      </c>
      <c r="D249" s="22"/>
      <c r="E249" s="22"/>
      <c r="F249" s="23" t="n">
        <f aca="false">D249*E249</f>
        <v>0</v>
      </c>
    </row>
    <row r="250" customFormat="false" ht="25.35" hidden="false" customHeight="false" outlineLevel="0" collapsed="false">
      <c r="A250" s="22" t="s">
        <v>657</v>
      </c>
      <c r="B250" s="22" t="s">
        <v>253</v>
      </c>
      <c r="C250" s="22" t="s">
        <v>327</v>
      </c>
      <c r="D250" s="22"/>
      <c r="E250" s="22"/>
      <c r="F250" s="23" t="n">
        <f aca="false">D250*E250</f>
        <v>0</v>
      </c>
    </row>
    <row r="251" customFormat="false" ht="15" hidden="false" customHeight="false" outlineLevel="0" collapsed="false">
      <c r="A251" s="22" t="s">
        <v>658</v>
      </c>
      <c r="B251" s="22" t="s">
        <v>659</v>
      </c>
      <c r="C251" s="22" t="s">
        <v>327</v>
      </c>
      <c r="D251" s="22"/>
      <c r="E251" s="22"/>
      <c r="F251" s="23" t="n">
        <f aca="false">D251*E251</f>
        <v>0</v>
      </c>
    </row>
    <row r="252" customFormat="false" ht="15" hidden="false" customHeight="false" outlineLevel="0" collapsed="false">
      <c r="A252" s="22" t="s">
        <v>660</v>
      </c>
      <c r="B252" s="22" t="s">
        <v>254</v>
      </c>
      <c r="C252" s="22" t="s">
        <v>327</v>
      </c>
      <c r="D252" s="22"/>
      <c r="E252" s="22"/>
      <c r="F252" s="23" t="n">
        <f aca="false">D252*E252</f>
        <v>0</v>
      </c>
    </row>
    <row r="253" customFormat="false" ht="15" hidden="false" customHeight="false" outlineLevel="0" collapsed="false">
      <c r="A253" s="22" t="s">
        <v>661</v>
      </c>
      <c r="B253" s="22" t="s">
        <v>662</v>
      </c>
      <c r="C253" s="22" t="s">
        <v>303</v>
      </c>
      <c r="D253" s="22"/>
      <c r="E253" s="22"/>
      <c r="F253" s="23" t="n">
        <f aca="false">D253*E253</f>
        <v>0</v>
      </c>
    </row>
    <row r="254" customFormat="false" ht="15" hidden="false" customHeight="false" outlineLevel="0" collapsed="false">
      <c r="A254" s="22" t="s">
        <v>663</v>
      </c>
      <c r="B254" s="26" t="s">
        <v>260</v>
      </c>
      <c r="C254" s="22" t="s">
        <v>327</v>
      </c>
      <c r="D254" s="48" t="n">
        <v>7</v>
      </c>
      <c r="E254" s="49" t="n">
        <v>35040</v>
      </c>
      <c r="F254" s="23" t="n">
        <f aca="false">D254*E254</f>
        <v>245280</v>
      </c>
    </row>
    <row r="255" customFormat="false" ht="15" hidden="false" customHeight="false" outlineLevel="0" collapsed="false">
      <c r="A255" s="22" t="s">
        <v>664</v>
      </c>
      <c r="B255" s="22" t="s">
        <v>261</v>
      </c>
      <c r="C255" s="22" t="s">
        <v>327</v>
      </c>
      <c r="D255" s="22"/>
      <c r="E255" s="22"/>
      <c r="F255" s="23" t="n">
        <f aca="false">D255*E255</f>
        <v>0</v>
      </c>
    </row>
    <row r="256" customFormat="false" ht="15" hidden="false" customHeight="false" outlineLevel="0" collapsed="false">
      <c r="A256" s="22" t="s">
        <v>665</v>
      </c>
      <c r="B256" s="26" t="s">
        <v>262</v>
      </c>
      <c r="C256" s="22" t="s">
        <v>327</v>
      </c>
      <c r="D256" s="48" t="n">
        <v>4</v>
      </c>
      <c r="E256" s="49" t="n">
        <v>33060.37</v>
      </c>
      <c r="F256" s="23" t="n">
        <f aca="false">D256*E256</f>
        <v>132241.48</v>
      </c>
    </row>
    <row r="257" customFormat="false" ht="15" hidden="false" customHeight="false" outlineLevel="0" collapsed="false">
      <c r="A257" s="22" t="s">
        <v>666</v>
      </c>
      <c r="B257" s="22" t="s">
        <v>263</v>
      </c>
      <c r="C257" s="22" t="s">
        <v>327</v>
      </c>
      <c r="D257" s="22"/>
      <c r="E257" s="22"/>
      <c r="F257" s="23" t="n">
        <f aca="false">D257*E257</f>
        <v>0</v>
      </c>
    </row>
    <row r="258" customFormat="false" ht="25.35" hidden="false" customHeight="false" outlineLevel="0" collapsed="false">
      <c r="A258" s="22" t="s">
        <v>667</v>
      </c>
      <c r="B258" s="22" t="s">
        <v>668</v>
      </c>
      <c r="C258" s="22" t="s">
        <v>327</v>
      </c>
      <c r="D258" s="22"/>
      <c r="E258" s="22"/>
      <c r="F258" s="23" t="n">
        <f aca="false">D258*E258</f>
        <v>0</v>
      </c>
    </row>
    <row r="259" customFormat="false" ht="15" hidden="false" customHeight="false" outlineLevel="0" collapsed="false">
      <c r="A259" s="22" t="s">
        <v>669</v>
      </c>
      <c r="B259" s="22" t="s">
        <v>670</v>
      </c>
      <c r="C259" s="22" t="s">
        <v>327</v>
      </c>
      <c r="D259" s="22"/>
      <c r="E259" s="22"/>
      <c r="F259" s="23" t="n">
        <f aca="false">D259*E259</f>
        <v>0</v>
      </c>
    </row>
    <row r="260" customFormat="false" ht="15" hidden="false" customHeight="false" outlineLevel="0" collapsed="false">
      <c r="A260" s="22" t="s">
        <v>671</v>
      </c>
      <c r="B260" s="22" t="s">
        <v>672</v>
      </c>
      <c r="C260" s="22" t="s">
        <v>327</v>
      </c>
      <c r="D260" s="22"/>
      <c r="E260" s="22"/>
      <c r="F260" s="23" t="n">
        <f aca="false">D260*E260</f>
        <v>0</v>
      </c>
    </row>
    <row r="261" customFormat="false" ht="15" hidden="false" customHeight="false" outlineLevel="0" collapsed="false">
      <c r="A261" s="22" t="s">
        <v>673</v>
      </c>
      <c r="B261" s="22" t="s">
        <v>264</v>
      </c>
      <c r="C261" s="22" t="s">
        <v>327</v>
      </c>
      <c r="D261" s="22"/>
      <c r="E261" s="22"/>
      <c r="F261" s="23" t="n">
        <f aca="false">D261*E261</f>
        <v>0</v>
      </c>
    </row>
    <row r="262" customFormat="false" ht="15" hidden="false" customHeight="false" outlineLevel="0" collapsed="false">
      <c r="A262" s="22" t="s">
        <v>674</v>
      </c>
      <c r="B262" s="22" t="s">
        <v>675</v>
      </c>
      <c r="C262" s="22" t="s">
        <v>327</v>
      </c>
      <c r="D262" s="22"/>
      <c r="E262" s="22"/>
      <c r="F262" s="23" t="n">
        <f aca="false">D262*E262</f>
        <v>0</v>
      </c>
    </row>
    <row r="263" customFormat="false" ht="15" hidden="false" customHeight="false" outlineLevel="0" collapsed="false">
      <c r="A263" s="22" t="s">
        <v>676</v>
      </c>
      <c r="B263" s="26" t="s">
        <v>266</v>
      </c>
      <c r="C263" s="22" t="s">
        <v>327</v>
      </c>
      <c r="D263" s="29" t="n">
        <v>5</v>
      </c>
      <c r="E263" s="33" t="n">
        <v>44160</v>
      </c>
      <c r="F263" s="25" t="n">
        <f aca="false">D263*E263</f>
        <v>220800</v>
      </c>
    </row>
    <row r="264" customFormat="false" ht="15" hidden="false" customHeight="false" outlineLevel="0" collapsed="false">
      <c r="A264" s="22" t="s">
        <v>677</v>
      </c>
      <c r="B264" s="26" t="s">
        <v>265</v>
      </c>
      <c r="C264" s="22" t="s">
        <v>327</v>
      </c>
      <c r="D264" s="29" t="n">
        <v>5</v>
      </c>
      <c r="E264" s="33" t="n">
        <v>41280</v>
      </c>
      <c r="F264" s="25" t="n">
        <f aca="false">D264*E264</f>
        <v>206400</v>
      </c>
    </row>
    <row r="265" customFormat="false" ht="15" hidden="false" customHeight="false" outlineLevel="0" collapsed="false">
      <c r="A265" s="22" t="s">
        <v>678</v>
      </c>
      <c r="B265" s="26" t="s">
        <v>267</v>
      </c>
      <c r="C265" s="22" t="s">
        <v>327</v>
      </c>
      <c r="D265" s="29" t="n">
        <v>6</v>
      </c>
      <c r="E265" s="33" t="n">
        <v>40800</v>
      </c>
      <c r="F265" s="25" t="n">
        <f aca="false">D265*E265</f>
        <v>244800</v>
      </c>
    </row>
    <row r="266" customFormat="false" ht="15" hidden="false" customHeight="false" outlineLevel="0" collapsed="false">
      <c r="A266" s="22" t="s">
        <v>679</v>
      </c>
      <c r="B266" s="22" t="s">
        <v>680</v>
      </c>
      <c r="C266" s="22" t="s">
        <v>327</v>
      </c>
      <c r="D266" s="24"/>
      <c r="E266" s="24"/>
      <c r="F266" s="25" t="n">
        <f aca="false">D266*E266</f>
        <v>0</v>
      </c>
    </row>
    <row r="267" customFormat="false" ht="15" hidden="false" customHeight="false" outlineLevel="0" collapsed="false">
      <c r="A267" s="22" t="s">
        <v>681</v>
      </c>
      <c r="B267" s="22" t="s">
        <v>682</v>
      </c>
      <c r="C267" s="22" t="s">
        <v>327</v>
      </c>
      <c r="D267" s="24"/>
      <c r="E267" s="24"/>
      <c r="F267" s="25" t="n">
        <f aca="false">D267*E267</f>
        <v>0</v>
      </c>
    </row>
    <row r="268" customFormat="false" ht="15" hidden="false" customHeight="false" outlineLevel="0" collapsed="false">
      <c r="A268" s="22" t="s">
        <v>683</v>
      </c>
      <c r="B268" s="22" t="s">
        <v>684</v>
      </c>
      <c r="C268" s="22" t="s">
        <v>327</v>
      </c>
      <c r="D268" s="24"/>
      <c r="E268" s="24"/>
      <c r="F268" s="25" t="n">
        <f aca="false">D268*E268</f>
        <v>0</v>
      </c>
    </row>
    <row r="269" customFormat="false" ht="25.35" hidden="false" customHeight="false" outlineLevel="0" collapsed="false">
      <c r="A269" s="22" t="s">
        <v>685</v>
      </c>
      <c r="B269" s="22" t="s">
        <v>686</v>
      </c>
      <c r="C269" s="22" t="s">
        <v>654</v>
      </c>
      <c r="D269" s="24"/>
      <c r="E269" s="24"/>
      <c r="F269" s="25" t="n">
        <f aca="false">D269*E269</f>
        <v>0</v>
      </c>
    </row>
    <row r="270" customFormat="false" ht="25.35" hidden="false" customHeight="false" outlineLevel="0" collapsed="false">
      <c r="A270" s="22" t="s">
        <v>687</v>
      </c>
      <c r="B270" s="22" t="s">
        <v>688</v>
      </c>
      <c r="C270" s="22" t="s">
        <v>327</v>
      </c>
      <c r="D270" s="22"/>
      <c r="E270" s="22"/>
      <c r="F270" s="23" t="n">
        <f aca="false">D270*E270</f>
        <v>0</v>
      </c>
    </row>
    <row r="271" customFormat="false" ht="25.35" hidden="false" customHeight="false" outlineLevel="0" collapsed="false">
      <c r="A271" s="22" t="s">
        <v>689</v>
      </c>
      <c r="B271" s="22" t="s">
        <v>268</v>
      </c>
      <c r="C271" s="22" t="s">
        <v>327</v>
      </c>
      <c r="D271" s="22"/>
      <c r="E271" s="22"/>
      <c r="F271" s="23" t="n">
        <f aca="false">D271*E271</f>
        <v>0</v>
      </c>
    </row>
    <row r="272" customFormat="false" ht="25.35" hidden="false" customHeight="false" outlineLevel="0" collapsed="false">
      <c r="A272" s="22" t="s">
        <v>690</v>
      </c>
      <c r="B272" s="22" t="s">
        <v>269</v>
      </c>
      <c r="C272" s="22" t="s">
        <v>327</v>
      </c>
      <c r="D272" s="22"/>
      <c r="E272" s="22"/>
      <c r="F272" s="23" t="n">
        <f aca="false">D272*E272</f>
        <v>0</v>
      </c>
    </row>
    <row r="273" customFormat="false" ht="15" hidden="false" customHeight="false" outlineLevel="0" collapsed="false">
      <c r="A273" s="22" t="s">
        <v>691</v>
      </c>
      <c r="B273" s="22" t="s">
        <v>692</v>
      </c>
      <c r="C273" s="22" t="s">
        <v>327</v>
      </c>
      <c r="D273" s="22"/>
      <c r="E273" s="22"/>
      <c r="F273" s="23" t="n">
        <f aca="false">D273*E273</f>
        <v>0</v>
      </c>
    </row>
    <row r="274" customFormat="false" ht="15" hidden="false" customHeight="false" outlineLevel="0" collapsed="false">
      <c r="A274" s="22" t="s">
        <v>693</v>
      </c>
      <c r="B274" s="22" t="s">
        <v>270</v>
      </c>
      <c r="C274" s="22" t="s">
        <v>327</v>
      </c>
      <c r="D274" s="22"/>
      <c r="E274" s="22"/>
      <c r="F274" s="23" t="n">
        <f aca="false">D274*E274</f>
        <v>0</v>
      </c>
    </row>
    <row r="275" customFormat="false" ht="15" hidden="false" customHeight="false" outlineLevel="0" collapsed="false">
      <c r="A275" s="22" t="s">
        <v>694</v>
      </c>
      <c r="B275" s="22" t="s">
        <v>257</v>
      </c>
      <c r="C275" s="22" t="s">
        <v>327</v>
      </c>
      <c r="D275" s="22"/>
      <c r="E275" s="22"/>
      <c r="F275" s="23" t="n">
        <f aca="false">D275*E275</f>
        <v>0</v>
      </c>
    </row>
    <row r="276" customFormat="false" ht="15" hidden="false" customHeight="false" outlineLevel="0" collapsed="false">
      <c r="A276" s="22" t="s">
        <v>695</v>
      </c>
      <c r="B276" s="31" t="s">
        <v>696</v>
      </c>
      <c r="C276" s="22" t="s">
        <v>327</v>
      </c>
      <c r="D276" s="52" t="n">
        <v>226</v>
      </c>
      <c r="E276" s="33" t="n">
        <v>27744</v>
      </c>
      <c r="F276" s="25" t="n">
        <f aca="false">D276*E276</f>
        <v>6270144</v>
      </c>
    </row>
    <row r="277" customFormat="false" ht="15" hidden="false" customHeight="false" outlineLevel="0" collapsed="false">
      <c r="A277" s="22" t="s">
        <v>697</v>
      </c>
      <c r="B277" s="22" t="s">
        <v>698</v>
      </c>
      <c r="C277" s="22" t="s">
        <v>699</v>
      </c>
      <c r="D277" s="24"/>
      <c r="E277" s="24"/>
      <c r="F277" s="25" t="n">
        <f aca="false">D277*E277</f>
        <v>0</v>
      </c>
    </row>
    <row r="278" customFormat="false" ht="15" hidden="false" customHeight="false" outlineLevel="0" collapsed="false">
      <c r="A278" s="22" t="s">
        <v>700</v>
      </c>
      <c r="B278" s="38" t="s">
        <v>211</v>
      </c>
      <c r="C278" s="22" t="s">
        <v>303</v>
      </c>
      <c r="D278" s="35" t="n">
        <v>144</v>
      </c>
      <c r="E278" s="28" t="n">
        <v>18630</v>
      </c>
      <c r="F278" s="25" t="n">
        <f aca="false">D278*E278</f>
        <v>2682720</v>
      </c>
    </row>
    <row r="279" customFormat="false" ht="15" hidden="false" customHeight="false" outlineLevel="0" collapsed="false">
      <c r="A279" s="22" t="s">
        <v>701</v>
      </c>
      <c r="B279" s="22" t="s">
        <v>273</v>
      </c>
      <c r="C279" s="22" t="s">
        <v>327</v>
      </c>
      <c r="D279" s="24"/>
      <c r="E279" s="24"/>
      <c r="F279" s="25" t="n">
        <f aca="false">D279*E279</f>
        <v>0</v>
      </c>
    </row>
    <row r="280" customFormat="false" ht="15" hidden="false" customHeight="false" outlineLevel="0" collapsed="false">
      <c r="A280" s="22" t="s">
        <v>702</v>
      </c>
      <c r="B280" s="22" t="s">
        <v>275</v>
      </c>
      <c r="C280" s="22" t="s">
        <v>327</v>
      </c>
      <c r="D280" s="24"/>
      <c r="E280" s="24"/>
      <c r="F280" s="25" t="n">
        <f aca="false">D280*E280</f>
        <v>0</v>
      </c>
    </row>
    <row r="281" customFormat="false" ht="15" hidden="false" customHeight="false" outlineLevel="0" collapsed="false">
      <c r="A281" s="22" t="s">
        <v>703</v>
      </c>
      <c r="B281" s="22" t="s">
        <v>276</v>
      </c>
      <c r="C281" s="22" t="s">
        <v>327</v>
      </c>
      <c r="D281" s="24"/>
      <c r="E281" s="24"/>
      <c r="F281" s="25" t="n">
        <f aca="false">D281*E281</f>
        <v>0</v>
      </c>
    </row>
    <row r="282" customFormat="false" ht="15" hidden="false" customHeight="false" outlineLevel="0" collapsed="false">
      <c r="A282" s="22" t="s">
        <v>704</v>
      </c>
      <c r="B282" s="38" t="s">
        <v>274</v>
      </c>
      <c r="C282" s="22" t="s">
        <v>327</v>
      </c>
      <c r="D282" s="35" t="n">
        <v>14</v>
      </c>
      <c r="E282" s="28" t="n">
        <v>31950</v>
      </c>
      <c r="F282" s="25" t="n">
        <f aca="false">D282*E282</f>
        <v>447300</v>
      </c>
    </row>
    <row r="283" customFormat="false" ht="15" hidden="false" customHeight="false" outlineLevel="0" collapsed="false">
      <c r="A283" s="22" t="s">
        <v>705</v>
      </c>
      <c r="B283" s="38" t="s">
        <v>214</v>
      </c>
      <c r="C283" s="22" t="s">
        <v>303</v>
      </c>
      <c r="D283" s="35" t="n">
        <v>10868</v>
      </c>
      <c r="E283" s="33" t="n">
        <v>24638</v>
      </c>
      <c r="F283" s="25" t="n">
        <f aca="false">D283*E283</f>
        <v>267765784</v>
      </c>
    </row>
    <row r="284" customFormat="false" ht="15" hidden="false" customHeight="false" outlineLevel="0" collapsed="false">
      <c r="A284" s="22" t="s">
        <v>706</v>
      </c>
      <c r="B284" s="22" t="s">
        <v>277</v>
      </c>
      <c r="C284" s="22" t="s">
        <v>327</v>
      </c>
      <c r="D284" s="22"/>
      <c r="E284" s="22"/>
      <c r="F284" s="23" t="n">
        <f aca="false">D284*E284</f>
        <v>0</v>
      </c>
    </row>
    <row r="285" customFormat="false" ht="15" hidden="false" customHeight="false" outlineLevel="0" collapsed="false">
      <c r="A285" s="22" t="s">
        <v>707</v>
      </c>
      <c r="B285" s="22" t="s">
        <v>708</v>
      </c>
      <c r="C285" s="22" t="s">
        <v>327</v>
      </c>
      <c r="D285" s="22"/>
      <c r="E285" s="22"/>
      <c r="F285" s="23" t="n">
        <f aca="false">D285*E285</f>
        <v>0</v>
      </c>
    </row>
    <row r="286" customFormat="false" ht="15" hidden="false" customHeight="false" outlineLevel="0" collapsed="false">
      <c r="A286" s="22" t="s">
        <v>709</v>
      </c>
      <c r="B286" s="22" t="s">
        <v>278</v>
      </c>
      <c r="C286" s="22" t="s">
        <v>303</v>
      </c>
      <c r="D286" s="22"/>
      <c r="E286" s="22"/>
      <c r="F286" s="23" t="n">
        <f aca="false">D286*E286</f>
        <v>0</v>
      </c>
    </row>
    <row r="287" customFormat="false" ht="15" hidden="false" customHeight="false" outlineLevel="0" collapsed="false">
      <c r="A287" s="22" t="s">
        <v>710</v>
      </c>
      <c r="B287" s="22" t="s">
        <v>711</v>
      </c>
      <c r="C287" s="22" t="s">
        <v>327</v>
      </c>
      <c r="D287" s="22"/>
      <c r="E287" s="22"/>
      <c r="F287" s="23" t="n">
        <f aca="false">D287*E287</f>
        <v>0</v>
      </c>
    </row>
    <row r="288" customFormat="false" ht="15" hidden="false" customHeight="false" outlineLevel="0" collapsed="false">
      <c r="A288" s="22" t="s">
        <v>712</v>
      </c>
      <c r="B288" s="22" t="s">
        <v>713</v>
      </c>
      <c r="C288" s="22" t="s">
        <v>303</v>
      </c>
      <c r="D288" s="22"/>
      <c r="E288" s="22"/>
      <c r="F288" s="23" t="n">
        <f aca="false">D288*E288</f>
        <v>0</v>
      </c>
    </row>
    <row r="289" customFormat="false" ht="15" hidden="false" customHeight="false" outlineLevel="0" collapsed="false">
      <c r="A289" s="22" t="s">
        <v>714</v>
      </c>
      <c r="B289" s="22" t="s">
        <v>715</v>
      </c>
      <c r="C289" s="22" t="s">
        <v>303</v>
      </c>
      <c r="D289" s="22"/>
      <c r="E289" s="22"/>
      <c r="F289" s="23" t="n">
        <f aca="false">D289*E289</f>
        <v>0</v>
      </c>
    </row>
    <row r="290" customFormat="false" ht="25.35" hidden="false" customHeight="false" outlineLevel="0" collapsed="false">
      <c r="A290" s="22" t="s">
        <v>716</v>
      </c>
      <c r="B290" s="22" t="s">
        <v>279</v>
      </c>
      <c r="C290" s="22" t="s">
        <v>327</v>
      </c>
      <c r="D290" s="22"/>
      <c r="E290" s="22"/>
      <c r="F290" s="23" t="n">
        <f aca="false">D290*E290</f>
        <v>0</v>
      </c>
    </row>
    <row r="291" customFormat="false" ht="25.35" hidden="false" customHeight="false" outlineLevel="0" collapsed="false">
      <c r="A291" s="22" t="s">
        <v>717</v>
      </c>
      <c r="B291" s="22" t="s">
        <v>280</v>
      </c>
      <c r="C291" s="22" t="s">
        <v>327</v>
      </c>
      <c r="D291" s="22"/>
      <c r="E291" s="22"/>
      <c r="F291" s="23" t="n">
        <f aca="false">D291*E291</f>
        <v>0</v>
      </c>
    </row>
    <row r="292" customFormat="false" ht="15" hidden="false" customHeight="false" outlineLevel="0" collapsed="false">
      <c r="A292" s="22" t="s">
        <v>718</v>
      </c>
      <c r="B292" s="38" t="s">
        <v>719</v>
      </c>
      <c r="C292" s="22" t="s">
        <v>327</v>
      </c>
      <c r="D292" s="35" t="n">
        <v>167</v>
      </c>
      <c r="E292" s="33" t="n">
        <v>17640</v>
      </c>
      <c r="F292" s="25" t="n">
        <f aca="false">D292*E292</f>
        <v>2945880</v>
      </c>
    </row>
    <row r="293" customFormat="false" ht="15" hidden="false" customHeight="false" outlineLevel="0" collapsed="false">
      <c r="A293" s="22" t="s">
        <v>720</v>
      </c>
      <c r="B293" s="38" t="s">
        <v>282</v>
      </c>
      <c r="C293" s="22" t="s">
        <v>327</v>
      </c>
      <c r="D293" s="35" t="n">
        <v>13</v>
      </c>
      <c r="E293" s="33" t="n">
        <v>35280</v>
      </c>
      <c r="F293" s="25" t="n">
        <f aca="false">D293*E293</f>
        <v>458640</v>
      </c>
    </row>
    <row r="294" customFormat="false" ht="15" hidden="false" customHeight="false" outlineLevel="0" collapsed="false">
      <c r="A294" s="22" t="s">
        <v>721</v>
      </c>
      <c r="B294" s="38" t="s">
        <v>233</v>
      </c>
      <c r="C294" s="22" t="s">
        <v>654</v>
      </c>
      <c r="D294" s="35" t="n">
        <v>2974</v>
      </c>
      <c r="E294" s="33" t="n">
        <v>62720</v>
      </c>
      <c r="F294" s="25" t="n">
        <f aca="false">D294*E294</f>
        <v>186529280</v>
      </c>
    </row>
    <row r="295" customFormat="false" ht="15" hidden="false" customHeight="false" outlineLevel="0" collapsed="false">
      <c r="A295" s="22" t="s">
        <v>722</v>
      </c>
      <c r="B295" s="22" t="s">
        <v>245</v>
      </c>
      <c r="C295" s="22" t="s">
        <v>303</v>
      </c>
      <c r="D295" s="22"/>
      <c r="E295" s="22"/>
      <c r="F295" s="23" t="n">
        <f aca="false">D295*E295</f>
        <v>0</v>
      </c>
    </row>
    <row r="296" customFormat="false" ht="15" hidden="false" customHeight="false" outlineLevel="0" collapsed="false">
      <c r="A296" s="22" t="s">
        <v>723</v>
      </c>
      <c r="B296" s="22" t="s">
        <v>724</v>
      </c>
      <c r="C296" s="22" t="s">
        <v>654</v>
      </c>
      <c r="D296" s="22"/>
      <c r="E296" s="22"/>
      <c r="F296" s="23" t="n">
        <f aca="false">D296*E296</f>
        <v>0</v>
      </c>
    </row>
    <row r="297" customFormat="false" ht="25.35" hidden="false" customHeight="false" outlineLevel="0" collapsed="false">
      <c r="A297" s="22" t="s">
        <v>725</v>
      </c>
      <c r="B297" s="22" t="s">
        <v>726</v>
      </c>
      <c r="C297" s="22" t="s">
        <v>528</v>
      </c>
      <c r="D297" s="22"/>
      <c r="E297" s="22"/>
      <c r="F297" s="23" t="n">
        <f aca="false">D297*E297</f>
        <v>0</v>
      </c>
    </row>
    <row r="298" customFormat="false" ht="15" hidden="false" customHeight="false" outlineLevel="0" collapsed="false">
      <c r="A298" s="22" t="s">
        <v>727</v>
      </c>
      <c r="B298" s="22" t="s">
        <v>728</v>
      </c>
      <c r="C298" s="22" t="s">
        <v>327</v>
      </c>
      <c r="D298" s="22"/>
      <c r="E298" s="22"/>
      <c r="F298" s="23" t="n">
        <f aca="false">D298*E298</f>
        <v>0</v>
      </c>
    </row>
    <row r="299" customFormat="false" ht="25.35" hidden="false" customHeight="false" outlineLevel="0" collapsed="false">
      <c r="A299" s="22" t="s">
        <v>729</v>
      </c>
      <c r="B299" s="22" t="s">
        <v>730</v>
      </c>
      <c r="C299" s="22" t="s">
        <v>327</v>
      </c>
      <c r="D299" s="22"/>
      <c r="E299" s="22"/>
      <c r="F299" s="23" t="n">
        <f aca="false">D299*E299</f>
        <v>0</v>
      </c>
    </row>
    <row r="300" customFormat="false" ht="15" hidden="false" customHeight="false" outlineLevel="0" collapsed="false">
      <c r="A300" s="22" t="s">
        <v>731</v>
      </c>
      <c r="B300" s="38" t="s">
        <v>287</v>
      </c>
      <c r="C300" s="22" t="s">
        <v>327</v>
      </c>
      <c r="D300" s="35" t="n">
        <v>8</v>
      </c>
      <c r="E300" s="33" t="n">
        <v>29616</v>
      </c>
      <c r="F300" s="25" t="n">
        <f aca="false">D300*E300</f>
        <v>236928</v>
      </c>
    </row>
    <row r="301" customFormat="false" ht="25.35" hidden="false" customHeight="false" outlineLevel="0" collapsed="false">
      <c r="A301" s="22" t="s">
        <v>732</v>
      </c>
      <c r="B301" s="22" t="s">
        <v>618</v>
      </c>
      <c r="C301" s="22" t="s">
        <v>327</v>
      </c>
      <c r="D301" s="22"/>
      <c r="E301" s="22"/>
      <c r="F301" s="23" t="n">
        <f aca="false">D301*E301</f>
        <v>0</v>
      </c>
    </row>
    <row r="302" customFormat="false" ht="25.35" hidden="false" customHeight="false" outlineLevel="0" collapsed="false">
      <c r="A302" s="22" t="s">
        <v>733</v>
      </c>
      <c r="B302" s="26" t="s">
        <v>210</v>
      </c>
      <c r="C302" s="22" t="s">
        <v>327</v>
      </c>
      <c r="D302" s="29" t="n">
        <v>625</v>
      </c>
      <c r="E302" s="33" t="n">
        <v>13152</v>
      </c>
      <c r="F302" s="25" t="n">
        <f aca="false">D302*E302</f>
        <v>8220000</v>
      </c>
    </row>
    <row r="303" customFormat="false" ht="15" hidden="false" customHeight="false" outlineLevel="0" collapsed="false">
      <c r="A303" s="22" t="s">
        <v>734</v>
      </c>
      <c r="B303" s="22" t="s">
        <v>735</v>
      </c>
      <c r="C303" s="22" t="s">
        <v>736</v>
      </c>
      <c r="D303" s="24"/>
      <c r="E303" s="24"/>
      <c r="F303" s="25" t="n">
        <f aca="false">D303*E303</f>
        <v>0</v>
      </c>
    </row>
    <row r="304" customFormat="false" ht="15" hidden="false" customHeight="false" outlineLevel="0" collapsed="false">
      <c r="A304" s="22" t="s">
        <v>737</v>
      </c>
      <c r="B304" s="22" t="s">
        <v>182</v>
      </c>
      <c r="C304" s="22" t="s">
        <v>528</v>
      </c>
      <c r="D304" s="24"/>
      <c r="E304" s="24"/>
      <c r="F304" s="25" t="n">
        <f aca="false">D304*E304</f>
        <v>0</v>
      </c>
    </row>
    <row r="305" customFormat="false" ht="15" hidden="false" customHeight="false" outlineLevel="0" collapsed="false">
      <c r="A305" s="22" t="s">
        <v>738</v>
      </c>
      <c r="B305" s="38" t="s">
        <v>183</v>
      </c>
      <c r="C305" s="22" t="s">
        <v>528</v>
      </c>
      <c r="D305" s="35" t="n">
        <v>2802</v>
      </c>
      <c r="E305" s="33" t="n">
        <v>54405.18</v>
      </c>
      <c r="F305" s="25" t="n">
        <f aca="false">D305*E305</f>
        <v>152443314.36</v>
      </c>
    </row>
    <row r="306" customFormat="false" ht="15" hidden="false" customHeight="false" outlineLevel="0" collapsed="false">
      <c r="A306" s="22" t="s">
        <v>739</v>
      </c>
      <c r="B306" s="38" t="s">
        <v>184</v>
      </c>
      <c r="C306" s="22" t="s">
        <v>528</v>
      </c>
      <c r="D306" s="35" t="n">
        <v>1597</v>
      </c>
      <c r="E306" s="33" t="n">
        <v>54405.18</v>
      </c>
      <c r="F306" s="25" t="n">
        <f aca="false">D306*E306</f>
        <v>86885072.46</v>
      </c>
    </row>
    <row r="307" customFormat="false" ht="15" hidden="false" customHeight="false" outlineLevel="0" collapsed="false">
      <c r="A307" s="22" t="s">
        <v>740</v>
      </c>
      <c r="B307" s="38" t="s">
        <v>189</v>
      </c>
      <c r="C307" s="22" t="s">
        <v>303</v>
      </c>
      <c r="D307" s="35" t="n">
        <v>555</v>
      </c>
      <c r="E307" s="33" t="n">
        <v>44306.06</v>
      </c>
      <c r="F307" s="25" t="n">
        <f aca="false">D307*E307</f>
        <v>24589863.3</v>
      </c>
    </row>
    <row r="308" customFormat="false" ht="15" hidden="false" customHeight="false" outlineLevel="0" collapsed="false">
      <c r="A308" s="22" t="s">
        <v>741</v>
      </c>
      <c r="B308" s="22" t="s">
        <v>742</v>
      </c>
      <c r="C308" s="22" t="s">
        <v>303</v>
      </c>
      <c r="D308" s="24"/>
      <c r="E308" s="24"/>
      <c r="F308" s="25" t="n">
        <f aca="false">D308*E308</f>
        <v>0</v>
      </c>
    </row>
    <row r="309" customFormat="false" ht="15" hidden="false" customHeight="false" outlineLevel="0" collapsed="false">
      <c r="A309" s="22" t="s">
        <v>743</v>
      </c>
      <c r="B309" s="38" t="s">
        <v>186</v>
      </c>
      <c r="C309" s="22" t="s">
        <v>303</v>
      </c>
      <c r="D309" s="35" t="n">
        <v>4395</v>
      </c>
      <c r="E309" s="33" t="n">
        <v>43373.31</v>
      </c>
      <c r="F309" s="25" t="n">
        <f aca="false">D309*E309</f>
        <v>190625697.45</v>
      </c>
    </row>
    <row r="310" customFormat="false" ht="15" hidden="false" customHeight="false" outlineLevel="0" collapsed="false">
      <c r="A310" s="22" t="s">
        <v>744</v>
      </c>
      <c r="B310" s="22" t="s">
        <v>745</v>
      </c>
      <c r="C310" s="22" t="s">
        <v>303</v>
      </c>
      <c r="D310" s="22"/>
      <c r="E310" s="22"/>
      <c r="F310" s="23" t="n">
        <f aca="false">D310*E310</f>
        <v>0</v>
      </c>
    </row>
    <row r="311" customFormat="false" ht="15" hidden="false" customHeight="false" outlineLevel="0" collapsed="false">
      <c r="A311" s="22" t="s">
        <v>746</v>
      </c>
      <c r="B311" s="38" t="s">
        <v>185</v>
      </c>
      <c r="C311" s="22" t="s">
        <v>303</v>
      </c>
      <c r="D311" s="35" t="n">
        <v>925</v>
      </c>
      <c r="E311" s="33" t="n">
        <v>180233.73</v>
      </c>
      <c r="F311" s="25" t="n">
        <f aca="false">D311*E311</f>
        <v>166716200.25</v>
      </c>
    </row>
    <row r="312" customFormat="false" ht="15" hidden="false" customHeight="false" outlineLevel="0" collapsed="false">
      <c r="A312" s="22" t="s">
        <v>747</v>
      </c>
      <c r="B312" s="38" t="s">
        <v>748</v>
      </c>
      <c r="C312" s="22" t="s">
        <v>303</v>
      </c>
      <c r="D312" s="35" t="n">
        <v>8407</v>
      </c>
      <c r="E312" s="33" t="n">
        <v>178467</v>
      </c>
      <c r="F312" s="25" t="n">
        <f aca="false">D312*E312</f>
        <v>1500372069</v>
      </c>
    </row>
    <row r="313" customFormat="false" ht="25.35" hidden="false" customHeight="false" outlineLevel="0" collapsed="false">
      <c r="A313" s="22" t="s">
        <v>749</v>
      </c>
      <c r="B313" s="22" t="s">
        <v>750</v>
      </c>
      <c r="C313" s="22" t="s">
        <v>303</v>
      </c>
      <c r="D313" s="24"/>
      <c r="E313" s="24"/>
      <c r="F313" s="25" t="n">
        <f aca="false">D313*E313</f>
        <v>0</v>
      </c>
    </row>
    <row r="314" customFormat="false" ht="15" hidden="false" customHeight="false" outlineLevel="0" collapsed="false">
      <c r="A314" s="22" t="s">
        <v>751</v>
      </c>
      <c r="B314" s="38" t="s">
        <v>192</v>
      </c>
      <c r="C314" s="22" t="s">
        <v>311</v>
      </c>
      <c r="D314" s="35" t="n">
        <v>6335</v>
      </c>
      <c r="E314" s="33" t="n">
        <v>7220</v>
      </c>
      <c r="F314" s="25" t="n">
        <f aca="false">D314*E314</f>
        <v>45738700</v>
      </c>
    </row>
    <row r="315" customFormat="false" ht="15" hidden="false" customHeight="false" outlineLevel="0" collapsed="false">
      <c r="A315" s="22" t="s">
        <v>752</v>
      </c>
      <c r="B315" s="38" t="s">
        <v>190</v>
      </c>
      <c r="C315" s="22" t="s">
        <v>753</v>
      </c>
      <c r="D315" s="35" t="n">
        <v>4737</v>
      </c>
      <c r="E315" s="33" t="n">
        <v>28272</v>
      </c>
      <c r="F315" s="25" t="n">
        <f aca="false">D315*E315</f>
        <v>133924464</v>
      </c>
    </row>
    <row r="316" customFormat="false" ht="15" hidden="false" customHeight="false" outlineLevel="0" collapsed="false">
      <c r="A316" s="22" t="s">
        <v>754</v>
      </c>
      <c r="B316" s="38" t="s">
        <v>755</v>
      </c>
      <c r="C316" s="22" t="s">
        <v>753</v>
      </c>
      <c r="D316" s="35" t="n">
        <v>843</v>
      </c>
      <c r="E316" s="33" t="n">
        <v>35340</v>
      </c>
      <c r="F316" s="25" t="n">
        <f aca="false">D316*E316</f>
        <v>29791620</v>
      </c>
    </row>
    <row r="317" customFormat="false" ht="15" hidden="false" customHeight="false" outlineLevel="0" collapsed="false">
      <c r="A317" s="22" t="s">
        <v>756</v>
      </c>
      <c r="B317" s="38" t="s">
        <v>194</v>
      </c>
      <c r="C317" s="22" t="s">
        <v>311</v>
      </c>
      <c r="D317" s="35" t="n">
        <v>243366</v>
      </c>
      <c r="E317" s="33" t="n">
        <v>7068</v>
      </c>
      <c r="F317" s="25" t="n">
        <f aca="false">D317*E317</f>
        <v>1720110888</v>
      </c>
    </row>
    <row r="318" customFormat="false" ht="15" hidden="false" customHeight="false" outlineLevel="0" collapsed="false">
      <c r="A318" s="22" t="s">
        <v>757</v>
      </c>
      <c r="B318" s="38" t="s">
        <v>191</v>
      </c>
      <c r="C318" s="22" t="s">
        <v>753</v>
      </c>
      <c r="D318" s="35" t="n">
        <v>46715</v>
      </c>
      <c r="E318" s="33" t="n">
        <v>28272</v>
      </c>
      <c r="F318" s="25" t="n">
        <f aca="false">D318*E318</f>
        <v>1320726480</v>
      </c>
    </row>
    <row r="319" customFormat="false" ht="25.35" hidden="false" customHeight="false" outlineLevel="0" collapsed="false">
      <c r="A319" s="22" t="s">
        <v>758</v>
      </c>
      <c r="B319" s="22" t="s">
        <v>759</v>
      </c>
      <c r="C319" s="22" t="s">
        <v>753</v>
      </c>
      <c r="D319" s="22"/>
      <c r="E319" s="22"/>
      <c r="F319" s="23" t="n">
        <f aca="false">D319*E319</f>
        <v>0</v>
      </c>
    </row>
    <row r="320" customFormat="false" ht="25.35" hidden="false" customHeight="false" outlineLevel="0" collapsed="false">
      <c r="A320" s="22" t="s">
        <v>760</v>
      </c>
      <c r="B320" s="22" t="s">
        <v>198</v>
      </c>
      <c r="C320" s="22" t="s">
        <v>753</v>
      </c>
      <c r="D320" s="22"/>
      <c r="E320" s="22"/>
      <c r="F320" s="23" t="n">
        <f aca="false">D320*E320</f>
        <v>0</v>
      </c>
    </row>
    <row r="321" customFormat="false" ht="15" hidden="false" customHeight="false" outlineLevel="0" collapsed="false">
      <c r="A321" s="22" t="s">
        <v>761</v>
      </c>
      <c r="B321" s="22" t="s">
        <v>762</v>
      </c>
      <c r="C321" s="22" t="s">
        <v>753</v>
      </c>
      <c r="D321" s="22"/>
      <c r="E321" s="22"/>
      <c r="F321" s="23" t="n">
        <f aca="false">D321*E321</f>
        <v>0</v>
      </c>
    </row>
    <row r="322" customFormat="false" ht="25.35" hidden="false" customHeight="false" outlineLevel="0" collapsed="false">
      <c r="A322" s="22" t="s">
        <v>763</v>
      </c>
      <c r="B322" s="22" t="s">
        <v>196</v>
      </c>
      <c r="C322" s="22" t="s">
        <v>303</v>
      </c>
      <c r="D322" s="22"/>
      <c r="E322" s="22"/>
      <c r="F322" s="23" t="n">
        <f aca="false">D322*E322</f>
        <v>0</v>
      </c>
    </row>
    <row r="323" customFormat="false" ht="15" hidden="false" customHeight="false" outlineLevel="0" collapsed="false">
      <c r="A323" s="22" t="s">
        <v>764</v>
      </c>
      <c r="B323" s="38" t="s">
        <v>765</v>
      </c>
      <c r="C323" s="22" t="s">
        <v>311</v>
      </c>
      <c r="D323" s="35" t="n">
        <v>1150</v>
      </c>
      <c r="E323" s="33" t="n">
        <v>7220</v>
      </c>
      <c r="F323" s="25" t="n">
        <f aca="false">D323*E323</f>
        <v>8303000</v>
      </c>
    </row>
    <row r="324" customFormat="false" ht="15" hidden="false" customHeight="false" outlineLevel="0" collapsed="false">
      <c r="A324" s="22" t="s">
        <v>766</v>
      </c>
      <c r="B324" s="22" t="s">
        <v>767</v>
      </c>
      <c r="C324" s="22" t="s">
        <v>753</v>
      </c>
      <c r="D324" s="22"/>
      <c r="E324" s="22"/>
      <c r="F324" s="23" t="n">
        <f aca="false">D324*E324</f>
        <v>0</v>
      </c>
    </row>
    <row r="325" customFormat="false" ht="15" hidden="false" customHeight="false" outlineLevel="0" collapsed="false">
      <c r="A325" s="22" t="s">
        <v>768</v>
      </c>
      <c r="B325" s="22" t="s">
        <v>769</v>
      </c>
      <c r="C325" s="22" t="s">
        <v>303</v>
      </c>
      <c r="D325" s="22"/>
      <c r="E325" s="22"/>
      <c r="F325" s="23" t="n">
        <f aca="false">D325*E325</f>
        <v>0</v>
      </c>
    </row>
    <row r="326" customFormat="false" ht="15" hidden="false" customHeight="false" outlineLevel="0" collapsed="false">
      <c r="A326" s="22" t="s">
        <v>770</v>
      </c>
      <c r="B326" s="22" t="s">
        <v>771</v>
      </c>
      <c r="C326" s="22" t="s">
        <v>303</v>
      </c>
      <c r="D326" s="22"/>
      <c r="E326" s="22"/>
      <c r="F326" s="23" t="n">
        <f aca="false">D326*E326</f>
        <v>0</v>
      </c>
    </row>
    <row r="327" customFormat="false" ht="15" hidden="false" customHeight="false" outlineLevel="0" collapsed="false">
      <c r="A327" s="22" t="s">
        <v>772</v>
      </c>
      <c r="B327" s="22" t="s">
        <v>773</v>
      </c>
      <c r="C327" s="22" t="s">
        <v>303</v>
      </c>
      <c r="D327" s="22"/>
      <c r="E327" s="22"/>
      <c r="F327" s="23" t="n">
        <f aca="false">D327*E327</f>
        <v>0</v>
      </c>
    </row>
    <row r="328" customFormat="false" ht="15" hidden="false" customHeight="false" outlineLevel="0" collapsed="false">
      <c r="A328" s="22" t="s">
        <v>774</v>
      </c>
      <c r="B328" s="22" t="s">
        <v>775</v>
      </c>
      <c r="C328" s="22" t="s">
        <v>303</v>
      </c>
      <c r="D328" s="22"/>
      <c r="E328" s="22"/>
      <c r="F328" s="23" t="n">
        <f aca="false">D328*E328</f>
        <v>0</v>
      </c>
    </row>
    <row r="329" customFormat="false" ht="15" hidden="false" customHeight="false" outlineLevel="0" collapsed="false">
      <c r="A329" s="22" t="s">
        <v>776</v>
      </c>
      <c r="B329" s="22" t="s">
        <v>777</v>
      </c>
      <c r="C329" s="22" t="s">
        <v>303</v>
      </c>
      <c r="D329" s="22"/>
      <c r="E329" s="22"/>
      <c r="F329" s="23" t="n">
        <f aca="false">D329*E329</f>
        <v>0</v>
      </c>
    </row>
    <row r="330" customFormat="false" ht="25.35" hidden="false" customHeight="false" outlineLevel="0" collapsed="false">
      <c r="A330" s="22" t="s">
        <v>778</v>
      </c>
      <c r="B330" s="22" t="s">
        <v>779</v>
      </c>
      <c r="C330" s="22" t="s">
        <v>303</v>
      </c>
      <c r="D330" s="22"/>
      <c r="E330" s="22"/>
      <c r="F330" s="23" t="n">
        <f aca="false">D330*E330</f>
        <v>0</v>
      </c>
    </row>
    <row r="331" customFormat="false" ht="25.35" hidden="false" customHeight="false" outlineLevel="0" collapsed="false">
      <c r="A331" s="22" t="s">
        <v>780</v>
      </c>
      <c r="B331" s="22" t="s">
        <v>781</v>
      </c>
      <c r="C331" s="22" t="s">
        <v>303</v>
      </c>
      <c r="D331" s="22"/>
      <c r="E331" s="22"/>
      <c r="F331" s="23" t="n">
        <f aca="false">D331*E331</f>
        <v>0</v>
      </c>
    </row>
    <row r="332" customFormat="false" ht="15" hidden="false" customHeight="false" outlineLevel="0" collapsed="false">
      <c r="A332" s="22" t="s">
        <v>782</v>
      </c>
      <c r="B332" s="38" t="s">
        <v>203</v>
      </c>
      <c r="C332" s="22" t="s">
        <v>303</v>
      </c>
      <c r="D332" s="35" t="n">
        <v>918</v>
      </c>
      <c r="E332" s="33" t="n">
        <v>11737</v>
      </c>
      <c r="F332" s="25" t="n">
        <f aca="false">D332*E332</f>
        <v>10774566</v>
      </c>
    </row>
    <row r="333" customFormat="false" ht="15" hidden="false" customHeight="false" outlineLevel="0" collapsed="false">
      <c r="A333" s="22" t="s">
        <v>783</v>
      </c>
      <c r="B333" s="38" t="s">
        <v>202</v>
      </c>
      <c r="C333" s="22" t="s">
        <v>303</v>
      </c>
      <c r="D333" s="35" t="n">
        <v>72</v>
      </c>
      <c r="E333" s="33" t="n">
        <v>25802</v>
      </c>
      <c r="F333" s="25" t="n">
        <f aca="false">D333*E333</f>
        <v>1857744</v>
      </c>
    </row>
    <row r="334" customFormat="false" ht="15" hidden="false" customHeight="false" outlineLevel="0" collapsed="false">
      <c r="A334" s="22" t="s">
        <v>784</v>
      </c>
      <c r="B334" s="38" t="s">
        <v>204</v>
      </c>
      <c r="C334" s="22" t="s">
        <v>303</v>
      </c>
      <c r="D334" s="35" t="n">
        <v>8457</v>
      </c>
      <c r="E334" s="33" t="n">
        <v>32010</v>
      </c>
      <c r="F334" s="25" t="n">
        <f aca="false">D334*E334</f>
        <v>270708570</v>
      </c>
    </row>
    <row r="335" customFormat="false" ht="15" hidden="false" customHeight="false" outlineLevel="0" collapsed="false">
      <c r="A335" s="22" t="s">
        <v>785</v>
      </c>
      <c r="B335" s="38" t="s">
        <v>205</v>
      </c>
      <c r="C335" s="22" t="s">
        <v>303</v>
      </c>
      <c r="D335" s="35" t="n">
        <v>190</v>
      </c>
      <c r="E335" s="33" t="n">
        <v>67124</v>
      </c>
      <c r="F335" s="25" t="n">
        <f aca="false">D335*E335</f>
        <v>12753560</v>
      </c>
    </row>
    <row r="336" customFormat="false" ht="15" hidden="false" customHeight="false" outlineLevel="0" collapsed="false">
      <c r="A336" s="22" t="s">
        <v>786</v>
      </c>
      <c r="B336" s="22" t="s">
        <v>787</v>
      </c>
      <c r="C336" s="22" t="s">
        <v>327</v>
      </c>
      <c r="D336" s="22"/>
      <c r="E336" s="22"/>
      <c r="F336" s="23" t="n">
        <f aca="false">D336*E336</f>
        <v>0</v>
      </c>
    </row>
    <row r="337" customFormat="false" ht="15" hidden="false" customHeight="false" outlineLevel="0" collapsed="false">
      <c r="A337" s="22" t="s">
        <v>788</v>
      </c>
      <c r="B337" s="22" t="s">
        <v>255</v>
      </c>
      <c r="C337" s="22" t="s">
        <v>327</v>
      </c>
      <c r="D337" s="22"/>
      <c r="E337" s="22"/>
      <c r="F337" s="23" t="n">
        <f aca="false">D337*E337</f>
        <v>0</v>
      </c>
    </row>
    <row r="338" customFormat="false" ht="15" hidden="false" customHeight="false" outlineLevel="0" collapsed="false">
      <c r="A338" s="22" t="s">
        <v>789</v>
      </c>
      <c r="B338" s="53" t="s">
        <v>209</v>
      </c>
      <c r="C338" s="22" t="s">
        <v>451</v>
      </c>
      <c r="D338" s="29" t="n">
        <v>76</v>
      </c>
      <c r="E338" s="33" t="n">
        <v>58410</v>
      </c>
      <c r="F338" s="25" t="n">
        <f aca="false">D338*E338</f>
        <v>4439160</v>
      </c>
    </row>
    <row r="339" customFormat="false" ht="15" hidden="false" customHeight="false" outlineLevel="0" collapsed="false">
      <c r="A339" s="22" t="s">
        <v>790</v>
      </c>
      <c r="B339" s="22" t="s">
        <v>791</v>
      </c>
      <c r="C339" s="22" t="s">
        <v>654</v>
      </c>
      <c r="D339" s="22"/>
      <c r="E339" s="22"/>
      <c r="F339" s="23" t="n">
        <f aca="false">D339*E339</f>
        <v>0</v>
      </c>
    </row>
    <row r="340" customFormat="false" ht="15" hidden="false" customHeight="false" outlineLevel="0" collapsed="false">
      <c r="A340" s="22" t="s">
        <v>792</v>
      </c>
      <c r="B340" s="38" t="s">
        <v>206</v>
      </c>
      <c r="C340" s="22" t="s">
        <v>303</v>
      </c>
      <c r="D340" s="35" t="n">
        <v>360</v>
      </c>
      <c r="E340" s="33" t="n">
        <v>32864</v>
      </c>
      <c r="F340" s="25" t="n">
        <f aca="false">D340*E340</f>
        <v>11831040</v>
      </c>
    </row>
    <row r="341" customFormat="false" ht="15" hidden="false" customHeight="false" outlineLevel="0" collapsed="false">
      <c r="A341" s="22" t="s">
        <v>793</v>
      </c>
      <c r="B341" s="38" t="s">
        <v>207</v>
      </c>
      <c r="C341" s="22" t="s">
        <v>303</v>
      </c>
      <c r="D341" s="35" t="n">
        <v>2634</v>
      </c>
      <c r="E341" s="33" t="n">
        <v>12804</v>
      </c>
      <c r="F341" s="25" t="n">
        <f aca="false">D341*E341</f>
        <v>33725736</v>
      </c>
    </row>
    <row r="342" customFormat="false" ht="15" hidden="false" customHeight="false" outlineLevel="0" collapsed="false">
      <c r="A342" s="22" t="s">
        <v>794</v>
      </c>
      <c r="B342" s="27" t="s">
        <v>258</v>
      </c>
      <c r="C342" s="24" t="s">
        <v>327</v>
      </c>
      <c r="D342" s="29" t="n">
        <v>1215</v>
      </c>
      <c r="E342" s="33" t="n">
        <v>12804</v>
      </c>
      <c r="F342" s="25" t="n">
        <f aca="false">D342*E342</f>
        <v>15556860</v>
      </c>
    </row>
    <row r="343" customFormat="false" ht="15" hidden="false" customHeight="false" outlineLevel="0" collapsed="false">
      <c r="A343" s="22" t="s">
        <v>795</v>
      </c>
      <c r="B343" s="38" t="s">
        <v>208</v>
      </c>
      <c r="C343" s="22" t="s">
        <v>303</v>
      </c>
      <c r="D343" s="35" t="n">
        <v>205</v>
      </c>
      <c r="E343" s="33" t="n">
        <v>10476</v>
      </c>
      <c r="F343" s="25" t="n">
        <f aca="false">D343*E343</f>
        <v>2147580</v>
      </c>
    </row>
    <row r="344" customFormat="false" ht="25.35" hidden="false" customHeight="false" outlineLevel="0" collapsed="false">
      <c r="A344" s="22" t="s">
        <v>796</v>
      </c>
      <c r="B344" s="38" t="s">
        <v>797</v>
      </c>
      <c r="C344" s="22" t="s">
        <v>327</v>
      </c>
      <c r="D344" s="35" t="n">
        <v>90</v>
      </c>
      <c r="E344" s="54" t="n">
        <v>21363.9</v>
      </c>
      <c r="F344" s="25" t="n">
        <f aca="false">D344*E344</f>
        <v>1922751</v>
      </c>
    </row>
    <row r="345" customFormat="false" ht="25.35" hidden="false" customHeight="false" outlineLevel="0" collapsed="false">
      <c r="A345" s="22" t="s">
        <v>798</v>
      </c>
      <c r="B345" s="22" t="s">
        <v>799</v>
      </c>
      <c r="C345" s="22" t="s">
        <v>327</v>
      </c>
      <c r="D345" s="22"/>
      <c r="E345" s="22"/>
      <c r="F345" s="23" t="n">
        <f aca="false">D345*E345</f>
        <v>0</v>
      </c>
    </row>
    <row r="346" customFormat="false" ht="25.35" hidden="false" customHeight="false" outlineLevel="0" collapsed="false">
      <c r="A346" s="22" t="s">
        <v>800</v>
      </c>
      <c r="B346" s="22" t="s">
        <v>801</v>
      </c>
      <c r="C346" s="22" t="s">
        <v>327</v>
      </c>
      <c r="D346" s="22"/>
      <c r="E346" s="22"/>
      <c r="F346" s="23" t="n">
        <f aca="false">D346*E346</f>
        <v>0</v>
      </c>
    </row>
    <row r="347" customFormat="false" ht="15" hidden="false" customHeight="false" outlineLevel="0" collapsed="false">
      <c r="A347" s="22" t="s">
        <v>802</v>
      </c>
      <c r="B347" s="22" t="s">
        <v>803</v>
      </c>
      <c r="C347" s="22" t="s">
        <v>327</v>
      </c>
      <c r="D347" s="22"/>
      <c r="E347" s="22"/>
      <c r="F347" s="23" t="n">
        <f aca="false">D347*E347</f>
        <v>0</v>
      </c>
    </row>
    <row r="348" customFormat="false" ht="15" hidden="false" customHeight="false" outlineLevel="0" collapsed="false">
      <c r="A348" s="22" t="s">
        <v>804</v>
      </c>
      <c r="B348" s="22" t="s">
        <v>805</v>
      </c>
      <c r="C348" s="22" t="s">
        <v>699</v>
      </c>
      <c r="D348" s="22"/>
      <c r="E348" s="22"/>
      <c r="F348" s="23" t="n">
        <f aca="false">D348*E348</f>
        <v>0</v>
      </c>
    </row>
    <row r="349" customFormat="false" ht="15" hidden="false" customHeight="false" outlineLevel="0" collapsed="false">
      <c r="A349" s="22" t="s">
        <v>806</v>
      </c>
      <c r="B349" s="22" t="s">
        <v>256</v>
      </c>
      <c r="C349" s="22" t="s">
        <v>327</v>
      </c>
      <c r="D349" s="22"/>
      <c r="E349" s="22"/>
      <c r="F349" s="23" t="n">
        <f aca="false">D349*E349</f>
        <v>0</v>
      </c>
    </row>
    <row r="350" customFormat="false" ht="15" hidden="false" customHeight="false" outlineLevel="0" collapsed="false">
      <c r="A350" s="22" t="s">
        <v>807</v>
      </c>
      <c r="B350" s="22" t="s">
        <v>286</v>
      </c>
      <c r="C350" s="22" t="s">
        <v>327</v>
      </c>
      <c r="D350" s="22"/>
      <c r="E350" s="22"/>
      <c r="F350" s="23" t="n">
        <f aca="false">D350*E350</f>
        <v>0</v>
      </c>
    </row>
    <row r="351" customFormat="false" ht="15" hidden="false" customHeight="false" outlineLevel="0" collapsed="false">
      <c r="A351" s="22" t="s">
        <v>808</v>
      </c>
      <c r="B351" s="38" t="s">
        <v>213</v>
      </c>
      <c r="C351" s="22" t="s">
        <v>303</v>
      </c>
      <c r="D351" s="35" t="n">
        <v>1474</v>
      </c>
      <c r="E351" s="33" t="n">
        <v>21243</v>
      </c>
      <c r="F351" s="25" t="n">
        <f aca="false">D351*E351</f>
        <v>31312182</v>
      </c>
    </row>
    <row r="352" customFormat="false" ht="15" hidden="false" customHeight="false" outlineLevel="0" collapsed="false">
      <c r="A352" s="22" t="s">
        <v>809</v>
      </c>
      <c r="B352" s="38" t="s">
        <v>212</v>
      </c>
      <c r="C352" s="22" t="s">
        <v>303</v>
      </c>
      <c r="D352" s="35" t="n">
        <v>20747</v>
      </c>
      <c r="E352" s="33" t="n">
        <v>12416</v>
      </c>
      <c r="F352" s="25" t="n">
        <f aca="false">D352*E352</f>
        <v>257594752</v>
      </c>
    </row>
    <row r="353" customFormat="false" ht="15" hidden="false" customHeight="false" outlineLevel="0" collapsed="false">
      <c r="A353" s="22" t="s">
        <v>810</v>
      </c>
      <c r="B353" s="22" t="s">
        <v>811</v>
      </c>
      <c r="C353" s="22" t="s">
        <v>303</v>
      </c>
      <c r="D353" s="22"/>
      <c r="E353" s="22"/>
      <c r="F353" s="23" t="n">
        <f aca="false">D353*E353</f>
        <v>0</v>
      </c>
    </row>
    <row r="354" customFormat="false" ht="15" hidden="false" customHeight="false" outlineLevel="0" collapsed="false">
      <c r="A354" s="22" t="s">
        <v>812</v>
      </c>
      <c r="B354" s="38" t="s">
        <v>215</v>
      </c>
      <c r="C354" s="22" t="s">
        <v>303</v>
      </c>
      <c r="D354" s="35" t="n">
        <v>597</v>
      </c>
      <c r="E354" s="33" t="n">
        <v>42680</v>
      </c>
      <c r="F354" s="25" t="n">
        <f aca="false">D354*E354</f>
        <v>25479960</v>
      </c>
    </row>
    <row r="355" customFormat="false" ht="15" hidden="false" customHeight="false" outlineLevel="0" collapsed="false">
      <c r="A355" s="22" t="s">
        <v>813</v>
      </c>
      <c r="B355" s="22" t="s">
        <v>216</v>
      </c>
      <c r="C355" s="22" t="s">
        <v>303</v>
      </c>
      <c r="D355" s="22"/>
      <c r="E355" s="22"/>
      <c r="F355" s="23" t="n">
        <f aca="false">D355*E355</f>
        <v>0</v>
      </c>
    </row>
    <row r="356" customFormat="false" ht="25.35" hidden="false" customHeight="false" outlineLevel="0" collapsed="false">
      <c r="A356" s="22" t="s">
        <v>814</v>
      </c>
      <c r="B356" s="22" t="s">
        <v>815</v>
      </c>
      <c r="C356" s="22" t="s">
        <v>327</v>
      </c>
      <c r="D356" s="22"/>
      <c r="E356" s="22"/>
      <c r="F356" s="23" t="n">
        <f aca="false">D356*E356</f>
        <v>0</v>
      </c>
    </row>
    <row r="357" customFormat="false" ht="25.35" hidden="false" customHeight="false" outlineLevel="0" collapsed="false">
      <c r="A357" s="22" t="s">
        <v>816</v>
      </c>
      <c r="B357" s="22" t="s">
        <v>815</v>
      </c>
      <c r="C357" s="22" t="s">
        <v>528</v>
      </c>
      <c r="D357" s="22"/>
      <c r="E357" s="22"/>
      <c r="F357" s="23" t="n">
        <f aca="false">D357*E357</f>
        <v>0</v>
      </c>
    </row>
    <row r="358" customFormat="false" ht="15" hidden="false" customHeight="false" outlineLevel="0" collapsed="false">
      <c r="A358" s="22" t="s">
        <v>817</v>
      </c>
      <c r="B358" s="22" t="s">
        <v>818</v>
      </c>
      <c r="C358" s="22" t="s">
        <v>528</v>
      </c>
      <c r="D358" s="22"/>
      <c r="E358" s="22"/>
      <c r="F358" s="23" t="n">
        <f aca="false">D358*E358</f>
        <v>0</v>
      </c>
    </row>
    <row r="359" customFormat="false" ht="15" hidden="false" customHeight="false" outlineLevel="0" collapsed="false">
      <c r="A359" s="22" t="s">
        <v>819</v>
      </c>
      <c r="B359" s="22" t="s">
        <v>239</v>
      </c>
      <c r="C359" s="22" t="s">
        <v>451</v>
      </c>
      <c r="D359" s="22"/>
      <c r="E359" s="22"/>
      <c r="F359" s="23" t="n">
        <f aca="false">D359*E359</f>
        <v>0</v>
      </c>
    </row>
    <row r="360" customFormat="false" ht="15" hidden="false" customHeight="false" outlineLevel="0" collapsed="false">
      <c r="A360" s="22" t="s">
        <v>820</v>
      </c>
      <c r="B360" s="22" t="s">
        <v>821</v>
      </c>
      <c r="C360" s="22" t="s">
        <v>654</v>
      </c>
      <c r="D360" s="22"/>
      <c r="E360" s="22"/>
      <c r="F360" s="23" t="n">
        <f aca="false">D360*E360</f>
        <v>0</v>
      </c>
    </row>
    <row r="361" customFormat="false" ht="15" hidden="false" customHeight="false" outlineLevel="0" collapsed="false">
      <c r="A361" s="22" t="s">
        <v>822</v>
      </c>
      <c r="B361" s="38" t="s">
        <v>217</v>
      </c>
      <c r="C361" s="22" t="s">
        <v>654</v>
      </c>
      <c r="D361" s="35" t="n">
        <v>90</v>
      </c>
      <c r="E361" s="33" t="n">
        <v>180700</v>
      </c>
      <c r="F361" s="25" t="n">
        <f aca="false">D361*E361</f>
        <v>16263000</v>
      </c>
    </row>
    <row r="362" customFormat="false" ht="15" hidden="false" customHeight="false" outlineLevel="0" collapsed="false">
      <c r="A362" s="22" t="s">
        <v>823</v>
      </c>
      <c r="B362" s="26" t="s">
        <v>218</v>
      </c>
      <c r="C362" s="22" t="s">
        <v>654</v>
      </c>
      <c r="D362" s="29" t="n">
        <v>50</v>
      </c>
      <c r="E362" s="33" t="n">
        <v>239590</v>
      </c>
      <c r="F362" s="25" t="n">
        <f aca="false">D362*E362</f>
        <v>11979500</v>
      </c>
    </row>
    <row r="363" customFormat="false" ht="15" hidden="false" customHeight="false" outlineLevel="0" collapsed="false">
      <c r="A363" s="22" t="s">
        <v>824</v>
      </c>
      <c r="B363" s="38" t="s">
        <v>219</v>
      </c>
      <c r="C363" s="22" t="s">
        <v>654</v>
      </c>
      <c r="D363" s="35" t="n">
        <v>30</v>
      </c>
      <c r="E363" s="33" t="n">
        <v>236000</v>
      </c>
      <c r="F363" s="25" t="n">
        <f aca="false">D363*E363</f>
        <v>7080000</v>
      </c>
    </row>
    <row r="364" customFormat="false" ht="15" hidden="false" customHeight="false" outlineLevel="0" collapsed="false">
      <c r="A364" s="22" t="s">
        <v>825</v>
      </c>
      <c r="B364" s="26" t="s">
        <v>220</v>
      </c>
      <c r="C364" s="22" t="s">
        <v>303</v>
      </c>
      <c r="D364" s="29" t="n">
        <v>72</v>
      </c>
      <c r="E364" s="33" t="n">
        <v>24444</v>
      </c>
      <c r="F364" s="25" t="n">
        <f aca="false">D364*E364</f>
        <v>1759968</v>
      </c>
    </row>
    <row r="365" customFormat="false" ht="15" hidden="false" customHeight="false" outlineLevel="0" collapsed="false">
      <c r="A365" s="22" t="s">
        <v>826</v>
      </c>
      <c r="B365" s="22" t="s">
        <v>827</v>
      </c>
      <c r="C365" s="22" t="s">
        <v>303</v>
      </c>
      <c r="D365" s="22"/>
      <c r="E365" s="22"/>
      <c r="F365" s="23" t="n">
        <f aca="false">D365*E365</f>
        <v>0</v>
      </c>
    </row>
    <row r="366" customFormat="false" ht="15" hidden="false" customHeight="false" outlineLevel="0" collapsed="false">
      <c r="A366" s="22" t="s">
        <v>828</v>
      </c>
      <c r="B366" s="22" t="s">
        <v>829</v>
      </c>
      <c r="C366" s="22" t="s">
        <v>654</v>
      </c>
      <c r="D366" s="22"/>
      <c r="E366" s="22"/>
      <c r="F366" s="23" t="n">
        <f aca="false">D366*E366</f>
        <v>0</v>
      </c>
    </row>
    <row r="367" customFormat="false" ht="15" hidden="false" customHeight="false" outlineLevel="0" collapsed="false">
      <c r="A367" s="22" t="s">
        <v>830</v>
      </c>
      <c r="B367" s="38" t="s">
        <v>221</v>
      </c>
      <c r="C367" s="22" t="s">
        <v>303</v>
      </c>
      <c r="D367" s="35" t="n">
        <v>3930</v>
      </c>
      <c r="E367" s="33" t="n">
        <v>19691</v>
      </c>
      <c r="F367" s="25" t="n">
        <f aca="false">D367*E367</f>
        <v>77385630</v>
      </c>
    </row>
    <row r="368" customFormat="false" ht="15" hidden="false" customHeight="false" outlineLevel="0" collapsed="false">
      <c r="A368" s="22" t="s">
        <v>831</v>
      </c>
      <c r="B368" s="38" t="s">
        <v>222</v>
      </c>
      <c r="C368" s="22" t="s">
        <v>303</v>
      </c>
      <c r="D368" s="35" t="n">
        <v>892</v>
      </c>
      <c r="E368" s="33" t="n">
        <v>25123</v>
      </c>
      <c r="F368" s="25" t="n">
        <f aca="false">D368*E368</f>
        <v>22409716</v>
      </c>
    </row>
    <row r="369" customFormat="false" ht="15" hidden="false" customHeight="false" outlineLevel="0" collapsed="false">
      <c r="A369" s="22" t="s">
        <v>832</v>
      </c>
      <c r="B369" s="38" t="s">
        <v>223</v>
      </c>
      <c r="C369" s="22" t="s">
        <v>303</v>
      </c>
      <c r="D369" s="35" t="n">
        <v>247</v>
      </c>
      <c r="E369" s="33" t="n">
        <v>43262</v>
      </c>
      <c r="F369" s="25" t="n">
        <f aca="false">D369*E369</f>
        <v>10685714</v>
      </c>
    </row>
    <row r="370" customFormat="false" ht="15" hidden="false" customHeight="false" outlineLevel="0" collapsed="false">
      <c r="A370" s="22" t="s">
        <v>833</v>
      </c>
      <c r="B370" s="22" t="s">
        <v>224</v>
      </c>
      <c r="C370" s="22" t="s">
        <v>303</v>
      </c>
      <c r="D370" s="22"/>
      <c r="E370" s="22"/>
      <c r="F370" s="23" t="n">
        <f aca="false">D370*E370</f>
        <v>0</v>
      </c>
    </row>
    <row r="371" customFormat="false" ht="15" hidden="false" customHeight="false" outlineLevel="0" collapsed="false">
      <c r="A371" s="22" t="s">
        <v>834</v>
      </c>
      <c r="B371" s="38" t="s">
        <v>225</v>
      </c>
      <c r="C371" s="22" t="s">
        <v>303</v>
      </c>
      <c r="D371" s="35" t="n">
        <v>232</v>
      </c>
      <c r="E371" s="33" t="n">
        <v>20981</v>
      </c>
      <c r="F371" s="25" t="n">
        <f aca="false">D371*E371</f>
        <v>4867592</v>
      </c>
    </row>
    <row r="372" customFormat="false" ht="15" hidden="false" customHeight="false" outlineLevel="0" collapsed="false">
      <c r="A372" s="22" t="s">
        <v>835</v>
      </c>
      <c r="B372" s="22" t="s">
        <v>226</v>
      </c>
      <c r="C372" s="22" t="s">
        <v>303</v>
      </c>
      <c r="D372" s="22"/>
      <c r="E372" s="22"/>
      <c r="F372" s="23" t="n">
        <f aca="false">D372*E372</f>
        <v>0</v>
      </c>
    </row>
    <row r="373" customFormat="false" ht="15" hidden="false" customHeight="false" outlineLevel="0" collapsed="false">
      <c r="A373" s="22" t="s">
        <v>836</v>
      </c>
      <c r="B373" s="38" t="s">
        <v>837</v>
      </c>
      <c r="C373" s="22" t="s">
        <v>654</v>
      </c>
      <c r="D373" s="35" t="n">
        <v>444</v>
      </c>
      <c r="E373" s="33" t="n">
        <v>88984</v>
      </c>
      <c r="F373" s="25" t="n">
        <f aca="false">D373*E373</f>
        <v>39508896</v>
      </c>
    </row>
    <row r="374" customFormat="false" ht="15" hidden="false" customHeight="false" outlineLevel="0" collapsed="false">
      <c r="A374" s="22" t="s">
        <v>838</v>
      </c>
      <c r="B374" s="38" t="s">
        <v>839</v>
      </c>
      <c r="C374" s="22" t="s">
        <v>654</v>
      </c>
      <c r="D374" s="35" t="n">
        <v>123</v>
      </c>
      <c r="E374" s="33" t="n">
        <v>87808</v>
      </c>
      <c r="F374" s="25" t="n">
        <f aca="false">D374*E374</f>
        <v>10800384</v>
      </c>
    </row>
    <row r="375" customFormat="false" ht="15" hidden="false" customHeight="false" outlineLevel="0" collapsed="false">
      <c r="A375" s="22" t="s">
        <v>840</v>
      </c>
      <c r="B375" s="38" t="s">
        <v>234</v>
      </c>
      <c r="C375" s="22" t="s">
        <v>654</v>
      </c>
      <c r="D375" s="35" t="n">
        <v>18807</v>
      </c>
      <c r="E375" s="33" t="n">
        <v>59682</v>
      </c>
      <c r="F375" s="25" t="n">
        <f aca="false">D375*E375</f>
        <v>1122439374</v>
      </c>
    </row>
    <row r="376" customFormat="false" ht="15" hidden="false" customHeight="false" outlineLevel="0" collapsed="false">
      <c r="A376" s="22" t="s">
        <v>841</v>
      </c>
      <c r="B376" s="38" t="s">
        <v>235</v>
      </c>
      <c r="C376" s="22" t="s">
        <v>451</v>
      </c>
      <c r="D376" s="35" t="n">
        <v>144</v>
      </c>
      <c r="E376" s="33" t="n">
        <v>70560</v>
      </c>
      <c r="F376" s="25" t="n">
        <f aca="false">D376*E376</f>
        <v>10160640</v>
      </c>
    </row>
    <row r="377" customFormat="false" ht="15" hidden="false" customHeight="false" outlineLevel="0" collapsed="false">
      <c r="A377" s="22" t="s">
        <v>842</v>
      </c>
      <c r="B377" s="38" t="s">
        <v>843</v>
      </c>
      <c r="C377" s="22" t="s">
        <v>844</v>
      </c>
      <c r="D377" s="35" t="n">
        <v>263</v>
      </c>
      <c r="E377" s="54" t="n">
        <v>65170</v>
      </c>
      <c r="F377" s="25" t="n">
        <f aca="false">D377*E377</f>
        <v>17139710</v>
      </c>
    </row>
    <row r="378" customFormat="false" ht="15" hidden="false" customHeight="false" outlineLevel="0" collapsed="false">
      <c r="A378" s="55" t="s">
        <v>845</v>
      </c>
      <c r="B378" s="55" t="s">
        <v>231</v>
      </c>
      <c r="C378" s="55" t="s">
        <v>451</v>
      </c>
      <c r="D378" s="56" t="n">
        <v>0</v>
      </c>
      <c r="E378" s="56"/>
      <c r="F378" s="23" t="n">
        <f aca="false">D378*E378</f>
        <v>0</v>
      </c>
    </row>
    <row r="379" customFormat="false" ht="15" hidden="false" customHeight="false" outlineLevel="0" collapsed="false">
      <c r="A379" s="22" t="s">
        <v>846</v>
      </c>
      <c r="B379" s="22" t="s">
        <v>232</v>
      </c>
      <c r="C379" s="22" t="s">
        <v>451</v>
      </c>
      <c r="D379" s="22"/>
      <c r="E379" s="22"/>
      <c r="F379" s="23" t="n">
        <f aca="false">D379*E379</f>
        <v>0</v>
      </c>
    </row>
    <row r="380" customFormat="false" ht="15" hidden="false" customHeight="false" outlineLevel="0" collapsed="false">
      <c r="A380" s="22" t="s">
        <v>847</v>
      </c>
      <c r="B380" s="38" t="s">
        <v>237</v>
      </c>
      <c r="C380" s="22" t="s">
        <v>654</v>
      </c>
      <c r="D380" s="35" t="n">
        <v>235</v>
      </c>
      <c r="E380" s="33" t="n">
        <v>59290</v>
      </c>
      <c r="F380" s="25" t="n">
        <f aca="false">D380*E380</f>
        <v>13933150</v>
      </c>
    </row>
    <row r="381" customFormat="false" ht="15" hidden="false" customHeight="false" outlineLevel="0" collapsed="false">
      <c r="A381" s="22" t="s">
        <v>848</v>
      </c>
      <c r="B381" s="38" t="s">
        <v>238</v>
      </c>
      <c r="C381" s="22" t="s">
        <v>654</v>
      </c>
      <c r="D381" s="50" t="n">
        <v>810</v>
      </c>
      <c r="E381" s="49" t="n">
        <v>59100.86</v>
      </c>
      <c r="F381" s="23" t="n">
        <f aca="false">D381*E381</f>
        <v>47871696.6</v>
      </c>
    </row>
    <row r="382" customFormat="false" ht="15" hidden="false" customHeight="false" outlineLevel="0" collapsed="false">
      <c r="A382" s="22" t="s">
        <v>849</v>
      </c>
      <c r="B382" s="38" t="s">
        <v>236</v>
      </c>
      <c r="C382" s="22" t="s">
        <v>654</v>
      </c>
      <c r="D382" s="35" t="n">
        <v>412</v>
      </c>
      <c r="E382" s="33" t="n">
        <v>64141</v>
      </c>
      <c r="F382" s="25" t="n">
        <f aca="false">D382*E382</f>
        <v>26426092</v>
      </c>
    </row>
    <row r="383" customFormat="false" ht="15" hidden="false" customHeight="false" outlineLevel="0" collapsed="false">
      <c r="A383" s="22" t="s">
        <v>850</v>
      </c>
      <c r="B383" s="22" t="s">
        <v>851</v>
      </c>
      <c r="C383" s="22" t="s">
        <v>451</v>
      </c>
      <c r="D383" s="22"/>
      <c r="E383" s="22"/>
      <c r="F383" s="23" t="n">
        <f aca="false">D383*E383</f>
        <v>0</v>
      </c>
    </row>
    <row r="384" customFormat="false" ht="15" hidden="false" customHeight="false" outlineLevel="0" collapsed="false">
      <c r="A384" s="22" t="s">
        <v>852</v>
      </c>
      <c r="B384" s="38" t="s">
        <v>229</v>
      </c>
      <c r="C384" s="22" t="s">
        <v>654</v>
      </c>
      <c r="D384" s="35" t="n">
        <v>226</v>
      </c>
      <c r="E384" s="33" t="n">
        <v>93394</v>
      </c>
      <c r="F384" s="25" t="n">
        <f aca="false">D384*E384</f>
        <v>21107044</v>
      </c>
    </row>
    <row r="385" customFormat="false" ht="15" hidden="false" customHeight="false" outlineLevel="0" collapsed="false">
      <c r="A385" s="22" t="s">
        <v>853</v>
      </c>
      <c r="B385" s="38" t="s">
        <v>240</v>
      </c>
      <c r="C385" s="22" t="s">
        <v>654</v>
      </c>
      <c r="D385" s="35" t="n">
        <v>549</v>
      </c>
      <c r="E385" s="33" t="n">
        <v>93492</v>
      </c>
      <c r="F385" s="25" t="n">
        <f aca="false">D385*E385</f>
        <v>51327108</v>
      </c>
    </row>
    <row r="386" customFormat="false" ht="15" hidden="false" customHeight="false" outlineLevel="0" collapsed="false">
      <c r="A386" s="22" t="s">
        <v>854</v>
      </c>
      <c r="B386" s="38" t="s">
        <v>241</v>
      </c>
      <c r="C386" s="22" t="s">
        <v>654</v>
      </c>
      <c r="D386" s="35" t="n">
        <v>969</v>
      </c>
      <c r="E386" s="33" t="n">
        <v>82810</v>
      </c>
      <c r="F386" s="25" t="n">
        <f aca="false">D386*E386</f>
        <v>80242890</v>
      </c>
    </row>
    <row r="387" customFormat="false" ht="15" hidden="false" customHeight="false" outlineLevel="0" collapsed="false">
      <c r="A387" s="22" t="s">
        <v>855</v>
      </c>
      <c r="B387" s="38" t="s">
        <v>242</v>
      </c>
      <c r="C387" s="22" t="s">
        <v>654</v>
      </c>
      <c r="D387" s="35" t="n">
        <v>158</v>
      </c>
      <c r="E387" s="33" t="n">
        <v>72324</v>
      </c>
      <c r="F387" s="25" t="n">
        <f aca="false">D387*E387</f>
        <v>11427192</v>
      </c>
    </row>
    <row r="388" customFormat="false" ht="25.35" hidden="false" customHeight="false" outlineLevel="0" collapsed="false">
      <c r="A388" s="22" t="s">
        <v>856</v>
      </c>
      <c r="B388" s="38" t="s">
        <v>857</v>
      </c>
      <c r="C388" s="22" t="s">
        <v>654</v>
      </c>
      <c r="D388" s="35" t="n">
        <v>879</v>
      </c>
      <c r="E388" s="33" t="n">
        <v>93492</v>
      </c>
      <c r="F388" s="25" t="n">
        <f aca="false">D388*E388</f>
        <v>82179468</v>
      </c>
    </row>
    <row r="389" customFormat="false" ht="15" hidden="false" customHeight="false" outlineLevel="0" collapsed="false">
      <c r="A389" s="22" t="s">
        <v>858</v>
      </c>
      <c r="B389" s="22" t="s">
        <v>859</v>
      </c>
      <c r="C389" s="22" t="s">
        <v>654</v>
      </c>
      <c r="D389" s="22"/>
      <c r="E389" s="22"/>
      <c r="F389" s="23" t="n">
        <f aca="false">D389*E389</f>
        <v>0</v>
      </c>
    </row>
    <row r="390" customFormat="false" ht="15" hidden="false" customHeight="false" outlineLevel="0" collapsed="false">
      <c r="A390" s="22" t="s">
        <v>860</v>
      </c>
      <c r="B390" s="22" t="s">
        <v>244</v>
      </c>
      <c r="C390" s="22" t="s">
        <v>654</v>
      </c>
      <c r="D390" s="22"/>
      <c r="E390" s="22"/>
      <c r="F390" s="23" t="n">
        <f aca="false">D390*E390</f>
        <v>0</v>
      </c>
    </row>
    <row r="391" customFormat="false" ht="15" hidden="false" customHeight="false" outlineLevel="0" collapsed="false">
      <c r="A391" s="22" t="s">
        <v>861</v>
      </c>
      <c r="B391" s="38" t="s">
        <v>243</v>
      </c>
      <c r="C391" s="22" t="s">
        <v>654</v>
      </c>
      <c r="D391" s="50" t="n">
        <v>129</v>
      </c>
      <c r="E391" s="49" t="n">
        <v>93394</v>
      </c>
      <c r="F391" s="23" t="n">
        <f aca="false">D391*E391</f>
        <v>12047826</v>
      </c>
    </row>
    <row r="392" customFormat="false" ht="15" hidden="false" customHeight="false" outlineLevel="0" collapsed="false">
      <c r="A392" s="22" t="s">
        <v>862</v>
      </c>
      <c r="B392" s="22" t="s">
        <v>863</v>
      </c>
      <c r="C392" s="22" t="s">
        <v>864</v>
      </c>
      <c r="D392" s="22"/>
      <c r="E392" s="22"/>
      <c r="F392" s="23" t="n">
        <f aca="false">D392*E392</f>
        <v>0</v>
      </c>
    </row>
    <row r="393" customFormat="false" ht="15" hidden="false" customHeight="false" outlineLevel="0" collapsed="false">
      <c r="A393" s="22" t="s">
        <v>865</v>
      </c>
      <c r="B393" s="22" t="s">
        <v>866</v>
      </c>
      <c r="C393" s="22" t="s">
        <v>528</v>
      </c>
      <c r="D393" s="22"/>
      <c r="E393" s="22"/>
      <c r="F393" s="23" t="n">
        <f aca="false">D393*E393</f>
        <v>0</v>
      </c>
    </row>
    <row r="394" customFormat="false" ht="25.35" hidden="false" customHeight="false" outlineLevel="0" collapsed="false">
      <c r="A394" s="22" t="s">
        <v>867</v>
      </c>
      <c r="B394" s="38" t="s">
        <v>866</v>
      </c>
      <c r="C394" s="22" t="s">
        <v>864</v>
      </c>
      <c r="D394" s="50" t="n">
        <v>10541</v>
      </c>
      <c r="E394" s="49" t="n">
        <v>7127.54</v>
      </c>
      <c r="F394" s="23" t="n">
        <f aca="false">D394*E394</f>
        <v>75131399.14</v>
      </c>
    </row>
    <row r="395" customFormat="false" ht="15" hidden="false" customHeight="false" outlineLevel="0" collapsed="false">
      <c r="A395" s="22" t="s">
        <v>868</v>
      </c>
      <c r="B395" s="22" t="s">
        <v>869</v>
      </c>
      <c r="C395" s="22" t="s">
        <v>528</v>
      </c>
      <c r="D395" s="22"/>
      <c r="E395" s="22"/>
      <c r="F395" s="23" t="n">
        <f aca="false">D395*E395</f>
        <v>0</v>
      </c>
    </row>
    <row r="396" customFormat="false" ht="15" hidden="false" customHeight="false" outlineLevel="0" collapsed="false">
      <c r="A396" s="22" t="s">
        <v>870</v>
      </c>
      <c r="B396" s="22" t="s">
        <v>247</v>
      </c>
      <c r="C396" s="22" t="s">
        <v>528</v>
      </c>
      <c r="D396" s="22"/>
      <c r="E396" s="22"/>
      <c r="F396" s="23" t="n">
        <f aca="false">D396*E396</f>
        <v>0</v>
      </c>
    </row>
    <row r="397" customFormat="false" ht="15" hidden="false" customHeight="false" outlineLevel="0" collapsed="false">
      <c r="A397" s="22" t="s">
        <v>871</v>
      </c>
      <c r="B397" s="38" t="s">
        <v>247</v>
      </c>
      <c r="C397" s="22" t="s">
        <v>864</v>
      </c>
      <c r="D397" s="50" t="n">
        <v>46130</v>
      </c>
      <c r="E397" s="49" t="n">
        <v>7127.54</v>
      </c>
      <c r="F397" s="23" t="n">
        <f aca="false">D397*E397</f>
        <v>328793420.2</v>
      </c>
    </row>
    <row r="398" customFormat="false" ht="15" hidden="false" customHeight="false" outlineLevel="0" collapsed="false">
      <c r="A398" s="22" t="s">
        <v>872</v>
      </c>
      <c r="B398" s="22" t="s">
        <v>248</v>
      </c>
      <c r="C398" s="22" t="s">
        <v>528</v>
      </c>
      <c r="D398" s="22"/>
      <c r="E398" s="22"/>
      <c r="F398" s="23" t="n">
        <f aca="false">D398*E398</f>
        <v>0</v>
      </c>
    </row>
    <row r="399" customFormat="false" ht="15" hidden="false" customHeight="false" outlineLevel="0" collapsed="false">
      <c r="A399" s="22" t="s">
        <v>873</v>
      </c>
      <c r="B399" s="22" t="s">
        <v>874</v>
      </c>
      <c r="C399" s="22" t="s">
        <v>528</v>
      </c>
      <c r="D399" s="22"/>
      <c r="E399" s="22"/>
      <c r="F399" s="23" t="n">
        <f aca="false">D399*E399</f>
        <v>0</v>
      </c>
    </row>
    <row r="400" customFormat="false" ht="15" hidden="false" customHeight="false" outlineLevel="0" collapsed="false">
      <c r="A400" s="22" t="s">
        <v>875</v>
      </c>
      <c r="B400" s="38" t="s">
        <v>248</v>
      </c>
      <c r="C400" s="22" t="s">
        <v>864</v>
      </c>
      <c r="D400" s="57" t="n">
        <v>384</v>
      </c>
      <c r="E400" s="57" t="n">
        <v>7127.54166666667</v>
      </c>
      <c r="F400" s="25" t="n">
        <f aca="false">D400*E400</f>
        <v>2736976</v>
      </c>
    </row>
    <row r="401" customFormat="false" ht="15" hidden="false" customHeight="false" outlineLevel="0" collapsed="false">
      <c r="A401" s="22" t="s">
        <v>876</v>
      </c>
      <c r="B401" s="22" t="s">
        <v>249</v>
      </c>
      <c r="C401" s="22" t="s">
        <v>528</v>
      </c>
      <c r="D401" s="24"/>
      <c r="E401" s="24"/>
      <c r="F401" s="25" t="n">
        <f aca="false">D401*E401</f>
        <v>0</v>
      </c>
    </row>
    <row r="402" customFormat="false" ht="15" hidden="false" customHeight="false" outlineLevel="0" collapsed="false">
      <c r="A402" s="22" t="s">
        <v>877</v>
      </c>
      <c r="B402" s="22" t="s">
        <v>878</v>
      </c>
      <c r="C402" s="22" t="s">
        <v>528</v>
      </c>
      <c r="D402" s="24"/>
      <c r="E402" s="24"/>
      <c r="F402" s="25" t="n">
        <f aca="false">D402*E402</f>
        <v>0</v>
      </c>
    </row>
    <row r="403" customFormat="false" ht="25.35" hidden="false" customHeight="false" outlineLevel="0" collapsed="false">
      <c r="A403" s="22" t="s">
        <v>879</v>
      </c>
      <c r="B403" s="58" t="s">
        <v>249</v>
      </c>
      <c r="C403" s="22" t="s">
        <v>864</v>
      </c>
      <c r="D403" s="57" t="n">
        <v>691</v>
      </c>
      <c r="E403" s="57" t="n">
        <v>7127.54166666667</v>
      </c>
      <c r="F403" s="25" t="n">
        <f aca="false">D403*E403</f>
        <v>4925131.29166667</v>
      </c>
    </row>
    <row r="404" customFormat="false" ht="15" hidden="false" customHeight="false" outlineLevel="0" collapsed="false">
      <c r="A404" s="22" t="s">
        <v>880</v>
      </c>
      <c r="B404" s="22" t="s">
        <v>881</v>
      </c>
      <c r="C404" s="22" t="s">
        <v>528</v>
      </c>
      <c r="D404" s="24"/>
      <c r="E404" s="24"/>
      <c r="F404" s="25" t="n">
        <f aca="false">D404*E404</f>
        <v>0</v>
      </c>
    </row>
    <row r="405" customFormat="false" ht="15" hidden="false" customHeight="false" outlineLevel="0" collapsed="false">
      <c r="A405" s="22" t="s">
        <v>882</v>
      </c>
      <c r="B405" s="38" t="s">
        <v>881</v>
      </c>
      <c r="C405" s="22" t="s">
        <v>864</v>
      </c>
      <c r="D405" s="57" t="n">
        <v>18621</v>
      </c>
      <c r="E405" s="57" t="n">
        <v>7127.54166666667</v>
      </c>
      <c r="F405" s="25" t="n">
        <f aca="false">D405*E405</f>
        <v>132721953.375</v>
      </c>
    </row>
    <row r="406" customFormat="false" ht="15" hidden="false" customHeight="false" outlineLevel="0" collapsed="false">
      <c r="A406" s="22" t="s">
        <v>883</v>
      </c>
      <c r="B406" s="22" t="s">
        <v>227</v>
      </c>
      <c r="C406" s="22" t="s">
        <v>528</v>
      </c>
      <c r="D406" s="22"/>
      <c r="E406" s="22"/>
      <c r="F406" s="23" t="n">
        <f aca="false">D406*E406</f>
        <v>0</v>
      </c>
    </row>
    <row r="407" customFormat="false" ht="15" hidden="false" customHeight="false" outlineLevel="0" collapsed="false">
      <c r="A407" s="22" t="s">
        <v>884</v>
      </c>
      <c r="B407" s="38" t="s">
        <v>283</v>
      </c>
      <c r="C407" s="22" t="s">
        <v>327</v>
      </c>
      <c r="D407" s="50" t="n">
        <v>1685</v>
      </c>
      <c r="E407" s="49" t="n">
        <v>35952</v>
      </c>
      <c r="F407" s="23" t="n">
        <f aca="false">D407*E407</f>
        <v>60579120</v>
      </c>
    </row>
    <row r="408" customFormat="false" ht="15" hidden="false" customHeight="false" outlineLevel="0" collapsed="false">
      <c r="A408" s="22" t="s">
        <v>885</v>
      </c>
      <c r="B408" s="38" t="s">
        <v>284</v>
      </c>
      <c r="C408" s="22" t="s">
        <v>327</v>
      </c>
      <c r="D408" s="50" t="n">
        <v>184</v>
      </c>
      <c r="E408" s="59" t="n">
        <v>46032</v>
      </c>
      <c r="F408" s="23" t="n">
        <f aca="false">D408*E408</f>
        <v>8469888</v>
      </c>
    </row>
    <row r="409" customFormat="false" ht="15" hidden="false" customHeight="false" outlineLevel="0" collapsed="false">
      <c r="A409" s="22" t="s">
        <v>886</v>
      </c>
      <c r="B409" s="22" t="s">
        <v>285</v>
      </c>
      <c r="C409" s="22" t="s">
        <v>327</v>
      </c>
      <c r="D409" s="22"/>
      <c r="E409" s="22"/>
      <c r="F409" s="23" t="n">
        <f aca="false">D409*E409</f>
        <v>0</v>
      </c>
    </row>
    <row r="410" customFormat="false" ht="15" hidden="false" customHeight="false" outlineLevel="0" collapsed="false">
      <c r="F410" s="60" t="n">
        <f aca="false">SUBTOTAL(9,F5:F409)</f>
        <v>26612853896.8167</v>
      </c>
    </row>
  </sheetData>
  <mergeCells count="1">
    <mergeCell ref="A2:D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341"/>
  <sheetViews>
    <sheetView showFormulas="false" showGridLines="true" showRowColHeaders="true" showZeros="true" rightToLeft="false" tabSelected="false" showOutlineSymbols="true" defaultGridColor="true" view="normal" topLeftCell="A265" colorId="64" zoomScale="100" zoomScaleNormal="100" zoomScalePageLayoutView="100" workbookViewId="0">
      <selection pane="topLeft" activeCell="M196" activeCellId="0" sqref="M196"/>
    </sheetView>
  </sheetViews>
  <sheetFormatPr defaultColWidth="9.1484375" defaultRowHeight="12.75" customHeight="false" zeroHeight="false" outlineLevelRow="0" outlineLevelCol="0"/>
  <cols>
    <col collapsed="false" customWidth="true" hidden="false" outlineLevel="0" max="1" min="1" style="61" width="64.57"/>
    <col collapsed="false" customWidth="true" hidden="false" outlineLevel="0" max="2" min="2" style="61" width="9.29"/>
    <col collapsed="false" customWidth="true" hidden="false" outlineLevel="0" max="3" min="3" style="61" width="12.71"/>
    <col collapsed="false" customWidth="true" hidden="false" outlineLevel="0" max="4" min="4" style="61" width="19.86"/>
    <col collapsed="false" customWidth="true" hidden="false" outlineLevel="0" max="5" min="5" style="61" width="12.71"/>
    <col collapsed="false" customWidth="true" hidden="false" outlineLevel="0" max="6" min="6" style="61" width="19.86"/>
    <col collapsed="false" customWidth="true" hidden="false" outlineLevel="0" max="7" min="7" style="61" width="14.57"/>
    <col collapsed="false" customWidth="true" hidden="false" outlineLevel="0" max="8" min="8" style="61" width="21"/>
    <col collapsed="false" customWidth="true" hidden="false" outlineLevel="0" max="9" min="9" style="61" width="12.71"/>
    <col collapsed="false" customWidth="true" hidden="false" outlineLevel="0" max="10" min="10" style="62" width="12.71"/>
    <col collapsed="false" customWidth="true" hidden="false" outlineLevel="0" max="11" min="11" style="61" width="19.86"/>
    <col collapsed="false" customWidth="true" hidden="false" outlineLevel="0" max="12" min="12" style="63" width="9.86"/>
    <col collapsed="false" customWidth="true" hidden="false" outlineLevel="0" max="13" min="13" style="61" width="27.71"/>
    <col collapsed="false" customWidth="false" hidden="false" outlineLevel="0" max="15" min="14" style="61" width="9.14"/>
    <col collapsed="false" customWidth="true" hidden="false" outlineLevel="0" max="16" min="16" style="61" width="31.71"/>
    <col collapsed="false" customWidth="true" hidden="false" outlineLevel="0" max="17" min="17" style="63" width="11.14"/>
    <col collapsed="false" customWidth="false" hidden="false" outlineLevel="0" max="16384" min="18" style="61" width="9.14"/>
  </cols>
  <sheetData>
    <row r="1" customFormat="false" ht="17.35" hidden="false" customHeight="false" outlineLevel="0" collapsed="false">
      <c r="A1" s="64" t="s">
        <v>887</v>
      </c>
      <c r="B1" s="64"/>
      <c r="C1" s="64"/>
      <c r="D1" s="64"/>
      <c r="E1" s="64"/>
      <c r="F1" s="64"/>
      <c r="G1" s="64"/>
      <c r="H1" s="64"/>
      <c r="I1" s="64"/>
      <c r="J1" s="64"/>
      <c r="K1" s="64"/>
    </row>
    <row r="2" customFormat="false" ht="13.8" hidden="false" customHeight="false" outlineLevel="0" collapsed="false">
      <c r="A2" s="65"/>
      <c r="B2" s="65"/>
      <c r="C2" s="65" t="s">
        <v>0</v>
      </c>
      <c r="D2" s="65"/>
      <c r="E2" s="65" t="s">
        <v>1</v>
      </c>
      <c r="F2" s="65"/>
      <c r="G2" s="65" t="s">
        <v>2</v>
      </c>
      <c r="H2" s="65"/>
      <c r="I2" s="65" t="s">
        <v>3</v>
      </c>
      <c r="J2" s="66"/>
      <c r="K2" s="65"/>
      <c r="L2" s="67"/>
    </row>
    <row r="3" customFormat="false" ht="13.8" hidden="false" customHeight="false" outlineLevel="0" collapsed="false">
      <c r="A3" s="65" t="s">
        <v>4</v>
      </c>
      <c r="B3" s="65" t="s">
        <v>5</v>
      </c>
      <c r="C3" s="65" t="s">
        <v>6</v>
      </c>
      <c r="D3" s="65" t="s">
        <v>7</v>
      </c>
      <c r="E3" s="65" t="s">
        <v>8</v>
      </c>
      <c r="F3" s="65" t="s">
        <v>9</v>
      </c>
      <c r="G3" s="65" t="s">
        <v>6</v>
      </c>
      <c r="H3" s="65" t="s">
        <v>10</v>
      </c>
      <c r="I3" s="65" t="s">
        <v>6</v>
      </c>
      <c r="J3" s="66" t="s">
        <v>888</v>
      </c>
      <c r="K3" s="65" t="s">
        <v>9</v>
      </c>
      <c r="L3" s="67" t="s">
        <v>889</v>
      </c>
    </row>
    <row r="4" customFormat="false" ht="13.8" hidden="false" customHeight="false" outlineLevel="0" collapsed="false">
      <c r="A4" s="68" t="s">
        <v>11</v>
      </c>
      <c r="B4" s="68" t="n">
        <v>12</v>
      </c>
      <c r="C4" s="69" t="n">
        <v>226</v>
      </c>
      <c r="D4" s="69" t="n">
        <v>6255676</v>
      </c>
      <c r="E4" s="69" t="n">
        <v>100</v>
      </c>
      <c r="F4" s="69" t="n">
        <v>2774400</v>
      </c>
      <c r="G4" s="69" t="n">
        <v>100</v>
      </c>
      <c r="H4" s="69" t="n">
        <f aca="false">D4+F4-K4</f>
        <v>2769962</v>
      </c>
      <c r="I4" s="69" t="n">
        <v>226</v>
      </c>
      <c r="J4" s="70"/>
      <c r="K4" s="69" t="n">
        <v>6260114</v>
      </c>
      <c r="L4" s="71" t="n">
        <f aca="false">K4/I4</f>
        <v>27699.6194690265</v>
      </c>
    </row>
    <row r="5" customFormat="false" ht="13.8" hidden="false" customHeight="false" outlineLevel="0" collapsed="false">
      <c r="A5" s="68" t="s">
        <v>12</v>
      </c>
      <c r="B5" s="68" t="n">
        <v>12</v>
      </c>
      <c r="C5" s="69" t="n">
        <v>0</v>
      </c>
      <c r="D5" s="69" t="n">
        <v>0</v>
      </c>
      <c r="E5" s="69" t="n">
        <v>60</v>
      </c>
      <c r="F5" s="69" t="n">
        <v>1188660</v>
      </c>
      <c r="G5" s="69" t="n">
        <v>60</v>
      </c>
      <c r="H5" s="69" t="n">
        <f aca="false">D5+F5-K5</f>
        <v>1188660</v>
      </c>
      <c r="I5" s="69" t="n">
        <v>0</v>
      </c>
      <c r="J5" s="70"/>
      <c r="K5" s="69" t="n">
        <v>0</v>
      </c>
      <c r="L5" s="71"/>
    </row>
    <row r="6" customFormat="false" ht="13.8" hidden="false" customHeight="false" outlineLevel="0" collapsed="false">
      <c r="A6" s="68" t="s">
        <v>13</v>
      </c>
      <c r="B6" s="68" t="n">
        <v>12</v>
      </c>
      <c r="C6" s="69" t="n">
        <v>587</v>
      </c>
      <c r="D6" s="69" t="n">
        <v>19248466</v>
      </c>
      <c r="E6" s="69" t="n">
        <v>0</v>
      </c>
      <c r="F6" s="69" t="n">
        <v>0</v>
      </c>
      <c r="G6" s="69" t="n">
        <v>338</v>
      </c>
      <c r="H6" s="69" t="n">
        <f aca="false">D6+F6-K6</f>
        <v>14931342</v>
      </c>
      <c r="I6" s="69" t="n">
        <v>249</v>
      </c>
      <c r="J6" s="70"/>
      <c r="K6" s="69" t="n">
        <v>4317124</v>
      </c>
      <c r="L6" s="71" t="n">
        <f aca="false">K6/I6</f>
        <v>17337.8473895582</v>
      </c>
    </row>
    <row r="7" customFormat="false" ht="13.8" hidden="false" customHeight="false" outlineLevel="0" collapsed="false">
      <c r="A7" s="68" t="s">
        <v>14</v>
      </c>
      <c r="B7" s="68" t="n">
        <v>12</v>
      </c>
      <c r="C7" s="69" t="n">
        <v>120</v>
      </c>
      <c r="D7" s="69" t="n">
        <v>35752144</v>
      </c>
      <c r="E7" s="69" t="n">
        <v>0</v>
      </c>
      <c r="F7" s="69" t="n">
        <v>0</v>
      </c>
      <c r="G7" s="69" t="n">
        <v>120</v>
      </c>
      <c r="H7" s="69" t="n">
        <f aca="false">D7+F7-K7</f>
        <v>35752144</v>
      </c>
      <c r="I7" s="69" t="n">
        <v>0</v>
      </c>
      <c r="J7" s="70"/>
      <c r="K7" s="69" t="n">
        <v>0</v>
      </c>
      <c r="L7" s="71"/>
    </row>
    <row r="8" customFormat="false" ht="13.8" hidden="false" customHeight="false" outlineLevel="0" collapsed="false">
      <c r="A8" s="68" t="s">
        <v>15</v>
      </c>
      <c r="B8" s="68" t="n">
        <v>12</v>
      </c>
      <c r="C8" s="69" t="n">
        <v>504</v>
      </c>
      <c r="D8" s="69" t="n">
        <v>68557545</v>
      </c>
      <c r="E8" s="69" t="n">
        <v>0</v>
      </c>
      <c r="F8" s="69" t="n">
        <v>0</v>
      </c>
      <c r="G8" s="69" t="n">
        <v>134</v>
      </c>
      <c r="H8" s="69" t="n">
        <f aca="false">D8+F8-K8</f>
        <v>37679444</v>
      </c>
      <c r="I8" s="69" t="n">
        <v>370</v>
      </c>
      <c r="J8" s="70"/>
      <c r="K8" s="69" t="n">
        <v>30878101</v>
      </c>
      <c r="L8" s="71" t="n">
        <f aca="false">K8/I8</f>
        <v>83454.327027027</v>
      </c>
    </row>
    <row r="9" customFormat="false" ht="13.8" hidden="false" customHeight="false" outlineLevel="0" collapsed="false">
      <c r="A9" s="68" t="s">
        <v>16</v>
      </c>
      <c r="B9" s="68" t="n">
        <v>12</v>
      </c>
      <c r="C9" s="69" t="n">
        <v>344</v>
      </c>
      <c r="D9" s="69" t="n">
        <v>53839916</v>
      </c>
      <c r="E9" s="69" t="n">
        <v>0</v>
      </c>
      <c r="F9" s="69" t="n">
        <v>0</v>
      </c>
      <c r="G9" s="69" t="n">
        <v>34</v>
      </c>
      <c r="H9" s="69" t="n">
        <f aca="false">D9+F9-K9</f>
        <v>30363208</v>
      </c>
      <c r="I9" s="69" t="n">
        <v>310</v>
      </c>
      <c r="J9" s="70"/>
      <c r="K9" s="69" t="n">
        <v>23476708</v>
      </c>
      <c r="L9" s="71" t="n">
        <f aca="false">K9/I9</f>
        <v>75731.3161290323</v>
      </c>
    </row>
    <row r="10" customFormat="false" ht="13.8" hidden="false" customHeight="false" outlineLevel="0" collapsed="false">
      <c r="A10" s="68" t="s">
        <v>17</v>
      </c>
      <c r="B10" s="68" t="n">
        <v>12</v>
      </c>
      <c r="C10" s="69" t="n">
        <v>153</v>
      </c>
      <c r="D10" s="69" t="n">
        <v>36613751</v>
      </c>
      <c r="E10" s="69" t="n">
        <v>0</v>
      </c>
      <c r="F10" s="69" t="n">
        <v>0</v>
      </c>
      <c r="G10" s="69" t="n">
        <v>153</v>
      </c>
      <c r="H10" s="69" t="n">
        <f aca="false">D10+F10-K10</f>
        <v>36613751</v>
      </c>
      <c r="I10" s="69" t="n">
        <v>0</v>
      </c>
      <c r="J10" s="70"/>
      <c r="K10" s="69" t="n">
        <v>0</v>
      </c>
      <c r="L10" s="71"/>
    </row>
    <row r="11" customFormat="false" ht="13.8" hidden="false" customHeight="false" outlineLevel="0" collapsed="false">
      <c r="A11" s="68" t="s">
        <v>18</v>
      </c>
      <c r="B11" s="68" t="n">
        <v>12</v>
      </c>
      <c r="C11" s="69" t="n">
        <v>554</v>
      </c>
      <c r="D11" s="69" t="n">
        <v>12063982</v>
      </c>
      <c r="E11" s="69" t="n">
        <v>0</v>
      </c>
      <c r="F11" s="69" t="n">
        <v>0</v>
      </c>
      <c r="G11" s="69" t="n">
        <v>344</v>
      </c>
      <c r="H11" s="69" t="n">
        <f aca="false">D11+F11-K11</f>
        <v>9537950</v>
      </c>
      <c r="I11" s="69" t="n">
        <v>210</v>
      </c>
      <c r="J11" s="70"/>
      <c r="K11" s="69" t="n">
        <v>2526032</v>
      </c>
      <c r="L11" s="71" t="n">
        <f aca="false">K11/I11</f>
        <v>12028.7238095238</v>
      </c>
    </row>
    <row r="12" customFormat="false" ht="13.8" hidden="false" customHeight="false" outlineLevel="0" collapsed="false">
      <c r="A12" s="68" t="s">
        <v>19</v>
      </c>
      <c r="B12" s="68" t="n">
        <v>12</v>
      </c>
      <c r="C12" s="69" t="n">
        <v>180</v>
      </c>
      <c r="D12" s="69" t="n">
        <v>3904035</v>
      </c>
      <c r="E12" s="69" t="n">
        <v>0</v>
      </c>
      <c r="F12" s="69" t="n">
        <v>0</v>
      </c>
      <c r="G12" s="69" t="n">
        <v>40</v>
      </c>
      <c r="H12" s="69" t="n">
        <f aca="false">D12+F12-K12</f>
        <v>2212287</v>
      </c>
      <c r="I12" s="69" t="n">
        <v>140</v>
      </c>
      <c r="J12" s="70"/>
      <c r="K12" s="69" t="n">
        <v>1691748</v>
      </c>
      <c r="L12" s="71" t="n">
        <f aca="false">K12/I12</f>
        <v>12083.9142857143</v>
      </c>
    </row>
    <row r="13" customFormat="false" ht="13.8" hidden="false" customHeight="false" outlineLevel="0" collapsed="false">
      <c r="A13" s="68" t="s">
        <v>20</v>
      </c>
      <c r="B13" s="68" t="n">
        <v>12</v>
      </c>
      <c r="C13" s="69" t="n">
        <v>295</v>
      </c>
      <c r="D13" s="69" t="n">
        <v>31404753</v>
      </c>
      <c r="E13" s="69" t="n">
        <v>0</v>
      </c>
      <c r="F13" s="69" t="n">
        <v>0</v>
      </c>
      <c r="G13" s="69" t="n">
        <v>277</v>
      </c>
      <c r="H13" s="69" t="n">
        <f aca="false">D13+F13-K13</f>
        <v>29488531</v>
      </c>
      <c r="I13" s="69" t="n">
        <v>18</v>
      </c>
      <c r="J13" s="70"/>
      <c r="K13" s="69" t="n">
        <v>1916222</v>
      </c>
      <c r="L13" s="71" t="n">
        <f aca="false">K13/I13</f>
        <v>106456.777777778</v>
      </c>
    </row>
    <row r="14" customFormat="false" ht="13.8" hidden="false" customHeight="false" outlineLevel="0" collapsed="false">
      <c r="A14" s="68" t="s">
        <v>21</v>
      </c>
      <c r="B14" s="68" t="n">
        <v>12</v>
      </c>
      <c r="C14" s="69" t="n">
        <v>170</v>
      </c>
      <c r="D14" s="69" t="n">
        <v>40681945</v>
      </c>
      <c r="E14" s="69" t="n">
        <v>0</v>
      </c>
      <c r="F14" s="69" t="n">
        <v>0</v>
      </c>
      <c r="G14" s="69" t="n">
        <v>88</v>
      </c>
      <c r="H14" s="69" t="n">
        <f aca="false">D14+F14-K14</f>
        <v>29195278</v>
      </c>
      <c r="I14" s="69" t="n">
        <v>82</v>
      </c>
      <c r="J14" s="70"/>
      <c r="K14" s="69" t="n">
        <v>11486667</v>
      </c>
      <c r="L14" s="71" t="n">
        <f aca="false">K14/I14</f>
        <v>140081.304878049</v>
      </c>
    </row>
    <row r="15" customFormat="false" ht="13.8" hidden="false" customHeight="false" outlineLevel="0" collapsed="false">
      <c r="A15" s="68" t="s">
        <v>22</v>
      </c>
      <c r="B15" s="68" t="n">
        <v>12</v>
      </c>
      <c r="C15" s="69" t="n">
        <v>18</v>
      </c>
      <c r="D15" s="69" t="n">
        <v>407934</v>
      </c>
      <c r="E15" s="69" t="n">
        <v>0</v>
      </c>
      <c r="F15" s="69" t="n">
        <v>0</v>
      </c>
      <c r="G15" s="69" t="n">
        <v>18</v>
      </c>
      <c r="H15" s="69" t="n">
        <f aca="false">D15+F15-K15</f>
        <v>407934</v>
      </c>
      <c r="I15" s="69" t="n">
        <v>0</v>
      </c>
      <c r="J15" s="70"/>
      <c r="K15" s="69" t="n">
        <v>0</v>
      </c>
      <c r="L15" s="71"/>
    </row>
    <row r="16" customFormat="false" ht="13.8" hidden="false" customHeight="false" outlineLevel="0" collapsed="false">
      <c r="A16" s="68" t="s">
        <v>23</v>
      </c>
      <c r="B16" s="68" t="n">
        <v>12</v>
      </c>
      <c r="C16" s="69" t="n">
        <v>0</v>
      </c>
      <c r="D16" s="69" t="n">
        <v>0</v>
      </c>
      <c r="E16" s="69" t="n">
        <v>3</v>
      </c>
      <c r="F16" s="69" t="n">
        <v>57891</v>
      </c>
      <c r="G16" s="69" t="n">
        <v>3</v>
      </c>
      <c r="H16" s="69" t="n">
        <f aca="false">D16+F16-K16</f>
        <v>57891</v>
      </c>
      <c r="I16" s="69" t="n">
        <v>0</v>
      </c>
      <c r="J16" s="70"/>
      <c r="K16" s="69" t="n">
        <v>0</v>
      </c>
      <c r="L16" s="71"/>
    </row>
    <row r="17" customFormat="false" ht="13.8" hidden="false" customHeight="false" outlineLevel="0" collapsed="false">
      <c r="A17" s="68" t="s">
        <v>24</v>
      </c>
      <c r="B17" s="68" t="n">
        <v>12</v>
      </c>
      <c r="C17" s="69" t="n">
        <v>0</v>
      </c>
      <c r="D17" s="69" t="n">
        <v>0</v>
      </c>
      <c r="E17" s="69" t="n">
        <v>12</v>
      </c>
      <c r="F17" s="69" t="n">
        <v>231564</v>
      </c>
      <c r="G17" s="69" t="n">
        <v>12</v>
      </c>
      <c r="H17" s="69" t="n">
        <f aca="false">D17+F17-K17</f>
        <v>231564</v>
      </c>
      <c r="I17" s="69" t="n">
        <v>0</v>
      </c>
      <c r="J17" s="70"/>
      <c r="K17" s="69" t="n">
        <v>0</v>
      </c>
      <c r="L17" s="71"/>
    </row>
    <row r="18" customFormat="false" ht="13.8" hidden="false" customHeight="false" outlineLevel="0" collapsed="false">
      <c r="A18" s="68" t="s">
        <v>25</v>
      </c>
      <c r="B18" s="68" t="n">
        <v>12</v>
      </c>
      <c r="C18" s="69" t="n">
        <v>72</v>
      </c>
      <c r="D18" s="69" t="n">
        <v>1533524</v>
      </c>
      <c r="E18" s="69" t="n">
        <v>35</v>
      </c>
      <c r="F18" s="69" t="n">
        <v>745360</v>
      </c>
      <c r="G18" s="69" t="n">
        <v>67</v>
      </c>
      <c r="H18" s="69" t="n">
        <f aca="false">D18+F18-K18</f>
        <v>1490606</v>
      </c>
      <c r="I18" s="69" t="n">
        <v>40</v>
      </c>
      <c r="J18" s="70"/>
      <c r="K18" s="69" t="n">
        <v>788278</v>
      </c>
      <c r="L18" s="71" t="n">
        <f aca="false">K18/I18</f>
        <v>19706.95</v>
      </c>
    </row>
    <row r="19" customFormat="false" ht="13.8" hidden="false" customHeight="false" outlineLevel="0" collapsed="false">
      <c r="A19" s="68" t="s">
        <v>26</v>
      </c>
      <c r="B19" s="68" t="n">
        <v>12</v>
      </c>
      <c r="C19" s="69" t="n">
        <v>96</v>
      </c>
      <c r="D19" s="69" t="n">
        <v>2486575</v>
      </c>
      <c r="E19" s="69" t="n">
        <v>51</v>
      </c>
      <c r="F19" s="69" t="n">
        <v>1322226</v>
      </c>
      <c r="G19" s="69" t="n">
        <v>4</v>
      </c>
      <c r="H19" s="69" t="n">
        <f aca="false">D19+F19-K19</f>
        <v>388653</v>
      </c>
      <c r="I19" s="69" t="n">
        <v>143</v>
      </c>
      <c r="J19" s="70"/>
      <c r="K19" s="69" t="n">
        <v>3420148</v>
      </c>
      <c r="L19" s="71" t="n">
        <f aca="false">K19/I19</f>
        <v>23917.1188811189</v>
      </c>
    </row>
    <row r="20" customFormat="false" ht="13.8" hidden="false" customHeight="false" outlineLevel="0" collapsed="false">
      <c r="A20" s="68" t="s">
        <v>27</v>
      </c>
      <c r="B20" s="68" t="n">
        <v>12</v>
      </c>
      <c r="C20" s="69" t="n">
        <v>67</v>
      </c>
      <c r="D20" s="69" t="n">
        <v>2083589</v>
      </c>
      <c r="E20" s="69" t="n">
        <v>0</v>
      </c>
      <c r="F20" s="69" t="n">
        <v>0</v>
      </c>
      <c r="G20" s="69" t="n">
        <v>1</v>
      </c>
      <c r="H20" s="69" t="n">
        <f aca="false">D20+F20-K20</f>
        <v>155492</v>
      </c>
      <c r="I20" s="69" t="n">
        <v>66</v>
      </c>
      <c r="J20" s="70"/>
      <c r="K20" s="69" t="n">
        <v>1928097</v>
      </c>
      <c r="L20" s="71" t="n">
        <f aca="false">K20/I20</f>
        <v>29213.5909090909</v>
      </c>
    </row>
    <row r="21" customFormat="false" ht="13.8" hidden="false" customHeight="false" outlineLevel="0" collapsed="false">
      <c r="A21" s="68" t="s">
        <v>28</v>
      </c>
      <c r="B21" s="68" t="n">
        <v>12</v>
      </c>
      <c r="C21" s="69" t="n">
        <v>650</v>
      </c>
      <c r="D21" s="69" t="n">
        <v>74700000</v>
      </c>
      <c r="E21" s="69" t="n">
        <v>160</v>
      </c>
      <c r="F21" s="69" t="n">
        <v>18432000</v>
      </c>
      <c r="G21" s="69" t="n">
        <v>0</v>
      </c>
      <c r="H21" s="69" t="n">
        <f aca="false">D21+F21-K21</f>
        <v>0</v>
      </c>
      <c r="I21" s="69" t="n">
        <v>810</v>
      </c>
      <c r="J21" s="70"/>
      <c r="K21" s="69" t="n">
        <v>93132000</v>
      </c>
      <c r="L21" s="71" t="n">
        <f aca="false">K21/I21</f>
        <v>114977.777777778</v>
      </c>
    </row>
    <row r="22" customFormat="false" ht="13.8" hidden="false" customHeight="false" outlineLevel="0" collapsed="false">
      <c r="A22" s="68" t="s">
        <v>29</v>
      </c>
      <c r="B22" s="68" t="n">
        <v>12</v>
      </c>
      <c r="C22" s="69" t="n">
        <v>280</v>
      </c>
      <c r="D22" s="69" t="n">
        <v>74052080</v>
      </c>
      <c r="E22" s="69" t="n">
        <v>0</v>
      </c>
      <c r="F22" s="69" t="n">
        <v>0</v>
      </c>
      <c r="G22" s="69" t="n">
        <v>0</v>
      </c>
      <c r="H22" s="69" t="n">
        <f aca="false">D22+F22-K22</f>
        <v>0</v>
      </c>
      <c r="I22" s="69" t="n">
        <v>280</v>
      </c>
      <c r="J22" s="70"/>
      <c r="K22" s="69" t="n">
        <v>74052080</v>
      </c>
      <c r="L22" s="71" t="n">
        <f aca="false">K22/I22</f>
        <v>264471.714285714</v>
      </c>
    </row>
    <row r="23" customFormat="false" ht="13.8" hidden="false" customHeight="false" outlineLevel="0" collapsed="false">
      <c r="A23" s="68" t="s">
        <v>30</v>
      </c>
      <c r="B23" s="68" t="n">
        <v>12</v>
      </c>
      <c r="C23" s="69" t="n">
        <v>102</v>
      </c>
      <c r="D23" s="69" t="n">
        <v>19779439</v>
      </c>
      <c r="E23" s="69" t="n">
        <v>0</v>
      </c>
      <c r="F23" s="69" t="n">
        <v>0</v>
      </c>
      <c r="G23" s="69" t="n">
        <v>100</v>
      </c>
      <c r="H23" s="69" t="n">
        <f aca="false">D23+F23-K23</f>
        <v>19391607</v>
      </c>
      <c r="I23" s="69" t="n">
        <v>2</v>
      </c>
      <c r="J23" s="70"/>
      <c r="K23" s="69" t="n">
        <v>387832</v>
      </c>
      <c r="L23" s="71" t="n">
        <f aca="false">K23/I23</f>
        <v>193916</v>
      </c>
    </row>
    <row r="24" customFormat="false" ht="13.8" hidden="false" customHeight="false" outlineLevel="0" collapsed="false">
      <c r="A24" s="68" t="s">
        <v>31</v>
      </c>
      <c r="B24" s="68" t="n">
        <v>12</v>
      </c>
      <c r="C24" s="69" t="n">
        <v>0</v>
      </c>
      <c r="D24" s="69" t="n">
        <v>0</v>
      </c>
      <c r="E24" s="69" t="n">
        <v>50</v>
      </c>
      <c r="F24" s="69" t="n">
        <v>8509100</v>
      </c>
      <c r="G24" s="69" t="n">
        <v>0</v>
      </c>
      <c r="H24" s="69" t="n">
        <f aca="false">D24+F24-K24</f>
        <v>0</v>
      </c>
      <c r="I24" s="69" t="n">
        <v>50</v>
      </c>
      <c r="J24" s="70"/>
      <c r="K24" s="69" t="n">
        <v>8509100</v>
      </c>
      <c r="L24" s="71" t="n">
        <f aca="false">K24/I24</f>
        <v>170182</v>
      </c>
    </row>
    <row r="25" customFormat="false" ht="13.8" hidden="false" customHeight="false" outlineLevel="0" collapsed="false">
      <c r="A25" s="68" t="s">
        <v>32</v>
      </c>
      <c r="B25" s="68" t="n">
        <v>12</v>
      </c>
      <c r="C25" s="69" t="n">
        <v>137</v>
      </c>
      <c r="D25" s="69" t="n">
        <v>22821826</v>
      </c>
      <c r="E25" s="69" t="n">
        <v>0</v>
      </c>
      <c r="F25" s="69" t="n">
        <v>0</v>
      </c>
      <c r="G25" s="69" t="n">
        <v>20</v>
      </c>
      <c r="H25" s="69" t="n">
        <f aca="false">D25+F25-K25</f>
        <v>3331653</v>
      </c>
      <c r="I25" s="69" t="n">
        <v>117</v>
      </c>
      <c r="J25" s="70"/>
      <c r="K25" s="69" t="n">
        <v>19490173</v>
      </c>
      <c r="L25" s="71" t="n">
        <f aca="false">K25/I25</f>
        <v>166582.675213675</v>
      </c>
    </row>
    <row r="26" customFormat="false" ht="13.8" hidden="false" customHeight="false" outlineLevel="0" collapsed="false">
      <c r="A26" s="68" t="s">
        <v>33</v>
      </c>
      <c r="B26" s="68" t="n">
        <v>12</v>
      </c>
      <c r="C26" s="69" t="n">
        <v>106</v>
      </c>
      <c r="D26" s="69" t="n">
        <v>16323470</v>
      </c>
      <c r="E26" s="69" t="n">
        <v>45</v>
      </c>
      <c r="F26" s="69" t="n">
        <v>10556505</v>
      </c>
      <c r="G26" s="69" t="n">
        <v>58</v>
      </c>
      <c r="H26" s="69" t="n">
        <f aca="false">D26+F26-K26</f>
        <v>4984366</v>
      </c>
      <c r="I26" s="69" t="n">
        <v>93</v>
      </c>
      <c r="J26" s="70"/>
      <c r="K26" s="69" t="n">
        <v>21895609</v>
      </c>
      <c r="L26" s="71" t="n">
        <f aca="false">K26/I26</f>
        <v>235436.655913979</v>
      </c>
    </row>
    <row r="27" customFormat="false" ht="13.8" hidden="false" customHeight="false" outlineLevel="0" collapsed="false">
      <c r="A27" s="68" t="s">
        <v>34</v>
      </c>
      <c r="B27" s="68" t="n">
        <v>12</v>
      </c>
      <c r="C27" s="69" t="n">
        <v>94</v>
      </c>
      <c r="D27" s="69" t="n">
        <v>17372116</v>
      </c>
      <c r="E27" s="69" t="n">
        <v>40</v>
      </c>
      <c r="F27" s="69" t="n">
        <v>9383560</v>
      </c>
      <c r="G27" s="69" t="n">
        <v>63</v>
      </c>
      <c r="H27" s="69" t="n">
        <f aca="false">D27+F27-K27</f>
        <v>9983461</v>
      </c>
      <c r="I27" s="69" t="n">
        <v>71</v>
      </c>
      <c r="J27" s="70"/>
      <c r="K27" s="69" t="n">
        <v>16772215</v>
      </c>
      <c r="L27" s="71" t="n">
        <f aca="false">K27/I27</f>
        <v>236228.38028169</v>
      </c>
    </row>
    <row r="28" customFormat="false" ht="13.8" hidden="false" customHeight="false" outlineLevel="0" collapsed="false">
      <c r="A28" s="68" t="s">
        <v>35</v>
      </c>
      <c r="B28" s="68" t="n">
        <v>12</v>
      </c>
      <c r="C28" s="69" t="n">
        <v>351</v>
      </c>
      <c r="D28" s="69" t="n">
        <v>40194000</v>
      </c>
      <c r="E28" s="69" t="n">
        <v>0</v>
      </c>
      <c r="F28" s="69" t="n">
        <v>0</v>
      </c>
      <c r="G28" s="69" t="n">
        <v>0</v>
      </c>
      <c r="H28" s="69" t="n">
        <f aca="false">D28+F28-K28</f>
        <v>0</v>
      </c>
      <c r="I28" s="69" t="n">
        <v>351</v>
      </c>
      <c r="J28" s="70"/>
      <c r="K28" s="69" t="n">
        <v>40194000</v>
      </c>
      <c r="L28" s="71" t="n">
        <f aca="false">K28/I28</f>
        <v>114512.820512821</v>
      </c>
    </row>
    <row r="29" customFormat="false" ht="13.8" hidden="false" customHeight="false" outlineLevel="0" collapsed="false">
      <c r="A29" s="68" t="s">
        <v>36</v>
      </c>
      <c r="B29" s="68" t="n">
        <v>12</v>
      </c>
      <c r="C29" s="69" t="n">
        <v>40</v>
      </c>
      <c r="D29" s="69" t="n">
        <v>1818200</v>
      </c>
      <c r="E29" s="69" t="n">
        <v>0</v>
      </c>
      <c r="F29" s="69" t="n">
        <v>0</v>
      </c>
      <c r="G29" s="69" t="n">
        <v>0</v>
      </c>
      <c r="H29" s="69" t="n">
        <f aca="false">D29+F29-K29</f>
        <v>0</v>
      </c>
      <c r="I29" s="69" t="n">
        <v>40</v>
      </c>
      <c r="J29" s="70"/>
      <c r="K29" s="69" t="n">
        <v>1818200</v>
      </c>
      <c r="L29" s="71" t="n">
        <f aca="false">K29/I29</f>
        <v>45455</v>
      </c>
    </row>
    <row r="30" customFormat="false" ht="18.75" hidden="false" customHeight="true" outlineLevel="0" collapsed="false">
      <c r="A30" s="68" t="s">
        <v>37</v>
      </c>
      <c r="B30" s="68" t="n">
        <v>12</v>
      </c>
      <c r="C30" s="69" t="n">
        <v>833</v>
      </c>
      <c r="D30" s="69" t="n">
        <v>46378988</v>
      </c>
      <c r="E30" s="69" t="n">
        <v>4571</v>
      </c>
      <c r="F30" s="69" t="n">
        <v>254508576</v>
      </c>
      <c r="G30" s="69" t="n">
        <v>5404</v>
      </c>
      <c r="H30" s="69" t="n">
        <f aca="false">D30+F30-K30</f>
        <v>300887564</v>
      </c>
      <c r="I30" s="69" t="n">
        <v>0</v>
      </c>
      <c r="J30" s="70"/>
      <c r="K30" s="69" t="n">
        <v>0</v>
      </c>
      <c r="L30" s="71"/>
      <c r="M30" s="72" t="s">
        <v>338</v>
      </c>
      <c r="N30" s="73" t="s">
        <v>303</v>
      </c>
      <c r="O30" s="74" t="n">
        <v>729</v>
      </c>
    </row>
    <row r="31" customFormat="false" ht="18.75" hidden="false" customHeight="true" outlineLevel="0" collapsed="false">
      <c r="A31" s="68" t="s">
        <v>38</v>
      </c>
      <c r="B31" s="68" t="n">
        <v>12</v>
      </c>
      <c r="C31" s="69" t="n">
        <v>273867</v>
      </c>
      <c r="D31" s="69" t="n">
        <v>255643095</v>
      </c>
      <c r="E31" s="69" t="n">
        <v>8568</v>
      </c>
      <c r="F31" s="69" t="n">
        <v>267390144</v>
      </c>
      <c r="G31" s="69" t="n">
        <v>274625</v>
      </c>
      <c r="H31" s="69" t="n">
        <f aca="false">D31+F31-K31</f>
        <v>279311599</v>
      </c>
      <c r="I31" s="69" t="n">
        <v>7810</v>
      </c>
      <c r="J31" s="70"/>
      <c r="K31" s="69" t="n">
        <v>243721640</v>
      </c>
      <c r="L31" s="71" t="n">
        <f aca="false">K31/I31</f>
        <v>31206.3559539053</v>
      </c>
      <c r="M31" s="72" t="s">
        <v>342</v>
      </c>
      <c r="N31" s="73" t="s">
        <v>303</v>
      </c>
      <c r="O31" s="74" t="n">
        <v>120</v>
      </c>
    </row>
    <row r="32" customFormat="false" ht="18.75" hidden="false" customHeight="true" outlineLevel="0" collapsed="false">
      <c r="A32" s="68" t="s">
        <v>39</v>
      </c>
      <c r="B32" s="68" t="n">
        <v>12</v>
      </c>
      <c r="C32" s="69" t="n">
        <v>25915</v>
      </c>
      <c r="D32" s="69" t="n">
        <v>50321430</v>
      </c>
      <c r="E32" s="69" t="n">
        <v>1500</v>
      </c>
      <c r="F32" s="69" t="n">
        <v>54276000</v>
      </c>
      <c r="G32" s="69" t="n">
        <v>26863</v>
      </c>
      <c r="H32" s="69" t="n">
        <f aca="false">D32+F32-K32</f>
        <v>84634375</v>
      </c>
      <c r="I32" s="69" t="n">
        <v>552</v>
      </c>
      <c r="J32" s="70"/>
      <c r="K32" s="69" t="n">
        <v>19963055</v>
      </c>
      <c r="L32" s="71" t="n">
        <f aca="false">K32/I32</f>
        <v>36164.9547101449</v>
      </c>
      <c r="M32" s="72" t="s">
        <v>344</v>
      </c>
      <c r="N32" s="73" t="s">
        <v>303</v>
      </c>
      <c r="O32" s="74" t="n">
        <v>3377</v>
      </c>
    </row>
    <row r="33" customFormat="false" ht="18.75" hidden="false" customHeight="true" outlineLevel="0" collapsed="false">
      <c r="A33" s="68" t="s">
        <v>40</v>
      </c>
      <c r="B33" s="68" t="n">
        <v>12</v>
      </c>
      <c r="C33" s="69" t="n">
        <v>2430</v>
      </c>
      <c r="D33" s="69" t="n">
        <v>87927120</v>
      </c>
      <c r="E33" s="69" t="n">
        <v>0</v>
      </c>
      <c r="F33" s="69" t="n">
        <v>0</v>
      </c>
      <c r="G33" s="69" t="n">
        <v>0</v>
      </c>
      <c r="H33" s="69" t="n">
        <f aca="false">D33+F33-K33</f>
        <v>0</v>
      </c>
      <c r="I33" s="69" t="n">
        <v>2430</v>
      </c>
      <c r="J33" s="70"/>
      <c r="K33" s="69" t="n">
        <v>87927120</v>
      </c>
      <c r="L33" s="71" t="n">
        <f aca="false">K33/I33</f>
        <v>36184</v>
      </c>
      <c r="M33" s="72" t="s">
        <v>42</v>
      </c>
      <c r="N33" s="73" t="s">
        <v>327</v>
      </c>
      <c r="O33" s="74" t="n">
        <v>130</v>
      </c>
    </row>
    <row r="34" customFormat="false" ht="18.75" hidden="false" customHeight="true" outlineLevel="0" collapsed="false">
      <c r="A34" s="68" t="s">
        <v>41</v>
      </c>
      <c r="B34" s="68" t="n">
        <v>12</v>
      </c>
      <c r="C34" s="69" t="n">
        <v>0</v>
      </c>
      <c r="D34" s="69" t="n">
        <v>189538</v>
      </c>
      <c r="E34" s="69" t="n">
        <v>0</v>
      </c>
      <c r="F34" s="69" t="n">
        <v>0</v>
      </c>
      <c r="G34" s="69" t="n">
        <v>0</v>
      </c>
      <c r="H34" s="69" t="n">
        <f aca="false">D34+F34-K34</f>
        <v>0</v>
      </c>
      <c r="I34" s="69" t="n">
        <v>0</v>
      </c>
      <c r="J34" s="70"/>
      <c r="K34" s="69" t="n">
        <v>189538</v>
      </c>
      <c r="L34" s="71"/>
      <c r="M34" s="72" t="s">
        <v>44</v>
      </c>
      <c r="N34" s="73" t="s">
        <v>327</v>
      </c>
      <c r="O34" s="74" t="n">
        <v>750</v>
      </c>
    </row>
    <row r="35" customFormat="false" ht="18.75" hidden="false" customHeight="true" outlineLevel="0" collapsed="false">
      <c r="A35" s="68" t="s">
        <v>42</v>
      </c>
      <c r="B35" s="68" t="n">
        <v>12</v>
      </c>
      <c r="C35" s="69" t="n">
        <v>160</v>
      </c>
      <c r="D35" s="69" t="n">
        <v>8538638</v>
      </c>
      <c r="E35" s="69" t="n">
        <v>0</v>
      </c>
      <c r="F35" s="69" t="n">
        <v>0</v>
      </c>
      <c r="G35" s="69" t="n">
        <v>26</v>
      </c>
      <c r="H35" s="69" t="n">
        <f aca="false">D35+F35-K35</f>
        <v>1526583</v>
      </c>
      <c r="I35" s="69" t="n">
        <v>134</v>
      </c>
      <c r="J35" s="70"/>
      <c r="K35" s="69" t="n">
        <v>7012055</v>
      </c>
      <c r="L35" s="71" t="n">
        <f aca="false">K35/I35</f>
        <v>52328.7686567164</v>
      </c>
      <c r="M35" s="72" t="s">
        <v>45</v>
      </c>
      <c r="N35" s="73" t="s">
        <v>327</v>
      </c>
      <c r="O35" s="74" t="n">
        <v>245</v>
      </c>
    </row>
    <row r="36" customFormat="false" ht="18.75" hidden="false" customHeight="true" outlineLevel="0" collapsed="false">
      <c r="A36" s="68" t="s">
        <v>43</v>
      </c>
      <c r="B36" s="68" t="n">
        <v>12</v>
      </c>
      <c r="C36" s="69" t="n">
        <v>0</v>
      </c>
      <c r="D36" s="69" t="n">
        <v>0</v>
      </c>
      <c r="E36" s="69" t="n">
        <v>0</v>
      </c>
      <c r="F36" s="69" t="n">
        <v>0</v>
      </c>
      <c r="G36" s="69" t="n">
        <v>0</v>
      </c>
      <c r="H36" s="69" t="n">
        <f aca="false">D36+F36-K36</f>
        <v>0</v>
      </c>
      <c r="I36" s="69" t="n">
        <v>0</v>
      </c>
      <c r="J36" s="70"/>
      <c r="K36" s="69" t="n">
        <v>0</v>
      </c>
      <c r="L36" s="71"/>
      <c r="M36" s="72" t="s">
        <v>46</v>
      </c>
      <c r="N36" s="73" t="s">
        <v>327</v>
      </c>
      <c r="O36" s="74" t="n">
        <v>125</v>
      </c>
    </row>
    <row r="37" customFormat="false" ht="18.75" hidden="false" customHeight="true" outlineLevel="0" collapsed="false">
      <c r="A37" s="68" t="s">
        <v>44</v>
      </c>
      <c r="B37" s="68" t="n">
        <v>12</v>
      </c>
      <c r="C37" s="69" t="n">
        <v>9485</v>
      </c>
      <c r="D37" s="69" t="n">
        <v>33640650</v>
      </c>
      <c r="E37" s="69" t="n">
        <v>1050</v>
      </c>
      <c r="F37" s="69" t="n">
        <v>37993200</v>
      </c>
      <c r="G37" s="69" t="n">
        <v>9635</v>
      </c>
      <c r="H37" s="69" t="n">
        <f aca="false">D37+F37-K37</f>
        <v>39077621</v>
      </c>
      <c r="I37" s="69" t="n">
        <v>900</v>
      </c>
      <c r="J37" s="70"/>
      <c r="K37" s="69" t="n">
        <v>32556229</v>
      </c>
      <c r="L37" s="71" t="n">
        <f aca="false">K37/I37</f>
        <v>36173.5877777778</v>
      </c>
      <c r="M37" s="72" t="s">
        <v>346</v>
      </c>
      <c r="N37" s="73" t="s">
        <v>327</v>
      </c>
      <c r="O37" s="74" t="n">
        <v>399</v>
      </c>
    </row>
    <row r="38" customFormat="false" ht="18.75" hidden="false" customHeight="true" outlineLevel="0" collapsed="false">
      <c r="A38" s="68" t="s">
        <v>45</v>
      </c>
      <c r="B38" s="68" t="n">
        <v>12</v>
      </c>
      <c r="C38" s="69" t="n">
        <v>320</v>
      </c>
      <c r="D38" s="69" t="n">
        <v>11571799</v>
      </c>
      <c r="E38" s="69" t="n">
        <v>405</v>
      </c>
      <c r="F38" s="69" t="n">
        <v>14654520</v>
      </c>
      <c r="G38" s="69" t="n">
        <v>630</v>
      </c>
      <c r="H38" s="69" t="n">
        <f aca="false">D38+F38-K38</f>
        <v>22789767</v>
      </c>
      <c r="I38" s="69" t="n">
        <v>95</v>
      </c>
      <c r="J38" s="70"/>
      <c r="K38" s="69" t="n">
        <v>3436552</v>
      </c>
      <c r="L38" s="71" t="n">
        <f aca="false">K38/I38</f>
        <v>36174.2315789474</v>
      </c>
      <c r="M38" s="72" t="s">
        <v>348</v>
      </c>
      <c r="N38" s="73" t="s">
        <v>327</v>
      </c>
      <c r="O38" s="74" t="n">
        <v>486</v>
      </c>
    </row>
    <row r="39" customFormat="false" ht="18.75" hidden="false" customHeight="true" outlineLevel="0" collapsed="false">
      <c r="A39" s="68" t="s">
        <v>46</v>
      </c>
      <c r="B39" s="68" t="n">
        <v>12</v>
      </c>
      <c r="C39" s="69" t="n">
        <v>270</v>
      </c>
      <c r="D39" s="69" t="n">
        <v>9896208</v>
      </c>
      <c r="E39" s="69" t="n">
        <v>120</v>
      </c>
      <c r="F39" s="69" t="n">
        <v>4342080</v>
      </c>
      <c r="G39" s="69" t="n">
        <v>319</v>
      </c>
      <c r="H39" s="69" t="n">
        <f aca="false">D39+F39-K39</f>
        <v>11669303</v>
      </c>
      <c r="I39" s="69" t="n">
        <v>71</v>
      </c>
      <c r="J39" s="70"/>
      <c r="K39" s="69" t="n">
        <v>2568985</v>
      </c>
      <c r="L39" s="71" t="n">
        <f aca="false">K39/I39</f>
        <v>36182.8873239437</v>
      </c>
      <c r="M39" s="72" t="s">
        <v>570</v>
      </c>
      <c r="N39" s="73" t="s">
        <v>327</v>
      </c>
      <c r="O39" s="74" t="n">
        <v>558</v>
      </c>
    </row>
    <row r="40" customFormat="false" ht="14.9" hidden="false" customHeight="false" outlineLevel="0" collapsed="false">
      <c r="A40" s="68" t="s">
        <v>47</v>
      </c>
      <c r="B40" s="68" t="n">
        <v>12</v>
      </c>
      <c r="C40" s="69" t="n">
        <v>1500</v>
      </c>
      <c r="D40" s="69" t="n">
        <v>7597338</v>
      </c>
      <c r="E40" s="69" t="n">
        <v>250</v>
      </c>
      <c r="F40" s="69" t="n">
        <v>1273250</v>
      </c>
      <c r="G40" s="69" t="n">
        <v>691</v>
      </c>
      <c r="H40" s="69" t="n">
        <f aca="false">D40+F40-K40</f>
        <v>3827026</v>
      </c>
      <c r="I40" s="69" t="n">
        <v>1059</v>
      </c>
      <c r="J40" s="70"/>
      <c r="K40" s="69" t="n">
        <v>5043562</v>
      </c>
      <c r="L40" s="71" t="n">
        <f aca="false">K40/I40</f>
        <v>4762.57034938621</v>
      </c>
      <c r="M40" s="74" t="n">
        <v>1070</v>
      </c>
    </row>
    <row r="41" customFormat="false" ht="13.8" hidden="false" customHeight="false" outlineLevel="0" collapsed="false">
      <c r="A41" s="68" t="s">
        <v>48</v>
      </c>
      <c r="B41" s="68" t="n">
        <v>12</v>
      </c>
      <c r="C41" s="69" t="n">
        <v>192</v>
      </c>
      <c r="D41" s="69" t="n">
        <v>4111968</v>
      </c>
      <c r="E41" s="69" t="n">
        <v>48</v>
      </c>
      <c r="F41" s="69" t="n">
        <v>933312</v>
      </c>
      <c r="G41" s="69" t="n">
        <v>0</v>
      </c>
      <c r="H41" s="69" t="n">
        <f aca="false">D41+F41-K41</f>
        <v>0</v>
      </c>
      <c r="I41" s="69" t="n">
        <v>240</v>
      </c>
      <c r="J41" s="70"/>
      <c r="K41" s="69" t="n">
        <v>5045280</v>
      </c>
      <c r="L41" s="71" t="n">
        <f aca="false">K41/I41</f>
        <v>21022</v>
      </c>
    </row>
    <row r="42" customFormat="false" ht="13.8" hidden="false" customHeight="false" outlineLevel="0" collapsed="false">
      <c r="A42" s="68" t="s">
        <v>49</v>
      </c>
      <c r="B42" s="68" t="n">
        <v>12</v>
      </c>
      <c r="C42" s="69" t="n">
        <v>4020</v>
      </c>
      <c r="D42" s="69" t="n">
        <v>19708744</v>
      </c>
      <c r="E42" s="69" t="n">
        <v>3360</v>
      </c>
      <c r="F42" s="69" t="n">
        <v>16487520</v>
      </c>
      <c r="G42" s="69" t="n">
        <v>5702</v>
      </c>
      <c r="H42" s="69" t="n">
        <f aca="false">D42+F42-K42</f>
        <v>28495976</v>
      </c>
      <c r="I42" s="69" t="n">
        <v>1678</v>
      </c>
      <c r="J42" s="70"/>
      <c r="K42" s="69" t="n">
        <v>7700288</v>
      </c>
      <c r="L42" s="71" t="n">
        <f aca="false">K42/I42</f>
        <v>4588.96781883194</v>
      </c>
    </row>
    <row r="43" customFormat="false" ht="13.8" hidden="false" customHeight="false" outlineLevel="0" collapsed="false">
      <c r="A43" s="68" t="s">
        <v>50</v>
      </c>
      <c r="B43" s="68" t="n">
        <v>12</v>
      </c>
      <c r="C43" s="69" t="n">
        <v>750</v>
      </c>
      <c r="D43" s="69" t="n">
        <v>2517000</v>
      </c>
      <c r="E43" s="69" t="n">
        <v>0</v>
      </c>
      <c r="F43" s="69" t="n">
        <v>0</v>
      </c>
      <c r="G43" s="69" t="n">
        <v>23</v>
      </c>
      <c r="H43" s="69" t="n">
        <f aca="false">D43+F43-K43</f>
        <v>0</v>
      </c>
      <c r="I43" s="69" t="n">
        <v>727</v>
      </c>
      <c r="J43" s="70"/>
      <c r="K43" s="69" t="n">
        <v>2517000</v>
      </c>
      <c r="L43" s="71" t="n">
        <f aca="false">K43/I43</f>
        <v>3462.17331499312</v>
      </c>
    </row>
    <row r="44" customFormat="false" ht="13.8" hidden="false" customHeight="false" outlineLevel="0" collapsed="false">
      <c r="A44" s="68" t="s">
        <v>51</v>
      </c>
      <c r="B44" s="68" t="n">
        <v>12</v>
      </c>
      <c r="C44" s="69" t="n">
        <v>1350</v>
      </c>
      <c r="D44" s="69" t="n">
        <v>5561964</v>
      </c>
      <c r="E44" s="69" t="n">
        <v>200</v>
      </c>
      <c r="F44" s="69" t="n">
        <v>833400</v>
      </c>
      <c r="G44" s="69" t="n">
        <v>780</v>
      </c>
      <c r="H44" s="69" t="n">
        <f aca="false">D44+F44-K44</f>
        <v>3218313</v>
      </c>
      <c r="I44" s="69" t="n">
        <v>770</v>
      </c>
      <c r="J44" s="70"/>
      <c r="K44" s="69" t="n">
        <v>3177051</v>
      </c>
      <c r="L44" s="71" t="n">
        <f aca="false">K44/I44</f>
        <v>4126.04025974026</v>
      </c>
    </row>
    <row r="45" customFormat="false" ht="13.8" hidden="false" customHeight="false" outlineLevel="0" collapsed="false">
      <c r="A45" s="68" t="s">
        <v>52</v>
      </c>
      <c r="B45" s="68" t="n">
        <v>12</v>
      </c>
      <c r="C45" s="69" t="n">
        <v>1676</v>
      </c>
      <c r="D45" s="69" t="n">
        <v>38641471</v>
      </c>
      <c r="E45" s="69" t="n">
        <v>288</v>
      </c>
      <c r="F45" s="69" t="n">
        <v>6666624</v>
      </c>
      <c r="G45" s="69" t="n">
        <v>143</v>
      </c>
      <c r="H45" s="69" t="n">
        <f aca="false">D45+F45-K45</f>
        <v>5905739</v>
      </c>
      <c r="I45" s="69" t="n">
        <v>1821</v>
      </c>
      <c r="J45" s="70"/>
      <c r="K45" s="69" t="n">
        <v>39402356</v>
      </c>
      <c r="L45" s="71" t="n">
        <f aca="false">K45/I45</f>
        <v>21637.7572762219</v>
      </c>
    </row>
    <row r="46" customFormat="false" ht="13.8" hidden="false" customHeight="false" outlineLevel="0" collapsed="false">
      <c r="A46" s="68" t="s">
        <v>890</v>
      </c>
      <c r="B46" s="68" t="n">
        <v>12</v>
      </c>
      <c r="C46" s="69" t="n">
        <v>0</v>
      </c>
      <c r="D46" s="69" t="n">
        <v>0</v>
      </c>
      <c r="E46" s="69" t="n">
        <v>3600</v>
      </c>
      <c r="F46" s="69" t="n">
        <v>38332800</v>
      </c>
      <c r="G46" s="69" t="n">
        <v>10</v>
      </c>
      <c r="H46" s="69" t="n">
        <f aca="false">D46+F46-K46</f>
        <v>106480</v>
      </c>
      <c r="I46" s="69" t="n">
        <v>3590</v>
      </c>
      <c r="J46" s="70"/>
      <c r="K46" s="69" t="n">
        <v>38226320</v>
      </c>
      <c r="L46" s="71" t="n">
        <f aca="false">K46/I46</f>
        <v>10648</v>
      </c>
    </row>
    <row r="47" customFormat="false" ht="13.8" hidden="false" customHeight="false" outlineLevel="0" collapsed="false">
      <c r="A47" s="68" t="s">
        <v>54</v>
      </c>
      <c r="B47" s="68" t="n">
        <v>12</v>
      </c>
      <c r="C47" s="69" t="n">
        <v>4478</v>
      </c>
      <c r="D47" s="69" t="n">
        <v>65694476</v>
      </c>
      <c r="E47" s="69" t="n">
        <v>9176</v>
      </c>
      <c r="F47" s="69" t="n">
        <v>133335000</v>
      </c>
      <c r="G47" s="69" t="n">
        <v>7664</v>
      </c>
      <c r="H47" s="69" t="n">
        <f aca="false">D47+F47-K47</f>
        <v>116059227</v>
      </c>
      <c r="I47" s="69" t="n">
        <v>5990</v>
      </c>
      <c r="J47" s="70"/>
      <c r="K47" s="69" t="n">
        <v>82970249</v>
      </c>
      <c r="L47" s="71" t="n">
        <f aca="false">K47/I47</f>
        <v>13851.4606010017</v>
      </c>
    </row>
    <row r="48" customFormat="false" ht="13.8" hidden="false" customHeight="false" outlineLevel="0" collapsed="false">
      <c r="A48" s="68" t="s">
        <v>55</v>
      </c>
      <c r="B48" s="68" t="n">
        <v>12</v>
      </c>
      <c r="C48" s="69" t="n">
        <v>162</v>
      </c>
      <c r="D48" s="69" t="n">
        <v>14271796</v>
      </c>
      <c r="E48" s="69" t="n">
        <v>119</v>
      </c>
      <c r="F48" s="69" t="n">
        <v>9838718.89</v>
      </c>
      <c r="G48" s="69" t="n">
        <v>6</v>
      </c>
      <c r="H48" s="69" t="n">
        <f aca="false">D48+F48-K48</f>
        <v>1348613.89</v>
      </c>
      <c r="I48" s="69" t="n">
        <v>275</v>
      </c>
      <c r="J48" s="70"/>
      <c r="K48" s="69" t="n">
        <v>22761901</v>
      </c>
      <c r="L48" s="71" t="n">
        <f aca="false">K48/I48</f>
        <v>82770.5490909091</v>
      </c>
    </row>
    <row r="49" customFormat="false" ht="13.8" hidden="false" customHeight="false" outlineLevel="0" collapsed="false">
      <c r="A49" s="68" t="s">
        <v>56</v>
      </c>
      <c r="B49" s="68" t="n">
        <v>12</v>
      </c>
      <c r="C49" s="69" t="n">
        <v>864</v>
      </c>
      <c r="D49" s="69" t="n">
        <v>8294400</v>
      </c>
      <c r="E49" s="69" t="n">
        <v>263</v>
      </c>
      <c r="F49" s="69" t="n">
        <v>9207921359.29</v>
      </c>
      <c r="G49" s="69" t="n">
        <v>0</v>
      </c>
      <c r="H49" s="69" t="n">
        <f aca="false">D49+F49-K49</f>
        <v>9206072399.29</v>
      </c>
      <c r="I49" s="69" t="n">
        <v>1127</v>
      </c>
      <c r="J49" s="70"/>
      <c r="K49" s="69" t="n">
        <v>10143360</v>
      </c>
      <c r="L49" s="71" t="n">
        <f aca="false">K49/I49</f>
        <v>9000.31943212067</v>
      </c>
    </row>
    <row r="50" customFormat="false" ht="13.8" hidden="false" customHeight="false" outlineLevel="0" collapsed="false">
      <c r="A50" s="68" t="s">
        <v>57</v>
      </c>
      <c r="B50" s="68" t="n">
        <v>12</v>
      </c>
      <c r="C50" s="69" t="n">
        <v>758</v>
      </c>
      <c r="D50" s="69" t="n">
        <v>13116517</v>
      </c>
      <c r="E50" s="69" t="n">
        <v>168</v>
      </c>
      <c r="F50" s="69" t="n">
        <v>2955624</v>
      </c>
      <c r="G50" s="69" t="n">
        <v>118</v>
      </c>
      <c r="H50" s="69" t="n">
        <f aca="false">D50+F50-K50</f>
        <v>2777044</v>
      </c>
      <c r="I50" s="69" t="n">
        <v>808</v>
      </c>
      <c r="J50" s="70"/>
      <c r="K50" s="69" t="n">
        <v>13295097</v>
      </c>
      <c r="L50" s="71" t="n">
        <f aca="false">K50/I50</f>
        <v>16454.327970297</v>
      </c>
    </row>
    <row r="51" customFormat="false" ht="13.8" hidden="false" customHeight="false" outlineLevel="0" collapsed="false">
      <c r="A51" s="68" t="s">
        <v>58</v>
      </c>
      <c r="B51" s="68" t="n">
        <v>12</v>
      </c>
      <c r="C51" s="69" t="n">
        <v>3660</v>
      </c>
      <c r="D51" s="69" t="n">
        <v>31105758</v>
      </c>
      <c r="E51" s="69" t="n">
        <v>816</v>
      </c>
      <c r="F51" s="69" t="n">
        <v>7026576</v>
      </c>
      <c r="G51" s="69" t="n">
        <v>1416</v>
      </c>
      <c r="H51" s="69" t="n">
        <f aca="false">D51+F51-K51</f>
        <v>13494553</v>
      </c>
      <c r="I51" s="69" t="n">
        <v>3060</v>
      </c>
      <c r="J51" s="70"/>
      <c r="K51" s="69" t="n">
        <v>24637781</v>
      </c>
      <c r="L51" s="71" t="n">
        <f aca="false">K51/I51</f>
        <v>8051.56241830065</v>
      </c>
    </row>
    <row r="52" customFormat="false" ht="13.8" hidden="false" customHeight="false" outlineLevel="0" collapsed="false">
      <c r="A52" s="68" t="s">
        <v>59</v>
      </c>
      <c r="B52" s="68" t="n">
        <v>12</v>
      </c>
      <c r="C52" s="69" t="n">
        <v>4076</v>
      </c>
      <c r="D52" s="69" t="n">
        <v>66900098</v>
      </c>
      <c r="E52" s="69" t="n">
        <v>2466</v>
      </c>
      <c r="F52" s="69" t="n">
        <v>30000600</v>
      </c>
      <c r="G52" s="69" t="n">
        <v>3835</v>
      </c>
      <c r="H52" s="69" t="n">
        <f aca="false">D52+F52-K52</f>
        <v>54715863</v>
      </c>
      <c r="I52" s="69" t="n">
        <v>2707</v>
      </c>
      <c r="J52" s="70"/>
      <c r="K52" s="69" t="n">
        <v>42184835</v>
      </c>
      <c r="L52" s="71" t="n">
        <f aca="false">K52/I52</f>
        <v>15583.6110084965</v>
      </c>
    </row>
    <row r="53" customFormat="false" ht="13.8" hidden="false" customHeight="false" outlineLevel="0" collapsed="false">
      <c r="A53" s="68" t="s">
        <v>60</v>
      </c>
      <c r="B53" s="68" t="n">
        <v>12</v>
      </c>
      <c r="C53" s="69" t="n">
        <v>3051</v>
      </c>
      <c r="D53" s="69" t="n">
        <v>99561656</v>
      </c>
      <c r="E53" s="69" t="n">
        <v>1476</v>
      </c>
      <c r="F53" s="69" t="n">
        <v>51966396</v>
      </c>
      <c r="G53" s="69" t="n">
        <v>2861</v>
      </c>
      <c r="H53" s="69" t="n">
        <f aca="false">D53+F53-K53</f>
        <v>96734277</v>
      </c>
      <c r="I53" s="69" t="n">
        <v>1666</v>
      </c>
      <c r="J53" s="70"/>
      <c r="K53" s="69" t="n">
        <v>54793775</v>
      </c>
      <c r="L53" s="71" t="n">
        <f aca="false">K53/I53</f>
        <v>32889.4207683073</v>
      </c>
    </row>
    <row r="54" customFormat="false" ht="13.8" hidden="false" customHeight="false" outlineLevel="0" collapsed="false">
      <c r="A54" s="68" t="s">
        <v>61</v>
      </c>
      <c r="B54" s="68" t="n">
        <v>12</v>
      </c>
      <c r="C54" s="69" t="n">
        <v>0</v>
      </c>
      <c r="D54" s="69" t="n">
        <v>0</v>
      </c>
      <c r="E54" s="69" t="n">
        <v>0</v>
      </c>
      <c r="F54" s="69" t="n">
        <v>0</v>
      </c>
      <c r="G54" s="69" t="n">
        <v>0</v>
      </c>
      <c r="H54" s="69" t="n">
        <f aca="false">D54+F54-K54</f>
        <v>0</v>
      </c>
      <c r="I54" s="69" t="n">
        <v>0</v>
      </c>
      <c r="J54" s="70"/>
      <c r="K54" s="69" t="n">
        <v>0</v>
      </c>
      <c r="L54" s="71"/>
    </row>
    <row r="55" customFormat="false" ht="13.8" hidden="false" customHeight="false" outlineLevel="0" collapsed="false">
      <c r="A55" s="68" t="s">
        <v>62</v>
      </c>
      <c r="B55" s="68" t="n">
        <v>12</v>
      </c>
      <c r="C55" s="69" t="n">
        <v>4034</v>
      </c>
      <c r="D55" s="69" t="n">
        <v>19765883</v>
      </c>
      <c r="E55" s="69" t="n">
        <v>4080</v>
      </c>
      <c r="F55" s="69" t="n">
        <v>20020560</v>
      </c>
      <c r="G55" s="69" t="n">
        <v>6143</v>
      </c>
      <c r="H55" s="69" t="n">
        <f aca="false">D55+F55-K55</f>
        <v>30744515</v>
      </c>
      <c r="I55" s="69" t="n">
        <v>1971</v>
      </c>
      <c r="J55" s="70"/>
      <c r="K55" s="69" t="n">
        <v>9041928</v>
      </c>
      <c r="L55" s="71" t="n">
        <f aca="false">K55/I55</f>
        <v>4587.48249619483</v>
      </c>
    </row>
    <row r="56" customFormat="false" ht="13.8" hidden="false" customHeight="false" outlineLevel="0" collapsed="false">
      <c r="A56" s="68" t="s">
        <v>63</v>
      </c>
      <c r="B56" s="68" t="n">
        <v>12</v>
      </c>
      <c r="C56" s="69" t="n">
        <v>0</v>
      </c>
      <c r="D56" s="69" t="n">
        <v>0</v>
      </c>
      <c r="E56" s="69" t="n">
        <v>0</v>
      </c>
      <c r="F56" s="69" t="n">
        <v>0</v>
      </c>
      <c r="G56" s="69" t="n">
        <v>0</v>
      </c>
      <c r="H56" s="69" t="n">
        <f aca="false">D56+F56-K56</f>
        <v>0</v>
      </c>
      <c r="I56" s="69" t="n">
        <v>0</v>
      </c>
      <c r="J56" s="70"/>
      <c r="K56" s="69" t="n">
        <v>0</v>
      </c>
      <c r="L56" s="71"/>
    </row>
    <row r="57" customFormat="false" ht="13.8" hidden="false" customHeight="false" outlineLevel="0" collapsed="false">
      <c r="A57" s="68" t="s">
        <v>64</v>
      </c>
      <c r="B57" s="68" t="n">
        <v>12</v>
      </c>
      <c r="C57" s="69" t="n">
        <v>25</v>
      </c>
      <c r="D57" s="69" t="n">
        <v>4861100</v>
      </c>
      <c r="E57" s="69" t="n">
        <v>0</v>
      </c>
      <c r="F57" s="69" t="n">
        <v>0</v>
      </c>
      <c r="G57" s="69" t="n">
        <v>0</v>
      </c>
      <c r="H57" s="69" t="n">
        <f aca="false">D57+F57-K57</f>
        <v>0</v>
      </c>
      <c r="I57" s="69" t="n">
        <v>25</v>
      </c>
      <c r="J57" s="70"/>
      <c r="K57" s="69" t="n">
        <v>4861100</v>
      </c>
      <c r="L57" s="71" t="n">
        <f aca="false">K57/I57</f>
        <v>194444</v>
      </c>
    </row>
    <row r="58" customFormat="false" ht="13.8" hidden="false" customHeight="false" outlineLevel="0" collapsed="false">
      <c r="A58" s="68" t="s">
        <v>65</v>
      </c>
      <c r="B58" s="68" t="n">
        <v>12</v>
      </c>
      <c r="C58" s="69" t="n">
        <v>7</v>
      </c>
      <c r="D58" s="69" t="n">
        <v>1328705</v>
      </c>
      <c r="E58" s="69" t="n">
        <v>0</v>
      </c>
      <c r="F58" s="69" t="n">
        <v>0</v>
      </c>
      <c r="G58" s="69" t="n">
        <v>0</v>
      </c>
      <c r="H58" s="69" t="n">
        <f aca="false">D58+F58-K58</f>
        <v>0</v>
      </c>
      <c r="I58" s="69" t="n">
        <v>7</v>
      </c>
      <c r="J58" s="70"/>
      <c r="K58" s="69" t="n">
        <v>1328705</v>
      </c>
      <c r="L58" s="71" t="n">
        <f aca="false">K58/I58</f>
        <v>189815</v>
      </c>
    </row>
    <row r="59" customFormat="false" ht="13.8" hidden="false" customHeight="false" outlineLevel="0" collapsed="false">
      <c r="A59" s="68" t="s">
        <v>66</v>
      </c>
      <c r="B59" s="68" t="n">
        <v>12</v>
      </c>
      <c r="C59" s="69" t="n">
        <v>3640</v>
      </c>
      <c r="D59" s="69" t="n">
        <v>56770482</v>
      </c>
      <c r="E59" s="69" t="n">
        <v>4421</v>
      </c>
      <c r="F59" s="69" t="n">
        <v>68567796</v>
      </c>
      <c r="G59" s="69" t="n">
        <v>6562</v>
      </c>
      <c r="H59" s="69" t="n">
        <f aca="false">D59+F59-K59</f>
        <v>103274636</v>
      </c>
      <c r="I59" s="69" t="n">
        <v>1499</v>
      </c>
      <c r="J59" s="70"/>
      <c r="K59" s="69" t="n">
        <v>22063642</v>
      </c>
      <c r="L59" s="71" t="n">
        <f aca="false">K59/I59</f>
        <v>14718.9072715143</v>
      </c>
    </row>
    <row r="60" customFormat="false" ht="13.8" hidden="false" customHeight="false" outlineLevel="0" collapsed="false">
      <c r="A60" s="68" t="s">
        <v>67</v>
      </c>
      <c r="B60" s="68" t="n">
        <v>12</v>
      </c>
      <c r="C60" s="69" t="n">
        <v>170</v>
      </c>
      <c r="D60" s="69" t="n">
        <v>1385264</v>
      </c>
      <c r="E60" s="69" t="n">
        <v>24</v>
      </c>
      <c r="F60" s="69" t="n">
        <v>400008</v>
      </c>
      <c r="G60" s="69" t="n">
        <v>81</v>
      </c>
      <c r="H60" s="69" t="n">
        <f aca="false">D60+F60-K60</f>
        <v>27607</v>
      </c>
      <c r="I60" s="69" t="n">
        <v>113</v>
      </c>
      <c r="J60" s="70"/>
      <c r="K60" s="69" t="n">
        <v>1757665</v>
      </c>
      <c r="L60" s="71" t="n">
        <f aca="false">K60/I60</f>
        <v>15554.5575221239</v>
      </c>
    </row>
    <row r="61" customFormat="false" ht="13.8" hidden="false" customHeight="false" outlineLevel="0" collapsed="false">
      <c r="A61" s="68" t="s">
        <v>68</v>
      </c>
      <c r="B61" s="68" t="n">
        <v>12</v>
      </c>
      <c r="C61" s="69" t="n">
        <v>384</v>
      </c>
      <c r="D61" s="69" t="n">
        <v>17725913</v>
      </c>
      <c r="E61" s="69" t="n">
        <v>0</v>
      </c>
      <c r="F61" s="69" t="n">
        <v>0</v>
      </c>
      <c r="G61" s="69"/>
      <c r="H61" s="69" t="n">
        <f aca="false">D61+F61-K61</f>
        <v>923225</v>
      </c>
      <c r="I61" s="69" t="n">
        <v>384</v>
      </c>
      <c r="J61" s="70"/>
      <c r="K61" s="69" t="n">
        <v>16802688</v>
      </c>
      <c r="L61" s="71" t="n">
        <f aca="false">K61/I61</f>
        <v>43757</v>
      </c>
    </row>
    <row r="62" customFormat="false" ht="13.8" hidden="false" customHeight="false" outlineLevel="0" collapsed="false">
      <c r="A62" s="68" t="s">
        <v>69</v>
      </c>
      <c r="B62" s="68" t="n">
        <v>12</v>
      </c>
      <c r="C62" s="69" t="n">
        <v>156</v>
      </c>
      <c r="D62" s="69" t="n">
        <v>16177824</v>
      </c>
      <c r="E62" s="69" t="n">
        <v>0</v>
      </c>
      <c r="F62" s="69" t="n">
        <v>0</v>
      </c>
      <c r="G62" s="69"/>
      <c r="H62" s="69" t="n">
        <f aca="false">D62+F62-K62</f>
        <v>622224</v>
      </c>
      <c r="I62" s="69" t="n">
        <v>156</v>
      </c>
      <c r="J62" s="70"/>
      <c r="K62" s="69" t="n">
        <v>15555600</v>
      </c>
      <c r="L62" s="71" t="n">
        <f aca="false">K62/I62</f>
        <v>99715.3846153846</v>
      </c>
    </row>
    <row r="63" customFormat="false" ht="13.8" hidden="false" customHeight="false" outlineLevel="0" collapsed="false">
      <c r="A63" s="68" t="s">
        <v>70</v>
      </c>
      <c r="B63" s="68" t="n">
        <v>12</v>
      </c>
      <c r="C63" s="69" t="n">
        <v>84</v>
      </c>
      <c r="D63" s="69" t="n">
        <v>12133296</v>
      </c>
      <c r="E63" s="69"/>
      <c r="F63" s="69" t="n">
        <v>0</v>
      </c>
      <c r="G63" s="69"/>
      <c r="H63" s="69" t="n">
        <f aca="false">D63+F63-K63</f>
        <v>0</v>
      </c>
      <c r="I63" s="69" t="n">
        <v>84</v>
      </c>
      <c r="J63" s="70"/>
      <c r="K63" s="69" t="n">
        <v>12133296</v>
      </c>
      <c r="L63" s="71" t="n">
        <f aca="false">K63/I63</f>
        <v>144444</v>
      </c>
    </row>
    <row r="64" customFormat="false" ht="13.8" hidden="false" customHeight="false" outlineLevel="0" collapsed="false">
      <c r="A64" s="68" t="s">
        <v>71</v>
      </c>
      <c r="B64" s="68" t="n">
        <v>12</v>
      </c>
      <c r="C64" s="69" t="n">
        <v>1608</v>
      </c>
      <c r="D64" s="69" t="n">
        <v>25016122</v>
      </c>
      <c r="E64" s="69" t="n">
        <v>552</v>
      </c>
      <c r="F64" s="69" t="n">
        <v>8689032</v>
      </c>
      <c r="G64" s="69" t="n">
        <v>1294</v>
      </c>
      <c r="H64" s="69" t="n">
        <f aca="false">D64+F64-K64</f>
        <v>20956492</v>
      </c>
      <c r="I64" s="69" t="n">
        <v>866</v>
      </c>
      <c r="J64" s="70"/>
      <c r="K64" s="69" t="n">
        <v>12748662</v>
      </c>
      <c r="L64" s="71" t="n">
        <f aca="false">K64/I64</f>
        <v>14721.3187066975</v>
      </c>
    </row>
    <row r="65" customFormat="false" ht="13.8" hidden="false" customHeight="false" outlineLevel="0" collapsed="false">
      <c r="A65" s="68" t="s">
        <v>72</v>
      </c>
      <c r="B65" s="68" t="n">
        <v>12</v>
      </c>
      <c r="C65" s="69" t="n">
        <v>3852</v>
      </c>
      <c r="D65" s="69" t="n">
        <v>90280472</v>
      </c>
      <c r="E65" s="69" t="n">
        <v>648</v>
      </c>
      <c r="F65" s="69" t="n">
        <v>15599952</v>
      </c>
      <c r="G65" s="69" t="n">
        <v>2687</v>
      </c>
      <c r="H65" s="69" t="n">
        <f aca="false">D65+F65-K65</f>
        <v>65081167</v>
      </c>
      <c r="I65" s="69" t="n">
        <v>1813</v>
      </c>
      <c r="J65" s="70"/>
      <c r="K65" s="69" t="n">
        <v>40799257</v>
      </c>
      <c r="L65" s="71" t="n">
        <f aca="false">K65/I65</f>
        <v>22503.7269718698</v>
      </c>
    </row>
    <row r="66" customFormat="false" ht="13.8" hidden="false" customHeight="false" outlineLevel="0" collapsed="false">
      <c r="A66" s="68" t="s">
        <v>73</v>
      </c>
      <c r="B66" s="68" t="n">
        <v>12</v>
      </c>
      <c r="C66" s="69" t="n">
        <v>4218</v>
      </c>
      <c r="D66" s="69" t="n">
        <v>143970514</v>
      </c>
      <c r="E66" s="69" t="n">
        <v>1800</v>
      </c>
      <c r="F66" s="69" t="n">
        <v>61666200</v>
      </c>
      <c r="G66" s="69" t="n">
        <v>4874</v>
      </c>
      <c r="H66" s="69" t="n">
        <f aca="false">D66+F66-K66</f>
        <v>169006179</v>
      </c>
      <c r="I66" s="69" t="n">
        <v>1144</v>
      </c>
      <c r="J66" s="70"/>
      <c r="K66" s="69" t="n">
        <v>36630535</v>
      </c>
      <c r="L66" s="71" t="n">
        <f aca="false">K66/I66</f>
        <v>32019.6984265734</v>
      </c>
    </row>
    <row r="67" customFormat="false" ht="13.8" hidden="false" customHeight="false" outlineLevel="0" collapsed="false">
      <c r="A67" s="68" t="s">
        <v>74</v>
      </c>
      <c r="B67" s="68" t="n">
        <v>12</v>
      </c>
      <c r="C67" s="69" t="n">
        <v>5136</v>
      </c>
      <c r="D67" s="69" t="n">
        <v>75745997</v>
      </c>
      <c r="E67" s="69" t="n">
        <v>1752</v>
      </c>
      <c r="F67" s="69" t="n">
        <v>25955880</v>
      </c>
      <c r="G67" s="69" t="n">
        <v>6059</v>
      </c>
      <c r="H67" s="69" t="n">
        <f aca="false">D67+F67-K67</f>
        <v>90214644</v>
      </c>
      <c r="I67" s="69" t="n">
        <v>829</v>
      </c>
      <c r="J67" s="70"/>
      <c r="K67" s="69" t="n">
        <v>11487233</v>
      </c>
      <c r="L67" s="71" t="n">
        <f aca="false">K67/I67</f>
        <v>13856.7346200241</v>
      </c>
    </row>
    <row r="68" customFormat="false" ht="13.8" hidden="false" customHeight="false" outlineLevel="0" collapsed="false">
      <c r="A68" s="68" t="s">
        <v>75</v>
      </c>
      <c r="B68" s="68" t="n">
        <v>12</v>
      </c>
      <c r="C68" s="69" t="n">
        <v>10400</v>
      </c>
      <c r="D68" s="69" t="n">
        <v>3813333</v>
      </c>
      <c r="E68" s="69" t="n">
        <v>0</v>
      </c>
      <c r="F68" s="69" t="n">
        <v>0</v>
      </c>
      <c r="G68" s="69" t="n">
        <v>9600</v>
      </c>
      <c r="H68" s="69" t="n">
        <f aca="false">D68+F68-K68</f>
        <v>3520000</v>
      </c>
      <c r="I68" s="69" t="n">
        <v>800</v>
      </c>
      <c r="J68" s="70"/>
      <c r="K68" s="69" t="n">
        <v>293333</v>
      </c>
      <c r="L68" s="71" t="n">
        <f aca="false">K68/I68</f>
        <v>366.66625</v>
      </c>
    </row>
    <row r="69" customFormat="false" ht="13.8" hidden="false" customHeight="false" outlineLevel="0" collapsed="false">
      <c r="A69" s="68" t="s">
        <v>76</v>
      </c>
      <c r="B69" s="68" t="n">
        <v>12</v>
      </c>
      <c r="C69" s="69" t="n">
        <v>168</v>
      </c>
      <c r="D69" s="69" t="n">
        <v>9544198</v>
      </c>
      <c r="E69" s="69" t="n">
        <v>279</v>
      </c>
      <c r="F69" s="69" t="n">
        <v>4275018</v>
      </c>
      <c r="G69" s="69" t="n">
        <v>171</v>
      </c>
      <c r="H69" s="69" t="n">
        <f aca="false">D69+F69-K69</f>
        <v>221995</v>
      </c>
      <c r="I69" s="69" t="n">
        <v>276</v>
      </c>
      <c r="J69" s="70"/>
      <c r="K69" s="69" t="n">
        <v>13597221</v>
      </c>
      <c r="L69" s="71" t="n">
        <f aca="false">K69/I69</f>
        <v>49265.2934782609</v>
      </c>
    </row>
    <row r="70" customFormat="false" ht="13.8" hidden="false" customHeight="false" outlineLevel="0" collapsed="false">
      <c r="A70" s="68" t="s">
        <v>77</v>
      </c>
      <c r="B70" s="68" t="n">
        <v>12</v>
      </c>
      <c r="C70" s="69" t="n">
        <v>1092</v>
      </c>
      <c r="D70" s="69" t="n">
        <v>6735333</v>
      </c>
      <c r="E70" s="69" t="n">
        <v>0</v>
      </c>
      <c r="F70" s="69" t="n">
        <v>0</v>
      </c>
      <c r="G70" s="69" t="n">
        <v>206</v>
      </c>
      <c r="H70" s="69" t="n">
        <f aca="false">D70+F70-K70</f>
        <v>1517300</v>
      </c>
      <c r="I70" s="69" t="n">
        <v>886</v>
      </c>
      <c r="J70" s="70"/>
      <c r="K70" s="69" t="n">
        <v>5218033</v>
      </c>
      <c r="L70" s="71" t="n">
        <f aca="false">K70/I70</f>
        <v>5889.42776523702</v>
      </c>
    </row>
    <row r="71" customFormat="false" ht="13.8" hidden="false" customHeight="false" outlineLevel="0" collapsed="false">
      <c r="A71" s="68" t="s">
        <v>78</v>
      </c>
      <c r="B71" s="68" t="n">
        <v>12</v>
      </c>
      <c r="C71" s="69" t="n">
        <v>7371</v>
      </c>
      <c r="D71" s="69" t="n">
        <v>66190155</v>
      </c>
      <c r="E71" s="69" t="n">
        <v>1920</v>
      </c>
      <c r="F71" s="69" t="n">
        <v>21333120</v>
      </c>
      <c r="G71" s="69" t="n">
        <v>4938</v>
      </c>
      <c r="H71" s="69" t="n">
        <f aca="false">D71+F71-K71</f>
        <v>42296793</v>
      </c>
      <c r="I71" s="69" t="n">
        <v>4353</v>
      </c>
      <c r="J71" s="70"/>
      <c r="K71" s="69" t="n">
        <v>45226482</v>
      </c>
      <c r="L71" s="71" t="n">
        <f aca="false">K71/I71</f>
        <v>10389.7270847691</v>
      </c>
    </row>
    <row r="72" customFormat="false" ht="13.8" hidden="false" customHeight="false" outlineLevel="0" collapsed="false">
      <c r="A72" s="68" t="s">
        <v>79</v>
      </c>
      <c r="B72" s="68" t="n">
        <v>12</v>
      </c>
      <c r="C72" s="69" t="n">
        <v>1912</v>
      </c>
      <c r="D72" s="69" t="n">
        <v>38449684</v>
      </c>
      <c r="E72" s="69" t="n">
        <v>1560</v>
      </c>
      <c r="F72" s="69" t="n">
        <v>33221760</v>
      </c>
      <c r="G72" s="69" t="n">
        <v>3121</v>
      </c>
      <c r="H72" s="69" t="n">
        <f aca="false">D72+F72-K72</f>
        <v>64673570</v>
      </c>
      <c r="I72" s="69" t="n">
        <v>351</v>
      </c>
      <c r="J72" s="70"/>
      <c r="K72" s="69" t="n">
        <v>6997874</v>
      </c>
      <c r="L72" s="71" t="n">
        <f aca="false">K72/I72</f>
        <v>19936.962962963</v>
      </c>
    </row>
    <row r="73" customFormat="false" ht="13.8" hidden="false" customHeight="false" outlineLevel="0" collapsed="false">
      <c r="A73" s="68" t="s">
        <v>80</v>
      </c>
      <c r="B73" s="68" t="n">
        <v>12</v>
      </c>
      <c r="C73" s="69" t="n">
        <v>180</v>
      </c>
      <c r="D73" s="69" t="n">
        <v>2602954</v>
      </c>
      <c r="E73" s="69" t="n">
        <v>85</v>
      </c>
      <c r="F73" s="69" t="n">
        <v>1177052.41509434</v>
      </c>
      <c r="G73" s="69" t="n">
        <v>0</v>
      </c>
      <c r="H73" s="69" t="n">
        <f aca="false">D73+F73-K73</f>
        <v>110372.41509434</v>
      </c>
      <c r="I73" s="69" t="n">
        <v>265</v>
      </c>
      <c r="J73" s="70"/>
      <c r="K73" s="69" t="n">
        <v>3669634</v>
      </c>
      <c r="L73" s="71" t="n">
        <f aca="false">K73/I73</f>
        <v>13847.6754716981</v>
      </c>
    </row>
    <row r="74" customFormat="false" ht="13.8" hidden="false" customHeight="false" outlineLevel="0" collapsed="false">
      <c r="A74" s="68" t="s">
        <v>81</v>
      </c>
      <c r="B74" s="68" t="n">
        <v>12</v>
      </c>
      <c r="C74" s="69" t="n">
        <v>2052</v>
      </c>
      <c r="D74" s="69" t="n">
        <v>31426776</v>
      </c>
      <c r="E74" s="69" t="n">
        <v>504</v>
      </c>
      <c r="F74" s="69" t="n">
        <v>7933464</v>
      </c>
      <c r="G74" s="69" t="n">
        <v>2016</v>
      </c>
      <c r="H74" s="69" t="n">
        <f aca="false">D74+F74-K74</f>
        <v>31414276</v>
      </c>
      <c r="I74" s="69" t="n">
        <v>540</v>
      </c>
      <c r="J74" s="70"/>
      <c r="K74" s="69" t="n">
        <v>7945964</v>
      </c>
      <c r="L74" s="71" t="n">
        <f aca="false">K74/I74</f>
        <v>14714.7481481481</v>
      </c>
    </row>
    <row r="75" customFormat="false" ht="13.8" hidden="false" customHeight="false" outlineLevel="0" collapsed="false">
      <c r="A75" s="68" t="s">
        <v>82</v>
      </c>
      <c r="B75" s="68" t="n">
        <v>12</v>
      </c>
      <c r="C75" s="69" t="n">
        <v>5760</v>
      </c>
      <c r="D75" s="69" t="n">
        <v>42106565</v>
      </c>
      <c r="E75" s="69" t="n">
        <v>1368</v>
      </c>
      <c r="F75" s="69" t="n">
        <v>10132776</v>
      </c>
      <c r="G75" s="69" t="n">
        <v>4986</v>
      </c>
      <c r="H75" s="69" t="n">
        <f aca="false">D75+F75-K75</f>
        <v>37405948</v>
      </c>
      <c r="I75" s="69" t="n">
        <v>2142</v>
      </c>
      <c r="J75" s="70"/>
      <c r="K75" s="69" t="n">
        <v>14833393</v>
      </c>
      <c r="L75" s="71" t="n">
        <f aca="false">K75/I75</f>
        <v>6925.02007469655</v>
      </c>
    </row>
    <row r="76" customFormat="false" ht="13.8" hidden="false" customHeight="false" outlineLevel="0" collapsed="false">
      <c r="A76" s="68" t="s">
        <v>83</v>
      </c>
      <c r="B76" s="68" t="n">
        <v>12</v>
      </c>
      <c r="C76" s="69" t="n">
        <v>2646</v>
      </c>
      <c r="D76" s="69" t="n">
        <v>20061031</v>
      </c>
      <c r="E76" s="69" t="n">
        <v>720</v>
      </c>
      <c r="F76" s="69" t="n">
        <v>5235684.92307692</v>
      </c>
      <c r="G76" s="69" t="n">
        <v>2586</v>
      </c>
      <c r="H76" s="69" t="n">
        <f aca="false">D76+F76-K76</f>
        <v>19624723.9230769</v>
      </c>
      <c r="I76" s="69" t="n">
        <v>780</v>
      </c>
      <c r="J76" s="70"/>
      <c r="K76" s="69" t="n">
        <v>5671992</v>
      </c>
      <c r="L76" s="71" t="n">
        <f aca="false">K76/I76</f>
        <v>7271.78461538462</v>
      </c>
    </row>
    <row r="77" customFormat="false" ht="13.8" hidden="false" customHeight="false" outlineLevel="0" collapsed="false">
      <c r="A77" s="68" t="s">
        <v>84</v>
      </c>
      <c r="B77" s="68" t="n">
        <v>12</v>
      </c>
      <c r="C77" s="69" t="n">
        <v>21344</v>
      </c>
      <c r="D77" s="69" t="n">
        <v>656441651</v>
      </c>
      <c r="E77" s="69" t="n">
        <v>13870</v>
      </c>
      <c r="F77" s="69" t="n">
        <v>423104640</v>
      </c>
      <c r="G77" s="69" t="n">
        <v>25509</v>
      </c>
      <c r="H77" s="69" t="n">
        <f aca="false">D77+F77-K77</f>
        <v>793886828</v>
      </c>
      <c r="I77" s="69" t="n">
        <v>9705</v>
      </c>
      <c r="J77" s="70"/>
      <c r="K77" s="69" t="n">
        <v>285659463</v>
      </c>
      <c r="L77" s="71" t="n">
        <f aca="false">K77/I77</f>
        <v>29434.256877898</v>
      </c>
    </row>
    <row r="78" customFormat="false" ht="13.8" hidden="false" customHeight="false" outlineLevel="0" collapsed="false">
      <c r="A78" s="68" t="s">
        <v>85</v>
      </c>
      <c r="B78" s="68" t="n">
        <v>12</v>
      </c>
      <c r="C78" s="69" t="n">
        <v>22711</v>
      </c>
      <c r="D78" s="69" t="n">
        <v>206800382</v>
      </c>
      <c r="E78" s="69" t="n">
        <v>8744</v>
      </c>
      <c r="F78" s="69" t="n">
        <v>79997760</v>
      </c>
      <c r="G78" s="69" t="n">
        <v>15601</v>
      </c>
      <c r="H78" s="69" t="n">
        <f aca="false">D78+F78-K78</f>
        <v>149548979</v>
      </c>
      <c r="I78" s="69" t="n">
        <v>15854</v>
      </c>
      <c r="J78" s="70"/>
      <c r="K78" s="69" t="n">
        <v>137249163</v>
      </c>
      <c r="L78" s="71" t="n">
        <f aca="false">K78/I78</f>
        <v>8657.06843698751</v>
      </c>
    </row>
    <row r="79" customFormat="false" ht="13.8" hidden="false" customHeight="false" outlineLevel="0" collapsed="false">
      <c r="A79" s="68" t="s">
        <v>86</v>
      </c>
      <c r="B79" s="68" t="n">
        <v>12</v>
      </c>
      <c r="C79" s="69" t="n">
        <v>51521</v>
      </c>
      <c r="D79" s="69" t="n">
        <v>363655744</v>
      </c>
      <c r="E79" s="69" t="n">
        <v>37214</v>
      </c>
      <c r="F79" s="69" t="n">
        <v>266652000</v>
      </c>
      <c r="G79" s="69" t="n">
        <v>41008</v>
      </c>
      <c r="H79" s="69" t="n">
        <f aca="false">D79+F79-K79</f>
        <v>295371958</v>
      </c>
      <c r="I79" s="69" t="n">
        <v>48362</v>
      </c>
      <c r="J79" s="70"/>
      <c r="K79" s="69" t="n">
        <v>334935786</v>
      </c>
      <c r="L79" s="71" t="n">
        <f aca="false">K79/I79</f>
        <v>6925.59832099582</v>
      </c>
    </row>
    <row r="80" customFormat="false" ht="13.8" hidden="false" customHeight="false" outlineLevel="0" collapsed="false">
      <c r="A80" s="68" t="s">
        <v>87</v>
      </c>
      <c r="B80" s="68" t="n">
        <v>12</v>
      </c>
      <c r="C80" s="69" t="n">
        <v>3195</v>
      </c>
      <c r="D80" s="69" t="n">
        <v>57619421</v>
      </c>
      <c r="E80" s="69" t="n">
        <v>7471</v>
      </c>
      <c r="F80" s="69" t="n">
        <v>133253280</v>
      </c>
      <c r="G80" s="69" t="n">
        <v>7687</v>
      </c>
      <c r="H80" s="69" t="n">
        <f aca="false">D80+F80-K80</f>
        <v>140586531</v>
      </c>
      <c r="I80" s="69" t="n">
        <v>2979</v>
      </c>
      <c r="J80" s="70"/>
      <c r="K80" s="69" t="n">
        <v>50286170</v>
      </c>
      <c r="L80" s="71" t="n">
        <f aca="false">K80/I80</f>
        <v>16880.2181940248</v>
      </c>
    </row>
    <row r="81" customFormat="false" ht="13.8" hidden="false" customHeight="false" outlineLevel="0" collapsed="false">
      <c r="A81" s="68" t="s">
        <v>88</v>
      </c>
      <c r="B81" s="68" t="n">
        <v>12</v>
      </c>
      <c r="C81" s="69" t="n">
        <v>618</v>
      </c>
      <c r="D81" s="69" t="n">
        <v>12921762</v>
      </c>
      <c r="E81" s="69" t="n">
        <v>0</v>
      </c>
      <c r="F81" s="69" t="n">
        <v>0</v>
      </c>
      <c r="G81" s="69" t="n">
        <v>32</v>
      </c>
      <c r="H81" s="69" t="n">
        <f aca="false">D81+F81-K81</f>
        <v>1463630</v>
      </c>
      <c r="I81" s="69" t="n">
        <v>586</v>
      </c>
      <c r="J81" s="70"/>
      <c r="K81" s="69" t="n">
        <v>11458132</v>
      </c>
      <c r="L81" s="71" t="n">
        <f aca="false">K81/I81</f>
        <v>19553.1262798635</v>
      </c>
    </row>
    <row r="82" customFormat="false" ht="13.8" hidden="false" customHeight="false" outlineLevel="0" collapsed="false">
      <c r="A82" s="68" t="s">
        <v>89</v>
      </c>
      <c r="B82" s="68" t="n">
        <v>12</v>
      </c>
      <c r="C82" s="69" t="n">
        <v>564</v>
      </c>
      <c r="D82" s="69" t="n">
        <v>13801691</v>
      </c>
      <c r="E82" s="69" t="n">
        <v>216</v>
      </c>
      <c r="F82" s="69" t="n">
        <v>5299992</v>
      </c>
      <c r="G82" s="69" t="n">
        <v>306</v>
      </c>
      <c r="H82" s="69" t="n">
        <f aca="false">D82+F82-K82</f>
        <v>8228417</v>
      </c>
      <c r="I82" s="69" t="n">
        <v>474</v>
      </c>
      <c r="J82" s="70"/>
      <c r="K82" s="69" t="n">
        <v>10873266</v>
      </c>
      <c r="L82" s="71" t="n">
        <f aca="false">K82/I82</f>
        <v>22939.3797468354</v>
      </c>
    </row>
    <row r="83" customFormat="false" ht="13.8" hidden="false" customHeight="false" outlineLevel="0" collapsed="false">
      <c r="A83" s="68" t="s">
        <v>90</v>
      </c>
      <c r="B83" s="68" t="n">
        <v>12</v>
      </c>
      <c r="C83" s="69" t="n">
        <v>1045</v>
      </c>
      <c r="D83" s="69" t="n">
        <v>55627273</v>
      </c>
      <c r="E83" s="69" t="n">
        <v>2820</v>
      </c>
      <c r="F83" s="69" t="n">
        <v>150139620</v>
      </c>
      <c r="G83" s="69" t="n">
        <v>3289</v>
      </c>
      <c r="H83" s="69" t="n">
        <f aca="false">D83+F83-K83</f>
        <v>177071330</v>
      </c>
      <c r="I83" s="69" t="n">
        <v>576</v>
      </c>
      <c r="J83" s="70"/>
      <c r="K83" s="69" t="n">
        <v>28695563</v>
      </c>
      <c r="L83" s="71" t="n">
        <f aca="false">K83/I83</f>
        <v>49818.6857638889</v>
      </c>
    </row>
    <row r="84" customFormat="false" ht="13.8" hidden="false" customHeight="false" outlineLevel="0" collapsed="false">
      <c r="A84" s="68" t="s">
        <v>91</v>
      </c>
      <c r="B84" s="68" t="n">
        <v>12</v>
      </c>
      <c r="C84" s="69" t="n">
        <v>6789</v>
      </c>
      <c r="D84" s="69" t="n">
        <v>63245985</v>
      </c>
      <c r="E84" s="69" t="n">
        <v>4920</v>
      </c>
      <c r="F84" s="69" t="n">
        <v>44332320</v>
      </c>
      <c r="G84" s="69" t="n">
        <v>5799</v>
      </c>
      <c r="H84" s="69" t="n">
        <f aca="false">D84+F84-K84</f>
        <v>53858060</v>
      </c>
      <c r="I84" s="69" t="n">
        <v>5910</v>
      </c>
      <c r="J84" s="70"/>
      <c r="K84" s="69" t="n">
        <v>53720245</v>
      </c>
      <c r="L84" s="71" t="n">
        <f aca="false">K84/I84</f>
        <v>9089.71996615905</v>
      </c>
    </row>
    <row r="85" customFormat="false" ht="13.8" hidden="false" customHeight="false" outlineLevel="0" collapsed="false">
      <c r="A85" s="68" t="s">
        <v>92</v>
      </c>
      <c r="B85" s="68" t="n">
        <v>12</v>
      </c>
      <c r="C85" s="69" t="n">
        <v>50800</v>
      </c>
      <c r="D85" s="69" t="n">
        <v>24895116</v>
      </c>
      <c r="E85" s="69" t="n">
        <v>23200</v>
      </c>
      <c r="F85" s="69" t="n">
        <v>11391200</v>
      </c>
      <c r="G85" s="69" t="n">
        <v>33411</v>
      </c>
      <c r="H85" s="69" t="n">
        <f aca="false">D85+F85-K85</f>
        <v>17652802</v>
      </c>
      <c r="I85" s="69" t="n">
        <v>40589</v>
      </c>
      <c r="J85" s="70"/>
      <c r="K85" s="69" t="n">
        <v>18633514</v>
      </c>
      <c r="L85" s="71" t="n">
        <f aca="false">K85/I85</f>
        <v>459.077927517308</v>
      </c>
    </row>
    <row r="86" customFormat="false" ht="13.8" hidden="false" customHeight="false" outlineLevel="0" collapsed="false">
      <c r="A86" s="68" t="s">
        <v>93</v>
      </c>
      <c r="B86" s="68" t="n">
        <v>12</v>
      </c>
      <c r="C86" s="69" t="n">
        <v>444</v>
      </c>
      <c r="D86" s="69" t="n">
        <v>23449263</v>
      </c>
      <c r="E86" s="69" t="n">
        <v>96</v>
      </c>
      <c r="F86" s="69" t="n">
        <v>5111136</v>
      </c>
      <c r="G86" s="69" t="n">
        <v>502</v>
      </c>
      <c r="H86" s="69" t="n">
        <f aca="false">D86+F86-K86</f>
        <v>26656372</v>
      </c>
      <c r="I86" s="69" t="n">
        <v>38</v>
      </c>
      <c r="J86" s="70"/>
      <c r="K86" s="69" t="n">
        <v>1904027</v>
      </c>
      <c r="L86" s="71" t="n">
        <f aca="false">K86/I86</f>
        <v>50105.9736842105</v>
      </c>
    </row>
    <row r="87" customFormat="false" ht="13.8" hidden="false" customHeight="false" outlineLevel="0" collapsed="false">
      <c r="A87" s="68" t="s">
        <v>94</v>
      </c>
      <c r="B87" s="68" t="n">
        <v>12</v>
      </c>
      <c r="C87" s="69" t="n">
        <v>408</v>
      </c>
      <c r="D87" s="69" t="n">
        <v>3857098</v>
      </c>
      <c r="E87" s="69" t="n">
        <v>0</v>
      </c>
      <c r="F87" s="69" t="n">
        <v>0</v>
      </c>
      <c r="G87" s="69" t="n">
        <v>233</v>
      </c>
      <c r="H87" s="69" t="n">
        <f aca="false">D87+F87-K87</f>
        <v>2268881</v>
      </c>
      <c r="I87" s="69" t="n">
        <v>175</v>
      </c>
      <c r="J87" s="70"/>
      <c r="K87" s="69" t="n">
        <v>1588217</v>
      </c>
      <c r="L87" s="71" t="n">
        <f aca="false">K87/I87</f>
        <v>9075.52571428571</v>
      </c>
    </row>
    <row r="88" customFormat="false" ht="13.8" hidden="false" customHeight="false" outlineLevel="0" collapsed="false">
      <c r="A88" s="68" t="s">
        <v>95</v>
      </c>
      <c r="B88" s="68" t="n">
        <v>12</v>
      </c>
      <c r="C88" s="69" t="n">
        <v>900</v>
      </c>
      <c r="D88" s="69" t="n">
        <v>7404657</v>
      </c>
      <c r="E88" s="69" t="n">
        <v>468</v>
      </c>
      <c r="F88" s="69" t="n">
        <v>3899844</v>
      </c>
      <c r="G88" s="69" t="n">
        <v>1325</v>
      </c>
      <c r="H88" s="69" t="n">
        <f aca="false">D88+F88-K88</f>
        <v>10653008</v>
      </c>
      <c r="I88" s="69" t="n">
        <v>43</v>
      </c>
      <c r="J88" s="70"/>
      <c r="K88" s="69" t="n">
        <v>651493</v>
      </c>
      <c r="L88" s="71" t="n">
        <f aca="false">K88/I88</f>
        <v>15151</v>
      </c>
    </row>
    <row r="89" customFormat="false" ht="13.8" hidden="false" customHeight="false" outlineLevel="0" collapsed="false">
      <c r="A89" s="68" t="s">
        <v>96</v>
      </c>
      <c r="B89" s="68" t="n">
        <v>12</v>
      </c>
      <c r="C89" s="69" t="n">
        <v>225</v>
      </c>
      <c r="D89" s="69" t="n">
        <v>25942946</v>
      </c>
      <c r="E89" s="69" t="n">
        <v>147</v>
      </c>
      <c r="F89" s="69" t="n">
        <v>15968530.4088398</v>
      </c>
      <c r="G89" s="69" t="n">
        <v>10</v>
      </c>
      <c r="H89" s="69" t="n">
        <f aca="false">D89+F89-K89</f>
        <v>2587612.40883978</v>
      </c>
      <c r="I89" s="69" t="n">
        <v>362</v>
      </c>
      <c r="J89" s="70"/>
      <c r="K89" s="69" t="n">
        <v>39323864</v>
      </c>
      <c r="L89" s="71" t="n">
        <f aca="false">K89/I89</f>
        <v>108629.458563536</v>
      </c>
    </row>
    <row r="90" customFormat="false" ht="13.8" hidden="false" customHeight="false" outlineLevel="0" collapsed="false">
      <c r="A90" s="68" t="s">
        <v>97</v>
      </c>
      <c r="B90" s="68" t="n">
        <v>12</v>
      </c>
      <c r="C90" s="69" t="n">
        <v>57200</v>
      </c>
      <c r="D90" s="69" t="n">
        <v>28035599</v>
      </c>
      <c r="E90" s="69" t="n">
        <v>24800</v>
      </c>
      <c r="F90" s="69" t="n">
        <v>12176800</v>
      </c>
      <c r="G90" s="69" t="n">
        <v>36280</v>
      </c>
      <c r="H90" s="69" t="n">
        <f aca="false">D90+F90-K90</f>
        <v>19223488</v>
      </c>
      <c r="I90" s="69" t="n">
        <v>45720</v>
      </c>
      <c r="J90" s="70"/>
      <c r="K90" s="69" t="n">
        <v>20988911</v>
      </c>
      <c r="L90" s="71" t="n">
        <f aca="false">K90/I90</f>
        <v>459.075043744532</v>
      </c>
    </row>
    <row r="91" customFormat="false" ht="13.8" hidden="false" customHeight="false" outlineLevel="0" collapsed="false">
      <c r="A91" s="68" t="s">
        <v>98</v>
      </c>
      <c r="B91" s="68" t="n">
        <v>12</v>
      </c>
      <c r="C91" s="69" t="n">
        <v>1920</v>
      </c>
      <c r="D91" s="69" t="n">
        <v>19627720</v>
      </c>
      <c r="E91" s="69" t="n">
        <v>192</v>
      </c>
      <c r="F91" s="69" t="n">
        <v>2026752</v>
      </c>
      <c r="G91" s="69" t="n">
        <v>1345</v>
      </c>
      <c r="H91" s="69" t="n">
        <f aca="false">D91+F91-K91</f>
        <v>14087710</v>
      </c>
      <c r="I91" s="69" t="n">
        <v>767</v>
      </c>
      <c r="J91" s="70"/>
      <c r="K91" s="69" t="n">
        <v>7566762</v>
      </c>
      <c r="L91" s="71" t="n">
        <f aca="false">K91/I91</f>
        <v>9865.40026075619</v>
      </c>
    </row>
    <row r="92" customFormat="false" ht="13.8" hidden="false" customHeight="false" outlineLevel="0" collapsed="false">
      <c r="A92" s="68" t="s">
        <v>99</v>
      </c>
      <c r="B92" s="68" t="n">
        <v>12</v>
      </c>
      <c r="C92" s="69" t="n">
        <v>96</v>
      </c>
      <c r="D92" s="69" t="n">
        <v>595584</v>
      </c>
      <c r="E92" s="69" t="n">
        <v>96</v>
      </c>
      <c r="F92" s="69" t="n">
        <v>595584</v>
      </c>
      <c r="G92" s="69" t="n">
        <v>8</v>
      </c>
      <c r="H92" s="69" t="n">
        <f aca="false">D92+F92-K92</f>
        <v>124080</v>
      </c>
      <c r="I92" s="69" t="n">
        <v>184</v>
      </c>
      <c r="J92" s="70"/>
      <c r="K92" s="69" t="n">
        <v>1067088</v>
      </c>
      <c r="L92" s="71" t="n">
        <f aca="false">K92/I92</f>
        <v>5799.39130434783</v>
      </c>
    </row>
    <row r="93" customFormat="false" ht="13.8" hidden="false" customHeight="false" outlineLevel="0" collapsed="false">
      <c r="A93" s="68" t="s">
        <v>100</v>
      </c>
      <c r="B93" s="68" t="n">
        <v>12</v>
      </c>
      <c r="C93" s="69" t="n">
        <v>2105</v>
      </c>
      <c r="D93" s="69" t="n">
        <v>108155379</v>
      </c>
      <c r="E93" s="69" t="n">
        <v>3340</v>
      </c>
      <c r="F93" s="69" t="n">
        <v>162917460</v>
      </c>
      <c r="G93" s="69" t="n">
        <v>3522</v>
      </c>
      <c r="H93" s="69" t="n">
        <f aca="false">D93+F93-K93</f>
        <v>175338575</v>
      </c>
      <c r="I93" s="69" t="n">
        <v>1923</v>
      </c>
      <c r="J93" s="70"/>
      <c r="K93" s="69" t="n">
        <v>95734264</v>
      </c>
      <c r="L93" s="71" t="n">
        <f aca="false">K93/I93</f>
        <v>49783.8086323453</v>
      </c>
    </row>
    <row r="94" customFormat="false" ht="13.8" hidden="false" customHeight="false" outlineLevel="0" collapsed="false">
      <c r="A94" s="68" t="s">
        <v>101</v>
      </c>
      <c r="B94" s="68" t="n">
        <v>12</v>
      </c>
      <c r="C94" s="69" t="n">
        <v>21454</v>
      </c>
      <c r="D94" s="69" t="n">
        <v>153225770</v>
      </c>
      <c r="E94" s="69" t="n">
        <v>9132</v>
      </c>
      <c r="F94" s="69" t="n">
        <v>39665760</v>
      </c>
      <c r="G94" s="69" t="n">
        <v>12151</v>
      </c>
      <c r="H94" s="69" t="n">
        <f aca="false">D94+F94-K94</f>
        <v>25314412</v>
      </c>
      <c r="I94" s="69" t="n">
        <v>18435</v>
      </c>
      <c r="J94" s="70"/>
      <c r="K94" s="69" t="n">
        <v>167577118</v>
      </c>
      <c r="L94" s="71" t="n">
        <f aca="false">K94/I94</f>
        <v>9090.16099810144</v>
      </c>
    </row>
    <row r="95" customFormat="false" ht="13.8" hidden="false" customHeight="false" outlineLevel="0" collapsed="false">
      <c r="A95" s="68" t="s">
        <v>102</v>
      </c>
      <c r="B95" s="68" t="n">
        <v>12</v>
      </c>
      <c r="C95" s="69" t="n">
        <v>540</v>
      </c>
      <c r="D95" s="69" t="n">
        <v>13238841</v>
      </c>
      <c r="E95" s="69" t="n">
        <v>588</v>
      </c>
      <c r="F95" s="69" t="n">
        <v>14427756</v>
      </c>
      <c r="G95" s="69" t="n">
        <v>605</v>
      </c>
      <c r="H95" s="69" t="n">
        <f aca="false">D95+F95-K95</f>
        <v>15672834</v>
      </c>
      <c r="I95" s="69" t="n">
        <v>523</v>
      </c>
      <c r="J95" s="70"/>
      <c r="K95" s="69" t="n">
        <v>11993763</v>
      </c>
      <c r="L95" s="71" t="n">
        <f aca="false">K95/I95</f>
        <v>22932.6252390057</v>
      </c>
    </row>
    <row r="96" customFormat="false" ht="13.8" hidden="false" customHeight="false" outlineLevel="0" collapsed="false">
      <c r="A96" s="68" t="s">
        <v>103</v>
      </c>
      <c r="B96" s="68" t="n">
        <v>12</v>
      </c>
      <c r="C96" s="69" t="n">
        <v>2454</v>
      </c>
      <c r="D96" s="69" t="n">
        <v>27075398</v>
      </c>
      <c r="E96" s="69" t="n">
        <v>342</v>
      </c>
      <c r="F96" s="69" t="n">
        <v>1333344</v>
      </c>
      <c r="G96" s="69" t="n">
        <v>1829</v>
      </c>
      <c r="H96" s="69" t="n">
        <f aca="false">D96+F96-K96</f>
        <v>15850371</v>
      </c>
      <c r="I96" s="69" t="n">
        <v>967</v>
      </c>
      <c r="J96" s="70"/>
      <c r="K96" s="69" t="n">
        <v>12558371</v>
      </c>
      <c r="L96" s="71" t="n">
        <f aca="false">K96/I96</f>
        <v>12986.9400206825</v>
      </c>
    </row>
    <row r="97" customFormat="false" ht="13.8" hidden="false" customHeight="false" outlineLevel="0" collapsed="false">
      <c r="A97" s="68" t="s">
        <v>104</v>
      </c>
      <c r="B97" s="68" t="n">
        <v>12</v>
      </c>
      <c r="C97" s="69" t="n">
        <v>192</v>
      </c>
      <c r="D97" s="69" t="n">
        <v>3657528</v>
      </c>
      <c r="E97" s="69" t="n">
        <v>109</v>
      </c>
      <c r="F97" s="69" t="n">
        <v>1809081</v>
      </c>
      <c r="G97" s="69" t="n">
        <v>0</v>
      </c>
      <c r="H97" s="69" t="n">
        <f aca="false">D97+F97-K97</f>
        <v>0</v>
      </c>
      <c r="I97" s="69" t="n">
        <v>301</v>
      </c>
      <c r="J97" s="70"/>
      <c r="K97" s="69" t="n">
        <v>5466609</v>
      </c>
      <c r="L97" s="71" t="n">
        <f aca="false">K97/I97</f>
        <v>18161.4916943522</v>
      </c>
    </row>
    <row r="98" customFormat="false" ht="13.8" hidden="false" customHeight="false" outlineLevel="0" collapsed="false">
      <c r="A98" s="68" t="s">
        <v>105</v>
      </c>
      <c r="B98" s="68" t="n">
        <v>12</v>
      </c>
      <c r="C98" s="69" t="n">
        <v>258</v>
      </c>
      <c r="D98" s="69" t="n">
        <v>13370216</v>
      </c>
      <c r="E98" s="69" t="n">
        <v>174</v>
      </c>
      <c r="F98" s="69" t="n">
        <v>9263934</v>
      </c>
      <c r="G98" s="69" t="n">
        <v>400</v>
      </c>
      <c r="H98" s="69" t="n">
        <f aca="false">D98+F98-K98</f>
        <v>21062334</v>
      </c>
      <c r="I98" s="69" t="n">
        <v>32</v>
      </c>
      <c r="J98" s="70"/>
      <c r="K98" s="69" t="n">
        <v>1571816</v>
      </c>
      <c r="L98" s="71" t="n">
        <f aca="false">K98/I98</f>
        <v>49119.25</v>
      </c>
    </row>
    <row r="99" customFormat="false" ht="13.8" hidden="false" customHeight="false" outlineLevel="0" collapsed="false">
      <c r="A99" s="68" t="s">
        <v>106</v>
      </c>
      <c r="B99" s="68" t="n">
        <v>12</v>
      </c>
      <c r="C99" s="69" t="n">
        <v>1512</v>
      </c>
      <c r="D99" s="69" t="n">
        <v>14292784</v>
      </c>
      <c r="E99" s="69" t="n">
        <v>192</v>
      </c>
      <c r="F99" s="69" t="n">
        <v>1866624</v>
      </c>
      <c r="G99" s="69" t="n">
        <v>923</v>
      </c>
      <c r="H99" s="69" t="n">
        <f aca="false">D99+F99-K99</f>
        <v>9056476</v>
      </c>
      <c r="I99" s="69" t="n">
        <v>781</v>
      </c>
      <c r="J99" s="70"/>
      <c r="K99" s="69" t="n">
        <v>7102932</v>
      </c>
      <c r="L99" s="71" t="n">
        <f aca="false">K99/I99</f>
        <v>9094.66325224072</v>
      </c>
    </row>
    <row r="100" customFormat="false" ht="13.8" hidden="false" customHeight="false" outlineLevel="0" collapsed="false">
      <c r="A100" s="68" t="s">
        <v>107</v>
      </c>
      <c r="B100" s="68" t="n">
        <v>12</v>
      </c>
      <c r="C100" s="69" t="n">
        <v>1190</v>
      </c>
      <c r="D100" s="69" t="n">
        <v>4560276</v>
      </c>
      <c r="E100" s="69" t="n">
        <v>3832.16470588235</v>
      </c>
      <c r="F100" s="69" t="n">
        <v>0</v>
      </c>
      <c r="G100" s="69" t="n">
        <v>532</v>
      </c>
      <c r="H100" s="69" t="n">
        <f aca="false">D100+F100-K100</f>
        <v>0</v>
      </c>
      <c r="I100" s="69" t="n">
        <v>658</v>
      </c>
      <c r="J100" s="70"/>
      <c r="K100" s="69" t="n">
        <v>4560276</v>
      </c>
      <c r="L100" s="71" t="n">
        <f aca="false">K100/I100</f>
        <v>6930.51063829787</v>
      </c>
    </row>
    <row r="101" customFormat="false" ht="13.8" hidden="false" customHeight="false" outlineLevel="0" collapsed="false">
      <c r="A101" s="68" t="s">
        <v>108</v>
      </c>
      <c r="B101" s="68" t="n">
        <v>12</v>
      </c>
      <c r="C101" s="69" t="n">
        <v>46476</v>
      </c>
      <c r="D101" s="69" t="n">
        <v>335124139</v>
      </c>
      <c r="E101" s="69" t="n">
        <v>977</v>
      </c>
      <c r="F101" s="69" t="n">
        <v>44416164.7112745</v>
      </c>
      <c r="G101" s="69" t="n">
        <v>45413</v>
      </c>
      <c r="H101" s="69" t="n">
        <f aca="false">D101+F101-K101</f>
        <v>286798260.711275</v>
      </c>
      <c r="I101" s="69" t="n">
        <v>2040</v>
      </c>
      <c r="J101" s="70"/>
      <c r="K101" s="69" t="n">
        <v>92742043</v>
      </c>
      <c r="L101" s="71" t="n">
        <f aca="false">K101/I101</f>
        <v>45461.7857843137</v>
      </c>
    </row>
    <row r="102" customFormat="false" ht="13.8" hidden="false" customHeight="false" outlineLevel="0" collapsed="false">
      <c r="A102" s="68" t="s">
        <v>109</v>
      </c>
      <c r="B102" s="68" t="n">
        <v>12</v>
      </c>
      <c r="C102" s="69" t="n">
        <v>48</v>
      </c>
      <c r="D102" s="69" t="n">
        <v>2333328</v>
      </c>
      <c r="E102" s="69" t="n">
        <v>202</v>
      </c>
      <c r="F102" s="69" t="n">
        <v>1458330</v>
      </c>
      <c r="G102" s="69"/>
      <c r="H102" s="69" t="n">
        <f aca="false">D102+F102-K102</f>
        <v>0</v>
      </c>
      <c r="I102" s="69" t="n">
        <v>250</v>
      </c>
      <c r="J102" s="70"/>
      <c r="K102" s="69" t="n">
        <v>3791658</v>
      </c>
      <c r="L102" s="71" t="n">
        <f aca="false">K102/I102</f>
        <v>15166.632</v>
      </c>
    </row>
    <row r="103" customFormat="false" ht="13.8" hidden="false" customHeight="false" outlineLevel="0" collapsed="false">
      <c r="A103" s="68" t="s">
        <v>110</v>
      </c>
      <c r="B103" s="68" t="n">
        <v>12</v>
      </c>
      <c r="C103" s="69" t="n">
        <v>864</v>
      </c>
      <c r="D103" s="69" t="n">
        <v>15351650</v>
      </c>
      <c r="E103" s="69" t="n">
        <v>684</v>
      </c>
      <c r="F103" s="69" t="n">
        <v>12350304</v>
      </c>
      <c r="G103" s="69" t="n">
        <v>1103</v>
      </c>
      <c r="H103" s="69" t="n">
        <f aca="false">D103+F103-K103</f>
        <v>20185920</v>
      </c>
      <c r="I103" s="69" t="n">
        <v>445</v>
      </c>
      <c r="J103" s="70"/>
      <c r="K103" s="69" t="n">
        <v>7516034</v>
      </c>
      <c r="L103" s="71" t="n">
        <f aca="false">K103/I103</f>
        <v>16889.9640449438</v>
      </c>
    </row>
    <row r="104" customFormat="false" ht="13.8" hidden="false" customHeight="false" outlineLevel="0" collapsed="false">
      <c r="A104" s="68" t="s">
        <v>111</v>
      </c>
      <c r="B104" s="68" t="n">
        <v>12</v>
      </c>
      <c r="C104" s="69" t="n">
        <v>7094</v>
      </c>
      <c r="D104" s="69" t="n">
        <v>57800393</v>
      </c>
      <c r="E104" s="69" t="n">
        <v>7800</v>
      </c>
      <c r="F104" s="69" t="n">
        <v>63554400</v>
      </c>
      <c r="G104" s="69" t="n">
        <v>13333</v>
      </c>
      <c r="H104" s="69" t="n">
        <f aca="false">D104+F104-K104</f>
        <v>109458862</v>
      </c>
      <c r="I104" s="69" t="n">
        <v>1561</v>
      </c>
      <c r="J104" s="70"/>
      <c r="K104" s="69" t="n">
        <v>11895931</v>
      </c>
      <c r="L104" s="71" t="n">
        <f aca="false">K104/I104</f>
        <v>7620.71172325432</v>
      </c>
    </row>
    <row r="105" customFormat="false" ht="13.8" hidden="false" customHeight="false" outlineLevel="0" collapsed="false">
      <c r="A105" s="68" t="s">
        <v>112</v>
      </c>
      <c r="B105" s="68" t="n">
        <v>12</v>
      </c>
      <c r="C105" s="69" t="n">
        <v>2500</v>
      </c>
      <c r="D105" s="69" t="n">
        <v>20355350</v>
      </c>
      <c r="E105" s="69" t="n">
        <v>1320</v>
      </c>
      <c r="F105" s="69" t="n">
        <v>10755360</v>
      </c>
      <c r="G105" s="69" t="n">
        <v>2890</v>
      </c>
      <c r="H105" s="69" t="n">
        <f aca="false">D105+F105-K105</f>
        <v>24025287</v>
      </c>
      <c r="I105" s="69" t="n">
        <v>930</v>
      </c>
      <c r="J105" s="70"/>
      <c r="K105" s="69" t="n">
        <v>7085423</v>
      </c>
      <c r="L105" s="71" t="n">
        <f aca="false">K105/I105</f>
        <v>7618.73440860215</v>
      </c>
    </row>
    <row r="106" customFormat="false" ht="13.8" hidden="false" customHeight="false" outlineLevel="0" collapsed="false">
      <c r="A106" s="68" t="s">
        <v>113</v>
      </c>
      <c r="B106" s="68" t="n">
        <v>12</v>
      </c>
      <c r="C106" s="69" t="n">
        <v>240</v>
      </c>
      <c r="D106" s="69" t="n">
        <v>3935440</v>
      </c>
      <c r="E106" s="69" t="n">
        <v>90</v>
      </c>
      <c r="F106" s="69" t="n">
        <v>1200024</v>
      </c>
      <c r="G106" s="69"/>
      <c r="H106" s="69" t="n">
        <f aca="false">D106+F106-K106</f>
        <v>0</v>
      </c>
      <c r="I106" s="69" t="n">
        <v>330</v>
      </c>
      <c r="J106" s="70"/>
      <c r="K106" s="69" t="n">
        <v>5135464</v>
      </c>
      <c r="L106" s="71" t="n">
        <f aca="false">K106/I106</f>
        <v>15562.0121212121</v>
      </c>
    </row>
    <row r="107" customFormat="false" ht="13.8" hidden="false" customHeight="false" outlineLevel="0" collapsed="false">
      <c r="A107" s="68" t="s">
        <v>114</v>
      </c>
      <c r="B107" s="68" t="n">
        <v>12</v>
      </c>
      <c r="C107" s="69" t="n">
        <v>192</v>
      </c>
      <c r="D107" s="69" t="n">
        <v>3650221</v>
      </c>
      <c r="E107" s="69" t="n">
        <v>83</v>
      </c>
      <c r="F107" s="69" t="n">
        <v>1342579</v>
      </c>
      <c r="G107" s="69" t="n">
        <v>0</v>
      </c>
      <c r="H107" s="69" t="n">
        <f aca="false">D107+F107-K107</f>
        <v>0</v>
      </c>
      <c r="I107" s="69" t="n">
        <v>275</v>
      </c>
      <c r="J107" s="70"/>
      <c r="K107" s="69" t="n">
        <v>4992800</v>
      </c>
      <c r="L107" s="71" t="n">
        <f aca="false">K107/I107</f>
        <v>18155.6363636364</v>
      </c>
    </row>
    <row r="108" customFormat="false" ht="13.8" hidden="false" customHeight="false" outlineLevel="0" collapsed="false">
      <c r="A108" s="68" t="s">
        <v>115</v>
      </c>
      <c r="B108" s="68" t="n">
        <v>12</v>
      </c>
      <c r="C108" s="69" t="n">
        <v>4325</v>
      </c>
      <c r="D108" s="69" t="n">
        <v>27997920</v>
      </c>
      <c r="E108" s="69" t="n">
        <v>2412</v>
      </c>
      <c r="F108" s="69" t="n">
        <v>15554400</v>
      </c>
      <c r="G108" s="69" t="n">
        <v>4660</v>
      </c>
      <c r="H108" s="69" t="n">
        <f aca="false">D108+F108-K108</f>
        <v>30965654</v>
      </c>
      <c r="I108" s="69" t="n">
        <v>2077</v>
      </c>
      <c r="J108" s="70"/>
      <c r="K108" s="69" t="n">
        <v>12586666</v>
      </c>
      <c r="L108" s="71" t="n">
        <f aca="false">K108/I108</f>
        <v>6060.02214732788</v>
      </c>
    </row>
    <row r="109" customFormat="false" ht="13.8" hidden="false" customHeight="false" outlineLevel="0" collapsed="false">
      <c r="A109" s="68" t="s">
        <v>116</v>
      </c>
      <c r="B109" s="68" t="n">
        <v>12</v>
      </c>
      <c r="C109" s="69" t="n">
        <v>4565</v>
      </c>
      <c r="D109" s="69" t="n">
        <v>92887200</v>
      </c>
      <c r="E109" s="69" t="n">
        <v>0</v>
      </c>
      <c r="F109" s="69" t="n">
        <v>0</v>
      </c>
      <c r="G109" s="69" t="n">
        <v>2461</v>
      </c>
      <c r="H109" s="69" t="n">
        <f aca="false">D109+F109-K109</f>
        <v>52822600</v>
      </c>
      <c r="I109" s="69" t="n">
        <v>2104</v>
      </c>
      <c r="J109" s="70"/>
      <c r="K109" s="69" t="n">
        <v>40064600</v>
      </c>
      <c r="L109" s="71" t="n">
        <f aca="false">K109/I109</f>
        <v>19042.1102661597</v>
      </c>
    </row>
    <row r="110" customFormat="false" ht="13.8" hidden="false" customHeight="false" outlineLevel="0" collapsed="false">
      <c r="A110" s="68" t="s">
        <v>117</v>
      </c>
      <c r="B110" s="68" t="n">
        <v>12</v>
      </c>
      <c r="C110" s="69" t="n">
        <v>336</v>
      </c>
      <c r="D110" s="69" t="n">
        <v>5841722</v>
      </c>
      <c r="E110" s="69" t="n">
        <v>312</v>
      </c>
      <c r="F110" s="69" t="n">
        <v>5489016</v>
      </c>
      <c r="G110" s="69" t="n">
        <v>148</v>
      </c>
      <c r="H110" s="69" t="n">
        <f aca="false">D110+F110-K110</f>
        <v>3112456</v>
      </c>
      <c r="I110" s="69" t="n">
        <v>500</v>
      </c>
      <c r="J110" s="70"/>
      <c r="K110" s="69" t="n">
        <v>8218282</v>
      </c>
      <c r="L110" s="71" t="n">
        <f aca="false">K110/I110</f>
        <v>16436.564</v>
      </c>
    </row>
    <row r="111" customFormat="false" ht="13.8" hidden="false" customHeight="false" outlineLevel="0" collapsed="false">
      <c r="A111" s="68" t="s">
        <v>118</v>
      </c>
      <c r="B111" s="68" t="n">
        <v>12</v>
      </c>
      <c r="C111" s="69" t="n">
        <v>612</v>
      </c>
      <c r="D111" s="69" t="n">
        <v>25119032</v>
      </c>
      <c r="E111" s="69" t="n">
        <v>829</v>
      </c>
      <c r="F111" s="69" t="n">
        <v>3500028</v>
      </c>
      <c r="G111" s="69" t="n">
        <v>612</v>
      </c>
      <c r="H111" s="69" t="n">
        <f aca="false">D111+F111-K111</f>
        <v>16776690</v>
      </c>
      <c r="I111" s="69" t="n">
        <v>829</v>
      </c>
      <c r="J111" s="70"/>
      <c r="K111" s="69" t="n">
        <v>11842370</v>
      </c>
      <c r="L111" s="71" t="n">
        <f aca="false">K111/I111</f>
        <v>14285.1266586249</v>
      </c>
    </row>
    <row r="112" customFormat="false" ht="13.8" hidden="false" customHeight="false" outlineLevel="0" collapsed="false">
      <c r="A112" s="68" t="s">
        <v>119</v>
      </c>
      <c r="B112" s="68" t="n">
        <v>12</v>
      </c>
      <c r="C112" s="69" t="n">
        <v>320</v>
      </c>
      <c r="D112" s="69" t="n">
        <v>7371274</v>
      </c>
      <c r="E112" s="69" t="n">
        <v>160</v>
      </c>
      <c r="F112" s="69" t="n">
        <v>3703680</v>
      </c>
      <c r="G112" s="69" t="n">
        <v>203</v>
      </c>
      <c r="H112" s="69" t="n">
        <f aca="false">D112+F112-K112</f>
        <v>5076021</v>
      </c>
      <c r="I112" s="69" t="n">
        <v>277</v>
      </c>
      <c r="J112" s="70"/>
      <c r="K112" s="69" t="n">
        <v>5998933</v>
      </c>
      <c r="L112" s="71" t="n">
        <f aca="false">K112/I112</f>
        <v>21656.797833935</v>
      </c>
    </row>
    <row r="113" customFormat="false" ht="13.8" hidden="false" customHeight="false" outlineLevel="0" collapsed="false">
      <c r="A113" s="68" t="s">
        <v>120</v>
      </c>
      <c r="B113" s="68" t="n">
        <v>12</v>
      </c>
      <c r="C113" s="69" t="n">
        <v>120</v>
      </c>
      <c r="D113" s="69" t="n">
        <v>2654520</v>
      </c>
      <c r="E113" s="69" t="n">
        <v>80</v>
      </c>
      <c r="F113" s="69" t="n">
        <v>1777760</v>
      </c>
      <c r="G113" s="69" t="n">
        <v>115</v>
      </c>
      <c r="H113" s="69" t="n">
        <f aca="false">D113+F113-K113</f>
        <v>2659368</v>
      </c>
      <c r="I113" s="69" t="n">
        <v>85</v>
      </c>
      <c r="J113" s="70"/>
      <c r="K113" s="69" t="n">
        <v>1772912</v>
      </c>
      <c r="L113" s="71" t="n">
        <f aca="false">K113/I113</f>
        <v>20857.7882352941</v>
      </c>
    </row>
    <row r="114" customFormat="false" ht="13.8" hidden="false" customHeight="false" outlineLevel="0" collapsed="false">
      <c r="A114" s="68" t="s">
        <v>121</v>
      </c>
      <c r="B114" s="68" t="n">
        <v>12</v>
      </c>
      <c r="C114" s="69" t="n">
        <v>2652</v>
      </c>
      <c r="D114" s="69" t="n">
        <v>31770271</v>
      </c>
      <c r="E114" s="69" t="n">
        <v>3648</v>
      </c>
      <c r="F114" s="69" t="n">
        <v>43333200</v>
      </c>
      <c r="G114" s="69" t="n">
        <v>3192</v>
      </c>
      <c r="H114" s="69" t="n">
        <f aca="false">D114+F114-K114</f>
        <v>40126712</v>
      </c>
      <c r="I114" s="69" t="n">
        <v>3108</v>
      </c>
      <c r="J114" s="70"/>
      <c r="K114" s="69" t="n">
        <v>34976759</v>
      </c>
      <c r="L114" s="71" t="n">
        <f aca="false">K114/I114</f>
        <v>11253.7834620335</v>
      </c>
    </row>
    <row r="115" customFormat="false" ht="13.8" hidden="false" customHeight="false" outlineLevel="0" collapsed="false">
      <c r="A115" s="68" t="s">
        <v>122</v>
      </c>
      <c r="B115" s="68" t="n">
        <v>12</v>
      </c>
      <c r="C115" s="69" t="n">
        <v>4685</v>
      </c>
      <c r="D115" s="69" t="n">
        <v>40734720</v>
      </c>
      <c r="E115" s="69" t="n">
        <v>2400</v>
      </c>
      <c r="F115" s="69" t="n">
        <v>20889600</v>
      </c>
      <c r="G115" s="69" t="n">
        <v>6911</v>
      </c>
      <c r="H115" s="69" t="n">
        <f aca="false">D115+F115-K115</f>
        <v>60206569</v>
      </c>
      <c r="I115" s="69" t="n">
        <v>174</v>
      </c>
      <c r="J115" s="70"/>
      <c r="K115" s="69" t="n">
        <v>1417751</v>
      </c>
      <c r="L115" s="71" t="n">
        <f aca="false">K115/I115</f>
        <v>8147.99425287356</v>
      </c>
    </row>
    <row r="116" customFormat="false" ht="13.8" hidden="false" customHeight="false" outlineLevel="0" collapsed="false">
      <c r="A116" s="68" t="s">
        <v>123</v>
      </c>
      <c r="B116" s="68" t="n">
        <v>12</v>
      </c>
      <c r="C116" s="69" t="n">
        <v>216</v>
      </c>
      <c r="D116" s="69" t="n">
        <v>3755160</v>
      </c>
      <c r="E116" s="69" t="n">
        <v>36</v>
      </c>
      <c r="F116" s="69" t="n">
        <v>666684</v>
      </c>
      <c r="G116" s="69" t="n">
        <v>120</v>
      </c>
      <c r="H116" s="69" t="n">
        <f aca="false">D116+F116-K116</f>
        <v>2105640</v>
      </c>
      <c r="I116" s="69" t="n">
        <v>132</v>
      </c>
      <c r="J116" s="70"/>
      <c r="K116" s="69" t="n">
        <v>2316204</v>
      </c>
      <c r="L116" s="71" t="n">
        <f aca="false">K116/I116</f>
        <v>17547</v>
      </c>
    </row>
    <row r="117" customFormat="false" ht="13.8" hidden="false" customHeight="false" outlineLevel="0" collapsed="false">
      <c r="A117" s="68" t="s">
        <v>124</v>
      </c>
      <c r="B117" s="68" t="n">
        <v>12</v>
      </c>
      <c r="C117" s="69" t="n">
        <v>72</v>
      </c>
      <c r="D117" s="69" t="n">
        <v>1333368</v>
      </c>
      <c r="E117" s="69" t="n">
        <v>36</v>
      </c>
      <c r="F117" s="69" t="n">
        <v>666684</v>
      </c>
      <c r="G117" s="69" t="n">
        <v>100</v>
      </c>
      <c r="H117" s="69" t="n">
        <f aca="false">D117+F117-K117</f>
        <v>1851900</v>
      </c>
      <c r="I117" s="69" t="n">
        <v>8</v>
      </c>
      <c r="J117" s="70"/>
      <c r="K117" s="69" t="n">
        <v>148152</v>
      </c>
      <c r="L117" s="71" t="n">
        <f aca="false">K117/I117</f>
        <v>18519</v>
      </c>
    </row>
    <row r="118" customFormat="false" ht="13.8" hidden="false" customHeight="false" outlineLevel="0" collapsed="false">
      <c r="A118" s="68" t="s">
        <v>125</v>
      </c>
      <c r="B118" s="68" t="n">
        <v>12</v>
      </c>
      <c r="C118" s="69" t="n">
        <v>944</v>
      </c>
      <c r="D118" s="69" t="n">
        <v>42152428</v>
      </c>
      <c r="E118" s="69" t="n">
        <v>840</v>
      </c>
      <c r="F118" s="69" t="n">
        <v>37721880</v>
      </c>
      <c r="G118" s="69" t="n">
        <v>1097</v>
      </c>
      <c r="H118" s="69" t="n">
        <f aca="false">D118+F118-K118</f>
        <v>51040757</v>
      </c>
      <c r="I118" s="69" t="n">
        <v>687</v>
      </c>
      <c r="J118" s="70"/>
      <c r="K118" s="69" t="n">
        <v>28833551</v>
      </c>
      <c r="L118" s="71" t="n">
        <f aca="false">K118/I118</f>
        <v>41970.2343522562</v>
      </c>
    </row>
    <row r="119" customFormat="false" ht="13.8" hidden="false" customHeight="false" outlineLevel="0" collapsed="false">
      <c r="A119" s="68" t="s">
        <v>126</v>
      </c>
      <c r="B119" s="68" t="n">
        <v>12</v>
      </c>
      <c r="C119" s="69" t="n">
        <v>33073</v>
      </c>
      <c r="D119" s="69" t="n">
        <v>182697004</v>
      </c>
      <c r="E119" s="69" t="n">
        <v>44511</v>
      </c>
      <c r="F119" s="69" t="n">
        <v>248485800</v>
      </c>
      <c r="G119" s="69" t="n">
        <v>45992</v>
      </c>
      <c r="H119" s="69" t="n">
        <f aca="false">D119+F119-K119</f>
        <v>258882160</v>
      </c>
      <c r="I119" s="69" t="n">
        <v>31592</v>
      </c>
      <c r="J119" s="70"/>
      <c r="K119" s="69" t="n">
        <v>172300644</v>
      </c>
      <c r="L119" s="71" t="n">
        <f aca="false">K119/I119</f>
        <v>5453.93276778931</v>
      </c>
    </row>
    <row r="120" customFormat="false" ht="13.8" hidden="false" customHeight="false" outlineLevel="0" collapsed="false">
      <c r="A120" s="68" t="s">
        <v>127</v>
      </c>
      <c r="B120" s="68" t="n">
        <v>12</v>
      </c>
      <c r="C120" s="69" t="n">
        <v>6123</v>
      </c>
      <c r="D120" s="69" t="n">
        <v>34229824</v>
      </c>
      <c r="E120" s="69" t="n">
        <v>2760</v>
      </c>
      <c r="F120" s="69" t="n">
        <v>16099080</v>
      </c>
      <c r="G120" s="69" t="n">
        <v>6324</v>
      </c>
      <c r="H120" s="69" t="n">
        <f aca="false">D120+F120-K120</f>
        <v>36374149</v>
      </c>
      <c r="I120" s="69" t="n">
        <v>2559</v>
      </c>
      <c r="J120" s="70"/>
      <c r="K120" s="69" t="n">
        <v>13954755</v>
      </c>
      <c r="L120" s="71" t="n">
        <f aca="false">K120/I120</f>
        <v>5453.20633059789</v>
      </c>
    </row>
    <row r="121" customFormat="false" ht="13.8" hidden="false" customHeight="false" outlineLevel="0" collapsed="false">
      <c r="A121" s="68" t="s">
        <v>128</v>
      </c>
      <c r="B121" s="68" t="n">
        <v>12</v>
      </c>
      <c r="C121" s="69" t="n">
        <v>374</v>
      </c>
      <c r="D121" s="69" t="n">
        <v>5702198</v>
      </c>
      <c r="E121" s="69" t="n">
        <v>200</v>
      </c>
      <c r="F121" s="69" t="n">
        <v>3055600</v>
      </c>
      <c r="G121" s="69" t="n">
        <v>89</v>
      </c>
      <c r="H121" s="69" t="n">
        <f aca="false">D121+F121-K121</f>
        <v>1830899</v>
      </c>
      <c r="I121" s="69" t="n">
        <v>485</v>
      </c>
      <c r="J121" s="70"/>
      <c r="K121" s="69" t="n">
        <v>6926899</v>
      </c>
      <c r="L121" s="71" t="n">
        <f aca="false">K121/I121</f>
        <v>14282.2659793814</v>
      </c>
    </row>
    <row r="122" customFormat="false" ht="13.8" hidden="false" customHeight="false" outlineLevel="0" collapsed="false">
      <c r="A122" s="68" t="s">
        <v>129</v>
      </c>
      <c r="B122" s="68" t="n">
        <v>12</v>
      </c>
      <c r="C122" s="69" t="n">
        <v>20</v>
      </c>
      <c r="D122" s="69" t="n">
        <v>685180</v>
      </c>
      <c r="E122" s="69" t="n">
        <v>0</v>
      </c>
      <c r="F122" s="69" t="n">
        <v>0</v>
      </c>
      <c r="G122" s="69" t="n">
        <v>5</v>
      </c>
      <c r="H122" s="69" t="n">
        <f aca="false">D122+F122-K122</f>
        <v>171295</v>
      </c>
      <c r="I122" s="69" t="n">
        <v>15</v>
      </c>
      <c r="J122" s="70"/>
      <c r="K122" s="69" t="n">
        <v>513885</v>
      </c>
      <c r="L122" s="71" t="n">
        <f aca="false">K122/I122</f>
        <v>34259</v>
      </c>
    </row>
    <row r="123" customFormat="false" ht="13.8" hidden="false" customHeight="false" outlineLevel="0" collapsed="false">
      <c r="A123" s="68" t="s">
        <v>130</v>
      </c>
      <c r="B123" s="68" t="n">
        <v>12</v>
      </c>
      <c r="C123" s="69" t="n">
        <v>85</v>
      </c>
      <c r="D123" s="69" t="n">
        <v>4046541</v>
      </c>
      <c r="E123" s="69" t="n">
        <v>41</v>
      </c>
      <c r="F123" s="69" t="n">
        <v>1955085</v>
      </c>
      <c r="G123" s="69" t="n">
        <v>33</v>
      </c>
      <c r="H123" s="69" t="n">
        <f aca="false">D123+F123-K123</f>
        <v>1905278</v>
      </c>
      <c r="I123" s="69" t="n">
        <v>93</v>
      </c>
      <c r="J123" s="70"/>
      <c r="K123" s="69" t="n">
        <v>4096348</v>
      </c>
      <c r="L123" s="71" t="n">
        <f aca="false">K123/I123</f>
        <v>44046.752688172</v>
      </c>
    </row>
    <row r="124" customFormat="false" ht="13.8" hidden="false" customHeight="false" outlineLevel="0" collapsed="false">
      <c r="A124" s="68" t="s">
        <v>131</v>
      </c>
      <c r="B124" s="68" t="n">
        <v>12</v>
      </c>
      <c r="C124" s="69" t="n">
        <v>70</v>
      </c>
      <c r="D124" s="69" t="n">
        <v>3488402</v>
      </c>
      <c r="E124" s="69" t="n">
        <v>16</v>
      </c>
      <c r="F124" s="69" t="n">
        <v>800000</v>
      </c>
      <c r="G124" s="69" t="n">
        <v>47</v>
      </c>
      <c r="H124" s="69" t="n">
        <f aca="false">D124+F124-K124</f>
        <v>2493257</v>
      </c>
      <c r="I124" s="69" t="n">
        <v>39</v>
      </c>
      <c r="J124" s="70"/>
      <c r="K124" s="69" t="n">
        <v>1795145</v>
      </c>
      <c r="L124" s="71" t="n">
        <f aca="false">K124/I124</f>
        <v>46029.358974359</v>
      </c>
    </row>
    <row r="125" customFormat="false" ht="13.8" hidden="false" customHeight="false" outlineLevel="0" collapsed="false">
      <c r="A125" s="68" t="s">
        <v>132</v>
      </c>
      <c r="B125" s="68" t="n">
        <v>12</v>
      </c>
      <c r="C125" s="69" t="n">
        <v>98</v>
      </c>
      <c r="D125" s="69" t="n">
        <v>4356568</v>
      </c>
      <c r="E125" s="69" t="n">
        <v>255</v>
      </c>
      <c r="F125" s="69" t="n">
        <v>11333220</v>
      </c>
      <c r="G125" s="69" t="n">
        <v>296</v>
      </c>
      <c r="H125" s="69" t="n">
        <f aca="false">D125+F125-K125</f>
        <v>13333180</v>
      </c>
      <c r="I125" s="69" t="n">
        <v>57</v>
      </c>
      <c r="J125" s="70"/>
      <c r="K125" s="69" t="n">
        <v>2356608</v>
      </c>
      <c r="L125" s="71" t="n">
        <f aca="false">K125/I125</f>
        <v>41344</v>
      </c>
    </row>
    <row r="126" customFormat="false" ht="13.8" hidden="false" customHeight="false" outlineLevel="0" collapsed="false">
      <c r="A126" s="68" t="s">
        <v>133</v>
      </c>
      <c r="B126" s="68" t="n">
        <v>12</v>
      </c>
      <c r="C126" s="69" t="n">
        <v>119</v>
      </c>
      <c r="D126" s="69" t="n">
        <v>4585298</v>
      </c>
      <c r="E126" s="69" t="n">
        <v>66</v>
      </c>
      <c r="F126" s="69" t="n">
        <v>2609254</v>
      </c>
      <c r="G126" s="69" t="n">
        <v>146</v>
      </c>
      <c r="H126" s="69" t="n">
        <f aca="false">D126+F126-K126</f>
        <v>5833421</v>
      </c>
      <c r="I126" s="69" t="n">
        <v>39</v>
      </c>
      <c r="J126" s="70"/>
      <c r="K126" s="69" t="n">
        <v>1361131</v>
      </c>
      <c r="L126" s="71" t="n">
        <f aca="false">K126/I126</f>
        <v>34900.7948717949</v>
      </c>
    </row>
    <row r="127" customFormat="false" ht="13.8" hidden="false" customHeight="false" outlineLevel="0" collapsed="false">
      <c r="A127" s="68" t="s">
        <v>134</v>
      </c>
      <c r="B127" s="68" t="n">
        <v>12</v>
      </c>
      <c r="C127" s="69" t="n">
        <v>15</v>
      </c>
      <c r="D127" s="69" t="n">
        <v>431794</v>
      </c>
      <c r="E127" s="69" t="n">
        <v>0</v>
      </c>
      <c r="F127" s="69" t="n">
        <v>0</v>
      </c>
      <c r="G127" s="69" t="n">
        <v>0</v>
      </c>
      <c r="H127" s="69" t="n">
        <f aca="false">D127+F127-K127</f>
        <v>0</v>
      </c>
      <c r="I127" s="69" t="n">
        <v>15</v>
      </c>
      <c r="J127" s="70"/>
      <c r="K127" s="69" t="n">
        <v>431794</v>
      </c>
      <c r="L127" s="71" t="n">
        <f aca="false">K127/I127</f>
        <v>28786.2666666667</v>
      </c>
    </row>
    <row r="128" customFormat="false" ht="13.8" hidden="false" customHeight="false" outlineLevel="0" collapsed="false">
      <c r="A128" s="68" t="s">
        <v>135</v>
      </c>
      <c r="B128" s="68" t="n">
        <v>12</v>
      </c>
      <c r="C128" s="69" t="n">
        <v>155</v>
      </c>
      <c r="D128" s="69" t="n">
        <v>28475986</v>
      </c>
      <c r="E128" s="69" t="n">
        <v>770</v>
      </c>
      <c r="F128" s="69" t="n">
        <v>137740260</v>
      </c>
      <c r="G128" s="69" t="n">
        <v>15</v>
      </c>
      <c r="H128" s="69" t="n">
        <f aca="false">D128+F128-K128</f>
        <v>2695399</v>
      </c>
      <c r="I128" s="69" t="n">
        <v>910</v>
      </c>
      <c r="J128" s="70"/>
      <c r="K128" s="69" t="n">
        <v>163520847</v>
      </c>
      <c r="L128" s="71" t="n">
        <f aca="false">K128/I128</f>
        <v>179693.238461538</v>
      </c>
    </row>
    <row r="129" customFormat="false" ht="13.8" hidden="false" customHeight="false" outlineLevel="0" collapsed="false">
      <c r="A129" s="68" t="s">
        <v>136</v>
      </c>
      <c r="B129" s="68" t="n">
        <v>12</v>
      </c>
      <c r="C129" s="69" t="n">
        <v>4853</v>
      </c>
      <c r="D129" s="69" t="n">
        <v>73565457</v>
      </c>
      <c r="E129" s="69" t="n">
        <v>5768</v>
      </c>
      <c r="F129" s="69" t="n">
        <v>86167920</v>
      </c>
      <c r="G129" s="69" t="n">
        <v>5227</v>
      </c>
      <c r="H129" s="69" t="n">
        <f aca="false">D129+F129-K129</f>
        <v>82686574</v>
      </c>
      <c r="I129" s="69" t="n">
        <v>5394</v>
      </c>
      <c r="J129" s="70"/>
      <c r="K129" s="69" t="n">
        <v>77046803</v>
      </c>
      <c r="L129" s="71" t="n">
        <f aca="false">K129/I129</f>
        <v>14283.7973674453</v>
      </c>
    </row>
    <row r="130" customFormat="false" ht="13.8" hidden="false" customHeight="false" outlineLevel="0" collapsed="false">
      <c r="A130" s="68" t="s">
        <v>137</v>
      </c>
      <c r="B130" s="68" t="n">
        <v>12</v>
      </c>
      <c r="C130" s="69" t="n">
        <v>144</v>
      </c>
      <c r="D130" s="69" t="n">
        <v>22621104</v>
      </c>
      <c r="E130" s="69" t="n">
        <v>0</v>
      </c>
      <c r="F130" s="69" t="n">
        <v>0</v>
      </c>
      <c r="G130" s="69" t="n">
        <v>0</v>
      </c>
      <c r="H130" s="69" t="n">
        <f aca="false">D130+F130-K130</f>
        <v>0</v>
      </c>
      <c r="I130" s="69" t="n">
        <v>144</v>
      </c>
      <c r="J130" s="70"/>
      <c r="K130" s="69" t="n">
        <v>22621104</v>
      </c>
      <c r="L130" s="71" t="n">
        <f aca="false">K130/I130</f>
        <v>157091</v>
      </c>
    </row>
    <row r="131" customFormat="false" ht="13.8" hidden="false" customHeight="false" outlineLevel="0" collapsed="false">
      <c r="A131" s="68" t="s">
        <v>138</v>
      </c>
      <c r="B131" s="68" t="n">
        <v>12</v>
      </c>
      <c r="C131" s="69" t="n">
        <v>149</v>
      </c>
      <c r="D131" s="69" t="n">
        <v>22621104</v>
      </c>
      <c r="E131" s="69" t="n">
        <v>0</v>
      </c>
      <c r="F131" s="69" t="n">
        <v>0</v>
      </c>
      <c r="G131" s="69" t="n">
        <v>0</v>
      </c>
      <c r="H131" s="69" t="n">
        <f aca="false">D131+F131-K131</f>
        <v>0</v>
      </c>
      <c r="I131" s="69" t="n">
        <v>149</v>
      </c>
      <c r="J131" s="70"/>
      <c r="K131" s="69" t="n">
        <v>22621104</v>
      </c>
      <c r="L131" s="71" t="n">
        <f aca="false">K131/I131</f>
        <v>151819.489932886</v>
      </c>
    </row>
    <row r="132" customFormat="false" ht="13.8" hidden="false" customHeight="false" outlineLevel="0" collapsed="false">
      <c r="A132" s="68" t="s">
        <v>139</v>
      </c>
      <c r="B132" s="68" t="n">
        <v>12</v>
      </c>
      <c r="C132" s="69" t="n">
        <v>188</v>
      </c>
      <c r="D132" s="69" t="n">
        <v>34137846</v>
      </c>
      <c r="E132" s="69" t="n">
        <v>0</v>
      </c>
      <c r="F132" s="69" t="n">
        <v>0</v>
      </c>
      <c r="G132" s="69" t="n">
        <v>0</v>
      </c>
      <c r="H132" s="69" t="n">
        <f aca="false">D132+F132-K132</f>
        <v>0</v>
      </c>
      <c r="I132" s="69" t="n">
        <v>188</v>
      </c>
      <c r="J132" s="70"/>
      <c r="K132" s="69" t="n">
        <v>34137846</v>
      </c>
      <c r="L132" s="71" t="n">
        <f aca="false">K132/I132</f>
        <v>181584.287234043</v>
      </c>
    </row>
    <row r="133" customFormat="false" ht="13.8" hidden="false" customHeight="false" outlineLevel="0" collapsed="false">
      <c r="A133" s="68" t="s">
        <v>140</v>
      </c>
      <c r="B133" s="68" t="n">
        <v>12</v>
      </c>
      <c r="C133" s="69" t="n">
        <v>1326</v>
      </c>
      <c r="D133" s="69" t="n">
        <v>245672490</v>
      </c>
      <c r="E133" s="69" t="n">
        <v>1500</v>
      </c>
      <c r="F133" s="69" t="n">
        <v>279622500</v>
      </c>
      <c r="G133" s="69" t="n">
        <v>1498</v>
      </c>
      <c r="H133" s="69" t="n">
        <f aca="false">D133+F133-K133</f>
        <v>278447238</v>
      </c>
      <c r="I133" s="69" t="n">
        <v>1328</v>
      </c>
      <c r="J133" s="70"/>
      <c r="K133" s="69" t="n">
        <v>246847752</v>
      </c>
      <c r="L133" s="71" t="n">
        <f aca="false">K133/I133</f>
        <v>185879.331325301</v>
      </c>
    </row>
    <row r="134" customFormat="false" ht="13.8" hidden="false" customHeight="false" outlineLevel="0" collapsed="false">
      <c r="A134" s="68" t="s">
        <v>141</v>
      </c>
      <c r="B134" s="68" t="n">
        <v>12</v>
      </c>
      <c r="C134" s="69" t="n">
        <v>2712</v>
      </c>
      <c r="D134" s="69" t="n">
        <v>404819278</v>
      </c>
      <c r="E134" s="69" t="n">
        <v>2350</v>
      </c>
      <c r="F134" s="69" t="n">
        <v>438075250</v>
      </c>
      <c r="G134" s="69" t="n">
        <v>3044</v>
      </c>
      <c r="H134" s="69" t="n">
        <f aca="false">D134+F134-K134</f>
        <v>466755000</v>
      </c>
      <c r="I134" s="69" t="n">
        <v>2018</v>
      </c>
      <c r="J134" s="70"/>
      <c r="K134" s="69" t="n">
        <v>376139528</v>
      </c>
      <c r="L134" s="71" t="n">
        <f aca="false">K134/I134</f>
        <v>186392.233894946</v>
      </c>
    </row>
    <row r="135" customFormat="false" ht="13.8" hidden="false" customHeight="false" outlineLevel="0" collapsed="false">
      <c r="A135" s="68" t="s">
        <v>142</v>
      </c>
      <c r="B135" s="68" t="n">
        <v>12</v>
      </c>
      <c r="C135" s="69" t="n">
        <v>1150</v>
      </c>
      <c r="D135" s="69" t="n">
        <v>211217050</v>
      </c>
      <c r="E135" s="69" t="n">
        <v>0</v>
      </c>
      <c r="F135" s="69" t="n">
        <v>0</v>
      </c>
      <c r="G135" s="69" t="n">
        <v>0</v>
      </c>
      <c r="H135" s="69" t="n">
        <f aca="false">D135+F135-K135</f>
        <v>0</v>
      </c>
      <c r="I135" s="69" t="n">
        <v>1150</v>
      </c>
      <c r="J135" s="70"/>
      <c r="K135" s="69" t="n">
        <v>211217050</v>
      </c>
      <c r="L135" s="71" t="n">
        <f aca="false">K135/I135</f>
        <v>183667</v>
      </c>
    </row>
    <row r="136" customFormat="false" ht="13.8" hidden="false" customHeight="false" outlineLevel="0" collapsed="false">
      <c r="A136" s="68" t="s">
        <v>143</v>
      </c>
      <c r="B136" s="68" t="n">
        <v>12</v>
      </c>
      <c r="C136" s="69" t="n">
        <v>0</v>
      </c>
      <c r="D136" s="69" t="n">
        <v>0</v>
      </c>
      <c r="E136" s="69" t="n">
        <v>0</v>
      </c>
      <c r="F136" s="69" t="n">
        <v>0</v>
      </c>
      <c r="G136" s="69" t="n">
        <v>0</v>
      </c>
      <c r="H136" s="69" t="n">
        <f aca="false">D136+F136-K136</f>
        <v>0</v>
      </c>
      <c r="I136" s="69" t="n">
        <v>0</v>
      </c>
      <c r="J136" s="70"/>
      <c r="K136" s="69" t="n">
        <v>0</v>
      </c>
      <c r="L136" s="71"/>
    </row>
    <row r="137" customFormat="false" ht="13.8" hidden="false" customHeight="false" outlineLevel="0" collapsed="false">
      <c r="A137" s="68" t="s">
        <v>144</v>
      </c>
      <c r="B137" s="68" t="n">
        <v>12</v>
      </c>
      <c r="C137" s="69" t="n">
        <v>898</v>
      </c>
      <c r="D137" s="69" t="n">
        <v>164227145</v>
      </c>
      <c r="E137" s="69" t="n">
        <v>455</v>
      </c>
      <c r="F137" s="69" t="n">
        <v>83865600</v>
      </c>
      <c r="G137" s="69" t="n">
        <v>770</v>
      </c>
      <c r="H137" s="69" t="n">
        <f aca="false">D137+F137-K137</f>
        <v>141190993</v>
      </c>
      <c r="I137" s="69" t="n">
        <v>583</v>
      </c>
      <c r="J137" s="70"/>
      <c r="K137" s="69" t="n">
        <v>106901752</v>
      </c>
      <c r="L137" s="71" t="n">
        <f aca="false">K137/I137</f>
        <v>183364.926243568</v>
      </c>
    </row>
    <row r="138" customFormat="false" ht="13.8" hidden="false" customHeight="false" outlineLevel="0" collapsed="false">
      <c r="A138" s="68" t="s">
        <v>145</v>
      </c>
      <c r="B138" s="68" t="n">
        <v>12</v>
      </c>
      <c r="C138" s="69" t="n">
        <v>13</v>
      </c>
      <c r="D138" s="69" t="n">
        <v>2323520</v>
      </c>
      <c r="E138" s="69" t="n">
        <v>67</v>
      </c>
      <c r="F138" s="69" t="n">
        <v>11975065</v>
      </c>
      <c r="G138" s="69" t="n">
        <v>80</v>
      </c>
      <c r="H138" s="69" t="n">
        <f aca="false">D138+F138-K138</f>
        <v>14298585</v>
      </c>
      <c r="I138" s="69" t="n">
        <v>0</v>
      </c>
      <c r="J138" s="70"/>
      <c r="K138" s="69" t="n">
        <v>0</v>
      </c>
      <c r="L138" s="71"/>
    </row>
    <row r="139" customFormat="false" ht="13.8" hidden="false" customHeight="false" outlineLevel="0" collapsed="false">
      <c r="A139" s="68" t="s">
        <v>146</v>
      </c>
      <c r="B139" s="68" t="n">
        <v>12</v>
      </c>
      <c r="C139" s="69" t="n">
        <v>427</v>
      </c>
      <c r="D139" s="69" t="n">
        <v>83128984</v>
      </c>
      <c r="E139" s="69" t="n">
        <v>690</v>
      </c>
      <c r="F139" s="69" t="n">
        <v>132239190</v>
      </c>
      <c r="G139" s="69" t="n">
        <v>991</v>
      </c>
      <c r="H139" s="69" t="n">
        <f aca="false">D139+F139-K139</f>
        <v>191147067</v>
      </c>
      <c r="I139" s="69" t="n">
        <v>126</v>
      </c>
      <c r="J139" s="70"/>
      <c r="K139" s="69" t="n">
        <v>24221107</v>
      </c>
      <c r="L139" s="71" t="n">
        <f aca="false">K139/I139</f>
        <v>192231.007936508</v>
      </c>
    </row>
    <row r="140" customFormat="false" ht="13.8" hidden="false" customHeight="false" outlineLevel="0" collapsed="false">
      <c r="A140" s="68" t="s">
        <v>147</v>
      </c>
      <c r="B140" s="68" t="n">
        <v>12</v>
      </c>
      <c r="C140" s="69" t="n">
        <v>888</v>
      </c>
      <c r="D140" s="69" t="n">
        <v>82354219</v>
      </c>
      <c r="E140" s="69" t="n">
        <v>7974</v>
      </c>
      <c r="F140" s="69" t="n">
        <v>36748469.6449073</v>
      </c>
      <c r="G140" s="69" t="n">
        <v>988</v>
      </c>
      <c r="H140" s="69" t="n">
        <f aca="false">D140+F140-K140</f>
        <v>82815072.6449073</v>
      </c>
      <c r="I140" s="69" t="n">
        <v>7874</v>
      </c>
      <c r="J140" s="70"/>
      <c r="K140" s="69" t="n">
        <v>36287616</v>
      </c>
      <c r="L140" s="71" t="n">
        <f aca="false">K140/I140</f>
        <v>4608.5364490729</v>
      </c>
    </row>
    <row r="141" customFormat="false" ht="13.8" hidden="false" customHeight="false" outlineLevel="0" collapsed="false">
      <c r="A141" s="68" t="s">
        <v>148</v>
      </c>
      <c r="B141" s="68" t="n">
        <v>12</v>
      </c>
      <c r="C141" s="69" t="n">
        <v>0</v>
      </c>
      <c r="D141" s="69" t="n">
        <v>190478.489557226</v>
      </c>
      <c r="E141" s="69"/>
      <c r="F141" s="69" t="n">
        <v>7004.26142104035</v>
      </c>
      <c r="G141" s="69" t="n">
        <v>0</v>
      </c>
      <c r="H141" s="69" t="n">
        <f aca="false">D141+F141-K141</f>
        <v>197482.750978267</v>
      </c>
      <c r="I141" s="69" t="n">
        <v>0</v>
      </c>
      <c r="J141" s="70"/>
      <c r="K141" s="69" t="n">
        <v>0</v>
      </c>
      <c r="L141" s="71"/>
    </row>
    <row r="142" customFormat="false" ht="13.8" hidden="false" customHeight="false" outlineLevel="0" collapsed="false">
      <c r="A142" s="68" t="s">
        <v>149</v>
      </c>
      <c r="B142" s="68" t="n">
        <v>12</v>
      </c>
      <c r="C142" s="69" t="n">
        <v>1197</v>
      </c>
      <c r="D142" s="69" t="n">
        <v>228002752</v>
      </c>
      <c r="E142" s="69" t="n">
        <v>13544.2181976568</v>
      </c>
      <c r="F142" s="69" t="n">
        <v>94867245</v>
      </c>
      <c r="G142" s="69" t="n">
        <v>0.218197656777193</v>
      </c>
      <c r="H142" s="69" t="n">
        <f aca="false">D142+F142-K142</f>
        <v>87014609</v>
      </c>
      <c r="I142" s="69" t="n">
        <v>14741</v>
      </c>
      <c r="J142" s="70"/>
      <c r="K142" s="69" t="n">
        <v>235855388</v>
      </c>
      <c r="L142" s="71" t="n">
        <f aca="false">K142/I142</f>
        <v>15999.9584831423</v>
      </c>
    </row>
    <row r="143" customFormat="false" ht="13.8" hidden="false" customHeight="false" outlineLevel="0" collapsed="false">
      <c r="A143" s="68" t="s">
        <v>150</v>
      </c>
      <c r="B143" s="68" t="n">
        <v>12</v>
      </c>
      <c r="C143" s="69" t="n">
        <v>0</v>
      </c>
      <c r="D143" s="69" t="n">
        <v>0</v>
      </c>
      <c r="E143" s="69" t="n">
        <v>0</v>
      </c>
      <c r="F143" s="69" t="n">
        <v>0</v>
      </c>
      <c r="G143" s="69" t="n">
        <v>0</v>
      </c>
      <c r="H143" s="69" t="n">
        <f aca="false">D143+F143-K143</f>
        <v>0</v>
      </c>
      <c r="I143" s="69" t="n">
        <v>0</v>
      </c>
      <c r="J143" s="70"/>
      <c r="K143" s="69" t="n">
        <v>0</v>
      </c>
      <c r="L143" s="71"/>
    </row>
    <row r="144" customFormat="false" ht="13.8" hidden="false" customHeight="false" outlineLevel="0" collapsed="false">
      <c r="A144" s="68" t="s">
        <v>151</v>
      </c>
      <c r="B144" s="68" t="n">
        <v>12</v>
      </c>
      <c r="C144" s="69" t="n">
        <v>319</v>
      </c>
      <c r="D144" s="69" t="n">
        <v>60576489</v>
      </c>
      <c r="E144" s="69" t="n">
        <v>0</v>
      </c>
      <c r="F144" s="69" t="n">
        <v>0</v>
      </c>
      <c r="G144" s="69" t="n">
        <v>0</v>
      </c>
      <c r="H144" s="69" t="n">
        <f aca="false">D144+F144-K144</f>
        <v>0</v>
      </c>
      <c r="I144" s="69" t="n">
        <v>319</v>
      </c>
      <c r="J144" s="70"/>
      <c r="K144" s="69" t="n">
        <v>60576489</v>
      </c>
      <c r="L144" s="71" t="n">
        <f aca="false">K144/I144</f>
        <v>189894.94984326</v>
      </c>
    </row>
    <row r="145" customFormat="false" ht="13.8" hidden="false" customHeight="false" outlineLevel="0" collapsed="false">
      <c r="A145" s="68" t="s">
        <v>152</v>
      </c>
      <c r="B145" s="68" t="n">
        <v>12</v>
      </c>
      <c r="C145" s="69" t="n">
        <v>0</v>
      </c>
      <c r="D145" s="69" t="n">
        <v>0</v>
      </c>
      <c r="E145" s="69" t="n">
        <v>0</v>
      </c>
      <c r="F145" s="69" t="n">
        <v>0</v>
      </c>
      <c r="G145" s="69" t="n">
        <v>0</v>
      </c>
      <c r="H145" s="69" t="n">
        <f aca="false">D145+F145-K145</f>
        <v>0</v>
      </c>
      <c r="I145" s="69" t="n">
        <v>0</v>
      </c>
      <c r="J145" s="70"/>
      <c r="K145" s="69" t="n">
        <v>0</v>
      </c>
      <c r="L145" s="71"/>
    </row>
    <row r="146" customFormat="false" ht="13.8" hidden="false" customHeight="false" outlineLevel="0" collapsed="false">
      <c r="A146" s="68" t="s">
        <v>153</v>
      </c>
      <c r="B146" s="68" t="n">
        <v>12</v>
      </c>
      <c r="C146" s="69" t="n">
        <v>0</v>
      </c>
      <c r="D146" s="69" t="n">
        <v>0</v>
      </c>
      <c r="E146" s="69" t="n">
        <v>0</v>
      </c>
      <c r="F146" s="69" t="n">
        <v>0</v>
      </c>
      <c r="G146" s="69" t="n">
        <v>0</v>
      </c>
      <c r="H146" s="69" t="n">
        <f aca="false">D146+F146-K146</f>
        <v>0</v>
      </c>
      <c r="I146" s="69" t="n">
        <v>0</v>
      </c>
      <c r="J146" s="70"/>
      <c r="K146" s="69" t="n">
        <v>0</v>
      </c>
      <c r="L146" s="71"/>
    </row>
    <row r="147" customFormat="false" ht="13.8" hidden="false" customHeight="false" outlineLevel="0" collapsed="false">
      <c r="A147" s="68" t="s">
        <v>154</v>
      </c>
      <c r="B147" s="68" t="n">
        <v>12</v>
      </c>
      <c r="C147" s="69" t="n">
        <v>50</v>
      </c>
      <c r="D147" s="69" t="n">
        <v>11656130</v>
      </c>
      <c r="E147" s="69" t="n">
        <v>45</v>
      </c>
      <c r="F147" s="69" t="n">
        <v>10556505</v>
      </c>
      <c r="G147" s="69" t="n">
        <v>25</v>
      </c>
      <c r="H147" s="69" t="n">
        <f aca="false">D147+F147-K147</f>
        <v>5845430</v>
      </c>
      <c r="I147" s="69" t="n">
        <v>70</v>
      </c>
      <c r="J147" s="70"/>
      <c r="K147" s="69" t="n">
        <v>16367205</v>
      </c>
      <c r="L147" s="71" t="n">
        <f aca="false">K147/I147</f>
        <v>233817.214285714</v>
      </c>
    </row>
    <row r="148" customFormat="false" ht="13.8" hidden="false" customHeight="false" outlineLevel="0" collapsed="false">
      <c r="A148" s="68" t="s">
        <v>155</v>
      </c>
      <c r="B148" s="68" t="n">
        <v>12</v>
      </c>
      <c r="C148" s="69" t="n">
        <v>0</v>
      </c>
      <c r="D148" s="69" t="n">
        <v>0</v>
      </c>
      <c r="E148" s="69" t="n">
        <v>24</v>
      </c>
      <c r="F148" s="69" t="n">
        <v>6959131</v>
      </c>
      <c r="G148" s="69" t="n">
        <v>24</v>
      </c>
      <c r="H148" s="69" t="n">
        <f aca="false">D148+F148-K148</f>
        <v>6959131</v>
      </c>
      <c r="I148" s="69" t="n">
        <v>0</v>
      </c>
      <c r="J148" s="70"/>
      <c r="K148" s="69" t="n">
        <v>0</v>
      </c>
      <c r="L148" s="71"/>
    </row>
    <row r="149" customFormat="false" ht="13.8" hidden="false" customHeight="false" outlineLevel="0" collapsed="false">
      <c r="A149" s="68" t="s">
        <v>156</v>
      </c>
      <c r="B149" s="68" t="n">
        <v>12</v>
      </c>
      <c r="C149" s="69" t="n">
        <v>265</v>
      </c>
      <c r="D149" s="69" t="n">
        <v>51536190</v>
      </c>
      <c r="E149" s="69" t="n">
        <v>20</v>
      </c>
      <c r="F149" s="69" t="n">
        <v>4691780</v>
      </c>
      <c r="G149" s="69" t="n">
        <v>170</v>
      </c>
      <c r="H149" s="69" t="n">
        <f aca="false">D149+F149-K149</f>
        <v>29199086</v>
      </c>
      <c r="I149" s="69" t="n">
        <v>115</v>
      </c>
      <c r="J149" s="70"/>
      <c r="K149" s="69" t="n">
        <v>27028884</v>
      </c>
      <c r="L149" s="71" t="n">
        <f aca="false">K149/I149</f>
        <v>235033.773913043</v>
      </c>
    </row>
    <row r="150" customFormat="false" ht="13.8" hidden="false" customHeight="false" outlineLevel="0" collapsed="false">
      <c r="A150" s="68" t="s">
        <v>157</v>
      </c>
      <c r="B150" s="68" t="n">
        <v>12</v>
      </c>
      <c r="C150" s="69" t="n">
        <v>100</v>
      </c>
      <c r="D150" s="69" t="n">
        <v>23336700</v>
      </c>
      <c r="E150" s="69" t="n">
        <v>45</v>
      </c>
      <c r="F150" s="69" t="n">
        <v>10556505</v>
      </c>
      <c r="G150" s="69" t="n">
        <v>45</v>
      </c>
      <c r="H150" s="69" t="n">
        <f aca="false">D150+F150-K150</f>
        <v>10518581</v>
      </c>
      <c r="I150" s="69" t="n">
        <v>100</v>
      </c>
      <c r="J150" s="70"/>
      <c r="K150" s="69" t="n">
        <v>23374624</v>
      </c>
      <c r="L150" s="71" t="n">
        <f aca="false">K150/I150</f>
        <v>233746.24</v>
      </c>
    </row>
    <row r="151" customFormat="false" ht="13.8" hidden="false" customHeight="false" outlineLevel="0" collapsed="false">
      <c r="A151" s="68" t="s">
        <v>158</v>
      </c>
      <c r="B151" s="68" t="n">
        <v>12</v>
      </c>
      <c r="C151" s="69" t="n">
        <v>0</v>
      </c>
      <c r="D151" s="69" t="n">
        <v>0</v>
      </c>
      <c r="E151" s="69" t="n">
        <v>0</v>
      </c>
      <c r="F151" s="69" t="n">
        <v>0</v>
      </c>
      <c r="G151" s="69" t="n">
        <v>0</v>
      </c>
      <c r="H151" s="69" t="n">
        <f aca="false">D151+F151-K151</f>
        <v>0</v>
      </c>
      <c r="I151" s="69" t="n">
        <v>0</v>
      </c>
      <c r="J151" s="70"/>
      <c r="K151" s="69" t="n">
        <v>0</v>
      </c>
      <c r="L151" s="71"/>
    </row>
    <row r="152" customFormat="false" ht="13.8" hidden="false" customHeight="false" outlineLevel="0" collapsed="false">
      <c r="A152" s="68" t="s">
        <v>159</v>
      </c>
      <c r="B152" s="68" t="n">
        <v>12</v>
      </c>
      <c r="C152" s="69" t="n">
        <v>81</v>
      </c>
      <c r="D152" s="69" t="n">
        <v>17829621</v>
      </c>
      <c r="E152" s="69" t="n">
        <v>0</v>
      </c>
      <c r="F152" s="69" t="n">
        <v>0</v>
      </c>
      <c r="G152" s="69" t="n">
        <v>32</v>
      </c>
      <c r="H152" s="69" t="n">
        <f aca="false">D152+F152-K152</f>
        <v>4842658</v>
      </c>
      <c r="I152" s="69" t="n">
        <v>49</v>
      </c>
      <c r="J152" s="70"/>
      <c r="K152" s="69" t="n">
        <v>12986963</v>
      </c>
      <c r="L152" s="71" t="n">
        <f aca="false">K152/I152</f>
        <v>265040.06122449</v>
      </c>
    </row>
    <row r="153" customFormat="false" ht="13.8" hidden="false" customHeight="false" outlineLevel="0" collapsed="false">
      <c r="A153" s="68" t="s">
        <v>160</v>
      </c>
      <c r="B153" s="68" t="n">
        <v>12</v>
      </c>
      <c r="C153" s="69" t="n">
        <v>46</v>
      </c>
      <c r="D153" s="69" t="n">
        <v>12161583</v>
      </c>
      <c r="E153" s="69" t="n">
        <v>0</v>
      </c>
      <c r="F153" s="69" t="n">
        <v>0</v>
      </c>
      <c r="G153" s="69" t="n">
        <v>42</v>
      </c>
      <c r="H153" s="69" t="n">
        <f aca="false">D153+F153-K153</f>
        <v>11093015</v>
      </c>
      <c r="I153" s="69" t="n">
        <v>4</v>
      </c>
      <c r="J153" s="70"/>
      <c r="K153" s="69" t="n">
        <v>1068568</v>
      </c>
      <c r="L153" s="71" t="n">
        <f aca="false">K153/I153</f>
        <v>267142</v>
      </c>
    </row>
    <row r="154" customFormat="false" ht="13.8" hidden="false" customHeight="false" outlineLevel="0" collapsed="false">
      <c r="A154" s="68" t="s">
        <v>161</v>
      </c>
      <c r="B154" s="68" t="n">
        <v>12</v>
      </c>
      <c r="C154" s="69" t="n">
        <v>110</v>
      </c>
      <c r="D154" s="69" t="n">
        <v>25633710</v>
      </c>
      <c r="E154" s="69" t="n">
        <v>50</v>
      </c>
      <c r="F154" s="69" t="n">
        <v>11729450</v>
      </c>
      <c r="G154" s="69" t="n">
        <v>49</v>
      </c>
      <c r="H154" s="69" t="n">
        <f aca="false">D154+F154-K154</f>
        <v>11432029</v>
      </c>
      <c r="I154" s="69" t="n">
        <v>111</v>
      </c>
      <c r="J154" s="70"/>
      <c r="K154" s="69" t="n">
        <v>25931131</v>
      </c>
      <c r="L154" s="71" t="n">
        <f aca="false">K154/I154</f>
        <v>233613.792792793</v>
      </c>
    </row>
    <row r="155" customFormat="false" ht="13.8" hidden="false" customHeight="false" outlineLevel="0" collapsed="false">
      <c r="A155" s="68" t="s">
        <v>162</v>
      </c>
      <c r="B155" s="68" t="n">
        <v>12</v>
      </c>
      <c r="C155" s="69" t="n">
        <v>0</v>
      </c>
      <c r="D155" s="69" t="n">
        <v>0</v>
      </c>
      <c r="E155" s="69" t="n">
        <v>4</v>
      </c>
      <c r="F155" s="69" t="n">
        <v>1264364</v>
      </c>
      <c r="G155" s="69" t="n">
        <v>4</v>
      </c>
      <c r="H155" s="69" t="n">
        <f aca="false">D155+F155-K155</f>
        <v>1264364</v>
      </c>
      <c r="I155" s="69" t="n">
        <v>0</v>
      </c>
      <c r="J155" s="70"/>
      <c r="K155" s="69" t="n">
        <v>0</v>
      </c>
      <c r="L155" s="71"/>
    </row>
    <row r="156" customFormat="false" ht="13.8" hidden="false" customHeight="false" outlineLevel="0" collapsed="false">
      <c r="A156" s="68" t="s">
        <v>163</v>
      </c>
      <c r="B156" s="68" t="n">
        <v>12</v>
      </c>
      <c r="C156" s="69" t="n">
        <v>986</v>
      </c>
      <c r="D156" s="69" t="n">
        <v>312560997</v>
      </c>
      <c r="E156" s="69" t="n">
        <v>300</v>
      </c>
      <c r="F156" s="69" t="n">
        <v>95825400</v>
      </c>
      <c r="G156" s="69" t="n">
        <v>0</v>
      </c>
      <c r="H156" s="69" t="n">
        <f aca="false">D156+F156-K156</f>
        <v>0</v>
      </c>
      <c r="I156" s="69" t="n">
        <v>1286</v>
      </c>
      <c r="J156" s="70"/>
      <c r="K156" s="69" t="n">
        <v>408386397</v>
      </c>
      <c r="L156" s="71" t="n">
        <f aca="false">K156/I156</f>
        <v>317563.294712286</v>
      </c>
    </row>
    <row r="157" customFormat="false" ht="13.8" hidden="false" customHeight="false" outlineLevel="0" collapsed="false">
      <c r="A157" s="68" t="s">
        <v>164</v>
      </c>
      <c r="B157" s="68" t="n">
        <v>12</v>
      </c>
      <c r="C157" s="69" t="n">
        <v>0</v>
      </c>
      <c r="D157" s="69" t="n">
        <v>0</v>
      </c>
      <c r="E157" s="69" t="n">
        <v>92</v>
      </c>
      <c r="F157" s="69" t="n">
        <v>13264312</v>
      </c>
      <c r="G157" s="69" t="n">
        <v>92</v>
      </c>
      <c r="H157" s="69" t="n">
        <f aca="false">D157+F157-K157</f>
        <v>13264312</v>
      </c>
      <c r="I157" s="69" t="n">
        <v>0</v>
      </c>
      <c r="J157" s="70"/>
      <c r="K157" s="69" t="n">
        <v>0</v>
      </c>
      <c r="L157" s="71"/>
    </row>
    <row r="158" customFormat="false" ht="13.8" hidden="false" customHeight="false" outlineLevel="0" collapsed="false">
      <c r="A158" s="68" t="s">
        <v>165</v>
      </c>
      <c r="B158" s="68" t="n">
        <v>12</v>
      </c>
      <c r="C158" s="69" t="n">
        <v>100</v>
      </c>
      <c r="D158" s="69" t="n">
        <v>15396441</v>
      </c>
      <c r="E158" s="69" t="n">
        <v>0</v>
      </c>
      <c r="F158" s="69" t="n">
        <v>0</v>
      </c>
      <c r="G158" s="69" t="n">
        <v>6</v>
      </c>
      <c r="H158" s="69" t="n">
        <f aca="false">D158+F158-K158</f>
        <v>923786</v>
      </c>
      <c r="I158" s="69" t="n">
        <v>94</v>
      </c>
      <c r="J158" s="70"/>
      <c r="K158" s="69" t="n">
        <v>14472655</v>
      </c>
      <c r="L158" s="71" t="n">
        <f aca="false">K158/I158</f>
        <v>153964.414893617</v>
      </c>
    </row>
    <row r="159" customFormat="false" ht="13.8" hidden="false" customHeight="false" outlineLevel="0" collapsed="false">
      <c r="A159" s="68" t="s">
        <v>166</v>
      </c>
      <c r="B159" s="68" t="n">
        <v>12</v>
      </c>
      <c r="C159" s="69" t="n">
        <v>0</v>
      </c>
      <c r="D159" s="69" t="n">
        <v>0</v>
      </c>
      <c r="E159" s="69" t="n">
        <v>0</v>
      </c>
      <c r="F159" s="69" t="n">
        <v>0</v>
      </c>
      <c r="G159" s="69" t="n">
        <v>0</v>
      </c>
      <c r="H159" s="69" t="n">
        <f aca="false">D159+F159-K159</f>
        <v>0</v>
      </c>
      <c r="I159" s="69" t="n">
        <v>0</v>
      </c>
      <c r="J159" s="70"/>
      <c r="K159" s="69" t="n">
        <v>0</v>
      </c>
      <c r="L159" s="71"/>
    </row>
    <row r="160" customFormat="false" ht="13.8" hidden="false" customHeight="false" outlineLevel="0" collapsed="false">
      <c r="A160" s="68" t="s">
        <v>167</v>
      </c>
      <c r="B160" s="68" t="n">
        <v>12</v>
      </c>
      <c r="C160" s="69" t="n">
        <v>0</v>
      </c>
      <c r="D160" s="69" t="n">
        <v>0</v>
      </c>
      <c r="E160" s="69" t="n">
        <v>0</v>
      </c>
      <c r="F160" s="69" t="n">
        <v>184320</v>
      </c>
      <c r="G160" s="69" t="n">
        <v>0</v>
      </c>
      <c r="H160" s="69" t="n">
        <f aca="false">D160+F160-K160</f>
        <v>184320</v>
      </c>
      <c r="I160" s="69" t="n">
        <v>0</v>
      </c>
      <c r="J160" s="70"/>
      <c r="K160" s="69" t="n">
        <v>0</v>
      </c>
      <c r="L160" s="71"/>
    </row>
    <row r="161" customFormat="false" ht="13.8" hidden="false" customHeight="false" outlineLevel="0" collapsed="false">
      <c r="A161" s="68" t="s">
        <v>168</v>
      </c>
      <c r="B161" s="68" t="n">
        <v>12</v>
      </c>
      <c r="C161" s="69" t="n">
        <v>436</v>
      </c>
      <c r="D161" s="69" t="n">
        <v>79778379</v>
      </c>
      <c r="E161" s="69" t="n">
        <v>150</v>
      </c>
      <c r="F161" s="69" t="n">
        <v>27648000</v>
      </c>
      <c r="G161" s="69" t="n">
        <v>87</v>
      </c>
      <c r="H161" s="69" t="n">
        <f aca="false">D161+F161-K161</f>
        <v>92210697</v>
      </c>
      <c r="I161" s="69" t="n">
        <v>499</v>
      </c>
      <c r="J161" s="70"/>
      <c r="K161" s="69" t="n">
        <v>15215682</v>
      </c>
      <c r="L161" s="71" t="n">
        <f aca="false">K161/I161</f>
        <v>30492.3486973948</v>
      </c>
    </row>
    <row r="162" customFormat="false" ht="13.8" hidden="false" customHeight="false" outlineLevel="0" collapsed="false">
      <c r="A162" s="68" t="s">
        <v>169</v>
      </c>
      <c r="B162" s="68" t="n">
        <v>12</v>
      </c>
      <c r="C162" s="69" t="n">
        <v>856</v>
      </c>
      <c r="D162" s="69" t="n">
        <v>151588068</v>
      </c>
      <c r="E162" s="69" t="n">
        <v>0</v>
      </c>
      <c r="F162" s="69" t="n">
        <v>0</v>
      </c>
      <c r="G162" s="69" t="n">
        <v>204</v>
      </c>
      <c r="H162" s="69" t="n">
        <f aca="false">D162+F162-K162</f>
        <v>32938529</v>
      </c>
      <c r="I162" s="69" t="n">
        <v>652</v>
      </c>
      <c r="J162" s="70"/>
      <c r="K162" s="69" t="n">
        <v>118649539</v>
      </c>
      <c r="L162" s="71" t="n">
        <f aca="false">K162/I162</f>
        <v>181977.820552147</v>
      </c>
    </row>
    <row r="163" customFormat="false" ht="13.8" hidden="false" customHeight="false" outlineLevel="0" collapsed="false">
      <c r="A163" s="68" t="s">
        <v>170</v>
      </c>
      <c r="B163" s="68" t="n">
        <v>12</v>
      </c>
      <c r="C163" s="69" t="n">
        <v>164</v>
      </c>
      <c r="D163" s="69" t="n">
        <v>44675744</v>
      </c>
      <c r="E163" s="69" t="n">
        <v>175</v>
      </c>
      <c r="F163" s="69" t="n">
        <v>49157166</v>
      </c>
      <c r="G163" s="69" t="n">
        <v>339</v>
      </c>
      <c r="H163" s="69" t="n">
        <f aca="false">D163+F163-K163</f>
        <v>93832910</v>
      </c>
      <c r="I163" s="69" t="n">
        <v>0</v>
      </c>
      <c r="J163" s="70"/>
      <c r="K163" s="69" t="n">
        <v>0</v>
      </c>
      <c r="L163" s="71"/>
    </row>
    <row r="164" customFormat="false" ht="13.8" hidden="false" customHeight="false" outlineLevel="0" collapsed="false">
      <c r="A164" s="68" t="s">
        <v>171</v>
      </c>
      <c r="B164" s="68" t="n">
        <v>12</v>
      </c>
      <c r="C164" s="69" t="n">
        <v>0</v>
      </c>
      <c r="D164" s="69" t="n">
        <v>0</v>
      </c>
      <c r="E164" s="69" t="n">
        <v>30</v>
      </c>
      <c r="F164" s="69" t="n">
        <v>8280000</v>
      </c>
      <c r="G164" s="69" t="n">
        <v>30</v>
      </c>
      <c r="H164" s="69" t="n">
        <f aca="false">D164+F164-K164</f>
        <v>8280000</v>
      </c>
      <c r="I164" s="69" t="n">
        <v>0</v>
      </c>
      <c r="J164" s="70"/>
      <c r="K164" s="69" t="n">
        <v>0</v>
      </c>
      <c r="L164" s="71"/>
    </row>
    <row r="165" customFormat="false" ht="13.8" hidden="false" customHeight="false" outlineLevel="0" collapsed="false">
      <c r="A165" s="68" t="s">
        <v>172</v>
      </c>
      <c r="B165" s="68" t="n">
        <v>12</v>
      </c>
      <c r="C165" s="69" t="n">
        <v>459</v>
      </c>
      <c r="D165" s="69" t="n">
        <v>85500524</v>
      </c>
      <c r="E165" s="69" t="n">
        <v>30</v>
      </c>
      <c r="F165" s="69" t="n">
        <v>5655270</v>
      </c>
      <c r="G165" s="69" t="n">
        <v>0</v>
      </c>
      <c r="H165" s="69" t="n">
        <f aca="false">D165+F165-K165</f>
        <v>0</v>
      </c>
      <c r="I165" s="69" t="n">
        <v>489</v>
      </c>
      <c r="J165" s="70"/>
      <c r="K165" s="69" t="n">
        <v>91155794</v>
      </c>
      <c r="L165" s="71" t="n">
        <f aca="false">K165/I165</f>
        <v>186412.666666667</v>
      </c>
    </row>
    <row r="166" customFormat="false" ht="13.8" hidden="false" customHeight="false" outlineLevel="0" collapsed="false">
      <c r="A166" s="68" t="s">
        <v>173</v>
      </c>
      <c r="B166" s="68" t="n">
        <v>12</v>
      </c>
      <c r="C166" s="69" t="n">
        <v>484</v>
      </c>
      <c r="D166" s="69" t="n">
        <v>88893600</v>
      </c>
      <c r="E166" s="69" t="n">
        <v>13</v>
      </c>
      <c r="F166" s="69" t="n">
        <v>4712725</v>
      </c>
      <c r="G166" s="69" t="n">
        <v>0</v>
      </c>
      <c r="H166" s="69" t="n">
        <f aca="false">D166+F166-K166</f>
        <v>0</v>
      </c>
      <c r="I166" s="69" t="n">
        <v>497</v>
      </c>
      <c r="J166" s="70"/>
      <c r="K166" s="69" t="n">
        <v>93606325</v>
      </c>
      <c r="L166" s="71" t="n">
        <f aca="false">K166/I166</f>
        <v>188342.706237425</v>
      </c>
    </row>
    <row r="167" customFormat="false" ht="13.8" hidden="false" customHeight="false" outlineLevel="0" collapsed="false">
      <c r="A167" s="68" t="s">
        <v>174</v>
      </c>
      <c r="B167" s="68" t="n">
        <v>12</v>
      </c>
      <c r="C167" s="69" t="n">
        <v>5</v>
      </c>
      <c r="D167" s="69" t="n">
        <v>1372892</v>
      </c>
      <c r="E167" s="69" t="n">
        <v>0</v>
      </c>
      <c r="F167" s="69" t="n">
        <v>0</v>
      </c>
      <c r="G167" s="69" t="n">
        <v>0</v>
      </c>
      <c r="H167" s="69" t="n">
        <f aca="false">D167+F167-K167</f>
        <v>0</v>
      </c>
      <c r="I167" s="69" t="n">
        <v>5</v>
      </c>
      <c r="J167" s="70"/>
      <c r="K167" s="69" t="n">
        <v>1372892</v>
      </c>
      <c r="L167" s="71" t="n">
        <f aca="false">K167/I167</f>
        <v>274578.4</v>
      </c>
    </row>
    <row r="168" customFormat="false" ht="13.8" hidden="false" customHeight="false" outlineLevel="0" collapsed="false">
      <c r="A168" s="68" t="s">
        <v>175</v>
      </c>
      <c r="B168" s="68" t="n">
        <v>12</v>
      </c>
      <c r="C168" s="69" t="n">
        <v>0</v>
      </c>
      <c r="D168" s="69" t="n">
        <v>0</v>
      </c>
      <c r="E168" s="69" t="n">
        <v>0</v>
      </c>
      <c r="F168" s="69" t="n">
        <v>0</v>
      </c>
      <c r="G168" s="69" t="n">
        <v>0</v>
      </c>
      <c r="H168" s="69" t="n">
        <f aca="false">D168+F168-K168</f>
        <v>0</v>
      </c>
      <c r="I168" s="69" t="n">
        <v>0</v>
      </c>
      <c r="J168" s="70"/>
      <c r="K168" s="69" t="n">
        <v>0</v>
      </c>
      <c r="L168" s="71"/>
    </row>
    <row r="169" customFormat="false" ht="13.8" hidden="false" customHeight="false" outlineLevel="0" collapsed="false">
      <c r="A169" s="68" t="s">
        <v>176</v>
      </c>
      <c r="B169" s="68" t="n">
        <v>12</v>
      </c>
      <c r="C169" s="69" t="n">
        <v>0</v>
      </c>
      <c r="D169" s="69" t="n">
        <v>0</v>
      </c>
      <c r="E169" s="69" t="n">
        <v>0</v>
      </c>
      <c r="F169" s="69" t="n">
        <v>0</v>
      </c>
      <c r="G169" s="69" t="n">
        <v>0</v>
      </c>
      <c r="H169" s="69" t="n">
        <f aca="false">D169+F169-K169</f>
        <v>0</v>
      </c>
      <c r="I169" s="69" t="n">
        <v>0</v>
      </c>
      <c r="J169" s="70"/>
      <c r="K169" s="69" t="n">
        <v>0</v>
      </c>
      <c r="L169" s="71"/>
    </row>
    <row r="170" customFormat="false" ht="13.8" hidden="false" customHeight="false" outlineLevel="0" collapsed="false">
      <c r="A170" s="68" t="s">
        <v>177</v>
      </c>
      <c r="B170" s="68" t="n">
        <v>12</v>
      </c>
      <c r="C170" s="69" t="n">
        <v>1</v>
      </c>
      <c r="D170" s="69" t="n">
        <v>537037</v>
      </c>
      <c r="E170" s="69" t="n">
        <v>0</v>
      </c>
      <c r="F170" s="69" t="n">
        <v>0</v>
      </c>
      <c r="G170" s="69" t="n">
        <v>0</v>
      </c>
      <c r="H170" s="69" t="n">
        <f aca="false">D170+F170-K170</f>
        <v>0</v>
      </c>
      <c r="I170" s="69" t="n">
        <v>1</v>
      </c>
      <c r="J170" s="70"/>
      <c r="K170" s="69" t="n">
        <v>537037</v>
      </c>
      <c r="L170" s="71" t="n">
        <f aca="false">K170/I170</f>
        <v>537037</v>
      </c>
    </row>
    <row r="171" customFormat="false" ht="13.8" hidden="false" customHeight="false" outlineLevel="0" collapsed="false">
      <c r="A171" s="68" t="s">
        <v>178</v>
      </c>
      <c r="B171" s="68" t="n">
        <v>12</v>
      </c>
      <c r="C171" s="69" t="n">
        <v>144</v>
      </c>
      <c r="D171" s="69" t="n">
        <v>8408880</v>
      </c>
      <c r="E171" s="69" t="n">
        <v>874</v>
      </c>
      <c r="F171" s="69" t="n">
        <v>31937917.4852652</v>
      </c>
      <c r="G171" s="69" t="n">
        <v>0</v>
      </c>
      <c r="H171" s="69" t="n">
        <f aca="false">D171+F171-K171</f>
        <v>3146797.48526523</v>
      </c>
      <c r="I171" s="69" t="n">
        <v>1018</v>
      </c>
      <c r="J171" s="70"/>
      <c r="K171" s="69" t="n">
        <v>37200000</v>
      </c>
      <c r="L171" s="71" t="n">
        <f aca="false">K171/I171</f>
        <v>36542.2396856582</v>
      </c>
    </row>
    <row r="172" customFormat="false" ht="13.8" hidden="false" customHeight="false" outlineLevel="0" collapsed="false">
      <c r="A172" s="68" t="s">
        <v>179</v>
      </c>
      <c r="B172" s="68" t="n">
        <v>12</v>
      </c>
      <c r="C172" s="69" t="n">
        <v>24797</v>
      </c>
      <c r="D172" s="69" t="n">
        <v>127113973</v>
      </c>
      <c r="E172" s="69" t="n">
        <v>15719</v>
      </c>
      <c r="F172" s="69" t="n">
        <v>82006560</v>
      </c>
      <c r="G172" s="69" t="n">
        <v>14610</v>
      </c>
      <c r="H172" s="69" t="n">
        <f aca="false">D172+F172-K172</f>
        <v>74541385</v>
      </c>
      <c r="I172" s="69" t="n">
        <v>25906</v>
      </c>
      <c r="J172" s="70"/>
      <c r="K172" s="69" t="n">
        <v>134579148</v>
      </c>
      <c r="L172" s="71" t="n">
        <f aca="false">K172/I172</f>
        <v>5194.9026480352</v>
      </c>
    </row>
    <row r="173" customFormat="false" ht="13.8" hidden="false" customHeight="false" outlineLevel="0" collapsed="false">
      <c r="A173" s="68" t="s">
        <v>180</v>
      </c>
      <c r="B173" s="68" t="n">
        <v>12</v>
      </c>
      <c r="C173" s="69" t="n">
        <v>1056</v>
      </c>
      <c r="D173" s="69" t="n">
        <v>82980480</v>
      </c>
      <c r="E173" s="69" t="n">
        <v>360</v>
      </c>
      <c r="F173" s="69" t="n">
        <v>27106680</v>
      </c>
      <c r="G173" s="69" t="n">
        <v>1416</v>
      </c>
      <c r="H173" s="69" t="n">
        <f aca="false">D173+F173-K173</f>
        <v>110087160</v>
      </c>
      <c r="I173" s="69" t="n">
        <v>0</v>
      </c>
      <c r="J173" s="70"/>
      <c r="K173" s="69" t="n">
        <v>0</v>
      </c>
      <c r="L173" s="71"/>
    </row>
    <row r="174" customFormat="false" ht="13.8" hidden="false" customHeight="false" outlineLevel="0" collapsed="false">
      <c r="A174" s="68" t="s">
        <v>181</v>
      </c>
      <c r="B174" s="68" t="n">
        <v>12</v>
      </c>
      <c r="C174" s="69" t="n">
        <v>432</v>
      </c>
      <c r="D174" s="69" t="n">
        <v>22188108</v>
      </c>
      <c r="E174" s="69" t="n">
        <v>375</v>
      </c>
      <c r="F174" s="69" t="n">
        <v>19270875</v>
      </c>
      <c r="G174" s="69" t="n">
        <v>501</v>
      </c>
      <c r="H174" s="69" t="n">
        <f aca="false">D174+F174-K174</f>
        <v>25738476</v>
      </c>
      <c r="I174" s="69" t="n">
        <v>306</v>
      </c>
      <c r="J174" s="70"/>
      <c r="K174" s="69" t="n">
        <v>15720507</v>
      </c>
      <c r="L174" s="71" t="n">
        <f aca="false">K174/I174</f>
        <v>51374.2058823529</v>
      </c>
    </row>
    <row r="175" customFormat="false" ht="14.9" hidden="false" customHeight="false" outlineLevel="0" collapsed="false">
      <c r="A175" s="68" t="s">
        <v>182</v>
      </c>
      <c r="B175" s="68" t="n">
        <v>12</v>
      </c>
      <c r="C175" s="69" t="n">
        <v>0</v>
      </c>
      <c r="D175" s="69" t="n">
        <v>0</v>
      </c>
      <c r="E175" s="69" t="n">
        <v>180</v>
      </c>
      <c r="F175" s="69" t="n">
        <v>11127420</v>
      </c>
      <c r="G175" s="69" t="n">
        <v>180</v>
      </c>
      <c r="H175" s="69" t="n">
        <f aca="false">D175+F175-K175</f>
        <v>11127420</v>
      </c>
      <c r="I175" s="70"/>
      <c r="J175" s="70" t="n">
        <f aca="false">O175</f>
        <v>35</v>
      </c>
      <c r="K175" s="69" t="n">
        <v>0</v>
      </c>
      <c r="L175" s="71"/>
      <c r="M175" s="75" t="s">
        <v>182</v>
      </c>
      <c r="N175" s="76" t="s">
        <v>528</v>
      </c>
      <c r="O175" s="77" t="n">
        <v>35</v>
      </c>
      <c r="P175" s="77" t="n">
        <v>2083200</v>
      </c>
      <c r="Q175" s="63" t="n">
        <f aca="false">P175/O175</f>
        <v>59520</v>
      </c>
    </row>
    <row r="176" customFormat="false" ht="14.9" hidden="false" customHeight="false" outlineLevel="0" collapsed="false">
      <c r="A176" s="68" t="s">
        <v>183</v>
      </c>
      <c r="B176" s="68" t="n">
        <v>12</v>
      </c>
      <c r="C176" s="69" t="n">
        <v>2751</v>
      </c>
      <c r="D176" s="69" t="n">
        <v>148297433</v>
      </c>
      <c r="E176" s="69" t="n">
        <v>306</v>
      </c>
      <c r="F176" s="69" t="n">
        <v>16321556</v>
      </c>
      <c r="G176" s="69" t="n">
        <v>284</v>
      </c>
      <c r="H176" s="69" t="n">
        <f aca="false">D176+F176-K176</f>
        <v>13731712</v>
      </c>
      <c r="I176" s="69" t="n">
        <v>2773</v>
      </c>
      <c r="J176" s="70" t="n">
        <f aca="false">O176</f>
        <v>2522</v>
      </c>
      <c r="K176" s="69" t="n">
        <v>150887277</v>
      </c>
      <c r="L176" s="71" t="n">
        <f aca="false">K176/I176</f>
        <v>54413.0100973675</v>
      </c>
      <c r="M176" s="75" t="s">
        <v>183</v>
      </c>
      <c r="N176" s="76" t="s">
        <v>528</v>
      </c>
      <c r="O176" s="77" t="n">
        <v>2522</v>
      </c>
      <c r="P176" s="77" t="n">
        <v>130683080.73241</v>
      </c>
      <c r="Q176" s="63" t="n">
        <f aca="false">P176/O176</f>
        <v>51817.2405758963</v>
      </c>
    </row>
    <row r="177" customFormat="false" ht="14.9" hidden="false" customHeight="false" outlineLevel="0" collapsed="false">
      <c r="A177" s="68" t="s">
        <v>184</v>
      </c>
      <c r="B177" s="68" t="n">
        <v>12</v>
      </c>
      <c r="C177" s="69" t="n">
        <v>2074</v>
      </c>
      <c r="D177" s="69" t="n">
        <v>111994520</v>
      </c>
      <c r="E177" s="69" t="n">
        <v>408</v>
      </c>
      <c r="F177" s="69" t="n">
        <v>21762074</v>
      </c>
      <c r="G177" s="69" t="n">
        <v>900</v>
      </c>
      <c r="H177" s="69" t="n">
        <f aca="false">D177+F177-K177</f>
        <v>47693225</v>
      </c>
      <c r="I177" s="69" t="n">
        <v>1582</v>
      </c>
      <c r="J177" s="70" t="n">
        <f aca="false">O177</f>
        <v>1671</v>
      </c>
      <c r="K177" s="69" t="n">
        <v>86063369</v>
      </c>
      <c r="L177" s="71" t="n">
        <f aca="false">K177/I177</f>
        <v>54401.6238938053</v>
      </c>
      <c r="M177" s="75" t="s">
        <v>184</v>
      </c>
      <c r="N177" s="76" t="s">
        <v>528</v>
      </c>
      <c r="O177" s="77" t="n">
        <v>1671</v>
      </c>
      <c r="P177" s="77" t="n">
        <v>83142004.13</v>
      </c>
      <c r="Q177" s="63" t="n">
        <f aca="false">P177/O177</f>
        <v>49755.8373010174</v>
      </c>
    </row>
    <row r="178" customFormat="false" ht="28.35" hidden="false" customHeight="false" outlineLevel="0" collapsed="false">
      <c r="A178" s="68" t="s">
        <v>185</v>
      </c>
      <c r="B178" s="68" t="n">
        <v>12</v>
      </c>
      <c r="C178" s="69" t="n">
        <v>770</v>
      </c>
      <c r="D178" s="69" t="n">
        <v>141860096</v>
      </c>
      <c r="E178" s="69" t="n">
        <v>400</v>
      </c>
      <c r="F178" s="69" t="n">
        <v>72675000</v>
      </c>
      <c r="G178" s="69" t="n">
        <v>229</v>
      </c>
      <c r="H178" s="69" t="n">
        <f aca="false">D178+F178-K178</f>
        <v>44862468</v>
      </c>
      <c r="I178" s="69" t="n">
        <v>941</v>
      </c>
      <c r="J178" s="70" t="n">
        <f aca="false">O178</f>
        <v>915</v>
      </c>
      <c r="K178" s="69" t="n">
        <v>169672628</v>
      </c>
      <c r="L178" s="71" t="n">
        <f aca="false">K178/I178</f>
        <v>180310.975557917</v>
      </c>
      <c r="M178" s="75" t="s">
        <v>185</v>
      </c>
      <c r="N178" s="76" t="s">
        <v>303</v>
      </c>
      <c r="O178" s="77" t="n">
        <v>915</v>
      </c>
      <c r="P178" s="77" t="n">
        <v>182689865.25</v>
      </c>
      <c r="Q178" s="63" t="n">
        <f aca="false">P178/O178</f>
        <v>199661.054918033</v>
      </c>
    </row>
    <row r="179" customFormat="false" ht="28.35" hidden="false" customHeight="false" outlineLevel="0" collapsed="false">
      <c r="A179" s="68" t="s">
        <v>186</v>
      </c>
      <c r="B179" s="68" t="n">
        <v>12</v>
      </c>
      <c r="C179" s="69" t="n">
        <v>1555</v>
      </c>
      <c r="D179" s="69" t="n">
        <v>69495853</v>
      </c>
      <c r="E179" s="69" t="n">
        <v>7668</v>
      </c>
      <c r="F179" s="69" t="n">
        <v>332611379.81491</v>
      </c>
      <c r="G179" s="69" t="n">
        <v>4555</v>
      </c>
      <c r="H179" s="69" t="n">
        <f aca="false">D179+F179-K179</f>
        <v>199625500.81491</v>
      </c>
      <c r="I179" s="69" t="n">
        <v>4668</v>
      </c>
      <c r="J179" s="70" t="n">
        <f aca="false">O181</f>
        <v>3025</v>
      </c>
      <c r="K179" s="69" t="n">
        <v>202481732</v>
      </c>
      <c r="L179" s="71" t="n">
        <f aca="false">K179/I179</f>
        <v>43376.5492716367</v>
      </c>
      <c r="M179" s="72" t="s">
        <v>742</v>
      </c>
      <c r="N179" s="73" t="s">
        <v>303</v>
      </c>
      <c r="O179" s="74" t="n">
        <v>219</v>
      </c>
      <c r="P179" s="74" t="n">
        <v>56093709.85</v>
      </c>
      <c r="Q179" s="63" t="n">
        <f aca="false">P179/O179</f>
        <v>256135.661415525</v>
      </c>
    </row>
    <row r="180" customFormat="false" ht="28.35" hidden="false" customHeight="false" outlineLevel="0" collapsed="false">
      <c r="A180" s="68" t="s">
        <v>187</v>
      </c>
      <c r="B180" s="68" t="n">
        <v>12</v>
      </c>
      <c r="C180" s="69" t="n">
        <v>973</v>
      </c>
      <c r="D180" s="69" t="n">
        <v>34563746</v>
      </c>
      <c r="E180" s="69" t="n">
        <v>0</v>
      </c>
      <c r="F180" s="69" t="n">
        <v>43376.5492716367</v>
      </c>
      <c r="G180" s="69" t="n">
        <v>130</v>
      </c>
      <c r="H180" s="69" t="n">
        <f aca="false">D180+F180-K180</f>
        <v>4733268.54927164</v>
      </c>
      <c r="I180" s="69" t="n">
        <v>843</v>
      </c>
      <c r="J180" s="70"/>
      <c r="K180" s="69" t="n">
        <v>29873854</v>
      </c>
      <c r="L180" s="71" t="n">
        <f aca="false">K180/I180</f>
        <v>35437.5492289443</v>
      </c>
      <c r="M180" s="72" t="s">
        <v>748</v>
      </c>
      <c r="N180" s="73" t="s">
        <v>303</v>
      </c>
      <c r="O180" s="74" t="n">
        <v>8326</v>
      </c>
      <c r="P180" s="74" t="n">
        <v>1667408191.41962</v>
      </c>
      <c r="Q180" s="63" t="n">
        <f aca="false">P180/O180</f>
        <v>200265.216360752</v>
      </c>
    </row>
    <row r="181" customFormat="false" ht="28.35" hidden="false" customHeight="false" outlineLevel="0" collapsed="false">
      <c r="A181" s="68" t="s">
        <v>188</v>
      </c>
      <c r="B181" s="68" t="n">
        <v>12</v>
      </c>
      <c r="C181" s="69" t="n">
        <v>7616</v>
      </c>
      <c r="D181" s="69" t="n">
        <v>1284172909</v>
      </c>
      <c r="E181" s="69" t="n">
        <v>4500</v>
      </c>
      <c r="F181" s="69" t="n">
        <v>816216250</v>
      </c>
      <c r="G181" s="69" t="n">
        <v>4573</v>
      </c>
      <c r="H181" s="69" t="n">
        <f aca="false">D181+F181-K181</f>
        <v>754127000</v>
      </c>
      <c r="I181" s="69" t="n">
        <v>7543</v>
      </c>
      <c r="J181" s="70"/>
      <c r="K181" s="69" t="n">
        <v>1346262159</v>
      </c>
      <c r="L181" s="71" t="n">
        <f aca="false">K181/I181</f>
        <v>178478.345353308</v>
      </c>
      <c r="M181" s="75" t="s">
        <v>186</v>
      </c>
      <c r="N181" s="76" t="s">
        <v>303</v>
      </c>
      <c r="O181" s="77" t="n">
        <v>3025</v>
      </c>
      <c r="P181" s="77" t="n">
        <v>152301811.77</v>
      </c>
      <c r="Q181" s="63" t="n">
        <f aca="false">P181/O181</f>
        <v>50347.7063702479</v>
      </c>
    </row>
    <row r="182" customFormat="false" ht="28.35" hidden="false" customHeight="false" outlineLevel="0" collapsed="false">
      <c r="A182" s="68" t="s">
        <v>189</v>
      </c>
      <c r="B182" s="68" t="n">
        <v>12</v>
      </c>
      <c r="C182" s="69" t="n">
        <v>690</v>
      </c>
      <c r="D182" s="69" t="n">
        <v>30148907</v>
      </c>
      <c r="E182" s="69" t="n">
        <v>0</v>
      </c>
      <c r="F182" s="69" t="n">
        <v>0</v>
      </c>
      <c r="G182" s="69" t="n">
        <v>144</v>
      </c>
      <c r="H182" s="69" t="n">
        <f aca="false">D182+F182-K182</f>
        <v>5958168</v>
      </c>
      <c r="I182" s="69" t="n">
        <v>546</v>
      </c>
      <c r="J182" s="70" t="n">
        <f aca="false">O182</f>
        <v>515</v>
      </c>
      <c r="K182" s="69" t="n">
        <v>24190739</v>
      </c>
      <c r="L182" s="71" t="n">
        <f aca="false">K182/I182</f>
        <v>44305.3827838828</v>
      </c>
      <c r="M182" s="75" t="s">
        <v>189</v>
      </c>
      <c r="N182" s="76" t="s">
        <v>303</v>
      </c>
      <c r="O182" s="77" t="n">
        <v>515</v>
      </c>
      <c r="P182" s="74" t="n">
        <v>26116288.18</v>
      </c>
      <c r="Q182" s="63" t="n">
        <f aca="false">P182/O182</f>
        <v>50711.239184466</v>
      </c>
    </row>
    <row r="183" customFormat="false" ht="14.9" hidden="false" customHeight="false" outlineLevel="0" collapsed="false">
      <c r="A183" s="68" t="s">
        <v>190</v>
      </c>
      <c r="B183" s="68" t="n">
        <v>12</v>
      </c>
      <c r="C183" s="69" t="n">
        <v>11502</v>
      </c>
      <c r="D183" s="69" t="n">
        <v>332240556</v>
      </c>
      <c r="E183" s="69" t="n">
        <v>3150</v>
      </c>
      <c r="F183" s="69" t="n">
        <v>90972000</v>
      </c>
      <c r="G183" s="69" t="n">
        <v>9809</v>
      </c>
      <c r="H183" s="69" t="n">
        <f aca="false">D183+F183-K183</f>
        <v>286291540</v>
      </c>
      <c r="I183" s="69" t="n">
        <v>4843</v>
      </c>
      <c r="J183" s="70" t="n">
        <f aca="false">O183</f>
        <v>7062</v>
      </c>
      <c r="K183" s="69" t="n">
        <v>136921016</v>
      </c>
      <c r="L183" s="71" t="n">
        <f aca="false">K183/I183</f>
        <v>28271.9421845963</v>
      </c>
      <c r="M183" s="75" t="s">
        <v>190</v>
      </c>
      <c r="N183" s="76" t="s">
        <v>753</v>
      </c>
      <c r="O183" s="77" t="n">
        <v>7062</v>
      </c>
      <c r="P183" s="74" t="n">
        <v>134093184.94</v>
      </c>
      <c r="Q183" s="63" t="n">
        <f aca="false">P183/O183</f>
        <v>18987.9899376947</v>
      </c>
    </row>
    <row r="184" customFormat="false" ht="28.35" hidden="false" customHeight="false" outlineLevel="0" collapsed="false">
      <c r="A184" s="68" t="s">
        <v>191</v>
      </c>
      <c r="B184" s="68" t="n">
        <v>12</v>
      </c>
      <c r="C184" s="69" t="n">
        <v>15969</v>
      </c>
      <c r="D184" s="69" t="n">
        <v>459112502</v>
      </c>
      <c r="E184" s="69" t="n">
        <v>65615</v>
      </c>
      <c r="F184" s="69" t="n">
        <v>1833319500</v>
      </c>
      <c r="G184" s="69" t="n">
        <v>40229</v>
      </c>
      <c r="H184" s="69" t="n">
        <f aca="false">D184+F184-K184</f>
        <v>1123236500</v>
      </c>
      <c r="I184" s="69" t="n">
        <v>41355</v>
      </c>
      <c r="J184" s="70" t="n">
        <f aca="false">O185</f>
        <v>28592</v>
      </c>
      <c r="K184" s="69" t="n">
        <v>1169195502</v>
      </c>
      <c r="L184" s="71" t="n">
        <f aca="false">K184/I184</f>
        <v>28272.1678636199</v>
      </c>
      <c r="M184" s="72" t="s">
        <v>755</v>
      </c>
      <c r="N184" s="73" t="s">
        <v>753</v>
      </c>
      <c r="O184" s="74" t="n">
        <v>780</v>
      </c>
      <c r="P184" s="74" t="n">
        <v>30410639.61</v>
      </c>
      <c r="Q184" s="63" t="n">
        <f aca="false">P184/O184</f>
        <v>38987.9995</v>
      </c>
    </row>
    <row r="185" customFormat="false" ht="14.9" hidden="false" customHeight="false" outlineLevel="0" collapsed="false">
      <c r="A185" s="68" t="s">
        <v>192</v>
      </c>
      <c r="B185" s="68" t="n">
        <v>12</v>
      </c>
      <c r="C185" s="69" t="n">
        <v>10975</v>
      </c>
      <c r="D185" s="69" t="n">
        <v>79007874</v>
      </c>
      <c r="E185" s="69" t="n">
        <v>0</v>
      </c>
      <c r="F185" s="69" t="n">
        <v>0</v>
      </c>
      <c r="G185" s="69" t="n">
        <v>4660</v>
      </c>
      <c r="H185" s="69" t="n">
        <f aca="false">D185+F185-K185</f>
        <v>33402873</v>
      </c>
      <c r="I185" s="69" t="n">
        <v>6315</v>
      </c>
      <c r="J185" s="70"/>
      <c r="K185" s="69" t="n">
        <v>45605001</v>
      </c>
      <c r="L185" s="71" t="n">
        <f aca="false">K185/I185</f>
        <v>7221.6945368171</v>
      </c>
      <c r="M185" s="72" t="s">
        <v>191</v>
      </c>
      <c r="N185" s="76" t="s">
        <v>753</v>
      </c>
      <c r="O185" s="77" t="n">
        <v>28592</v>
      </c>
      <c r="P185" s="77" t="n">
        <v>881102753.834581</v>
      </c>
      <c r="Q185" s="63" t="n">
        <f aca="false">P185/O185</f>
        <v>30816.4085700399</v>
      </c>
    </row>
    <row r="186" customFormat="false" ht="14.9" hidden="false" customHeight="false" outlineLevel="0" collapsed="false">
      <c r="A186" s="68" t="s">
        <v>193</v>
      </c>
      <c r="B186" s="68" t="n">
        <v>12</v>
      </c>
      <c r="C186" s="69" t="n">
        <v>0</v>
      </c>
      <c r="D186" s="69" t="n">
        <v>0</v>
      </c>
      <c r="E186" s="69" t="n">
        <v>250</v>
      </c>
      <c r="F186" s="69" t="n">
        <v>53642625</v>
      </c>
      <c r="G186" s="69" t="n">
        <v>0</v>
      </c>
      <c r="H186" s="69" t="n">
        <f aca="false">D186+F186-K186</f>
        <v>0</v>
      </c>
      <c r="I186" s="69" t="n">
        <v>250</v>
      </c>
      <c r="J186" s="70"/>
      <c r="K186" s="69" t="n">
        <v>53642625</v>
      </c>
      <c r="L186" s="71" t="n">
        <f aca="false">K186/I186</f>
        <v>214570.5</v>
      </c>
      <c r="M186" s="72" t="s">
        <v>192</v>
      </c>
      <c r="N186" s="73" t="s">
        <v>311</v>
      </c>
      <c r="O186" s="74" t="n">
        <v>7685</v>
      </c>
      <c r="P186" s="74" t="n">
        <v>59991263.76</v>
      </c>
      <c r="Q186" s="63" t="n">
        <f aca="false">P186/O186</f>
        <v>7806.28025504229</v>
      </c>
    </row>
    <row r="187" customFormat="false" ht="28.35" hidden="false" customHeight="false" outlineLevel="0" collapsed="false">
      <c r="A187" s="68" t="s">
        <v>194</v>
      </c>
      <c r="B187" s="68" t="n">
        <v>12</v>
      </c>
      <c r="C187" s="69" t="n">
        <v>131535</v>
      </c>
      <c r="D187" s="69" t="n">
        <v>626836099</v>
      </c>
      <c r="E187" s="69" t="n">
        <v>273861</v>
      </c>
      <c r="F187" s="69" t="n">
        <v>1931160000</v>
      </c>
      <c r="G187" s="69" t="n">
        <v>227875</v>
      </c>
      <c r="H187" s="69" t="n">
        <f aca="false">D187+F187-K187</f>
        <v>1303281000</v>
      </c>
      <c r="I187" s="69" t="n">
        <v>177521</v>
      </c>
      <c r="J187" s="70" t="n">
        <f aca="false">O188</f>
        <v>186385</v>
      </c>
      <c r="K187" s="69" t="n">
        <v>1254715099</v>
      </c>
      <c r="L187" s="71" t="n">
        <f aca="false">K187/I187</f>
        <v>7067.98124728905</v>
      </c>
      <c r="M187" s="72" t="s">
        <v>193</v>
      </c>
      <c r="N187" s="73" t="s">
        <v>528</v>
      </c>
      <c r="O187" s="74" t="n">
        <v>250</v>
      </c>
      <c r="P187" s="74" t="n">
        <v>57934023</v>
      </c>
      <c r="Q187" s="63" t="n">
        <f aca="false">P187/O187</f>
        <v>231736.092</v>
      </c>
    </row>
    <row r="188" customFormat="false" ht="14.9" hidden="false" customHeight="false" outlineLevel="0" collapsed="false">
      <c r="A188" s="68" t="s">
        <v>195</v>
      </c>
      <c r="B188" s="68" t="n">
        <v>12</v>
      </c>
      <c r="C188" s="69" t="n">
        <v>0</v>
      </c>
      <c r="D188" s="69" t="n">
        <v>0</v>
      </c>
      <c r="E188" s="69" t="n">
        <v>11200</v>
      </c>
      <c r="F188" s="69" t="n">
        <v>2411276207</v>
      </c>
      <c r="G188" s="69" t="n">
        <v>1333</v>
      </c>
      <c r="H188" s="69" t="n">
        <f aca="false">D188+F188-K188</f>
        <v>303268263</v>
      </c>
      <c r="I188" s="69" t="n">
        <v>9867</v>
      </c>
      <c r="J188" s="70"/>
      <c r="K188" s="69" t="n">
        <v>2108007944</v>
      </c>
      <c r="L188" s="71" t="n">
        <f aca="false">K188/I188</f>
        <v>213642.236140671</v>
      </c>
      <c r="M188" s="75" t="s">
        <v>194</v>
      </c>
      <c r="N188" s="76" t="s">
        <v>311</v>
      </c>
      <c r="O188" s="77" t="n">
        <v>186385</v>
      </c>
      <c r="P188" s="77" t="n">
        <v>1499015844.54271</v>
      </c>
      <c r="Q188" s="63" t="n">
        <f aca="false">P188/O188</f>
        <v>8042.57769961483</v>
      </c>
    </row>
    <row r="189" customFormat="false" ht="28.35" hidden="false" customHeight="false" outlineLevel="0" collapsed="false">
      <c r="A189" s="68" t="s">
        <v>196</v>
      </c>
      <c r="B189" s="68" t="n">
        <v>12</v>
      </c>
      <c r="C189" s="69" t="n">
        <v>0</v>
      </c>
      <c r="D189" s="69" t="n">
        <v>0</v>
      </c>
      <c r="E189" s="69" t="n">
        <v>0</v>
      </c>
      <c r="F189" s="69" t="n">
        <v>0</v>
      </c>
      <c r="G189" s="69" t="n">
        <v>0</v>
      </c>
      <c r="H189" s="69" t="n">
        <f aca="false">D189+F189-K189</f>
        <v>0</v>
      </c>
      <c r="I189" s="69" t="n">
        <v>0</v>
      </c>
      <c r="J189" s="70" t="n">
        <f aca="false">O195</f>
        <v>15683</v>
      </c>
      <c r="K189" s="69" t="n">
        <v>0</v>
      </c>
      <c r="L189" s="71"/>
      <c r="M189" s="72" t="s">
        <v>195</v>
      </c>
      <c r="N189" s="73" t="s">
        <v>528</v>
      </c>
      <c r="O189" s="74" t="n">
        <v>7805</v>
      </c>
      <c r="P189" s="74" t="n">
        <v>2017552178.90906</v>
      </c>
      <c r="Q189" s="63" t="n">
        <f aca="false">P189/O189</f>
        <v>258494.833940943</v>
      </c>
    </row>
    <row r="190" customFormat="false" ht="28.35" hidden="false" customHeight="false" outlineLevel="0" collapsed="false">
      <c r="A190" s="68" t="s">
        <v>197</v>
      </c>
      <c r="B190" s="68" t="n">
        <v>12</v>
      </c>
      <c r="C190" s="69" t="n">
        <v>1170</v>
      </c>
      <c r="D190" s="69" t="n">
        <v>8433374</v>
      </c>
      <c r="E190" s="69" t="n">
        <v>0</v>
      </c>
      <c r="F190" s="69" t="n">
        <v>0</v>
      </c>
      <c r="G190" s="69" t="n">
        <v>20</v>
      </c>
      <c r="H190" s="69" t="n">
        <f aca="false">D190+F190-K190</f>
        <v>144160</v>
      </c>
      <c r="I190" s="69" t="n">
        <v>1150</v>
      </c>
      <c r="J190" s="70" t="n">
        <f aca="false">O194</f>
        <v>1030</v>
      </c>
      <c r="K190" s="69" t="n">
        <v>8289214</v>
      </c>
      <c r="L190" s="71" t="n">
        <f aca="false">K190/I190</f>
        <v>7208.01217391304</v>
      </c>
      <c r="M190" s="72" t="s">
        <v>643</v>
      </c>
      <c r="N190" s="73" t="s">
        <v>303</v>
      </c>
      <c r="O190" s="74" t="n">
        <v>12</v>
      </c>
      <c r="P190" s="74" t="n">
        <v>57590715</v>
      </c>
      <c r="Q190" s="63" t="n">
        <f aca="false">P190/O190</f>
        <v>4799226.25</v>
      </c>
    </row>
    <row r="191" customFormat="false" ht="13.8" hidden="false" customHeight="false" outlineLevel="0" collapsed="false">
      <c r="A191" s="68"/>
      <c r="B191" s="68"/>
      <c r="C191" s="69"/>
      <c r="D191" s="69"/>
      <c r="E191" s="69"/>
      <c r="F191" s="69"/>
      <c r="G191" s="69"/>
      <c r="H191" s="69"/>
      <c r="I191" s="69"/>
      <c r="J191" s="70"/>
      <c r="K191" s="69"/>
      <c r="L191" s="71"/>
      <c r="M191" s="72"/>
      <c r="N191" s="73"/>
      <c r="O191" s="74"/>
      <c r="P191" s="74"/>
    </row>
    <row r="192" customFormat="false" ht="14.9" hidden="false" customHeight="false" outlineLevel="0" collapsed="false">
      <c r="A192" s="68" t="s">
        <v>198</v>
      </c>
      <c r="B192" s="68" t="n">
        <v>12</v>
      </c>
      <c r="C192" s="69" t="n">
        <v>0</v>
      </c>
      <c r="D192" s="69" t="n">
        <v>0</v>
      </c>
      <c r="E192" s="69" t="n">
        <v>0</v>
      </c>
      <c r="F192" s="69" t="n">
        <v>0</v>
      </c>
      <c r="G192" s="69" t="n">
        <v>0</v>
      </c>
      <c r="H192" s="69" t="n">
        <f aca="false">D192+F192-K192</f>
        <v>0</v>
      </c>
      <c r="I192" s="69" t="n">
        <v>0</v>
      </c>
      <c r="J192" s="70"/>
      <c r="K192" s="69" t="n">
        <v>0</v>
      </c>
      <c r="L192" s="71"/>
      <c r="M192" s="72" t="s">
        <v>645</v>
      </c>
      <c r="N192" s="73" t="s">
        <v>303</v>
      </c>
      <c r="O192" s="74" t="n">
        <v>2</v>
      </c>
      <c r="P192" s="74" t="n">
        <v>1195084.7</v>
      </c>
      <c r="Q192" s="63" t="n">
        <f aca="false">P192/O192</f>
        <v>597542.35</v>
      </c>
    </row>
    <row r="193" customFormat="false" ht="13.8" hidden="false" customHeight="false" outlineLevel="0" collapsed="false">
      <c r="A193" s="68"/>
      <c r="B193" s="68"/>
      <c r="C193" s="69"/>
      <c r="D193" s="69"/>
      <c r="E193" s="69"/>
      <c r="F193" s="69"/>
      <c r="G193" s="69"/>
      <c r="H193" s="69" t="n">
        <f aca="false">SUM(H175:H192)</f>
        <v>4131483098.36418</v>
      </c>
      <c r="I193" s="69"/>
      <c r="J193" s="70"/>
      <c r="K193" s="69"/>
      <c r="L193" s="71"/>
      <c r="M193" s="72"/>
      <c r="N193" s="73"/>
      <c r="O193" s="74"/>
      <c r="P193" s="74"/>
    </row>
    <row r="194" customFormat="false" ht="28.35" hidden="false" customHeight="false" outlineLevel="0" collapsed="false">
      <c r="A194" s="68" t="s">
        <v>199</v>
      </c>
      <c r="B194" s="68" t="n">
        <v>12</v>
      </c>
      <c r="C194" s="69" t="n">
        <v>77684</v>
      </c>
      <c r="D194" s="69" t="n">
        <v>588888</v>
      </c>
      <c r="E194" s="69" t="n">
        <v>24</v>
      </c>
      <c r="F194" s="69" t="n">
        <v>588888</v>
      </c>
      <c r="G194" s="69" t="n">
        <v>0</v>
      </c>
      <c r="H194" s="69" t="n">
        <f aca="false">D194+F194-K194</f>
        <v>0</v>
      </c>
      <c r="I194" s="69" t="n">
        <v>77708</v>
      </c>
      <c r="J194" s="70"/>
      <c r="K194" s="69" t="n">
        <v>1177776</v>
      </c>
      <c r="L194" s="71" t="n">
        <f aca="false">K194/I194</f>
        <v>15.1564317702167</v>
      </c>
      <c r="M194" s="75" t="s">
        <v>765</v>
      </c>
      <c r="N194" s="76" t="s">
        <v>311</v>
      </c>
      <c r="O194" s="77" t="n">
        <v>1030</v>
      </c>
      <c r="P194" s="77" t="n">
        <v>8025657.04</v>
      </c>
      <c r="Q194" s="63" t="n">
        <f aca="false">P194/O194</f>
        <v>7791.90003883495</v>
      </c>
    </row>
    <row r="195" customFormat="false" ht="28.35" hidden="false" customHeight="false" outlineLevel="0" collapsed="false">
      <c r="A195" s="68" t="s">
        <v>200</v>
      </c>
      <c r="B195" s="68" t="n">
        <v>12</v>
      </c>
      <c r="C195" s="69" t="n">
        <v>144</v>
      </c>
      <c r="D195" s="69" t="n">
        <v>1037304</v>
      </c>
      <c r="E195" s="69" t="n">
        <v>0</v>
      </c>
      <c r="F195" s="69" t="n">
        <v>0</v>
      </c>
      <c r="G195" s="69" t="n">
        <v>0</v>
      </c>
      <c r="H195" s="69" t="n">
        <f aca="false">D195+F195-K195</f>
        <v>0</v>
      </c>
      <c r="I195" s="69" t="n">
        <v>144</v>
      </c>
      <c r="J195" s="70"/>
      <c r="K195" s="69" t="n">
        <v>1037304</v>
      </c>
      <c r="L195" s="71" t="n">
        <f aca="false">K195/I195</f>
        <v>7203.5</v>
      </c>
      <c r="M195" s="75" t="s">
        <v>891</v>
      </c>
      <c r="N195" s="76" t="s">
        <v>753</v>
      </c>
      <c r="O195" s="77" t="n">
        <v>15683</v>
      </c>
      <c r="P195" s="74" t="n">
        <v>442153267.220137</v>
      </c>
      <c r="Q195" s="63" t="n">
        <f aca="false">P195/O195</f>
        <v>28193.156106621</v>
      </c>
    </row>
    <row r="196" customFormat="false" ht="14.9" hidden="false" customHeight="false" outlineLevel="0" collapsed="false">
      <c r="A196" s="68" t="s">
        <v>201</v>
      </c>
      <c r="B196" s="68" t="n">
        <v>12</v>
      </c>
      <c r="C196" s="69" t="n">
        <v>1032</v>
      </c>
      <c r="D196" s="69" t="n">
        <v>16267839</v>
      </c>
      <c r="E196" s="69" t="n">
        <v>180</v>
      </c>
      <c r="F196" s="69" t="n">
        <v>2916720</v>
      </c>
      <c r="G196" s="69" t="n">
        <v>720</v>
      </c>
      <c r="H196" s="69" t="n">
        <f aca="false">D196+F196-K196</f>
        <v>11396768</v>
      </c>
      <c r="I196" s="69" t="n">
        <v>492</v>
      </c>
      <c r="J196" s="70"/>
      <c r="K196" s="69" t="n">
        <v>7787791</v>
      </c>
      <c r="L196" s="71" t="n">
        <f aca="false">K196/I196</f>
        <v>15828.843495935</v>
      </c>
      <c r="M196" s="72" t="s">
        <v>771</v>
      </c>
      <c r="N196" s="73" t="s">
        <v>303</v>
      </c>
      <c r="O196" s="74" t="n">
        <v>19</v>
      </c>
      <c r="P196" s="74" t="n">
        <v>75273307</v>
      </c>
      <c r="Q196" s="63" t="n">
        <f aca="false">P196/O196</f>
        <v>3961753</v>
      </c>
    </row>
    <row r="197" customFormat="false" ht="14.9" hidden="false" customHeight="false" outlineLevel="0" collapsed="false">
      <c r="A197" s="68" t="s">
        <v>202</v>
      </c>
      <c r="B197" s="68" t="n">
        <v>12</v>
      </c>
      <c r="C197" s="69" t="n">
        <v>0</v>
      </c>
      <c r="D197" s="69" t="n">
        <v>0</v>
      </c>
      <c r="E197" s="69" t="n">
        <v>72</v>
      </c>
      <c r="F197" s="69" t="n">
        <v>1857744</v>
      </c>
      <c r="G197" s="69" t="n">
        <v>0</v>
      </c>
      <c r="H197" s="69" t="n">
        <f aca="false">D197+F197-K197</f>
        <v>0</v>
      </c>
      <c r="I197" s="69" t="n">
        <v>72</v>
      </c>
      <c r="J197" s="70"/>
      <c r="K197" s="69" t="n">
        <v>1857744</v>
      </c>
      <c r="L197" s="71" t="n">
        <f aca="false">K197/I197</f>
        <v>25802</v>
      </c>
      <c r="M197" s="72" t="s">
        <v>773</v>
      </c>
      <c r="N197" s="73" t="s">
        <v>303</v>
      </c>
      <c r="O197" s="74" t="n">
        <v>16</v>
      </c>
      <c r="P197" s="74" t="n">
        <v>0</v>
      </c>
      <c r="Q197" s="63" t="n">
        <f aca="false">P197/O197</f>
        <v>0</v>
      </c>
    </row>
    <row r="198" customFormat="false" ht="14.9" hidden="false" customHeight="false" outlineLevel="0" collapsed="false">
      <c r="A198" s="68" t="s">
        <v>203</v>
      </c>
      <c r="B198" s="68" t="n">
        <v>12</v>
      </c>
      <c r="C198" s="69" t="n">
        <v>5208</v>
      </c>
      <c r="D198" s="69" t="n">
        <v>58948499</v>
      </c>
      <c r="E198" s="69" t="n">
        <v>360</v>
      </c>
      <c r="F198" s="69" t="n">
        <v>4225320</v>
      </c>
      <c r="G198" s="69" t="n">
        <v>4681</v>
      </c>
      <c r="H198" s="69" t="n">
        <f aca="false">D198+F198-K198</f>
        <v>52758308</v>
      </c>
      <c r="I198" s="69" t="n">
        <v>887</v>
      </c>
      <c r="J198" s="70"/>
      <c r="K198" s="69" t="n">
        <v>10415511</v>
      </c>
      <c r="L198" s="71" t="n">
        <f aca="false">K198/I198</f>
        <v>11742.4024802706</v>
      </c>
      <c r="M198" s="72" t="s">
        <v>777</v>
      </c>
      <c r="N198" s="73" t="s">
        <v>303</v>
      </c>
      <c r="O198" s="74" t="n">
        <v>1</v>
      </c>
      <c r="P198" s="74" t="n">
        <v>424842</v>
      </c>
      <c r="Q198" s="63" t="n">
        <f aca="false">P198/O198</f>
        <v>424842</v>
      </c>
    </row>
    <row r="199" customFormat="false" ht="14.9" hidden="false" customHeight="false" outlineLevel="0" collapsed="false">
      <c r="A199" s="68" t="s">
        <v>204</v>
      </c>
      <c r="B199" s="68" t="n">
        <v>12</v>
      </c>
      <c r="C199" s="69" t="n">
        <v>12491</v>
      </c>
      <c r="D199" s="69" t="n">
        <v>384147850</v>
      </c>
      <c r="E199" s="69"/>
      <c r="F199" s="69" t="n">
        <v>0</v>
      </c>
      <c r="G199" s="69" t="n">
        <v>5514</v>
      </c>
      <c r="H199" s="69" t="n">
        <f aca="false">D199+F199-K199</f>
        <v>160810000</v>
      </c>
      <c r="I199" s="69" t="n">
        <v>6977</v>
      </c>
      <c r="J199" s="70"/>
      <c r="K199" s="69" t="n">
        <v>223337850</v>
      </c>
      <c r="L199" s="71" t="n">
        <f aca="false">K199/I199</f>
        <v>32010.5847785581</v>
      </c>
      <c r="M199" s="72" t="s">
        <v>775</v>
      </c>
      <c r="N199" s="73" t="s">
        <v>303</v>
      </c>
      <c r="O199" s="74" t="n">
        <v>3</v>
      </c>
      <c r="P199" s="74" t="n">
        <v>0</v>
      </c>
      <c r="Q199" s="63" t="n">
        <f aca="false">P199/O199</f>
        <v>0</v>
      </c>
    </row>
    <row r="200" customFormat="false" ht="28.35" hidden="false" customHeight="false" outlineLevel="0" collapsed="false">
      <c r="A200" s="68" t="s">
        <v>205</v>
      </c>
      <c r="B200" s="68" t="n">
        <v>12</v>
      </c>
      <c r="C200" s="69" t="n">
        <v>820</v>
      </c>
      <c r="D200" s="69" t="n">
        <v>49022428</v>
      </c>
      <c r="E200" s="69" t="n">
        <v>0</v>
      </c>
      <c r="F200" s="69" t="n">
        <v>0</v>
      </c>
      <c r="G200" s="69" t="n">
        <v>651</v>
      </c>
      <c r="H200" s="69" t="n">
        <f aca="false">D200+F200-K200</f>
        <v>37663574</v>
      </c>
      <c r="I200" s="69" t="n">
        <v>169</v>
      </c>
      <c r="J200" s="70"/>
      <c r="K200" s="69" t="n">
        <v>11358854</v>
      </c>
      <c r="L200" s="71" t="n">
        <f aca="false">K200/I200</f>
        <v>67212.1538461538</v>
      </c>
      <c r="M200" s="72" t="s">
        <v>649</v>
      </c>
      <c r="N200" s="73" t="s">
        <v>303</v>
      </c>
      <c r="O200" s="74" t="n">
        <v>2</v>
      </c>
      <c r="P200" s="74" t="n">
        <v>0</v>
      </c>
      <c r="Q200" s="63" t="n">
        <f aca="false">P200/O200</f>
        <v>0</v>
      </c>
    </row>
    <row r="201" customFormat="false" ht="28.35" hidden="false" customHeight="false" outlineLevel="0" collapsed="false">
      <c r="A201" s="68" t="s">
        <v>206</v>
      </c>
      <c r="B201" s="68" t="n">
        <v>12</v>
      </c>
      <c r="C201" s="69" t="n">
        <v>814</v>
      </c>
      <c r="D201" s="69" t="n">
        <v>26110276</v>
      </c>
      <c r="E201" s="69" t="n">
        <v>192</v>
      </c>
      <c r="F201" s="69" t="n">
        <v>6309812</v>
      </c>
      <c r="G201" s="69" t="n">
        <v>646</v>
      </c>
      <c r="H201" s="69" t="n">
        <f aca="false">D201+F201-K201</f>
        <v>20818466</v>
      </c>
      <c r="I201" s="69" t="n">
        <v>360</v>
      </c>
      <c r="J201" s="70"/>
      <c r="K201" s="69" t="n">
        <v>11601622</v>
      </c>
      <c r="L201" s="71" t="n">
        <f aca="false">K201/I201</f>
        <v>32226.7277777778</v>
      </c>
      <c r="M201" s="72" t="s">
        <v>779</v>
      </c>
      <c r="N201" s="73" t="s">
        <v>303</v>
      </c>
      <c r="O201" s="74" t="n">
        <v>4</v>
      </c>
      <c r="P201" s="74" t="n">
        <v>8364356</v>
      </c>
      <c r="Q201" s="63" t="n">
        <f aca="false">P201/O201</f>
        <v>2091089</v>
      </c>
    </row>
    <row r="202" customFormat="false" ht="28.35" hidden="false" customHeight="false" outlineLevel="0" collapsed="false">
      <c r="A202" s="68" t="s">
        <v>207</v>
      </c>
      <c r="B202" s="68" t="n">
        <v>12</v>
      </c>
      <c r="C202" s="69" t="n">
        <v>1728</v>
      </c>
      <c r="D202" s="69" t="n">
        <v>3454644</v>
      </c>
      <c r="E202" s="69"/>
      <c r="F202" s="69" t="n">
        <v>0</v>
      </c>
      <c r="G202" s="69" t="n">
        <v>1461</v>
      </c>
      <c r="H202" s="69" t="n">
        <f aca="false">D202+F202-K202</f>
        <v>38904</v>
      </c>
      <c r="I202" s="69" t="n">
        <v>267</v>
      </c>
      <c r="J202" s="70"/>
      <c r="K202" s="69" t="n">
        <v>3415740</v>
      </c>
      <c r="L202" s="71" t="n">
        <f aca="false">K202/I202</f>
        <v>12793.0337078652</v>
      </c>
      <c r="M202" s="72" t="s">
        <v>781</v>
      </c>
      <c r="N202" s="73" t="s">
        <v>303</v>
      </c>
      <c r="O202" s="74" t="n">
        <v>1</v>
      </c>
      <c r="P202" s="74" t="n">
        <v>5012280</v>
      </c>
      <c r="Q202" s="63" t="n">
        <f aca="false">P202/O202</f>
        <v>5012280</v>
      </c>
    </row>
    <row r="203" customFormat="false" ht="13.8" hidden="false" customHeight="false" outlineLevel="0" collapsed="false">
      <c r="A203" s="68" t="s">
        <v>208</v>
      </c>
      <c r="B203" s="68" t="n">
        <v>12</v>
      </c>
      <c r="C203" s="69" t="n">
        <v>13</v>
      </c>
      <c r="D203" s="69" t="n">
        <v>107765</v>
      </c>
      <c r="E203" s="69" t="n">
        <v>432</v>
      </c>
      <c r="F203" s="69" t="n">
        <v>4525632</v>
      </c>
      <c r="G203" s="69" t="n">
        <v>240</v>
      </c>
      <c r="H203" s="69" t="n">
        <f aca="false">D203+F203-K203</f>
        <v>2498911</v>
      </c>
      <c r="I203" s="69" t="n">
        <v>205</v>
      </c>
      <c r="J203" s="70"/>
      <c r="K203" s="69" t="n">
        <v>2134486</v>
      </c>
      <c r="L203" s="71" t="n">
        <f aca="false">K203/I203</f>
        <v>10412.1268292683</v>
      </c>
      <c r="P203" s="78" t="n">
        <f aca="false">SUM(P175:P202)</f>
        <v>7578657548.88852</v>
      </c>
    </row>
    <row r="204" customFormat="false" ht="13.8" hidden="false" customHeight="false" outlineLevel="0" collapsed="false">
      <c r="A204" s="68" t="s">
        <v>209</v>
      </c>
      <c r="B204" s="68" t="n">
        <v>12</v>
      </c>
      <c r="C204" s="69" t="n">
        <v>60</v>
      </c>
      <c r="D204" s="69" t="n">
        <v>3504600</v>
      </c>
      <c r="E204" s="69" t="n">
        <v>36</v>
      </c>
      <c r="F204" s="69" t="n">
        <v>2102760</v>
      </c>
      <c r="G204" s="69" t="n">
        <v>20</v>
      </c>
      <c r="H204" s="69" t="n">
        <f aca="false">D204+F204-K204</f>
        <v>1168200</v>
      </c>
      <c r="I204" s="69" t="n">
        <v>76</v>
      </c>
      <c r="J204" s="70"/>
      <c r="K204" s="69" t="n">
        <v>4439160</v>
      </c>
      <c r="L204" s="71" t="n">
        <f aca="false">K204/I204</f>
        <v>58410</v>
      </c>
    </row>
    <row r="205" customFormat="false" ht="13.8" hidden="false" customHeight="false" outlineLevel="0" collapsed="false">
      <c r="A205" s="68" t="s">
        <v>210</v>
      </c>
      <c r="B205" s="68" t="n">
        <v>12</v>
      </c>
      <c r="C205" s="69" t="n">
        <v>625</v>
      </c>
      <c r="D205" s="69" t="n">
        <v>6930861</v>
      </c>
      <c r="E205" s="69" t="n">
        <v>0</v>
      </c>
      <c r="F205" s="69" t="n">
        <v>0</v>
      </c>
      <c r="G205" s="69" t="n">
        <v>0</v>
      </c>
      <c r="H205" s="69" t="n">
        <f aca="false">D205+F205-K205</f>
        <v>0</v>
      </c>
      <c r="I205" s="69" t="n">
        <v>625</v>
      </c>
      <c r="J205" s="70"/>
      <c r="K205" s="69" t="n">
        <v>6930861</v>
      </c>
      <c r="L205" s="71" t="n">
        <f aca="false">K205/I205</f>
        <v>11089.3776</v>
      </c>
    </row>
    <row r="206" customFormat="false" ht="13.8" hidden="false" customHeight="false" outlineLevel="0" collapsed="false">
      <c r="A206" s="68" t="s">
        <v>211</v>
      </c>
      <c r="B206" s="68" t="n">
        <v>12</v>
      </c>
      <c r="C206" s="69" t="n">
        <v>0</v>
      </c>
      <c r="D206" s="69" t="n">
        <v>0</v>
      </c>
      <c r="E206" s="69" t="n">
        <v>115</v>
      </c>
      <c r="F206" s="69" t="n">
        <v>2133360</v>
      </c>
      <c r="G206" s="69" t="n">
        <v>0</v>
      </c>
      <c r="H206" s="69" t="n">
        <f aca="false">D206+F206-K206</f>
        <v>0</v>
      </c>
      <c r="I206" s="69" t="n">
        <v>115</v>
      </c>
      <c r="J206" s="70"/>
      <c r="K206" s="69" t="n">
        <v>2133360</v>
      </c>
      <c r="L206" s="71" t="n">
        <f aca="false">K206/I206</f>
        <v>18550.9565217391</v>
      </c>
    </row>
    <row r="207" customFormat="false" ht="13.8" hidden="false" customHeight="false" outlineLevel="0" collapsed="false">
      <c r="A207" s="68" t="s">
        <v>212</v>
      </c>
      <c r="B207" s="68" t="n">
        <v>12</v>
      </c>
      <c r="C207" s="69" t="n">
        <v>33249</v>
      </c>
      <c r="D207" s="69" t="n">
        <v>411726334</v>
      </c>
      <c r="E207" s="69" t="n">
        <v>6084</v>
      </c>
      <c r="F207" s="69" t="n">
        <v>40227840</v>
      </c>
      <c r="G207" s="69" t="n">
        <v>21793</v>
      </c>
      <c r="H207" s="69" t="n">
        <f aca="false">D207+F207-K207</f>
        <v>234183600</v>
      </c>
      <c r="I207" s="69" t="n">
        <v>17540</v>
      </c>
      <c r="J207" s="70"/>
      <c r="K207" s="69" t="n">
        <v>217770574</v>
      </c>
      <c r="L207" s="71" t="n">
        <f aca="false">K207/I207</f>
        <v>12415.6541619156</v>
      </c>
    </row>
    <row r="208" customFormat="false" ht="13.8" hidden="false" customHeight="false" outlineLevel="0" collapsed="false">
      <c r="A208" s="68" t="s">
        <v>213</v>
      </c>
      <c r="B208" s="68" t="n">
        <v>12</v>
      </c>
      <c r="C208" s="69" t="n">
        <v>3820</v>
      </c>
      <c r="D208" s="69" t="n">
        <v>76529330</v>
      </c>
      <c r="E208" s="69" t="n">
        <v>0</v>
      </c>
      <c r="F208" s="69" t="n">
        <v>0</v>
      </c>
      <c r="G208" s="69" t="n">
        <v>2430</v>
      </c>
      <c r="H208" s="69" t="n">
        <f aca="false">D208+F208-K208</f>
        <v>46999426</v>
      </c>
      <c r="I208" s="69" t="n">
        <v>1390</v>
      </c>
      <c r="J208" s="70"/>
      <c r="K208" s="69" t="n">
        <v>29529904</v>
      </c>
      <c r="L208" s="71" t="n">
        <f aca="false">K208/I208</f>
        <v>21244.5352517986</v>
      </c>
    </row>
    <row r="209" customFormat="false" ht="13.8" hidden="false" customHeight="false" outlineLevel="0" collapsed="false">
      <c r="A209" s="68" t="s">
        <v>214</v>
      </c>
      <c r="B209" s="68" t="n">
        <v>12</v>
      </c>
      <c r="C209" s="69" t="n">
        <v>9946</v>
      </c>
      <c r="D209" s="69" t="n">
        <v>217056384</v>
      </c>
      <c r="E209" s="69" t="n">
        <v>11664</v>
      </c>
      <c r="F209" s="69" t="n">
        <v>287377632</v>
      </c>
      <c r="G209" s="69" t="n">
        <v>11949</v>
      </c>
      <c r="H209" s="69" t="n">
        <f aca="false">D209+F209-K209</f>
        <v>266401600</v>
      </c>
      <c r="I209" s="69" t="n">
        <v>9661</v>
      </c>
      <c r="J209" s="70"/>
      <c r="K209" s="69" t="n">
        <v>238032416</v>
      </c>
      <c r="L209" s="71" t="n">
        <f aca="false">K209/I209</f>
        <v>24638.4862850637</v>
      </c>
    </row>
    <row r="210" customFormat="false" ht="13.8" hidden="false" customHeight="false" outlineLevel="0" collapsed="false">
      <c r="A210" s="68" t="s">
        <v>215</v>
      </c>
      <c r="B210" s="68" t="n">
        <v>12</v>
      </c>
      <c r="C210" s="69" t="n">
        <v>2800</v>
      </c>
      <c r="D210" s="69" t="n">
        <v>111956379</v>
      </c>
      <c r="E210" s="69" t="n">
        <v>0</v>
      </c>
      <c r="F210" s="69" t="n">
        <v>0</v>
      </c>
      <c r="G210" s="69" t="n">
        <v>2241</v>
      </c>
      <c r="H210" s="69" t="n">
        <f aca="false">D210+F210-K210</f>
        <v>88085680</v>
      </c>
      <c r="I210" s="69" t="n">
        <v>559</v>
      </c>
      <c r="J210" s="70"/>
      <c r="K210" s="69" t="n">
        <v>23870699</v>
      </c>
      <c r="L210" s="71" t="n">
        <f aca="false">K210/I210</f>
        <v>42702.5026833632</v>
      </c>
    </row>
    <row r="211" customFormat="false" ht="13.8" hidden="false" customHeight="false" outlineLevel="0" collapsed="false">
      <c r="A211" s="68" t="s">
        <v>216</v>
      </c>
      <c r="B211" s="68" t="n">
        <v>12</v>
      </c>
      <c r="C211" s="69" t="n">
        <v>0</v>
      </c>
      <c r="D211" s="69" t="n">
        <v>0</v>
      </c>
      <c r="E211" s="69" t="n">
        <v>160</v>
      </c>
      <c r="F211" s="69" t="n">
        <v>2778080</v>
      </c>
      <c r="G211" s="69" t="n">
        <v>160</v>
      </c>
      <c r="H211" s="69" t="n">
        <f aca="false">D211+F211-K211</f>
        <v>2778080</v>
      </c>
      <c r="I211" s="69" t="n">
        <v>0</v>
      </c>
      <c r="J211" s="70"/>
      <c r="K211" s="69" t="n">
        <v>0</v>
      </c>
      <c r="L211" s="71"/>
    </row>
    <row r="212" customFormat="false" ht="13.8" hidden="false" customHeight="false" outlineLevel="0" collapsed="false">
      <c r="A212" s="68" t="s">
        <v>217</v>
      </c>
      <c r="B212" s="68" t="n">
        <v>12</v>
      </c>
      <c r="C212" s="69" t="n">
        <v>10</v>
      </c>
      <c r="D212" s="69" t="n">
        <v>1775003</v>
      </c>
      <c r="E212" s="69" t="n">
        <v>80</v>
      </c>
      <c r="F212" s="69" t="n">
        <v>14456000</v>
      </c>
      <c r="G212" s="69" t="n">
        <v>0</v>
      </c>
      <c r="H212" s="69" t="n">
        <f aca="false">D212+F212-K212</f>
        <v>0</v>
      </c>
      <c r="I212" s="69" t="n">
        <v>90</v>
      </c>
      <c r="J212" s="70"/>
      <c r="K212" s="69" t="n">
        <v>16231003</v>
      </c>
      <c r="L212" s="71" t="n">
        <f aca="false">K212/I212</f>
        <v>180344.477777778</v>
      </c>
    </row>
    <row r="213" customFormat="false" ht="13.8" hidden="false" customHeight="false" outlineLevel="0" collapsed="false">
      <c r="A213" s="68" t="s">
        <v>218</v>
      </c>
      <c r="B213" s="68" t="n">
        <v>12</v>
      </c>
      <c r="C213" s="69" t="n">
        <v>0</v>
      </c>
      <c r="D213" s="69" t="n">
        <v>0</v>
      </c>
      <c r="E213" s="69" t="n">
        <v>50</v>
      </c>
      <c r="F213" s="69" t="n">
        <v>11800000</v>
      </c>
      <c r="G213" s="69" t="n">
        <v>0</v>
      </c>
      <c r="H213" s="69" t="n">
        <f aca="false">D213+F213-K213</f>
        <v>0</v>
      </c>
      <c r="I213" s="69" t="n">
        <v>50</v>
      </c>
      <c r="J213" s="70"/>
      <c r="K213" s="69" t="n">
        <v>11800000</v>
      </c>
      <c r="L213" s="71" t="n">
        <f aca="false">K213/I213</f>
        <v>236000</v>
      </c>
    </row>
    <row r="214" customFormat="false" ht="13.8" hidden="false" customHeight="false" outlineLevel="0" collapsed="false">
      <c r="A214" s="68" t="s">
        <v>219</v>
      </c>
      <c r="B214" s="68" t="n">
        <v>12</v>
      </c>
      <c r="C214" s="69" t="n">
        <v>0</v>
      </c>
      <c r="D214" s="69" t="n">
        <v>0</v>
      </c>
      <c r="E214" s="69" t="n">
        <v>30</v>
      </c>
      <c r="F214" s="69" t="n">
        <v>7080000</v>
      </c>
      <c r="G214" s="69" t="n">
        <v>0</v>
      </c>
      <c r="H214" s="69" t="n">
        <f aca="false">D214+F214-K214</f>
        <v>0</v>
      </c>
      <c r="I214" s="69" t="n">
        <v>30</v>
      </c>
      <c r="J214" s="70"/>
      <c r="K214" s="69" t="n">
        <v>7080000</v>
      </c>
      <c r="L214" s="71" t="n">
        <f aca="false">K214/I214</f>
        <v>236000</v>
      </c>
    </row>
    <row r="215" customFormat="false" ht="13.8" hidden="false" customHeight="false" outlineLevel="0" collapsed="false">
      <c r="A215" s="68" t="s">
        <v>220</v>
      </c>
      <c r="B215" s="68" t="n">
        <v>12</v>
      </c>
      <c r="C215" s="69" t="n">
        <v>0</v>
      </c>
      <c r="D215" s="69" t="n">
        <v>0</v>
      </c>
      <c r="E215" s="69" t="n">
        <v>72</v>
      </c>
      <c r="F215" s="69" t="n">
        <v>1847966</v>
      </c>
      <c r="G215" s="69" t="n">
        <v>0</v>
      </c>
      <c r="H215" s="69" t="n">
        <f aca="false">D215+F215-K215</f>
        <v>0</v>
      </c>
      <c r="I215" s="69" t="n">
        <v>72</v>
      </c>
      <c r="J215" s="70"/>
      <c r="K215" s="69" t="n">
        <v>1847966</v>
      </c>
      <c r="L215" s="71" t="n">
        <f aca="false">K215/I215</f>
        <v>25666.1944444444</v>
      </c>
    </row>
    <row r="216" customFormat="false" ht="13.8" hidden="false" customHeight="false" outlineLevel="0" collapsed="false">
      <c r="A216" s="68" t="s">
        <v>221</v>
      </c>
      <c r="B216" s="68" t="n">
        <v>12</v>
      </c>
      <c r="C216" s="69" t="n">
        <v>4178</v>
      </c>
      <c r="D216" s="69" t="n">
        <v>81823781</v>
      </c>
      <c r="E216" s="69" t="n">
        <v>1656</v>
      </c>
      <c r="F216" s="69" t="n">
        <v>32608296</v>
      </c>
      <c r="G216" s="69" t="n">
        <v>1904</v>
      </c>
      <c r="H216" s="69" t="n">
        <f aca="false">D216+F216-K216</f>
        <v>37346362</v>
      </c>
      <c r="I216" s="69" t="n">
        <v>3930</v>
      </c>
      <c r="J216" s="70"/>
      <c r="K216" s="69" t="n">
        <v>77085715</v>
      </c>
      <c r="L216" s="71" t="n">
        <f aca="false">K216/I216</f>
        <v>19614.6857506361</v>
      </c>
    </row>
    <row r="217" customFormat="false" ht="13.8" hidden="false" customHeight="false" outlineLevel="0" collapsed="false">
      <c r="A217" s="68" t="s">
        <v>222</v>
      </c>
      <c r="B217" s="68" t="n">
        <v>12</v>
      </c>
      <c r="C217" s="69" t="n">
        <v>1066</v>
      </c>
      <c r="D217" s="69" t="n">
        <v>22876165</v>
      </c>
      <c r="E217" s="69" t="n">
        <v>0</v>
      </c>
      <c r="F217" s="69" t="n">
        <v>0</v>
      </c>
      <c r="G217" s="69" t="n">
        <v>304</v>
      </c>
      <c r="H217" s="69" t="n">
        <f aca="false">D217+F217-K217</f>
        <v>3734008</v>
      </c>
      <c r="I217" s="69" t="n">
        <v>762</v>
      </c>
      <c r="J217" s="70"/>
      <c r="K217" s="69" t="n">
        <v>19142157</v>
      </c>
      <c r="L217" s="71" t="n">
        <f aca="false">K217/I217</f>
        <v>25120.9409448819</v>
      </c>
    </row>
    <row r="218" customFormat="false" ht="13.8" hidden="false" customHeight="false" outlineLevel="0" collapsed="false">
      <c r="A218" s="68" t="s">
        <v>223</v>
      </c>
      <c r="B218" s="68" t="n">
        <v>12</v>
      </c>
      <c r="C218" s="69" t="n">
        <v>337</v>
      </c>
      <c r="D218" s="69" t="n">
        <v>14575142</v>
      </c>
      <c r="E218" s="69" t="n">
        <v>0</v>
      </c>
      <c r="F218" s="69" t="n">
        <v>0</v>
      </c>
      <c r="G218" s="69" t="n">
        <v>90</v>
      </c>
      <c r="H218" s="69" t="n">
        <f aca="false">D218+F218-K218</f>
        <v>3892471</v>
      </c>
      <c r="I218" s="69" t="n">
        <v>247</v>
      </c>
      <c r="J218" s="70"/>
      <c r="K218" s="69" t="n">
        <v>10682671</v>
      </c>
      <c r="L218" s="71" t="n">
        <f aca="false">K218/I218</f>
        <v>43249.6801619433</v>
      </c>
    </row>
    <row r="219" customFormat="false" ht="13.8" hidden="false" customHeight="false" outlineLevel="0" collapsed="false">
      <c r="A219" s="68" t="s">
        <v>224</v>
      </c>
      <c r="B219" s="68" t="n">
        <v>12</v>
      </c>
      <c r="C219" s="69" t="n">
        <v>0</v>
      </c>
      <c r="D219" s="69" t="n">
        <v>0</v>
      </c>
      <c r="E219" s="69" t="n">
        <v>0</v>
      </c>
      <c r="F219" s="69" t="n">
        <v>0</v>
      </c>
      <c r="G219" s="69" t="n">
        <v>0</v>
      </c>
      <c r="H219" s="69" t="n">
        <f aca="false">D219+F219-K219</f>
        <v>0</v>
      </c>
      <c r="I219" s="69" t="n">
        <v>0</v>
      </c>
      <c r="J219" s="70"/>
      <c r="K219" s="69" t="n">
        <v>0</v>
      </c>
      <c r="L219" s="71"/>
    </row>
    <row r="220" customFormat="false" ht="13.8" hidden="false" customHeight="false" outlineLevel="0" collapsed="false">
      <c r="A220" s="68" t="s">
        <v>225</v>
      </c>
      <c r="B220" s="68" t="n">
        <v>12</v>
      </c>
      <c r="C220" s="69" t="n">
        <v>268</v>
      </c>
      <c r="D220" s="69" t="n">
        <v>5622934</v>
      </c>
      <c r="E220" s="69" t="n">
        <v>144</v>
      </c>
      <c r="F220" s="69" t="n">
        <v>3021278</v>
      </c>
      <c r="G220" s="69" t="n">
        <v>180</v>
      </c>
      <c r="H220" s="69" t="n">
        <f aca="false">D220+F220-K220</f>
        <v>3776597</v>
      </c>
      <c r="I220" s="69" t="n">
        <v>232</v>
      </c>
      <c r="J220" s="70"/>
      <c r="K220" s="69" t="n">
        <v>4867615</v>
      </c>
      <c r="L220" s="71" t="n">
        <f aca="false">K220/I220</f>
        <v>20981.099137931</v>
      </c>
    </row>
    <row r="221" customFormat="false" ht="13.8" hidden="false" customHeight="false" outlineLevel="0" collapsed="false">
      <c r="A221" s="68" t="s">
        <v>226</v>
      </c>
      <c r="B221" s="68" t="n">
        <v>12</v>
      </c>
      <c r="C221" s="69" t="n">
        <v>0</v>
      </c>
      <c r="D221" s="69" t="n">
        <v>0</v>
      </c>
      <c r="E221" s="69" t="n">
        <v>0</v>
      </c>
      <c r="F221" s="69" t="n">
        <v>0</v>
      </c>
      <c r="G221" s="69" t="n">
        <v>0</v>
      </c>
      <c r="H221" s="69" t="n">
        <f aca="false">D221+F221-K221</f>
        <v>0</v>
      </c>
      <c r="I221" s="69" t="n">
        <v>0</v>
      </c>
      <c r="J221" s="70"/>
      <c r="K221" s="69" t="n">
        <v>0</v>
      </c>
      <c r="L221" s="71"/>
    </row>
    <row r="222" customFormat="false" ht="13.8" hidden="false" customHeight="false" outlineLevel="0" collapsed="false">
      <c r="A222" s="68" t="s">
        <v>227</v>
      </c>
      <c r="B222" s="68" t="n">
        <v>12</v>
      </c>
      <c r="C222" s="69" t="n">
        <v>470</v>
      </c>
      <c r="D222" s="69" t="n">
        <v>0</v>
      </c>
      <c r="E222" s="69"/>
      <c r="F222" s="69" t="n">
        <v>0</v>
      </c>
      <c r="G222" s="69" t="n">
        <v>0</v>
      </c>
      <c r="H222" s="69" t="n">
        <f aca="false">D222+F222-K222</f>
        <v>0</v>
      </c>
      <c r="I222" s="69"/>
      <c r="J222" s="70"/>
      <c r="K222" s="69" t="n">
        <v>0</v>
      </c>
      <c r="L222" s="71"/>
    </row>
    <row r="223" customFormat="false" ht="13.8" hidden="false" customHeight="false" outlineLevel="0" collapsed="false">
      <c r="A223" s="68" t="s">
        <v>228</v>
      </c>
      <c r="B223" s="68" t="n">
        <v>12</v>
      </c>
      <c r="C223" s="69" t="n">
        <v>67</v>
      </c>
      <c r="D223" s="69" t="n">
        <v>5925955</v>
      </c>
      <c r="E223" s="69" t="n">
        <v>56</v>
      </c>
      <c r="F223" s="69" t="n">
        <v>4917248</v>
      </c>
      <c r="G223" s="69" t="n">
        <v>0</v>
      </c>
      <c r="H223" s="69" t="n">
        <f aca="false">D223+F223-K223</f>
        <v>0</v>
      </c>
      <c r="I223" s="69" t="n">
        <v>123</v>
      </c>
      <c r="J223" s="70"/>
      <c r="K223" s="69" t="n">
        <v>10843203</v>
      </c>
      <c r="L223" s="71" t="n">
        <f aca="false">K223/I223</f>
        <v>88156.1219512195</v>
      </c>
    </row>
    <row r="224" customFormat="false" ht="13.8" hidden="false" customHeight="false" outlineLevel="0" collapsed="false">
      <c r="A224" s="68" t="s">
        <v>229</v>
      </c>
      <c r="B224" s="68" t="n">
        <v>12</v>
      </c>
      <c r="C224" s="69" t="n">
        <v>2747</v>
      </c>
      <c r="D224" s="69" t="n">
        <v>247783362</v>
      </c>
      <c r="E224" s="69" t="n">
        <v>412</v>
      </c>
      <c r="F224" s="69" t="n">
        <v>36610448</v>
      </c>
      <c r="G224" s="69" t="n">
        <v>2933</v>
      </c>
      <c r="H224" s="69" t="n">
        <f aca="false">D224+F224-K224</f>
        <v>263286766</v>
      </c>
      <c r="I224" s="69" t="n">
        <v>226</v>
      </c>
      <c r="J224" s="70"/>
      <c r="K224" s="69" t="n">
        <v>21107044</v>
      </c>
      <c r="L224" s="71" t="n">
        <f aca="false">K224/I224</f>
        <v>93394</v>
      </c>
    </row>
    <row r="225" customFormat="false" ht="13.8" hidden="false" customHeight="false" outlineLevel="0" collapsed="false">
      <c r="A225" s="68" t="s">
        <v>230</v>
      </c>
      <c r="B225" s="68" t="n">
        <v>12</v>
      </c>
      <c r="C225" s="69" t="n">
        <v>1429</v>
      </c>
      <c r="D225" s="69" t="n">
        <v>91033464</v>
      </c>
      <c r="E225" s="69" t="n">
        <v>924</v>
      </c>
      <c r="F225" s="69" t="n">
        <v>52136000</v>
      </c>
      <c r="G225" s="69" t="n">
        <v>2107</v>
      </c>
      <c r="H225" s="69" t="n">
        <f aca="false">D225+F225-K225</f>
        <v>127167097</v>
      </c>
      <c r="I225" s="69" t="n">
        <v>246</v>
      </c>
      <c r="J225" s="70"/>
      <c r="K225" s="69" t="n">
        <v>16002367</v>
      </c>
      <c r="L225" s="71" t="n">
        <f aca="false">K225/I225</f>
        <v>65050.2723577236</v>
      </c>
    </row>
    <row r="226" customFormat="false" ht="13.8" hidden="false" customHeight="false" outlineLevel="0" collapsed="false">
      <c r="A226" s="68" t="s">
        <v>231</v>
      </c>
      <c r="B226" s="68" t="n">
        <v>12</v>
      </c>
      <c r="C226" s="69" t="n">
        <v>0</v>
      </c>
      <c r="D226" s="69" t="n">
        <v>0</v>
      </c>
      <c r="E226" s="69" t="n">
        <v>0</v>
      </c>
      <c r="F226" s="69" t="n">
        <v>0</v>
      </c>
      <c r="G226" s="69" t="n">
        <v>0</v>
      </c>
      <c r="H226" s="69" t="n">
        <f aca="false">D226+F226-K226</f>
        <v>0</v>
      </c>
      <c r="I226" s="69" t="n">
        <v>0</v>
      </c>
      <c r="J226" s="70"/>
      <c r="K226" s="69" t="n">
        <v>0</v>
      </c>
      <c r="L226" s="71" t="e">
        <f aca="false">K226/I226</f>
        <v>#DIV/0!</v>
      </c>
    </row>
    <row r="227" customFormat="false" ht="13.8" hidden="false" customHeight="false" outlineLevel="0" collapsed="false">
      <c r="A227" s="68" t="s">
        <v>232</v>
      </c>
      <c r="B227" s="68" t="n">
        <v>12</v>
      </c>
      <c r="C227" s="69" t="n">
        <v>897</v>
      </c>
      <c r="D227" s="69" t="n">
        <v>54866918</v>
      </c>
      <c r="E227" s="69" t="n">
        <v>389</v>
      </c>
      <c r="F227" s="69" t="n">
        <v>22866732</v>
      </c>
      <c r="G227" s="69" t="n">
        <v>665</v>
      </c>
      <c r="H227" s="69" t="n">
        <f aca="false">D227+F227-K227</f>
        <v>40196639</v>
      </c>
      <c r="I227" s="69" t="n">
        <v>621</v>
      </c>
      <c r="J227" s="70"/>
      <c r="K227" s="69" t="n">
        <v>37537011</v>
      </c>
      <c r="L227" s="71" t="n">
        <f aca="false">K227/I227</f>
        <v>60446.0724637681</v>
      </c>
    </row>
    <row r="228" customFormat="false" ht="13.8" hidden="false" customHeight="false" outlineLevel="0" collapsed="false">
      <c r="A228" s="68" t="s">
        <v>233</v>
      </c>
      <c r="B228" s="68" t="n">
        <v>12</v>
      </c>
      <c r="C228" s="69" t="n">
        <v>5775</v>
      </c>
      <c r="D228" s="69" t="n">
        <v>348275500</v>
      </c>
      <c r="E228" s="69" t="n">
        <v>2032</v>
      </c>
      <c r="F228" s="69" t="n">
        <v>100352000</v>
      </c>
      <c r="G228" s="69" t="n">
        <v>5082</v>
      </c>
      <c r="H228" s="69" t="n">
        <f aca="false">D228+F228-K228</f>
        <v>277727259</v>
      </c>
      <c r="I228" s="69" t="n">
        <v>2725</v>
      </c>
      <c r="J228" s="70"/>
      <c r="K228" s="69" t="n">
        <v>170900241</v>
      </c>
      <c r="L228" s="71" t="n">
        <f aca="false">K228/I228</f>
        <v>62715.6847706422</v>
      </c>
    </row>
    <row r="229" customFormat="false" ht="13.8" hidden="false" customHeight="false" outlineLevel="0" collapsed="false">
      <c r="A229" s="68" t="s">
        <v>234</v>
      </c>
      <c r="B229" s="68" t="n">
        <v>12</v>
      </c>
      <c r="C229" s="69" t="n">
        <v>22923</v>
      </c>
      <c r="D229" s="69" t="n">
        <v>1293167657</v>
      </c>
      <c r="E229" s="69" t="n">
        <v>17433</v>
      </c>
      <c r="F229" s="69" t="n">
        <v>905972760</v>
      </c>
      <c r="G229" s="69" t="n">
        <v>25056</v>
      </c>
      <c r="H229" s="69" t="n">
        <f aca="false">D229+F229-K229</f>
        <v>1286033703</v>
      </c>
      <c r="I229" s="69" t="n">
        <v>15300</v>
      </c>
      <c r="J229" s="70"/>
      <c r="K229" s="69" t="n">
        <v>913106714</v>
      </c>
      <c r="L229" s="71" t="n">
        <f aca="false">K229/I229</f>
        <v>59680.1773856209</v>
      </c>
    </row>
    <row r="230" customFormat="false" ht="13.8" hidden="false" customHeight="false" outlineLevel="0" collapsed="false">
      <c r="A230" s="68" t="s">
        <v>235</v>
      </c>
      <c r="B230" s="68" t="n">
        <v>12</v>
      </c>
      <c r="C230" s="69" t="n">
        <v>322</v>
      </c>
      <c r="D230" s="69" t="n">
        <v>22632087</v>
      </c>
      <c r="E230" s="69" t="n">
        <v>120</v>
      </c>
      <c r="F230" s="69" t="n">
        <v>8467200</v>
      </c>
      <c r="G230" s="69" t="n">
        <v>298</v>
      </c>
      <c r="H230" s="69" t="n">
        <f aca="false">D230+F230-K230</f>
        <v>20967393</v>
      </c>
      <c r="I230" s="69" t="n">
        <v>144</v>
      </c>
      <c r="J230" s="70"/>
      <c r="K230" s="69" t="n">
        <v>10131894</v>
      </c>
      <c r="L230" s="71" t="n">
        <f aca="false">K230/I230</f>
        <v>70360.375</v>
      </c>
    </row>
    <row r="231" customFormat="false" ht="13.8" hidden="false" customHeight="false" outlineLevel="0" collapsed="false">
      <c r="A231" s="68" t="s">
        <v>236</v>
      </c>
      <c r="B231" s="68" t="n">
        <v>12</v>
      </c>
      <c r="C231" s="69" t="n">
        <v>252</v>
      </c>
      <c r="D231" s="69" t="n">
        <v>16163532</v>
      </c>
      <c r="E231" s="69" t="n">
        <v>612</v>
      </c>
      <c r="F231" s="69" t="n">
        <v>37714908</v>
      </c>
      <c r="G231" s="69" t="n">
        <v>463</v>
      </c>
      <c r="H231" s="69" t="n">
        <f aca="false">D231+F231-K231</f>
        <v>28186406</v>
      </c>
      <c r="I231" s="69" t="n">
        <v>401</v>
      </c>
      <c r="J231" s="70"/>
      <c r="K231" s="69" t="n">
        <v>25692034</v>
      </c>
      <c r="L231" s="71" t="n">
        <f aca="false">K231/I231</f>
        <v>64069.9102244389</v>
      </c>
    </row>
    <row r="232" customFormat="false" ht="13.8" hidden="false" customHeight="false" outlineLevel="0" collapsed="false">
      <c r="A232" s="68" t="s">
        <v>237</v>
      </c>
      <c r="B232" s="68" t="n">
        <v>12</v>
      </c>
      <c r="C232" s="69" t="n">
        <v>235</v>
      </c>
      <c r="D232" s="69" t="n">
        <v>1918332</v>
      </c>
      <c r="E232" s="69" t="n">
        <v>235</v>
      </c>
      <c r="F232" s="69" t="n">
        <v>13933150</v>
      </c>
      <c r="G232" s="69" t="n">
        <v>235</v>
      </c>
      <c r="H232" s="69" t="n">
        <f aca="false">D232+F232-K232</f>
        <v>1918332</v>
      </c>
      <c r="I232" s="69" t="n">
        <v>235</v>
      </c>
      <c r="J232" s="70"/>
      <c r="K232" s="69" t="n">
        <v>13933150</v>
      </c>
      <c r="L232" s="71" t="n">
        <f aca="false">K232/I232</f>
        <v>59290</v>
      </c>
    </row>
    <row r="233" customFormat="false" ht="13.8" hidden="false" customHeight="false" outlineLevel="0" collapsed="false">
      <c r="A233" s="68" t="s">
        <v>238</v>
      </c>
      <c r="B233" s="68" t="n">
        <v>12</v>
      </c>
      <c r="C233" s="69" t="n">
        <v>942</v>
      </c>
      <c r="D233" s="69" t="n">
        <v>53507694</v>
      </c>
      <c r="E233" s="69" t="n">
        <v>0</v>
      </c>
      <c r="F233" s="69" t="n">
        <v>0</v>
      </c>
      <c r="G233" s="69" t="n">
        <v>543</v>
      </c>
      <c r="H233" s="69" t="n">
        <f aca="false">D233+F233-K233</f>
        <v>7497893</v>
      </c>
      <c r="I233" s="69" t="n">
        <v>399</v>
      </c>
      <c r="J233" s="70"/>
      <c r="K233" s="69" t="n">
        <v>46009801</v>
      </c>
      <c r="L233" s="71" t="n">
        <f aca="false">K233/I233</f>
        <v>115312.784461153</v>
      </c>
    </row>
    <row r="234" customFormat="false" ht="13.8" hidden="false" customHeight="false" outlineLevel="0" collapsed="false">
      <c r="A234" s="68" t="s">
        <v>239</v>
      </c>
      <c r="B234" s="68" t="n">
        <v>12</v>
      </c>
      <c r="C234" s="69" t="n">
        <v>0</v>
      </c>
      <c r="D234" s="69" t="n">
        <v>0</v>
      </c>
      <c r="E234" s="69" t="n">
        <v>0</v>
      </c>
      <c r="F234" s="69" t="n">
        <v>0</v>
      </c>
      <c r="G234" s="69" t="n">
        <v>0</v>
      </c>
      <c r="H234" s="69" t="n">
        <f aca="false">D234+F234-K234</f>
        <v>0</v>
      </c>
      <c r="I234" s="69" t="n">
        <v>0</v>
      </c>
      <c r="J234" s="70"/>
      <c r="K234" s="69" t="n">
        <v>0</v>
      </c>
      <c r="L234" s="71"/>
    </row>
    <row r="235" customFormat="false" ht="13.8" hidden="false" customHeight="false" outlineLevel="0" collapsed="false">
      <c r="A235" s="68" t="s">
        <v>240</v>
      </c>
      <c r="B235" s="68" t="n">
        <v>12</v>
      </c>
      <c r="C235" s="69" t="n">
        <v>25</v>
      </c>
      <c r="D235" s="69" t="n">
        <v>2337348</v>
      </c>
      <c r="E235" s="69" t="n">
        <v>2030</v>
      </c>
      <c r="F235" s="69" t="n">
        <v>189788760</v>
      </c>
      <c r="G235" s="69" t="n">
        <v>1506</v>
      </c>
      <c r="H235" s="69" t="n">
        <f aca="false">D235+F235-K235</f>
        <v>140798987</v>
      </c>
      <c r="I235" s="69" t="n">
        <v>549</v>
      </c>
      <c r="J235" s="70"/>
      <c r="K235" s="69" t="n">
        <v>51327121</v>
      </c>
      <c r="L235" s="71" t="n">
        <f aca="false">K235/I235</f>
        <v>93492.0236794171</v>
      </c>
    </row>
    <row r="236" customFormat="false" ht="13.8" hidden="false" customHeight="false" outlineLevel="0" collapsed="false">
      <c r="A236" s="68" t="s">
        <v>241</v>
      </c>
      <c r="B236" s="68" t="n">
        <v>12</v>
      </c>
      <c r="C236" s="69" t="n">
        <v>1186</v>
      </c>
      <c r="D236" s="69" t="n">
        <v>91489935</v>
      </c>
      <c r="E236" s="69" t="n">
        <v>464</v>
      </c>
      <c r="F236" s="69" t="n">
        <v>32792760</v>
      </c>
      <c r="G236" s="69" t="n">
        <v>769</v>
      </c>
      <c r="H236" s="69" t="n">
        <f aca="false">D236+F236-K236</f>
        <v>51294858</v>
      </c>
      <c r="I236" s="69" t="n">
        <v>881</v>
      </c>
      <c r="J236" s="70"/>
      <c r="K236" s="69" t="n">
        <v>72987837</v>
      </c>
      <c r="L236" s="71" t="n">
        <f aca="false">K236/I236</f>
        <v>82846.5800227015</v>
      </c>
    </row>
    <row r="237" customFormat="false" ht="13.8" hidden="false" customHeight="false" outlineLevel="0" collapsed="false">
      <c r="A237" s="68" t="s">
        <v>242</v>
      </c>
      <c r="B237" s="68" t="n">
        <v>12</v>
      </c>
      <c r="C237" s="69" t="n">
        <v>137</v>
      </c>
      <c r="D237" s="69" t="n">
        <v>9584186</v>
      </c>
      <c r="E237" s="69" t="n">
        <v>54</v>
      </c>
      <c r="F237" s="69" t="n">
        <v>3797010</v>
      </c>
      <c r="G237" s="69" t="n">
        <v>38</v>
      </c>
      <c r="H237" s="69" t="n">
        <f aca="false">D237+F237-K237</f>
        <v>2311934</v>
      </c>
      <c r="I237" s="69" t="n">
        <v>153</v>
      </c>
      <c r="J237" s="70"/>
      <c r="K237" s="69" t="n">
        <v>11069262</v>
      </c>
      <c r="L237" s="71" t="n">
        <f aca="false">K237/I237</f>
        <v>72348.1176470588</v>
      </c>
    </row>
    <row r="238" customFormat="false" ht="13.8" hidden="false" customHeight="false" outlineLevel="0" collapsed="false">
      <c r="A238" s="68" t="s">
        <v>243</v>
      </c>
      <c r="B238" s="68" t="n">
        <v>12</v>
      </c>
      <c r="C238" s="69" t="n">
        <v>1575</v>
      </c>
      <c r="D238" s="69" t="n">
        <v>144885570</v>
      </c>
      <c r="E238" s="69" t="n">
        <v>171</v>
      </c>
      <c r="F238" s="69" t="n">
        <v>15690192</v>
      </c>
      <c r="G238" s="69" t="n">
        <v>1617</v>
      </c>
      <c r="H238" s="69" t="n">
        <f aca="false">D238+F238-K238</f>
        <v>148711917</v>
      </c>
      <c r="I238" s="69" t="n">
        <v>129</v>
      </c>
      <c r="J238" s="70"/>
      <c r="K238" s="69" t="n">
        <v>11863845</v>
      </c>
      <c r="L238" s="71" t="n">
        <f aca="false">K238/I238</f>
        <v>91967.7906976744</v>
      </c>
    </row>
    <row r="239" customFormat="false" ht="13.8" hidden="false" customHeight="false" outlineLevel="0" collapsed="false">
      <c r="A239" s="68" t="s">
        <v>244</v>
      </c>
      <c r="B239" s="68" t="n">
        <v>12</v>
      </c>
      <c r="C239" s="69" t="n">
        <v>4</v>
      </c>
      <c r="D239" s="69" t="n">
        <v>351232</v>
      </c>
      <c r="E239" s="69" t="n">
        <v>48</v>
      </c>
      <c r="F239" s="69" t="n">
        <v>4214784</v>
      </c>
      <c r="G239" s="69" t="n">
        <v>52</v>
      </c>
      <c r="H239" s="69" t="n">
        <f aca="false">D239+F239-K239</f>
        <v>4566016</v>
      </c>
      <c r="I239" s="69" t="n">
        <v>0</v>
      </c>
      <c r="J239" s="70"/>
      <c r="K239" s="69" t="n">
        <v>0</v>
      </c>
      <c r="L239" s="71"/>
    </row>
    <row r="240" customFormat="false" ht="13.8" hidden="false" customHeight="false" outlineLevel="0" collapsed="false">
      <c r="A240" s="68" t="s">
        <v>245</v>
      </c>
      <c r="B240" s="68" t="n">
        <v>12</v>
      </c>
      <c r="C240" s="69" t="n">
        <v>0</v>
      </c>
      <c r="D240" s="69" t="n">
        <v>0</v>
      </c>
      <c r="E240" s="69" t="n">
        <v>0</v>
      </c>
      <c r="F240" s="69" t="n">
        <v>0</v>
      </c>
      <c r="G240" s="69" t="n">
        <v>0</v>
      </c>
      <c r="H240" s="69" t="n">
        <f aca="false">D240+F240-K240</f>
        <v>0</v>
      </c>
      <c r="I240" s="69" t="n">
        <v>0</v>
      </c>
      <c r="J240" s="70"/>
      <c r="K240" s="69" t="n">
        <v>0</v>
      </c>
      <c r="L240" s="71"/>
    </row>
    <row r="241" customFormat="false" ht="13.8" hidden="false" customHeight="false" outlineLevel="0" collapsed="false">
      <c r="A241" s="68" t="s">
        <v>246</v>
      </c>
      <c r="B241" s="68" t="n">
        <v>12</v>
      </c>
      <c r="C241" s="69" t="n">
        <v>8756</v>
      </c>
      <c r="D241" s="69" t="n">
        <v>62408741</v>
      </c>
      <c r="E241" s="69" t="n">
        <v>1920</v>
      </c>
      <c r="F241" s="69" t="n">
        <v>13684878</v>
      </c>
      <c r="G241" s="69" t="n">
        <v>135</v>
      </c>
      <c r="H241" s="69" t="n">
        <f aca="false">D241+F241-K241</f>
        <v>962218</v>
      </c>
      <c r="I241" s="69" t="n">
        <v>10541</v>
      </c>
      <c r="J241" s="70"/>
      <c r="K241" s="69" t="n">
        <v>75131401</v>
      </c>
      <c r="L241" s="71" t="n">
        <f aca="false">K241/I241</f>
        <v>7127.54017645385</v>
      </c>
    </row>
    <row r="242" customFormat="false" ht="13.8" hidden="false" customHeight="false" outlineLevel="0" collapsed="false">
      <c r="A242" s="68" t="s">
        <v>247</v>
      </c>
      <c r="B242" s="68" t="n">
        <v>12</v>
      </c>
      <c r="C242" s="69" t="n">
        <v>43404</v>
      </c>
      <c r="D242" s="69" t="n">
        <v>288267066</v>
      </c>
      <c r="E242" s="69" t="n">
        <v>2880</v>
      </c>
      <c r="F242" s="69" t="n">
        <v>20527315</v>
      </c>
      <c r="G242" s="69" t="n">
        <v>3104</v>
      </c>
      <c r="H242" s="69" t="n">
        <f aca="false">D242+F242-K242</f>
        <v>1027447</v>
      </c>
      <c r="I242" s="69" t="n">
        <v>43180</v>
      </c>
      <c r="J242" s="70"/>
      <c r="K242" s="69" t="n">
        <v>307766934</v>
      </c>
      <c r="L242" s="71" t="n">
        <f aca="false">K242/I242</f>
        <v>7127.53436776285</v>
      </c>
    </row>
    <row r="243" customFormat="false" ht="13.8" hidden="false" customHeight="false" outlineLevel="0" collapsed="false">
      <c r="A243" s="68" t="s">
        <v>248</v>
      </c>
      <c r="B243" s="68" t="n">
        <v>12</v>
      </c>
      <c r="C243" s="69" t="n">
        <v>384</v>
      </c>
      <c r="D243" s="69" t="n">
        <v>1852721</v>
      </c>
      <c r="E243" s="69" t="n">
        <v>0</v>
      </c>
      <c r="F243" s="69" t="n">
        <v>0</v>
      </c>
      <c r="G243" s="69" t="n">
        <v>0</v>
      </c>
      <c r="H243" s="69" t="n">
        <f aca="false">D243+F243-K243</f>
        <v>0</v>
      </c>
      <c r="I243" s="69" t="n">
        <v>384</v>
      </c>
      <c r="J243" s="70"/>
      <c r="K243" s="69" t="n">
        <v>1852721</v>
      </c>
      <c r="L243" s="71" t="n">
        <f aca="false">K243/I243</f>
        <v>4824.79427083333</v>
      </c>
    </row>
    <row r="244" customFormat="false" ht="13.8" hidden="false" customHeight="false" outlineLevel="0" collapsed="false">
      <c r="A244" s="68" t="s">
        <v>249</v>
      </c>
      <c r="B244" s="68" t="n">
        <v>12</v>
      </c>
      <c r="C244" s="69" t="n">
        <v>420</v>
      </c>
      <c r="D244" s="69" t="n">
        <v>1974630</v>
      </c>
      <c r="E244" s="69" t="n">
        <v>271</v>
      </c>
      <c r="F244" s="69" t="n">
        <v>0</v>
      </c>
      <c r="G244" s="69" t="n">
        <v>0</v>
      </c>
      <c r="H244" s="69" t="n">
        <f aca="false">D244+F244-K244</f>
        <v>0</v>
      </c>
      <c r="I244" s="69" t="n">
        <v>691</v>
      </c>
      <c r="J244" s="70"/>
      <c r="K244" s="69" t="n">
        <v>1974630</v>
      </c>
      <c r="L244" s="71" t="n">
        <f aca="false">K244/I244</f>
        <v>2857.64109985528</v>
      </c>
    </row>
    <row r="245" customFormat="false" ht="13.8" hidden="false" customHeight="false" outlineLevel="0" collapsed="false">
      <c r="A245" s="68" t="s">
        <v>250</v>
      </c>
      <c r="B245" s="68" t="n">
        <v>12</v>
      </c>
      <c r="C245" s="69" t="n">
        <v>16561</v>
      </c>
      <c r="D245" s="69" t="n">
        <v>169801355</v>
      </c>
      <c r="E245" s="69" t="n">
        <v>20781</v>
      </c>
      <c r="F245" s="69" t="n">
        <v>199603082</v>
      </c>
      <c r="G245" s="69" t="n">
        <v>11497</v>
      </c>
      <c r="H245" s="69" t="n">
        <f aca="false">D245+F245-K245</f>
        <v>185196842</v>
      </c>
      <c r="I245" s="69" t="n">
        <v>25845</v>
      </c>
      <c r="J245" s="70"/>
      <c r="K245" s="69" t="n">
        <v>184207595</v>
      </c>
      <c r="L245" s="71" t="n">
        <f aca="false">K245/I245</f>
        <v>7127.3977558522</v>
      </c>
    </row>
    <row r="246" customFormat="false" ht="13.8" hidden="false" customHeight="false" outlineLevel="0" collapsed="false">
      <c r="A246" s="68" t="s">
        <v>251</v>
      </c>
      <c r="B246" s="68" t="n">
        <v>12</v>
      </c>
      <c r="C246" s="69" t="n">
        <v>0</v>
      </c>
      <c r="D246" s="69"/>
      <c r="E246" s="69"/>
      <c r="F246" s="69"/>
      <c r="G246" s="69"/>
      <c r="H246" s="69" t="n">
        <f aca="false">D246+F246-K246</f>
        <v>0</v>
      </c>
      <c r="I246" s="69"/>
      <c r="J246" s="70"/>
      <c r="K246" s="69"/>
      <c r="L246" s="71"/>
    </row>
    <row r="247" customFormat="false" ht="13.8" hidden="false" customHeight="false" outlineLevel="0" collapsed="false">
      <c r="A247" s="68" t="s">
        <v>252</v>
      </c>
      <c r="B247" s="68" t="n">
        <v>12</v>
      </c>
      <c r="C247" s="69" t="n">
        <v>0</v>
      </c>
      <c r="D247" s="69" t="n">
        <v>0</v>
      </c>
      <c r="E247" s="69" t="n">
        <v>0</v>
      </c>
      <c r="F247" s="69" t="n">
        <v>0</v>
      </c>
      <c r="G247" s="69" t="n">
        <v>0</v>
      </c>
      <c r="H247" s="69" t="n">
        <f aca="false">D247+F247-K247</f>
        <v>0</v>
      </c>
      <c r="I247" s="69" t="n">
        <v>0</v>
      </c>
      <c r="J247" s="70"/>
      <c r="K247" s="69" t="n">
        <v>0</v>
      </c>
      <c r="L247" s="71"/>
    </row>
    <row r="248" customFormat="false" ht="13.8" hidden="false" customHeight="false" outlineLevel="0" collapsed="false">
      <c r="A248" s="68" t="s">
        <v>253</v>
      </c>
      <c r="B248" s="68" t="n">
        <v>12</v>
      </c>
      <c r="C248" s="69" t="n">
        <v>0</v>
      </c>
      <c r="D248" s="69" t="n">
        <v>0</v>
      </c>
      <c r="E248" s="69" t="n">
        <v>0</v>
      </c>
      <c r="F248" s="69" t="n">
        <v>0</v>
      </c>
      <c r="G248" s="69" t="n">
        <v>0</v>
      </c>
      <c r="H248" s="69" t="n">
        <f aca="false">D248+F248-K248</f>
        <v>0</v>
      </c>
      <c r="I248" s="69" t="n">
        <v>0</v>
      </c>
      <c r="J248" s="70"/>
      <c r="K248" s="69" t="n">
        <v>0</v>
      </c>
      <c r="L248" s="71"/>
    </row>
    <row r="249" customFormat="false" ht="13.8" hidden="false" customHeight="false" outlineLevel="0" collapsed="false">
      <c r="A249" s="68" t="s">
        <v>254</v>
      </c>
      <c r="B249" s="68" t="n">
        <v>12</v>
      </c>
      <c r="C249" s="69" t="n">
        <v>178</v>
      </c>
      <c r="D249" s="69" t="n">
        <v>6117278</v>
      </c>
      <c r="E249" s="69" t="n">
        <v>62</v>
      </c>
      <c r="F249" s="69" t="n">
        <v>2130804</v>
      </c>
      <c r="G249" s="69" t="n">
        <v>240</v>
      </c>
      <c r="H249" s="69" t="n">
        <f aca="false">D249+F249-K249</f>
        <v>8248082</v>
      </c>
      <c r="I249" s="69" t="n">
        <v>0</v>
      </c>
      <c r="J249" s="70"/>
      <c r="K249" s="69" t="n">
        <v>0</v>
      </c>
      <c r="L249" s="71"/>
    </row>
    <row r="250" customFormat="false" ht="13.8" hidden="false" customHeight="false" outlineLevel="0" collapsed="false">
      <c r="A250" s="68" t="s">
        <v>255</v>
      </c>
      <c r="B250" s="68" t="n">
        <v>12</v>
      </c>
      <c r="C250" s="69" t="n">
        <v>0</v>
      </c>
      <c r="D250" s="69" t="n">
        <v>884858</v>
      </c>
      <c r="E250" s="69" t="n">
        <v>40</v>
      </c>
      <c r="F250" s="69" t="n">
        <v>3487564</v>
      </c>
      <c r="G250" s="69" t="n">
        <v>40</v>
      </c>
      <c r="H250" s="69" t="n">
        <f aca="false">D250+F250-K250</f>
        <v>4372422</v>
      </c>
      <c r="I250" s="69" t="n">
        <v>0</v>
      </c>
      <c r="J250" s="70"/>
      <c r="K250" s="69" t="n">
        <v>0</v>
      </c>
      <c r="L250" s="71"/>
    </row>
    <row r="251" customFormat="false" ht="13.8" hidden="false" customHeight="false" outlineLevel="0" collapsed="false">
      <c r="A251" s="68" t="s">
        <v>256</v>
      </c>
      <c r="B251" s="68" t="n">
        <v>12</v>
      </c>
      <c r="C251" s="69" t="n">
        <v>0</v>
      </c>
      <c r="D251" s="69" t="n">
        <v>0</v>
      </c>
      <c r="E251" s="69" t="n">
        <v>110</v>
      </c>
      <c r="F251" s="69" t="n">
        <v>4786700</v>
      </c>
      <c r="G251" s="69" t="n">
        <v>110</v>
      </c>
      <c r="H251" s="69" t="n">
        <f aca="false">D251+F251-K251</f>
        <v>4786700</v>
      </c>
      <c r="I251" s="69" t="n">
        <v>0</v>
      </c>
      <c r="J251" s="70"/>
      <c r="K251" s="69" t="n">
        <v>0</v>
      </c>
      <c r="L251" s="71"/>
    </row>
    <row r="252" customFormat="false" ht="13.8" hidden="false" customHeight="false" outlineLevel="0" collapsed="false">
      <c r="A252" s="68" t="s">
        <v>257</v>
      </c>
      <c r="B252" s="68" t="n">
        <v>12</v>
      </c>
      <c r="C252" s="69" t="n">
        <v>26</v>
      </c>
      <c r="D252" s="69" t="n">
        <v>1423200</v>
      </c>
      <c r="E252" s="69" t="n">
        <v>24</v>
      </c>
      <c r="F252" s="69" t="n">
        <v>1313723</v>
      </c>
      <c r="G252" s="69" t="n">
        <v>50</v>
      </c>
      <c r="H252" s="69" t="n">
        <f aca="false">D252+F252-K252</f>
        <v>2736923</v>
      </c>
      <c r="I252" s="69" t="n">
        <v>0</v>
      </c>
      <c r="J252" s="70"/>
      <c r="K252" s="69" t="n">
        <v>0</v>
      </c>
      <c r="L252" s="71"/>
    </row>
    <row r="253" customFormat="false" ht="13.8" hidden="false" customHeight="false" outlineLevel="0" collapsed="false">
      <c r="A253" s="68" t="s">
        <v>258</v>
      </c>
      <c r="B253" s="68" t="n">
        <v>12</v>
      </c>
      <c r="C253" s="69" t="n">
        <v>1315</v>
      </c>
      <c r="D253" s="69" t="n">
        <v>5870462</v>
      </c>
      <c r="E253" s="69" t="n">
        <v>150</v>
      </c>
      <c r="F253" s="69" t="n">
        <v>2298240</v>
      </c>
      <c r="G253" s="69" t="n">
        <v>1126</v>
      </c>
      <c r="H253" s="69" t="n">
        <f aca="false">D253+F253-K253</f>
        <v>3829633</v>
      </c>
      <c r="I253" s="69" t="n">
        <v>339</v>
      </c>
      <c r="J253" s="70"/>
      <c r="K253" s="69" t="n">
        <v>4339069</v>
      </c>
      <c r="L253" s="71" t="n">
        <f aca="false">K253/I253</f>
        <v>12799.6135693215</v>
      </c>
    </row>
    <row r="254" customFormat="false" ht="13.8" hidden="false" customHeight="false" outlineLevel="0" collapsed="false">
      <c r="A254" s="68" t="s">
        <v>259</v>
      </c>
      <c r="B254" s="68" t="n">
        <v>12</v>
      </c>
      <c r="C254" s="69" t="n">
        <v>90</v>
      </c>
      <c r="D254" s="69" t="n">
        <v>1980663</v>
      </c>
      <c r="E254" s="69" t="n">
        <v>0</v>
      </c>
      <c r="F254" s="69" t="n">
        <v>0</v>
      </c>
      <c r="G254" s="69" t="n">
        <v>0</v>
      </c>
      <c r="H254" s="69" t="n">
        <f aca="false">D254+F254-K254</f>
        <v>0</v>
      </c>
      <c r="I254" s="69" t="n">
        <v>90</v>
      </c>
      <c r="J254" s="70"/>
      <c r="K254" s="69" t="n">
        <v>1980663</v>
      </c>
      <c r="L254" s="71" t="n">
        <f aca="false">K254/I254</f>
        <v>22007.3666666667</v>
      </c>
    </row>
    <row r="255" customFormat="false" ht="13.8" hidden="false" customHeight="false" outlineLevel="0" collapsed="false">
      <c r="A255" s="68" t="s">
        <v>260</v>
      </c>
      <c r="B255" s="68" t="n">
        <v>12</v>
      </c>
      <c r="C255" s="69" t="n">
        <v>7</v>
      </c>
      <c r="D255" s="69" t="n">
        <v>460192</v>
      </c>
      <c r="E255" s="69" t="n">
        <v>0</v>
      </c>
      <c r="F255" s="69" t="n">
        <v>0</v>
      </c>
      <c r="G255" s="69" t="n">
        <v>0</v>
      </c>
      <c r="H255" s="69" t="n">
        <f aca="false">D255+F255-K255</f>
        <v>0</v>
      </c>
      <c r="I255" s="69" t="n">
        <v>7</v>
      </c>
      <c r="J255" s="70"/>
      <c r="K255" s="69" t="n">
        <v>460192</v>
      </c>
      <c r="L255" s="71" t="n">
        <f aca="false">K255/I255</f>
        <v>65741.7142857143</v>
      </c>
    </row>
    <row r="256" customFormat="false" ht="13.8" hidden="false" customHeight="false" outlineLevel="0" collapsed="false">
      <c r="A256" s="68" t="s">
        <v>261</v>
      </c>
      <c r="B256" s="68" t="n">
        <v>12</v>
      </c>
      <c r="C256" s="69" t="n">
        <v>0</v>
      </c>
      <c r="D256" s="69" t="n">
        <v>0</v>
      </c>
      <c r="E256" s="69" t="n">
        <v>0</v>
      </c>
      <c r="F256" s="69" t="n">
        <v>0</v>
      </c>
      <c r="G256" s="69" t="n">
        <v>0</v>
      </c>
      <c r="H256" s="69" t="n">
        <f aca="false">D256+F256-K256</f>
        <v>0</v>
      </c>
      <c r="I256" s="69" t="n">
        <v>0</v>
      </c>
      <c r="J256" s="70"/>
      <c r="K256" s="69" t="n">
        <v>0</v>
      </c>
      <c r="L256" s="71"/>
    </row>
    <row r="257" customFormat="false" ht="13.8" hidden="false" customHeight="false" outlineLevel="0" collapsed="false">
      <c r="A257" s="68" t="s">
        <v>262</v>
      </c>
      <c r="B257" s="68" t="n">
        <v>12</v>
      </c>
      <c r="C257" s="69" t="n">
        <v>4</v>
      </c>
      <c r="D257" s="69" t="n">
        <v>330624</v>
      </c>
      <c r="E257" s="69" t="n">
        <v>0</v>
      </c>
      <c r="F257" s="69" t="n">
        <v>0</v>
      </c>
      <c r="G257" s="69" t="n">
        <v>0</v>
      </c>
      <c r="H257" s="69" t="n">
        <f aca="false">D257+F257-K257</f>
        <v>0</v>
      </c>
      <c r="I257" s="69" t="n">
        <v>4</v>
      </c>
      <c r="J257" s="70"/>
      <c r="K257" s="69" t="n">
        <v>330624</v>
      </c>
      <c r="L257" s="71" t="n">
        <f aca="false">K257/I257</f>
        <v>82656</v>
      </c>
    </row>
    <row r="258" customFormat="false" ht="13.8" hidden="false" customHeight="false" outlineLevel="0" collapsed="false">
      <c r="A258" s="68" t="s">
        <v>263</v>
      </c>
      <c r="B258" s="68" t="n">
        <v>12</v>
      </c>
      <c r="C258" s="69" t="n">
        <v>0</v>
      </c>
      <c r="D258" s="69" t="n">
        <v>0</v>
      </c>
      <c r="E258" s="69" t="n">
        <v>0</v>
      </c>
      <c r="F258" s="69" t="n">
        <v>0</v>
      </c>
      <c r="G258" s="69" t="n">
        <v>0</v>
      </c>
      <c r="H258" s="69" t="n">
        <f aca="false">D258+F258-K258</f>
        <v>0</v>
      </c>
      <c r="I258" s="69" t="n">
        <v>0</v>
      </c>
      <c r="J258" s="70"/>
      <c r="K258" s="69" t="n">
        <v>0</v>
      </c>
      <c r="L258" s="71"/>
    </row>
    <row r="259" customFormat="false" ht="13.8" hidden="false" customHeight="false" outlineLevel="0" collapsed="false">
      <c r="A259" s="68" t="s">
        <v>264</v>
      </c>
      <c r="B259" s="68" t="n">
        <v>12</v>
      </c>
      <c r="C259" s="69" t="n">
        <v>0</v>
      </c>
      <c r="D259" s="69" t="n">
        <v>0</v>
      </c>
      <c r="E259" s="69" t="n">
        <v>0</v>
      </c>
      <c r="F259" s="69" t="n">
        <v>0</v>
      </c>
      <c r="G259" s="69" t="n">
        <v>0</v>
      </c>
      <c r="H259" s="69" t="n">
        <f aca="false">D259+F259-K259</f>
        <v>0</v>
      </c>
      <c r="I259" s="69" t="n">
        <v>0</v>
      </c>
      <c r="J259" s="70"/>
      <c r="K259" s="69" t="n">
        <v>0</v>
      </c>
      <c r="L259" s="71"/>
    </row>
    <row r="260" customFormat="false" ht="13.8" hidden="false" customHeight="false" outlineLevel="0" collapsed="false">
      <c r="A260" s="68" t="s">
        <v>265</v>
      </c>
      <c r="B260" s="68" t="n">
        <v>12</v>
      </c>
      <c r="C260" s="69" t="n">
        <v>5</v>
      </c>
      <c r="D260" s="69" t="n">
        <v>412800</v>
      </c>
      <c r="E260" s="69" t="n">
        <v>0</v>
      </c>
      <c r="F260" s="69" t="n">
        <v>0</v>
      </c>
      <c r="G260" s="69" t="n">
        <v>0</v>
      </c>
      <c r="H260" s="69" t="n">
        <f aca="false">D260+F260-K260</f>
        <v>0</v>
      </c>
      <c r="I260" s="69" t="n">
        <v>5</v>
      </c>
      <c r="J260" s="70"/>
      <c r="K260" s="69" t="n">
        <v>412800</v>
      </c>
      <c r="L260" s="71" t="n">
        <f aca="false">K260/I260</f>
        <v>82560</v>
      </c>
    </row>
    <row r="261" customFormat="false" ht="13.8" hidden="false" customHeight="false" outlineLevel="0" collapsed="false">
      <c r="A261" s="68" t="s">
        <v>266</v>
      </c>
      <c r="B261" s="68" t="n">
        <v>12</v>
      </c>
      <c r="C261" s="69" t="n">
        <v>5</v>
      </c>
      <c r="D261" s="69" t="n">
        <v>441600</v>
      </c>
      <c r="E261" s="69" t="n">
        <v>0</v>
      </c>
      <c r="F261" s="69" t="n">
        <v>0</v>
      </c>
      <c r="G261" s="69" t="n">
        <v>0</v>
      </c>
      <c r="H261" s="69" t="n">
        <f aca="false">D261+F261-K261</f>
        <v>0</v>
      </c>
      <c r="I261" s="69" t="n">
        <v>5</v>
      </c>
      <c r="J261" s="70"/>
      <c r="K261" s="69" t="n">
        <v>441600</v>
      </c>
      <c r="L261" s="71" t="n">
        <f aca="false">K261/I261</f>
        <v>88320</v>
      </c>
    </row>
    <row r="262" customFormat="false" ht="13.8" hidden="false" customHeight="false" outlineLevel="0" collapsed="false">
      <c r="A262" s="68" t="s">
        <v>267</v>
      </c>
      <c r="B262" s="68" t="n">
        <v>12</v>
      </c>
      <c r="C262" s="69" t="n">
        <v>6</v>
      </c>
      <c r="D262" s="69" t="n">
        <v>447000</v>
      </c>
      <c r="E262" s="69"/>
      <c r="F262" s="69" t="n">
        <v>0</v>
      </c>
      <c r="G262" s="69"/>
      <c r="H262" s="69" t="n">
        <f aca="false">D262+F262-K262</f>
        <v>0</v>
      </c>
      <c r="I262" s="69" t="n">
        <v>6</v>
      </c>
      <c r="J262" s="70"/>
      <c r="K262" s="69" t="n">
        <v>447000</v>
      </c>
      <c r="L262" s="71" t="n">
        <f aca="false">K262/I262</f>
        <v>74500</v>
      </c>
    </row>
    <row r="263" customFormat="false" ht="13.8" hidden="false" customHeight="false" outlineLevel="0" collapsed="false">
      <c r="A263" s="68" t="s">
        <v>268</v>
      </c>
      <c r="B263" s="68" t="n">
        <v>12</v>
      </c>
      <c r="C263" s="69" t="n">
        <v>0</v>
      </c>
      <c r="D263" s="69" t="n">
        <v>0</v>
      </c>
      <c r="E263" s="69" t="n">
        <v>0</v>
      </c>
      <c r="F263" s="69" t="n">
        <v>0</v>
      </c>
      <c r="G263" s="69" t="n">
        <v>0</v>
      </c>
      <c r="H263" s="69" t="n">
        <f aca="false">D263+F263-K263</f>
        <v>0</v>
      </c>
      <c r="I263" s="69" t="n">
        <v>0</v>
      </c>
      <c r="J263" s="70"/>
      <c r="K263" s="69" t="n">
        <v>0</v>
      </c>
      <c r="L263" s="71"/>
    </row>
    <row r="264" customFormat="false" ht="13.8" hidden="false" customHeight="false" outlineLevel="0" collapsed="false">
      <c r="A264" s="68" t="s">
        <v>269</v>
      </c>
      <c r="B264" s="68" t="n">
        <v>12</v>
      </c>
      <c r="C264" s="69" t="n">
        <v>0</v>
      </c>
      <c r="D264" s="69" t="n">
        <v>0</v>
      </c>
      <c r="E264" s="69" t="n">
        <v>0</v>
      </c>
      <c r="F264" s="69" t="n">
        <v>0</v>
      </c>
      <c r="G264" s="69" t="n">
        <v>0</v>
      </c>
      <c r="H264" s="69" t="n">
        <f aca="false">D264+F264-K264</f>
        <v>0</v>
      </c>
      <c r="I264" s="69" t="n">
        <v>0</v>
      </c>
      <c r="J264" s="70"/>
      <c r="K264" s="69" t="n">
        <v>0</v>
      </c>
      <c r="L264" s="71"/>
    </row>
    <row r="265" customFormat="false" ht="13.8" hidden="false" customHeight="false" outlineLevel="0" collapsed="false">
      <c r="A265" s="68" t="s">
        <v>270</v>
      </c>
      <c r="B265" s="68" t="n">
        <v>12</v>
      </c>
      <c r="C265" s="69" t="n">
        <v>0</v>
      </c>
      <c r="D265" s="69" t="n">
        <v>0</v>
      </c>
      <c r="E265" s="69" t="n">
        <v>0</v>
      </c>
      <c r="F265" s="69" t="n">
        <v>0</v>
      </c>
      <c r="G265" s="69" t="n">
        <v>0</v>
      </c>
      <c r="H265" s="69" t="n">
        <f aca="false">D265+F265-K265</f>
        <v>0</v>
      </c>
      <c r="I265" s="69" t="n">
        <v>0</v>
      </c>
      <c r="J265" s="70"/>
      <c r="K265" s="69" t="n">
        <v>0</v>
      </c>
      <c r="L265" s="71"/>
    </row>
    <row r="266" customFormat="false" ht="13.8" hidden="false" customHeight="false" outlineLevel="0" collapsed="false">
      <c r="A266" s="68" t="s">
        <v>271</v>
      </c>
      <c r="B266" s="68" t="n">
        <v>12</v>
      </c>
      <c r="C266" s="69" t="n">
        <v>0</v>
      </c>
      <c r="D266" s="69" t="n">
        <v>0</v>
      </c>
      <c r="E266" s="69" t="n">
        <v>0</v>
      </c>
      <c r="F266" s="69" t="n">
        <v>0</v>
      </c>
      <c r="G266" s="69" t="n">
        <v>0</v>
      </c>
      <c r="H266" s="69" t="n">
        <f aca="false">D266+F266-K266</f>
        <v>0</v>
      </c>
      <c r="I266" s="69" t="n">
        <v>0</v>
      </c>
      <c r="J266" s="70"/>
      <c r="K266" s="69" t="n">
        <v>0</v>
      </c>
      <c r="L266" s="71"/>
    </row>
    <row r="267" customFormat="false" ht="13.8" hidden="false" customHeight="false" outlineLevel="0" collapsed="false">
      <c r="A267" s="68" t="s">
        <v>272</v>
      </c>
      <c r="B267" s="68" t="n">
        <v>12</v>
      </c>
      <c r="C267" s="69" t="n">
        <v>0</v>
      </c>
      <c r="D267" s="69" t="n">
        <v>0</v>
      </c>
      <c r="E267" s="69" t="n">
        <v>0</v>
      </c>
      <c r="F267" s="69" t="n">
        <v>0</v>
      </c>
      <c r="G267" s="69" t="n">
        <v>0</v>
      </c>
      <c r="H267" s="69" t="n">
        <f aca="false">D267+F267-K267</f>
        <v>0</v>
      </c>
      <c r="I267" s="69" t="n">
        <v>0</v>
      </c>
      <c r="J267" s="70"/>
      <c r="K267" s="69" t="n">
        <v>0</v>
      </c>
      <c r="L267" s="71"/>
    </row>
    <row r="268" customFormat="false" ht="13.8" hidden="false" customHeight="false" outlineLevel="0" collapsed="false">
      <c r="A268" s="68" t="s">
        <v>273</v>
      </c>
      <c r="B268" s="68" t="n">
        <v>12</v>
      </c>
      <c r="C268" s="69" t="n">
        <v>0</v>
      </c>
      <c r="D268" s="69" t="n">
        <v>0</v>
      </c>
      <c r="E268" s="69" t="n">
        <v>0</v>
      </c>
      <c r="F268" s="69" t="n">
        <v>0</v>
      </c>
      <c r="G268" s="69" t="n">
        <v>0</v>
      </c>
      <c r="H268" s="69" t="n">
        <f aca="false">D268+F268-K268</f>
        <v>0</v>
      </c>
      <c r="I268" s="69" t="n">
        <v>0</v>
      </c>
      <c r="J268" s="70"/>
      <c r="K268" s="69" t="n">
        <v>0</v>
      </c>
      <c r="L268" s="71"/>
    </row>
    <row r="269" customFormat="false" ht="13.8" hidden="false" customHeight="false" outlineLevel="0" collapsed="false">
      <c r="A269" s="68" t="s">
        <v>274</v>
      </c>
      <c r="B269" s="68" t="n">
        <v>12</v>
      </c>
      <c r="C269" s="69" t="n">
        <v>14</v>
      </c>
      <c r="D269" s="69" t="n">
        <v>473144</v>
      </c>
      <c r="E269" s="69" t="n">
        <v>0</v>
      </c>
      <c r="F269" s="69" t="n">
        <v>0</v>
      </c>
      <c r="G269" s="69" t="n">
        <v>0</v>
      </c>
      <c r="H269" s="69" t="n">
        <f aca="false">D269+F269-K269</f>
        <v>0</v>
      </c>
      <c r="I269" s="69" t="n">
        <v>14</v>
      </c>
      <c r="J269" s="70"/>
      <c r="K269" s="69" t="n">
        <v>473144</v>
      </c>
      <c r="L269" s="71" t="n">
        <f aca="false">K269/I269</f>
        <v>33796</v>
      </c>
    </row>
    <row r="270" customFormat="false" ht="13.8" hidden="false" customHeight="false" outlineLevel="0" collapsed="false">
      <c r="A270" s="68" t="s">
        <v>275</v>
      </c>
      <c r="B270" s="68" t="n">
        <v>12</v>
      </c>
      <c r="C270" s="69" t="n">
        <v>0</v>
      </c>
      <c r="D270" s="69" t="n">
        <v>0</v>
      </c>
      <c r="E270" s="69" t="n">
        <v>0</v>
      </c>
      <c r="F270" s="69" t="n">
        <v>0</v>
      </c>
      <c r="G270" s="69" t="n">
        <v>0</v>
      </c>
      <c r="H270" s="69" t="n">
        <f aca="false">D270+F270-K270</f>
        <v>0</v>
      </c>
      <c r="I270" s="69" t="n">
        <v>0</v>
      </c>
      <c r="J270" s="70"/>
      <c r="K270" s="69" t="n">
        <v>0</v>
      </c>
      <c r="L270" s="71"/>
    </row>
    <row r="271" customFormat="false" ht="13.8" hidden="false" customHeight="false" outlineLevel="0" collapsed="false">
      <c r="A271" s="68" t="s">
        <v>276</v>
      </c>
      <c r="B271" s="68" t="n">
        <v>12</v>
      </c>
      <c r="C271" s="69" t="n">
        <v>0</v>
      </c>
      <c r="D271" s="69" t="n">
        <v>0</v>
      </c>
      <c r="E271" s="69" t="n">
        <v>0</v>
      </c>
      <c r="F271" s="69" t="n">
        <v>0</v>
      </c>
      <c r="G271" s="69" t="n">
        <v>0</v>
      </c>
      <c r="H271" s="69" t="n">
        <f aca="false">D271+F271-K271</f>
        <v>0</v>
      </c>
      <c r="I271" s="69" t="n">
        <v>0</v>
      </c>
      <c r="J271" s="70"/>
      <c r="K271" s="69" t="n">
        <v>0</v>
      </c>
      <c r="L271" s="71"/>
    </row>
    <row r="272" customFormat="false" ht="13.8" hidden="false" customHeight="false" outlineLevel="0" collapsed="false">
      <c r="A272" s="68" t="s">
        <v>277</v>
      </c>
      <c r="B272" s="68" t="n">
        <v>12</v>
      </c>
      <c r="C272" s="69" t="n">
        <v>0</v>
      </c>
      <c r="D272" s="69" t="n">
        <v>0</v>
      </c>
      <c r="E272" s="69" t="n">
        <v>0</v>
      </c>
      <c r="F272" s="69" t="n">
        <v>0</v>
      </c>
      <c r="G272" s="69" t="n">
        <v>0</v>
      </c>
      <c r="H272" s="69" t="n">
        <f aca="false">D272+F272-K272</f>
        <v>0</v>
      </c>
      <c r="I272" s="69" t="n">
        <v>0</v>
      </c>
      <c r="J272" s="70"/>
      <c r="K272" s="69" t="n">
        <v>0</v>
      </c>
      <c r="L272" s="71"/>
    </row>
    <row r="273" customFormat="false" ht="13.8" hidden="false" customHeight="false" outlineLevel="0" collapsed="false">
      <c r="A273" s="68" t="s">
        <v>278</v>
      </c>
      <c r="B273" s="68" t="n">
        <v>12</v>
      </c>
      <c r="C273" s="69" t="n">
        <v>0</v>
      </c>
      <c r="D273" s="69" t="n">
        <v>0</v>
      </c>
      <c r="E273" s="69" t="n">
        <v>0</v>
      </c>
      <c r="F273" s="69" t="n">
        <v>0</v>
      </c>
      <c r="G273" s="69" t="n">
        <v>0</v>
      </c>
      <c r="H273" s="69" t="n">
        <f aca="false">D273+F273-K273</f>
        <v>0</v>
      </c>
      <c r="I273" s="69" t="n">
        <v>0</v>
      </c>
      <c r="J273" s="70"/>
      <c r="K273" s="69" t="n">
        <v>0</v>
      </c>
      <c r="L273" s="71"/>
    </row>
    <row r="274" customFormat="false" ht="13.8" hidden="false" customHeight="false" outlineLevel="0" collapsed="false">
      <c r="A274" s="68" t="s">
        <v>279</v>
      </c>
      <c r="B274" s="68" t="n">
        <v>12</v>
      </c>
      <c r="C274" s="69" t="n">
        <v>0</v>
      </c>
      <c r="D274" s="69" t="n">
        <v>0</v>
      </c>
      <c r="E274" s="69" t="n">
        <v>0</v>
      </c>
      <c r="F274" s="69" t="n">
        <v>0</v>
      </c>
      <c r="G274" s="69" t="n">
        <v>0</v>
      </c>
      <c r="H274" s="69" t="n">
        <f aca="false">D274+F274-K274</f>
        <v>0</v>
      </c>
      <c r="I274" s="69" t="n">
        <v>0</v>
      </c>
      <c r="J274" s="70"/>
      <c r="K274" s="69" t="n">
        <v>0</v>
      </c>
      <c r="L274" s="71"/>
    </row>
    <row r="275" customFormat="false" ht="13.8" hidden="false" customHeight="false" outlineLevel="0" collapsed="false">
      <c r="A275" s="68" t="s">
        <v>280</v>
      </c>
      <c r="B275" s="68" t="n">
        <v>12</v>
      </c>
      <c r="C275" s="69" t="n">
        <v>0</v>
      </c>
      <c r="D275" s="69" t="n">
        <v>0</v>
      </c>
      <c r="E275" s="69" t="n">
        <v>0</v>
      </c>
      <c r="F275" s="69" t="n">
        <v>0</v>
      </c>
      <c r="G275" s="69" t="n">
        <v>0</v>
      </c>
      <c r="H275" s="69" t="n">
        <f aca="false">D275+F275-K275</f>
        <v>0</v>
      </c>
      <c r="I275" s="69" t="n">
        <v>0</v>
      </c>
      <c r="J275" s="70"/>
      <c r="K275" s="69" t="n">
        <v>0</v>
      </c>
      <c r="L275" s="71"/>
    </row>
    <row r="276" customFormat="false" ht="13.8" hidden="false" customHeight="false" outlineLevel="0" collapsed="false">
      <c r="A276" s="68" t="s">
        <v>281</v>
      </c>
      <c r="B276" s="68" t="n">
        <v>12</v>
      </c>
      <c r="C276" s="69" t="n">
        <v>115</v>
      </c>
      <c r="D276" s="69" t="n">
        <v>1984968</v>
      </c>
      <c r="E276" s="69" t="n">
        <v>52</v>
      </c>
      <c r="F276" s="69" t="n">
        <v>882000</v>
      </c>
      <c r="G276" s="69" t="n">
        <v>0</v>
      </c>
      <c r="H276" s="69" t="n">
        <f aca="false">D276+F276-K276</f>
        <v>0</v>
      </c>
      <c r="I276" s="69" t="n">
        <v>167</v>
      </c>
      <c r="J276" s="70"/>
      <c r="K276" s="69" t="n">
        <v>2866968</v>
      </c>
      <c r="L276" s="71" t="n">
        <f aca="false">K276/I276</f>
        <v>17167.4730538922</v>
      </c>
    </row>
    <row r="277" customFormat="false" ht="13.8" hidden="false" customHeight="false" outlineLevel="0" collapsed="false">
      <c r="A277" s="68" t="s">
        <v>282</v>
      </c>
      <c r="B277" s="68" t="n">
        <v>12</v>
      </c>
      <c r="C277" s="69" t="n">
        <v>0</v>
      </c>
      <c r="D277" s="69" t="n">
        <v>0</v>
      </c>
      <c r="E277" s="69" t="n">
        <v>28</v>
      </c>
      <c r="F277" s="69" t="n">
        <v>1940400</v>
      </c>
      <c r="G277" s="69" t="n">
        <v>3</v>
      </c>
      <c r="H277" s="69" t="n">
        <f aca="false">D277+F277-K277</f>
        <v>1044761</v>
      </c>
      <c r="I277" s="69" t="n">
        <v>25</v>
      </c>
      <c r="J277" s="70"/>
      <c r="K277" s="69" t="n">
        <v>895639</v>
      </c>
      <c r="L277" s="71" t="n">
        <f aca="false">K277/I277</f>
        <v>35825.56</v>
      </c>
    </row>
    <row r="278" customFormat="false" ht="13.8" hidden="false" customHeight="false" outlineLevel="0" collapsed="false">
      <c r="A278" s="68" t="s">
        <v>283</v>
      </c>
      <c r="B278" s="68" t="n">
        <v>12</v>
      </c>
      <c r="C278" s="69" t="n">
        <v>2650</v>
      </c>
      <c r="D278" s="69" t="n">
        <v>60362629</v>
      </c>
      <c r="E278" s="69" t="n">
        <v>1138</v>
      </c>
      <c r="F278" s="69" t="n">
        <v>39547200</v>
      </c>
      <c r="G278" s="69" t="n">
        <v>3132</v>
      </c>
      <c r="H278" s="69" t="n">
        <f aca="false">D278+F278-K278</f>
        <v>76338900</v>
      </c>
      <c r="I278" s="69" t="n">
        <v>656</v>
      </c>
      <c r="J278" s="70"/>
      <c r="K278" s="69" t="n">
        <v>23570929</v>
      </c>
      <c r="L278" s="71" t="n">
        <f aca="false">K278/I278</f>
        <v>35931.2942073171</v>
      </c>
    </row>
    <row r="279" customFormat="false" ht="13.8" hidden="false" customHeight="false" outlineLevel="0" collapsed="false">
      <c r="A279" s="68" t="s">
        <v>284</v>
      </c>
      <c r="B279" s="68" t="n">
        <v>12</v>
      </c>
      <c r="C279" s="69" t="n">
        <v>170</v>
      </c>
      <c r="D279" s="69" t="n">
        <v>7787064</v>
      </c>
      <c r="E279" s="69" t="n">
        <v>14</v>
      </c>
      <c r="F279" s="69" t="n">
        <v>598416</v>
      </c>
      <c r="G279" s="69" t="n">
        <v>0</v>
      </c>
      <c r="H279" s="69" t="n">
        <f aca="false">D279+F279-K279</f>
        <v>0</v>
      </c>
      <c r="I279" s="69" t="n">
        <v>184</v>
      </c>
      <c r="J279" s="70"/>
      <c r="K279" s="69" t="n">
        <v>8385480</v>
      </c>
      <c r="L279" s="71" t="n">
        <f aca="false">K279/I279</f>
        <v>45573.2608695652</v>
      </c>
    </row>
    <row r="280" customFormat="false" ht="13.8" hidden="false" customHeight="false" outlineLevel="0" collapsed="false">
      <c r="A280" s="68" t="s">
        <v>285</v>
      </c>
      <c r="B280" s="68" t="n">
        <v>12</v>
      </c>
      <c r="C280" s="69" t="n">
        <v>0</v>
      </c>
      <c r="D280" s="69" t="n">
        <v>0</v>
      </c>
      <c r="E280" s="69" t="n">
        <v>0</v>
      </c>
      <c r="F280" s="69" t="n">
        <v>0</v>
      </c>
      <c r="G280" s="69" t="n">
        <v>0</v>
      </c>
      <c r="H280" s="69" t="n">
        <f aca="false">D280+F280-K280</f>
        <v>0</v>
      </c>
      <c r="I280" s="69" t="n">
        <v>0</v>
      </c>
      <c r="J280" s="70"/>
      <c r="K280" s="69" t="n">
        <v>0</v>
      </c>
      <c r="L280" s="71"/>
    </row>
    <row r="281" customFormat="false" ht="13.8" hidden="false" customHeight="false" outlineLevel="0" collapsed="false">
      <c r="A281" s="68" t="s">
        <v>286</v>
      </c>
      <c r="B281" s="68" t="n">
        <v>12</v>
      </c>
      <c r="C281" s="69" t="n">
        <v>0</v>
      </c>
      <c r="D281" s="69" t="n">
        <v>0</v>
      </c>
      <c r="E281" s="69" t="n">
        <v>0</v>
      </c>
      <c r="F281" s="69" t="n">
        <v>0</v>
      </c>
      <c r="G281" s="69" t="n">
        <v>0</v>
      </c>
      <c r="H281" s="69" t="n">
        <f aca="false">D281+F281-K281</f>
        <v>0</v>
      </c>
      <c r="I281" s="69" t="n">
        <v>0</v>
      </c>
      <c r="J281" s="70"/>
      <c r="K281" s="69" t="n">
        <v>0</v>
      </c>
      <c r="L281" s="71"/>
    </row>
    <row r="282" customFormat="false" ht="13.8" hidden="false" customHeight="false" outlineLevel="0" collapsed="false">
      <c r="A282" s="68" t="s">
        <v>287</v>
      </c>
      <c r="B282" s="68" t="n">
        <v>12</v>
      </c>
      <c r="C282" s="69" t="n">
        <v>8</v>
      </c>
      <c r="D282" s="69" t="n">
        <v>888480</v>
      </c>
      <c r="E282" s="69" t="n">
        <v>0</v>
      </c>
      <c r="F282" s="69" t="n">
        <v>0</v>
      </c>
      <c r="G282" s="69" t="n">
        <v>0</v>
      </c>
      <c r="H282" s="69" t="n">
        <f aca="false">D282+F282-K282</f>
        <v>0</v>
      </c>
      <c r="I282" s="69" t="n">
        <v>8</v>
      </c>
      <c r="J282" s="70"/>
      <c r="K282" s="69" t="n">
        <v>888480</v>
      </c>
      <c r="L282" s="71" t="n">
        <f aca="false">K282/I282</f>
        <v>111060</v>
      </c>
    </row>
    <row r="283" customFormat="false" ht="13.8" hidden="false" customHeight="false" outlineLevel="0" collapsed="false">
      <c r="A283" s="68" t="s">
        <v>288</v>
      </c>
      <c r="B283" s="68" t="n">
        <v>12</v>
      </c>
      <c r="C283" s="69" t="n">
        <v>72</v>
      </c>
      <c r="D283" s="69" t="n">
        <v>1717560</v>
      </c>
      <c r="E283" s="69" t="n">
        <v>2768</v>
      </c>
      <c r="F283" s="69"/>
      <c r="G283" s="69" t="n">
        <v>0</v>
      </c>
      <c r="H283" s="69" t="n">
        <f aca="false">D283+F283-K283</f>
        <v>0</v>
      </c>
      <c r="I283" s="69" t="n">
        <v>72</v>
      </c>
      <c r="J283" s="70"/>
      <c r="K283" s="69" t="n">
        <v>1717560</v>
      </c>
      <c r="L283" s="71" t="n">
        <f aca="false">K283/I283</f>
        <v>23855</v>
      </c>
    </row>
    <row r="284" customFormat="false" ht="13.8" hidden="false" customHeight="false" outlineLevel="0" collapsed="false">
      <c r="A284" s="68" t="s">
        <v>289</v>
      </c>
      <c r="B284" s="68" t="n">
        <v>12</v>
      </c>
      <c r="C284" s="69" t="n">
        <v>5453</v>
      </c>
      <c r="D284" s="69" t="n">
        <v>18544800</v>
      </c>
      <c r="E284" s="69" t="n">
        <v>3249</v>
      </c>
      <c r="F284" s="69" t="n">
        <v>26723118.9017341</v>
      </c>
      <c r="G284" s="69" t="n">
        <v>5934</v>
      </c>
      <c r="H284" s="69" t="n">
        <f aca="false">D284+F284-K284</f>
        <v>22501038.9017341</v>
      </c>
      <c r="I284" s="69" t="n">
        <v>2768</v>
      </c>
      <c r="J284" s="70"/>
      <c r="K284" s="69" t="n">
        <v>22766880</v>
      </c>
      <c r="L284" s="71" t="n">
        <f aca="false">K284/I284</f>
        <v>8225.0289017341</v>
      </c>
    </row>
    <row r="285" customFormat="false" ht="13.8" hidden="false" customHeight="false" outlineLevel="0" collapsed="false">
      <c r="A285" s="68" t="s">
        <v>290</v>
      </c>
      <c r="B285" s="68" t="n">
        <v>12</v>
      </c>
      <c r="C285" s="69" t="n">
        <v>294</v>
      </c>
      <c r="D285" s="69" t="n">
        <v>26161598</v>
      </c>
      <c r="E285" s="69" t="n">
        <v>612</v>
      </c>
      <c r="F285" s="69" t="n">
        <v>54458208</v>
      </c>
      <c r="G285" s="69" t="n">
        <v>462</v>
      </c>
      <c r="H285" s="69" t="n">
        <f aca="false">D285+F285-K285</f>
        <v>41110762</v>
      </c>
      <c r="I285" s="69" t="n">
        <v>444</v>
      </c>
      <c r="J285" s="70"/>
      <c r="K285" s="69" t="n">
        <v>39509044</v>
      </c>
      <c r="L285" s="71" t="n">
        <f aca="false">K285/I285</f>
        <v>88984.3333333333</v>
      </c>
    </row>
    <row r="286" customFormat="false" ht="13.8" hidden="false" customHeight="false" outlineLevel="0" collapsed="false">
      <c r="A286" s="68" t="s">
        <v>291</v>
      </c>
      <c r="B286" s="68" t="n">
        <v>12</v>
      </c>
      <c r="C286" s="69" t="n">
        <v>580</v>
      </c>
      <c r="D286" s="69" t="n">
        <v>54183265</v>
      </c>
      <c r="E286" s="69" t="n">
        <v>1120</v>
      </c>
      <c r="F286" s="69" t="n">
        <v>104711040</v>
      </c>
      <c r="G286" s="69" t="n">
        <v>821</v>
      </c>
      <c r="H286" s="69" t="n">
        <f aca="false">D286+F286-K286</f>
        <v>76736603</v>
      </c>
      <c r="I286" s="69" t="n">
        <v>879</v>
      </c>
      <c r="J286" s="70"/>
      <c r="K286" s="69" t="n">
        <v>82157702</v>
      </c>
      <c r="L286" s="71" t="n">
        <f aca="false">K286/I286</f>
        <v>93467.2377701934</v>
      </c>
    </row>
    <row r="287" customFormat="false" ht="13.8" hidden="false" customHeight="false" outlineLevel="0" collapsed="false">
      <c r="A287" s="68" t="s">
        <v>292</v>
      </c>
      <c r="B287" s="68" t="n">
        <v>12</v>
      </c>
      <c r="C287" s="69" t="n">
        <v>0</v>
      </c>
      <c r="D287" s="69" t="n">
        <v>0</v>
      </c>
      <c r="E287" s="69" t="n">
        <v>394</v>
      </c>
      <c r="F287" s="69" t="n">
        <v>34234181</v>
      </c>
      <c r="G287" s="69" t="n">
        <v>394</v>
      </c>
      <c r="H287" s="69" t="n">
        <f aca="false">D287+F287-K287</f>
        <v>34234181</v>
      </c>
      <c r="I287" s="69" t="n">
        <v>0</v>
      </c>
      <c r="J287" s="70"/>
      <c r="K287" s="69" t="n">
        <v>0</v>
      </c>
      <c r="L287" s="71"/>
    </row>
    <row r="288" s="81" customFormat="true" ht="13.8" hidden="false" customHeight="false" outlineLevel="0" collapsed="false">
      <c r="A288" s="65"/>
      <c r="B288" s="65"/>
      <c r="C288" s="79"/>
      <c r="D288" s="79" t="n">
        <f aca="false">SUM(D4:D287)</f>
        <v>15757074952.4896</v>
      </c>
      <c r="E288" s="79"/>
      <c r="F288" s="79" t="n">
        <f aca="false">SUM(F4:F287)</f>
        <v>24085377822.2958</v>
      </c>
      <c r="G288" s="79"/>
      <c r="H288" s="79" t="n">
        <f aca="false">SUM(H4:H287)</f>
        <v>28212704350.1495</v>
      </c>
      <c r="I288" s="79"/>
      <c r="J288" s="80"/>
      <c r="K288" s="79" t="n">
        <f aca="false">SUM(K4:K287)</f>
        <v>15761231523</v>
      </c>
      <c r="L288" s="67"/>
      <c r="Q288" s="82"/>
    </row>
    <row r="289" customFormat="false" ht="14.9" hidden="false" customHeight="false" outlineLevel="0" collapsed="false">
      <c r="A289" s="72" t="s">
        <v>892</v>
      </c>
      <c r="B289" s="73" t="s">
        <v>327</v>
      </c>
      <c r="C289" s="74" t="n">
        <v>3</v>
      </c>
      <c r="K289" s="78" t="n">
        <f aca="false">D288+F288-H288</f>
        <v>11629748424.6358</v>
      </c>
    </row>
    <row r="290" customFormat="false" ht="14.9" hidden="false" customHeight="false" outlineLevel="0" collapsed="false">
      <c r="A290" s="72" t="s">
        <v>893</v>
      </c>
      <c r="B290" s="73" t="s">
        <v>327</v>
      </c>
      <c r="C290" s="74" t="n">
        <v>30</v>
      </c>
    </row>
    <row r="291" customFormat="false" ht="14.9" hidden="false" customHeight="false" outlineLevel="0" collapsed="false">
      <c r="A291" s="72" t="s">
        <v>894</v>
      </c>
      <c r="B291" s="73" t="s">
        <v>327</v>
      </c>
      <c r="C291" s="74" t="n">
        <v>495</v>
      </c>
    </row>
    <row r="292" customFormat="false" ht="14.9" hidden="false" customHeight="false" outlineLevel="0" collapsed="false">
      <c r="A292" s="72" t="s">
        <v>895</v>
      </c>
      <c r="B292" s="73" t="s">
        <v>393</v>
      </c>
      <c r="C292" s="74" t="n">
        <v>5</v>
      </c>
      <c r="D292" s="74" t="n">
        <v>0</v>
      </c>
      <c r="E292" s="74" t="s">
        <v>896</v>
      </c>
    </row>
    <row r="293" customFormat="false" ht="14.9" hidden="false" customHeight="false" outlineLevel="0" collapsed="false">
      <c r="A293" s="72" t="s">
        <v>897</v>
      </c>
      <c r="B293" s="73" t="s">
        <v>393</v>
      </c>
      <c r="C293" s="74" t="n">
        <v>2</v>
      </c>
      <c r="D293" s="74" t="n">
        <v>0</v>
      </c>
      <c r="E293" s="74" t="s">
        <v>896</v>
      </c>
    </row>
    <row r="294" customFormat="false" ht="14.9" hidden="false" customHeight="false" outlineLevel="0" collapsed="false">
      <c r="A294" s="72" t="s">
        <v>898</v>
      </c>
      <c r="B294" s="73" t="s">
        <v>393</v>
      </c>
      <c r="C294" s="74" t="n">
        <v>24</v>
      </c>
      <c r="D294" s="74" t="n">
        <v>0</v>
      </c>
      <c r="E294" s="74" t="s">
        <v>896</v>
      </c>
    </row>
    <row r="295" customFormat="false" ht="14.9" hidden="false" customHeight="false" outlineLevel="0" collapsed="false">
      <c r="A295" s="72" t="s">
        <v>899</v>
      </c>
      <c r="B295" s="73" t="s">
        <v>393</v>
      </c>
      <c r="C295" s="74" t="n">
        <v>3</v>
      </c>
      <c r="D295" s="74" t="n">
        <v>0</v>
      </c>
      <c r="E295" s="74" t="s">
        <v>896</v>
      </c>
    </row>
    <row r="296" customFormat="false" ht="14.9" hidden="false" customHeight="false" outlineLevel="0" collapsed="false">
      <c r="A296" s="72" t="s">
        <v>900</v>
      </c>
      <c r="B296" s="73" t="s">
        <v>393</v>
      </c>
      <c r="C296" s="74" t="n">
        <v>16</v>
      </c>
      <c r="D296" s="74" t="n">
        <v>0</v>
      </c>
      <c r="E296" s="74" t="s">
        <v>896</v>
      </c>
    </row>
    <row r="297" customFormat="false" ht="14.9" hidden="false" customHeight="false" outlineLevel="0" collapsed="false">
      <c r="A297" s="72" t="s">
        <v>901</v>
      </c>
      <c r="B297" s="73" t="s">
        <v>451</v>
      </c>
      <c r="C297" s="74" t="n">
        <v>30</v>
      </c>
      <c r="D297" s="74" t="n">
        <v>0</v>
      </c>
      <c r="E297" s="74" t="s">
        <v>896</v>
      </c>
    </row>
    <row r="298" customFormat="false" ht="14.9" hidden="false" customHeight="false" outlineLevel="0" collapsed="false">
      <c r="A298" s="72" t="s">
        <v>902</v>
      </c>
      <c r="B298" s="73" t="s">
        <v>393</v>
      </c>
      <c r="C298" s="74" t="n">
        <v>8</v>
      </c>
      <c r="D298" s="74" t="n">
        <v>0</v>
      </c>
      <c r="E298" s="74" t="s">
        <v>896</v>
      </c>
    </row>
    <row r="299" customFormat="false" ht="14.9" hidden="false" customHeight="false" outlineLevel="0" collapsed="false">
      <c r="A299" s="72" t="s">
        <v>903</v>
      </c>
      <c r="B299" s="73" t="s">
        <v>393</v>
      </c>
      <c r="C299" s="74" t="n">
        <v>6</v>
      </c>
      <c r="D299" s="74" t="n">
        <v>0</v>
      </c>
      <c r="E299" s="74" t="s">
        <v>896</v>
      </c>
    </row>
    <row r="300" customFormat="false" ht="14.9" hidden="false" customHeight="false" outlineLevel="0" collapsed="false">
      <c r="A300" s="72" t="s">
        <v>904</v>
      </c>
      <c r="B300" s="73" t="s">
        <v>393</v>
      </c>
      <c r="C300" s="74" t="n">
        <v>138</v>
      </c>
      <c r="D300" s="74" t="n">
        <v>0</v>
      </c>
      <c r="E300" s="74" t="s">
        <v>896</v>
      </c>
    </row>
    <row r="301" customFormat="false" ht="14.9" hidden="false" customHeight="false" outlineLevel="0" collapsed="false">
      <c r="A301" s="72" t="s">
        <v>905</v>
      </c>
      <c r="B301" s="73" t="s">
        <v>393</v>
      </c>
      <c r="C301" s="74" t="n">
        <v>119</v>
      </c>
      <c r="D301" s="74" t="n">
        <v>0</v>
      </c>
      <c r="E301" s="74" t="s">
        <v>896</v>
      </c>
    </row>
    <row r="302" customFormat="false" ht="14.9" hidden="false" customHeight="false" outlineLevel="0" collapsed="false">
      <c r="A302" s="72" t="s">
        <v>906</v>
      </c>
      <c r="B302" s="73" t="s">
        <v>393</v>
      </c>
      <c r="C302" s="74" t="n">
        <v>156</v>
      </c>
      <c r="D302" s="74" t="n">
        <v>0</v>
      </c>
      <c r="E302" s="74" t="s">
        <v>896</v>
      </c>
    </row>
    <row r="303" customFormat="false" ht="14.9" hidden="false" customHeight="false" outlineLevel="0" collapsed="false">
      <c r="A303" s="72" t="s">
        <v>907</v>
      </c>
      <c r="B303" s="73" t="s">
        <v>327</v>
      </c>
      <c r="C303" s="74" t="n">
        <v>12</v>
      </c>
      <c r="D303" s="74" t="n">
        <v>0</v>
      </c>
      <c r="E303" s="74" t="s">
        <v>896</v>
      </c>
    </row>
    <row r="304" customFormat="false" ht="14.9" hidden="false" customHeight="false" outlineLevel="0" collapsed="false">
      <c r="A304" s="72" t="s">
        <v>908</v>
      </c>
      <c r="B304" s="73" t="s">
        <v>393</v>
      </c>
      <c r="C304" s="74" t="n">
        <v>6</v>
      </c>
      <c r="D304" s="74" t="n">
        <v>0</v>
      </c>
      <c r="E304" s="74" t="s">
        <v>896</v>
      </c>
    </row>
    <row r="305" customFormat="false" ht="14.9" hidden="false" customHeight="false" outlineLevel="0" collapsed="false">
      <c r="A305" s="72" t="s">
        <v>909</v>
      </c>
      <c r="B305" s="73" t="s">
        <v>327</v>
      </c>
      <c r="C305" s="74" t="n">
        <v>45</v>
      </c>
      <c r="D305" s="74" t="n">
        <v>0</v>
      </c>
      <c r="E305" s="74" t="s">
        <v>896</v>
      </c>
    </row>
    <row r="306" customFormat="false" ht="14.9" hidden="false" customHeight="false" outlineLevel="0" collapsed="false">
      <c r="A306" s="72" t="s">
        <v>910</v>
      </c>
      <c r="B306" s="73" t="s">
        <v>451</v>
      </c>
      <c r="C306" s="74" t="n">
        <v>1</v>
      </c>
      <c r="D306" s="74" t="n">
        <v>0</v>
      </c>
      <c r="E306" s="74" t="s">
        <v>896</v>
      </c>
    </row>
    <row r="307" customFormat="false" ht="14.9" hidden="false" customHeight="false" outlineLevel="0" collapsed="false">
      <c r="A307" s="72" t="s">
        <v>911</v>
      </c>
      <c r="B307" s="73" t="s">
        <v>303</v>
      </c>
      <c r="C307" s="74" t="n">
        <v>4</v>
      </c>
      <c r="D307" s="74" t="n">
        <v>0</v>
      </c>
    </row>
    <row r="308" customFormat="false" ht="14.9" hidden="false" customHeight="false" outlineLevel="0" collapsed="false">
      <c r="A308" s="72" t="s">
        <v>912</v>
      </c>
      <c r="B308" s="73" t="s">
        <v>393</v>
      </c>
      <c r="C308" s="74" t="n">
        <v>9</v>
      </c>
      <c r="D308" s="74" t="n">
        <v>0</v>
      </c>
    </row>
    <row r="309" customFormat="false" ht="14.9" hidden="false" customHeight="false" outlineLevel="0" collapsed="false">
      <c r="A309" s="72" t="s">
        <v>913</v>
      </c>
      <c r="B309" s="73" t="s">
        <v>528</v>
      </c>
      <c r="C309" s="74" t="n">
        <v>6</v>
      </c>
      <c r="D309" s="74" t="n">
        <v>0</v>
      </c>
    </row>
    <row r="310" customFormat="false" ht="14.9" hidden="false" customHeight="false" outlineLevel="0" collapsed="false">
      <c r="A310" s="72" t="s">
        <v>914</v>
      </c>
      <c r="B310" s="73" t="s">
        <v>528</v>
      </c>
      <c r="C310" s="74" t="n">
        <v>18</v>
      </c>
      <c r="D310" s="74" t="n">
        <v>0</v>
      </c>
    </row>
    <row r="311" customFormat="false" ht="14.9" hidden="false" customHeight="false" outlineLevel="0" collapsed="false">
      <c r="A311" s="72" t="s">
        <v>915</v>
      </c>
      <c r="B311" s="73" t="s">
        <v>528</v>
      </c>
      <c r="C311" s="74" t="n">
        <v>84</v>
      </c>
      <c r="D311" s="74" t="n">
        <v>0</v>
      </c>
    </row>
    <row r="312" customFormat="false" ht="14.9" hidden="false" customHeight="false" outlineLevel="0" collapsed="false">
      <c r="A312" s="72" t="s">
        <v>916</v>
      </c>
      <c r="B312" s="73" t="s">
        <v>528</v>
      </c>
      <c r="C312" s="74" t="n">
        <v>2</v>
      </c>
      <c r="D312" s="74" t="n">
        <v>0</v>
      </c>
    </row>
    <row r="313" customFormat="false" ht="28.35" hidden="false" customHeight="false" outlineLevel="0" collapsed="false">
      <c r="A313" s="72" t="s">
        <v>917</v>
      </c>
      <c r="B313" s="73" t="s">
        <v>528</v>
      </c>
      <c r="C313" s="74" t="n">
        <v>5</v>
      </c>
      <c r="D313" s="74" t="n">
        <v>0</v>
      </c>
    </row>
    <row r="314" customFormat="false" ht="28.35" hidden="false" customHeight="false" outlineLevel="0" collapsed="false">
      <c r="A314" s="72" t="s">
        <v>918</v>
      </c>
      <c r="B314" s="73" t="s">
        <v>528</v>
      </c>
      <c r="C314" s="74" t="n">
        <v>9</v>
      </c>
      <c r="D314" s="74" t="n">
        <v>0</v>
      </c>
    </row>
    <row r="315" customFormat="false" ht="14.9" hidden="false" customHeight="false" outlineLevel="0" collapsed="false">
      <c r="A315" s="72" t="s">
        <v>919</v>
      </c>
      <c r="B315" s="73" t="s">
        <v>393</v>
      </c>
      <c r="C315" s="74" t="n">
        <v>28</v>
      </c>
      <c r="D315" s="74" t="n">
        <v>0</v>
      </c>
    </row>
    <row r="316" customFormat="false" ht="14.9" hidden="false" customHeight="false" outlineLevel="0" collapsed="false">
      <c r="A316" s="72" t="s">
        <v>920</v>
      </c>
      <c r="B316" s="73" t="s">
        <v>393</v>
      </c>
      <c r="C316" s="74" t="n">
        <v>661</v>
      </c>
      <c r="D316" s="74" t="n">
        <v>0</v>
      </c>
    </row>
    <row r="317" customFormat="false" ht="14.9" hidden="false" customHeight="false" outlineLevel="0" collapsed="false">
      <c r="A317" s="72" t="s">
        <v>921</v>
      </c>
      <c r="B317" s="73" t="s">
        <v>303</v>
      </c>
      <c r="C317" s="74" t="n">
        <v>1</v>
      </c>
      <c r="D317" s="74" t="n">
        <v>0</v>
      </c>
    </row>
    <row r="318" customFormat="false" ht="14.9" hidden="false" customHeight="false" outlineLevel="0" collapsed="false">
      <c r="A318" s="72" t="s">
        <v>922</v>
      </c>
      <c r="B318" s="73" t="s">
        <v>753</v>
      </c>
      <c r="C318" s="74" t="n">
        <v>2</v>
      </c>
      <c r="D318" s="74" t="n">
        <v>0</v>
      </c>
    </row>
    <row r="319" customFormat="false" ht="14.9" hidden="false" customHeight="false" outlineLevel="0" collapsed="false">
      <c r="A319" s="72" t="s">
        <v>923</v>
      </c>
      <c r="B319" s="73" t="s">
        <v>311</v>
      </c>
      <c r="C319" s="74" t="n">
        <v>3861</v>
      </c>
      <c r="D319" s="74" t="n">
        <v>0</v>
      </c>
    </row>
    <row r="320" customFormat="false" ht="14.9" hidden="false" customHeight="false" outlineLevel="0" collapsed="false">
      <c r="A320" s="72" t="s">
        <v>924</v>
      </c>
      <c r="B320" s="73" t="s">
        <v>327</v>
      </c>
      <c r="C320" s="74" t="n">
        <v>12</v>
      </c>
    </row>
    <row r="321" customFormat="false" ht="14.9" hidden="false" customHeight="false" outlineLevel="0" collapsed="false">
      <c r="A321" s="72" t="s">
        <v>773</v>
      </c>
      <c r="B321" s="73" t="s">
        <v>303</v>
      </c>
      <c r="C321" s="74" t="n">
        <v>16</v>
      </c>
    </row>
    <row r="322" customFormat="false" ht="14.9" hidden="false" customHeight="false" outlineLevel="0" collapsed="false">
      <c r="A322" s="72" t="s">
        <v>775</v>
      </c>
      <c r="B322" s="73" t="s">
        <v>303</v>
      </c>
      <c r="C322" s="74" t="n">
        <v>3</v>
      </c>
      <c r="D322" s="74" t="n">
        <v>0</v>
      </c>
    </row>
    <row r="323" customFormat="false" ht="14.9" hidden="false" customHeight="false" outlineLevel="0" collapsed="false">
      <c r="A323" s="72" t="s">
        <v>649</v>
      </c>
      <c r="B323" s="73" t="s">
        <v>303</v>
      </c>
      <c r="C323" s="74" t="n">
        <v>2</v>
      </c>
      <c r="D323" s="74" t="n">
        <v>0</v>
      </c>
    </row>
    <row r="324" customFormat="false" ht="14.9" hidden="false" customHeight="false" outlineLevel="0" collapsed="false">
      <c r="A324" s="72" t="s">
        <v>925</v>
      </c>
      <c r="B324" s="73" t="s">
        <v>303</v>
      </c>
      <c r="C324" s="74" t="n">
        <v>915</v>
      </c>
      <c r="D324" s="74" t="n">
        <v>0</v>
      </c>
    </row>
    <row r="325" customFormat="false" ht="14.9" hidden="false" customHeight="false" outlineLevel="0" collapsed="false">
      <c r="A325" s="72" t="s">
        <v>926</v>
      </c>
      <c r="B325" s="73" t="s">
        <v>844</v>
      </c>
      <c r="C325" s="74" t="n">
        <v>1</v>
      </c>
      <c r="D325" s="74" t="n">
        <v>0</v>
      </c>
    </row>
    <row r="326" customFormat="false" ht="14.9" hidden="false" customHeight="false" outlineLevel="0" collapsed="false">
      <c r="A326" s="72" t="s">
        <v>927</v>
      </c>
      <c r="B326" s="73" t="s">
        <v>451</v>
      </c>
      <c r="C326" s="74" t="n">
        <v>1</v>
      </c>
      <c r="D326" s="74" t="n">
        <v>0</v>
      </c>
    </row>
    <row r="327" customFormat="false" ht="14.9" hidden="false" customHeight="false" outlineLevel="0" collapsed="false">
      <c r="A327" s="72" t="s">
        <v>928</v>
      </c>
      <c r="B327" s="73" t="s">
        <v>327</v>
      </c>
      <c r="C327" s="74" t="n">
        <v>3</v>
      </c>
      <c r="D327" s="74" t="n">
        <v>0</v>
      </c>
    </row>
    <row r="328" customFormat="false" ht="14.9" hidden="false" customHeight="false" outlineLevel="0" collapsed="false">
      <c r="A328" s="72" t="s">
        <v>929</v>
      </c>
      <c r="B328" s="73" t="s">
        <v>327</v>
      </c>
      <c r="C328" s="74" t="n">
        <v>3</v>
      </c>
      <c r="D328" s="74" t="n">
        <v>0</v>
      </c>
    </row>
    <row r="329" customFormat="false" ht="14.9" hidden="false" customHeight="false" outlineLevel="0" collapsed="false">
      <c r="A329" s="72" t="s">
        <v>930</v>
      </c>
      <c r="B329" s="73" t="s">
        <v>327</v>
      </c>
      <c r="C329" s="74" t="n">
        <v>41</v>
      </c>
      <c r="D329" s="74" t="n">
        <v>0</v>
      </c>
    </row>
    <row r="330" customFormat="false" ht="14.9" hidden="false" customHeight="false" outlineLevel="0" collapsed="false">
      <c r="A330" s="72" t="s">
        <v>931</v>
      </c>
      <c r="B330" s="73" t="s">
        <v>699</v>
      </c>
      <c r="C330" s="74" t="n">
        <v>25</v>
      </c>
      <c r="D330" s="74" t="n">
        <v>0</v>
      </c>
    </row>
    <row r="331" customFormat="false" ht="14.9" hidden="false" customHeight="false" outlineLevel="0" collapsed="false">
      <c r="A331" s="72" t="s">
        <v>932</v>
      </c>
      <c r="B331" s="73" t="s">
        <v>303</v>
      </c>
      <c r="C331" s="74" t="n">
        <v>946</v>
      </c>
      <c r="D331" s="74" t="n">
        <v>0</v>
      </c>
    </row>
    <row r="332" customFormat="false" ht="14.9" hidden="false" customHeight="false" outlineLevel="0" collapsed="false">
      <c r="A332" s="72" t="s">
        <v>933</v>
      </c>
      <c r="B332" s="73" t="s">
        <v>327</v>
      </c>
      <c r="C332" s="74" t="n">
        <v>4</v>
      </c>
      <c r="D332" s="74" t="n">
        <v>0</v>
      </c>
    </row>
    <row r="333" customFormat="false" ht="14.9" hidden="false" customHeight="false" outlineLevel="0" collapsed="false">
      <c r="A333" s="72" t="s">
        <v>934</v>
      </c>
      <c r="B333" s="73" t="s">
        <v>327</v>
      </c>
      <c r="C333" s="74" t="n">
        <v>4</v>
      </c>
      <c r="D333" s="74" t="n">
        <v>0</v>
      </c>
    </row>
    <row r="334" customFormat="false" ht="14.9" hidden="false" customHeight="false" outlineLevel="0" collapsed="false">
      <c r="A334" s="72" t="s">
        <v>935</v>
      </c>
      <c r="B334" s="73" t="s">
        <v>327</v>
      </c>
      <c r="C334" s="74" t="n">
        <v>33</v>
      </c>
      <c r="D334" s="74" t="n">
        <v>0</v>
      </c>
    </row>
    <row r="335" customFormat="false" ht="14.9" hidden="false" customHeight="false" outlineLevel="0" collapsed="false">
      <c r="A335" s="72" t="s">
        <v>936</v>
      </c>
      <c r="B335" s="73" t="s">
        <v>303</v>
      </c>
      <c r="C335" s="74" t="n">
        <v>16</v>
      </c>
      <c r="D335" s="74" t="n">
        <v>0</v>
      </c>
    </row>
    <row r="336" customFormat="false" ht="14.9" hidden="false" customHeight="false" outlineLevel="0" collapsed="false">
      <c r="A336" s="72" t="s">
        <v>937</v>
      </c>
      <c r="B336" s="73" t="s">
        <v>327</v>
      </c>
      <c r="C336" s="74" t="n">
        <v>2</v>
      </c>
      <c r="D336" s="74" t="n">
        <v>0</v>
      </c>
    </row>
    <row r="337" customFormat="false" ht="14.9" hidden="false" customHeight="false" outlineLevel="0" collapsed="false">
      <c r="A337" s="72" t="s">
        <v>938</v>
      </c>
      <c r="B337" s="73" t="s">
        <v>327</v>
      </c>
      <c r="C337" s="74" t="n">
        <v>3</v>
      </c>
      <c r="D337" s="74" t="n">
        <v>0</v>
      </c>
    </row>
    <row r="338" customFormat="false" ht="14.9" hidden="false" customHeight="false" outlineLevel="0" collapsed="false">
      <c r="A338" s="72" t="s">
        <v>939</v>
      </c>
      <c r="B338" s="73" t="s">
        <v>327</v>
      </c>
      <c r="C338" s="74" t="n">
        <v>4</v>
      </c>
      <c r="D338" s="74" t="n">
        <v>0</v>
      </c>
    </row>
    <row r="339" customFormat="false" ht="14.9" hidden="false" customHeight="false" outlineLevel="0" collapsed="false">
      <c r="A339" s="72" t="s">
        <v>940</v>
      </c>
      <c r="B339" s="73" t="s">
        <v>699</v>
      </c>
      <c r="C339" s="74" t="n">
        <v>15</v>
      </c>
      <c r="D339" s="74" t="n">
        <v>0</v>
      </c>
    </row>
    <row r="340" customFormat="false" ht="14.9" hidden="false" customHeight="false" outlineLevel="0" collapsed="false">
      <c r="A340" s="72" t="s">
        <v>941</v>
      </c>
      <c r="B340" s="73" t="s">
        <v>327</v>
      </c>
      <c r="C340" s="74" t="n">
        <v>6</v>
      </c>
      <c r="D340" s="74" t="n">
        <v>0</v>
      </c>
    </row>
    <row r="341" customFormat="false" ht="14.9" hidden="false" customHeight="false" outlineLevel="0" collapsed="false">
      <c r="A341" s="72" t="s">
        <v>942</v>
      </c>
      <c r="B341" s="73" t="s">
        <v>864</v>
      </c>
      <c r="C341" s="74" t="n">
        <v>1</v>
      </c>
      <c r="D341" s="74" t="n">
        <v>0</v>
      </c>
    </row>
  </sheetData>
  <mergeCells count="1">
    <mergeCell ref="A1:K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L413"/>
  <sheetViews>
    <sheetView showFormulas="false" showGridLines="true" showRowColHeaders="true" showZeros="true" rightToLeft="false" tabSelected="false" showOutlineSymbols="true" defaultGridColor="true" view="normal" topLeftCell="A400" colorId="64" zoomScale="100" zoomScaleNormal="100" zoomScalePageLayoutView="100" workbookViewId="0">
      <selection pane="topLeft" activeCell="B48" activeCellId="0" sqref="B48"/>
    </sheetView>
  </sheetViews>
  <sheetFormatPr defaultColWidth="8.6796875" defaultRowHeight="12.75" customHeight="false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44.57"/>
    <col collapsed="false" customWidth="true" hidden="false" outlineLevel="0" max="4" min="4" style="0" width="15.42"/>
    <col collapsed="false" customWidth="true" hidden="false" outlineLevel="0" max="5" min="5" style="0" width="15.14"/>
    <col collapsed="false" customWidth="true" hidden="false" outlineLevel="0" max="6" min="6" style="0" width="11.29"/>
    <col collapsed="false" customWidth="true" hidden="false" outlineLevel="0" max="7" min="7" style="0" width="16.43"/>
    <col collapsed="false" customWidth="true" hidden="false" outlineLevel="0" max="9" min="9" style="0" width="14"/>
    <col collapsed="false" customWidth="true" hidden="false" outlineLevel="0" max="10" min="10" style="0" width="11.57"/>
    <col collapsed="false" customWidth="true" hidden="false" outlineLevel="0" max="12" min="12" style="0" width="15.29"/>
  </cols>
  <sheetData>
    <row r="2" customFormat="false" ht="12.75" hidden="false" customHeight="false" outlineLevel="0" collapsed="false">
      <c r="A2" s="83" t="s">
        <v>943</v>
      </c>
      <c r="B2" s="83"/>
      <c r="C2" s="83"/>
      <c r="D2" s="83"/>
      <c r="E2" s="83"/>
      <c r="F2" s="83"/>
      <c r="G2" s="83"/>
      <c r="H2" s="83"/>
      <c r="I2" s="83"/>
      <c r="J2" s="83"/>
      <c r="K2" s="83"/>
      <c r="L2" s="83"/>
    </row>
    <row r="4" customFormat="false" ht="12.75" hidden="false" customHeight="false" outlineLevel="0" collapsed="false">
      <c r="D4" s="84" t="s">
        <v>944</v>
      </c>
      <c r="E4" s="84"/>
      <c r="F4" s="84" t="s">
        <v>945</v>
      </c>
      <c r="G4" s="84"/>
      <c r="H4" s="84" t="s">
        <v>946</v>
      </c>
      <c r="I4" s="84"/>
      <c r="J4" s="84" t="s">
        <v>947</v>
      </c>
      <c r="K4" s="84"/>
      <c r="L4" s="84"/>
    </row>
    <row r="5" customFormat="false" ht="13.8" hidden="false" customHeight="false" outlineLevel="0" collapsed="false">
      <c r="A5" s="85" t="s">
        <v>948</v>
      </c>
      <c r="B5" s="85" t="s">
        <v>949</v>
      </c>
      <c r="C5" s="85" t="s">
        <v>297</v>
      </c>
      <c r="D5" s="86" t="s">
        <v>950</v>
      </c>
      <c r="E5" s="86" t="s">
        <v>951</v>
      </c>
      <c r="F5" s="86" t="s">
        <v>950</v>
      </c>
      <c r="G5" s="86" t="s">
        <v>951</v>
      </c>
      <c r="H5" s="86" t="s">
        <v>950</v>
      </c>
      <c r="I5" s="86" t="s">
        <v>951</v>
      </c>
      <c r="J5" s="87" t="s">
        <v>298</v>
      </c>
      <c r="K5" s="88" t="s">
        <v>299</v>
      </c>
      <c r="L5" s="89" t="s">
        <v>300</v>
      </c>
    </row>
    <row r="6" customFormat="false" ht="22.5" hidden="false" customHeight="true" outlineLevel="0" collapsed="false">
      <c r="A6" s="22" t="s">
        <v>301</v>
      </c>
      <c r="B6" s="22" t="s">
        <v>302</v>
      </c>
      <c r="C6" s="22" t="s">
        <v>303</v>
      </c>
      <c r="D6" s="90"/>
      <c r="E6" s="90"/>
      <c r="F6" s="90"/>
      <c r="G6" s="90"/>
      <c r="H6" s="90"/>
      <c r="I6" s="90"/>
      <c r="J6" s="91"/>
      <c r="K6" s="92"/>
      <c r="L6" s="23" t="n">
        <f aca="false">J6*K6</f>
        <v>0</v>
      </c>
    </row>
    <row r="7" customFormat="false" ht="22.5" hidden="false" customHeight="true" outlineLevel="0" collapsed="false">
      <c r="A7" s="22" t="s">
        <v>304</v>
      </c>
      <c r="B7" s="22" t="s">
        <v>23</v>
      </c>
      <c r="C7" s="22" t="s">
        <v>305</v>
      </c>
      <c r="D7" s="90"/>
      <c r="E7" s="90"/>
      <c r="F7" s="90"/>
      <c r="G7" s="90"/>
      <c r="H7" s="90"/>
      <c r="I7" s="90"/>
      <c r="J7" s="91"/>
      <c r="K7" s="92"/>
      <c r="L7" s="23" t="n">
        <f aca="false">J7*K7</f>
        <v>0</v>
      </c>
    </row>
    <row r="8" customFormat="false" ht="22.5" hidden="false" customHeight="true" outlineLevel="0" collapsed="false">
      <c r="A8" s="22" t="s">
        <v>306</v>
      </c>
      <c r="B8" s="22" t="s">
        <v>12</v>
      </c>
      <c r="C8" s="22" t="s">
        <v>305</v>
      </c>
      <c r="D8" s="90"/>
      <c r="E8" s="90"/>
      <c r="F8" s="90"/>
      <c r="G8" s="90"/>
      <c r="H8" s="90"/>
      <c r="I8" s="90"/>
      <c r="J8" s="91"/>
      <c r="K8" s="92"/>
      <c r="L8" s="23" t="n">
        <f aca="false">J8*K8</f>
        <v>0</v>
      </c>
    </row>
    <row r="9" customFormat="false" ht="22.5" hidden="false" customHeight="true" outlineLevel="0" collapsed="false">
      <c r="A9" s="93" t="s">
        <v>307</v>
      </c>
      <c r="B9" s="93" t="s">
        <v>13</v>
      </c>
      <c r="C9" s="93" t="s">
        <v>305</v>
      </c>
      <c r="D9" s="69" t="n">
        <v>587</v>
      </c>
      <c r="E9" s="69" t="n">
        <v>19248466</v>
      </c>
      <c r="F9" s="69" t="n">
        <v>0</v>
      </c>
      <c r="G9" s="69" t="n">
        <v>0</v>
      </c>
      <c r="H9" s="69" t="n">
        <v>338</v>
      </c>
      <c r="I9" s="69" t="n">
        <f aca="false">E9+G9-K9</f>
        <v>19231098.7</v>
      </c>
      <c r="J9" s="94" t="n">
        <v>132</v>
      </c>
      <c r="K9" s="95" t="n">
        <v>17367.3</v>
      </c>
      <c r="L9" s="96" t="n">
        <f aca="false">J9*K9</f>
        <v>2292483.6</v>
      </c>
    </row>
    <row r="10" customFormat="false" ht="22.5" hidden="false" customHeight="true" outlineLevel="0" collapsed="false">
      <c r="A10" s="22" t="s">
        <v>308</v>
      </c>
      <c r="B10" s="22" t="s">
        <v>24</v>
      </c>
      <c r="C10" s="22" t="s">
        <v>305</v>
      </c>
      <c r="D10" s="90"/>
      <c r="E10" s="90"/>
      <c r="F10" s="90"/>
      <c r="G10" s="90"/>
      <c r="H10" s="90"/>
      <c r="I10" s="90"/>
      <c r="J10" s="91"/>
      <c r="K10" s="92"/>
      <c r="L10" s="23" t="n">
        <f aca="false">J10*K10</f>
        <v>0</v>
      </c>
    </row>
    <row r="11" customFormat="false" ht="22.5" hidden="false" customHeight="true" outlineLevel="0" collapsed="false">
      <c r="A11" s="22" t="s">
        <v>309</v>
      </c>
      <c r="B11" s="22" t="s">
        <v>14</v>
      </c>
      <c r="C11" s="22" t="s">
        <v>303</v>
      </c>
      <c r="D11" s="90"/>
      <c r="E11" s="90"/>
      <c r="F11" s="90"/>
      <c r="G11" s="90"/>
      <c r="H11" s="90"/>
      <c r="I11" s="90"/>
      <c r="J11" s="91"/>
      <c r="K11" s="92"/>
      <c r="L11" s="23" t="n">
        <f aca="false">J11*K11</f>
        <v>0</v>
      </c>
    </row>
    <row r="12" customFormat="false" ht="22.5" hidden="false" customHeight="true" outlineLevel="0" collapsed="false">
      <c r="A12" s="22" t="s">
        <v>310</v>
      </c>
      <c r="B12" s="22" t="s">
        <v>15</v>
      </c>
      <c r="C12" s="22" t="s">
        <v>311</v>
      </c>
      <c r="D12" s="69" t="n">
        <v>504</v>
      </c>
      <c r="E12" s="69" t="n">
        <v>68557545</v>
      </c>
      <c r="F12" s="69" t="n">
        <v>0</v>
      </c>
      <c r="G12" s="69" t="n">
        <v>0</v>
      </c>
      <c r="H12" s="69" t="n">
        <v>134</v>
      </c>
      <c r="I12" s="69" t="n">
        <f aca="false">E12+G12-K12</f>
        <v>68474044.8</v>
      </c>
      <c r="J12" s="97" t="n">
        <v>227</v>
      </c>
      <c r="K12" s="92" t="n">
        <v>83500.2</v>
      </c>
      <c r="L12" s="23" t="n">
        <f aca="false">J12*K12</f>
        <v>18954545.4</v>
      </c>
    </row>
    <row r="13" customFormat="false" ht="22.5" hidden="false" customHeight="true" outlineLevel="0" collapsed="false">
      <c r="A13" s="22" t="s">
        <v>312</v>
      </c>
      <c r="B13" s="22" t="s">
        <v>16</v>
      </c>
      <c r="C13" s="22" t="s">
        <v>303</v>
      </c>
      <c r="D13" s="69" t="n">
        <v>344</v>
      </c>
      <c r="E13" s="69" t="n">
        <v>53839916</v>
      </c>
      <c r="F13" s="69" t="n">
        <v>0</v>
      </c>
      <c r="G13" s="69" t="n">
        <v>0</v>
      </c>
      <c r="H13" s="69" t="n">
        <v>34</v>
      </c>
      <c r="I13" s="69" t="n">
        <f aca="false">E13+G13-K13</f>
        <v>53764215.2</v>
      </c>
      <c r="J13" s="97" t="n">
        <v>150</v>
      </c>
      <c r="K13" s="92" t="n">
        <v>75700.8</v>
      </c>
      <c r="L13" s="23" t="n">
        <f aca="false">J13*K13</f>
        <v>11355120</v>
      </c>
    </row>
    <row r="14" customFormat="false" ht="22.5" hidden="false" customHeight="true" outlineLevel="0" collapsed="false">
      <c r="A14" s="22" t="s">
        <v>313</v>
      </c>
      <c r="B14" s="22" t="s">
        <v>17</v>
      </c>
      <c r="C14" s="22" t="s">
        <v>311</v>
      </c>
      <c r="D14" s="90"/>
      <c r="E14" s="90"/>
      <c r="F14" s="90"/>
      <c r="G14" s="90"/>
      <c r="H14" s="90"/>
      <c r="I14" s="90"/>
      <c r="J14" s="98" t="n">
        <v>0</v>
      </c>
      <c r="K14" s="99"/>
      <c r="L14" s="23" t="n">
        <f aca="false">J14*K14</f>
        <v>0</v>
      </c>
    </row>
    <row r="15" customFormat="false" ht="22.5" hidden="false" customHeight="true" outlineLevel="0" collapsed="false">
      <c r="A15" s="22" t="s">
        <v>314</v>
      </c>
      <c r="B15" s="22" t="s">
        <v>315</v>
      </c>
      <c r="C15" s="22" t="s">
        <v>311</v>
      </c>
      <c r="D15" s="90"/>
      <c r="E15" s="90"/>
      <c r="F15" s="90"/>
      <c r="G15" s="90"/>
      <c r="H15" s="90"/>
      <c r="I15" s="90"/>
      <c r="J15" s="91"/>
      <c r="K15" s="92"/>
      <c r="L15" s="23" t="n">
        <f aca="false">J15*K15</f>
        <v>0</v>
      </c>
    </row>
    <row r="16" customFormat="false" ht="22.5" hidden="false" customHeight="true" outlineLevel="0" collapsed="false">
      <c r="A16" s="22" t="s">
        <v>316</v>
      </c>
      <c r="B16" s="22" t="s">
        <v>317</v>
      </c>
      <c r="C16" s="22" t="s">
        <v>311</v>
      </c>
      <c r="D16" s="90"/>
      <c r="E16" s="90"/>
      <c r="F16" s="90"/>
      <c r="G16" s="90"/>
      <c r="H16" s="90"/>
      <c r="I16" s="90"/>
      <c r="J16" s="91"/>
      <c r="K16" s="92"/>
      <c r="L16" s="23" t="n">
        <f aca="false">J16*K16</f>
        <v>0</v>
      </c>
    </row>
    <row r="17" customFormat="false" ht="22.5" hidden="false" customHeight="true" outlineLevel="0" collapsed="false">
      <c r="A17" s="22" t="s">
        <v>318</v>
      </c>
      <c r="B17" s="22" t="s">
        <v>18</v>
      </c>
      <c r="C17" s="22" t="s">
        <v>305</v>
      </c>
      <c r="D17" s="69" t="n">
        <v>554</v>
      </c>
      <c r="E17" s="69" t="n">
        <v>12063982</v>
      </c>
      <c r="F17" s="69" t="n">
        <v>0</v>
      </c>
      <c r="G17" s="69" t="n">
        <v>0</v>
      </c>
      <c r="H17" s="69" t="n">
        <v>344</v>
      </c>
      <c r="I17" s="69" t="n">
        <f aca="false">E17+G17-K17</f>
        <v>12051940.9</v>
      </c>
      <c r="J17" s="97" t="n">
        <v>116</v>
      </c>
      <c r="K17" s="92" t="n">
        <v>12041.1</v>
      </c>
      <c r="L17" s="23" t="n">
        <f aca="false">J17*K17</f>
        <v>1396767.6</v>
      </c>
    </row>
    <row r="18" customFormat="false" ht="22.5" hidden="false" customHeight="true" outlineLevel="0" collapsed="false">
      <c r="A18" s="22" t="s">
        <v>319</v>
      </c>
      <c r="B18" s="22" t="s">
        <v>19</v>
      </c>
      <c r="C18" s="22" t="s">
        <v>305</v>
      </c>
      <c r="D18" s="69" t="n">
        <v>180</v>
      </c>
      <c r="E18" s="69" t="n">
        <v>3904035</v>
      </c>
      <c r="F18" s="69" t="n">
        <v>0</v>
      </c>
      <c r="G18" s="69" t="n">
        <v>0</v>
      </c>
      <c r="H18" s="69" t="n">
        <v>40</v>
      </c>
      <c r="I18" s="69" t="n">
        <f aca="false">E18+G18-K18</f>
        <v>3891993.9</v>
      </c>
      <c r="J18" s="97" t="n">
        <v>78</v>
      </c>
      <c r="K18" s="92" t="n">
        <v>12041.1</v>
      </c>
      <c r="L18" s="23" t="n">
        <f aca="false">J18*K18</f>
        <v>939205.8</v>
      </c>
    </row>
    <row r="19" customFormat="false" ht="22.5" hidden="false" customHeight="true" outlineLevel="0" collapsed="false">
      <c r="A19" s="22" t="s">
        <v>320</v>
      </c>
      <c r="B19" s="22" t="s">
        <v>321</v>
      </c>
      <c r="C19" s="22" t="s">
        <v>311</v>
      </c>
      <c r="D19" s="90"/>
      <c r="E19" s="90"/>
      <c r="F19" s="90"/>
      <c r="G19" s="90"/>
      <c r="H19" s="90"/>
      <c r="I19" s="90"/>
      <c r="J19" s="91"/>
      <c r="K19" s="92"/>
      <c r="L19" s="23" t="n">
        <f aca="false">J19*K19</f>
        <v>0</v>
      </c>
    </row>
    <row r="20" customFormat="false" ht="22.5" hidden="false" customHeight="true" outlineLevel="0" collapsed="false">
      <c r="A20" s="22" t="s">
        <v>322</v>
      </c>
      <c r="B20" s="22" t="s">
        <v>20</v>
      </c>
      <c r="C20" s="22" t="s">
        <v>303</v>
      </c>
      <c r="D20" s="90"/>
      <c r="E20" s="90"/>
      <c r="F20" s="90"/>
      <c r="G20" s="90"/>
      <c r="H20" s="90"/>
      <c r="I20" s="90"/>
      <c r="J20" s="91"/>
      <c r="K20" s="92"/>
      <c r="L20" s="23" t="n">
        <f aca="false">J20*K20</f>
        <v>0</v>
      </c>
    </row>
    <row r="21" customFormat="false" ht="22.5" hidden="false" customHeight="true" outlineLevel="0" collapsed="false">
      <c r="A21" s="22" t="s">
        <v>323</v>
      </c>
      <c r="B21" s="22" t="s">
        <v>21</v>
      </c>
      <c r="C21" s="22" t="s">
        <v>311</v>
      </c>
      <c r="D21" s="69" t="n">
        <v>170</v>
      </c>
      <c r="E21" s="69" t="n">
        <v>40681945</v>
      </c>
      <c r="F21" s="69" t="n">
        <v>0</v>
      </c>
      <c r="G21" s="69" t="n">
        <v>0</v>
      </c>
      <c r="H21" s="69" t="n">
        <v>88</v>
      </c>
      <c r="I21" s="69" t="n">
        <f aca="false">E21+G21-K21</f>
        <v>40542701.5</v>
      </c>
      <c r="J21" s="97" t="n">
        <v>48</v>
      </c>
      <c r="K21" s="92" t="n">
        <v>139243.5</v>
      </c>
      <c r="L21" s="23" t="n">
        <f aca="false">J21*K21</f>
        <v>6683688</v>
      </c>
    </row>
    <row r="22" customFormat="false" ht="22.5" hidden="false" customHeight="true" outlineLevel="0" collapsed="false">
      <c r="A22" s="22" t="s">
        <v>324</v>
      </c>
      <c r="B22" s="22" t="s">
        <v>22</v>
      </c>
      <c r="C22" s="22" t="s">
        <v>303</v>
      </c>
      <c r="D22" s="90"/>
      <c r="E22" s="90"/>
      <c r="F22" s="90"/>
      <c r="G22" s="90"/>
      <c r="H22" s="90"/>
      <c r="I22" s="90"/>
      <c r="J22" s="91"/>
      <c r="K22" s="92"/>
      <c r="L22" s="23" t="n">
        <f aca="false">J22*K22</f>
        <v>0</v>
      </c>
    </row>
    <row r="23" customFormat="false" ht="22.5" hidden="false" customHeight="true" outlineLevel="0" collapsed="false">
      <c r="A23" s="22" t="s">
        <v>325</v>
      </c>
      <c r="B23" s="22" t="s">
        <v>326</v>
      </c>
      <c r="C23" s="22" t="s">
        <v>327</v>
      </c>
      <c r="D23" s="90"/>
      <c r="E23" s="90"/>
      <c r="F23" s="90"/>
      <c r="G23" s="90"/>
      <c r="H23" s="90"/>
      <c r="I23" s="90"/>
      <c r="J23" s="91"/>
      <c r="K23" s="92"/>
      <c r="L23" s="23" t="n">
        <f aca="false">J23*K23</f>
        <v>0</v>
      </c>
    </row>
    <row r="24" customFormat="false" ht="22.5" hidden="false" customHeight="true" outlineLevel="0" collapsed="false">
      <c r="A24" s="22" t="s">
        <v>328</v>
      </c>
      <c r="B24" s="22" t="s">
        <v>329</v>
      </c>
      <c r="C24" s="22" t="s">
        <v>327</v>
      </c>
      <c r="D24" s="90"/>
      <c r="E24" s="90"/>
      <c r="F24" s="90"/>
      <c r="G24" s="90"/>
      <c r="H24" s="90"/>
      <c r="I24" s="90"/>
      <c r="J24" s="91"/>
      <c r="K24" s="92"/>
      <c r="L24" s="23" t="n">
        <f aca="false">J24*K24</f>
        <v>0</v>
      </c>
    </row>
    <row r="25" customFormat="false" ht="22.5" hidden="false" customHeight="true" outlineLevel="0" collapsed="false">
      <c r="A25" s="22" t="s">
        <v>330</v>
      </c>
      <c r="B25" s="22" t="s">
        <v>331</v>
      </c>
      <c r="C25" s="22" t="s">
        <v>303</v>
      </c>
      <c r="D25" s="90"/>
      <c r="E25" s="90"/>
      <c r="F25" s="90"/>
      <c r="G25" s="90"/>
      <c r="H25" s="90"/>
      <c r="I25" s="90"/>
      <c r="J25" s="91"/>
      <c r="K25" s="92"/>
      <c r="L25" s="23" t="n">
        <f aca="false">J25*K25</f>
        <v>0</v>
      </c>
    </row>
    <row r="26" customFormat="false" ht="22.5" hidden="false" customHeight="true" outlineLevel="0" collapsed="false">
      <c r="A26" s="24" t="s">
        <v>332</v>
      </c>
      <c r="B26" s="24" t="s">
        <v>333</v>
      </c>
      <c r="C26" s="24" t="s">
        <v>303</v>
      </c>
      <c r="D26" s="69" t="n">
        <v>833</v>
      </c>
      <c r="E26" s="69" t="n">
        <v>46378988</v>
      </c>
      <c r="F26" s="69" t="n">
        <v>4571</v>
      </c>
      <c r="G26" s="69" t="n">
        <v>254508576</v>
      </c>
      <c r="H26" s="69" t="n">
        <v>5404</v>
      </c>
      <c r="I26" s="69" t="n">
        <f aca="false">E26+G26-K26</f>
        <v>300821345</v>
      </c>
      <c r="J26" s="100" t="n">
        <v>3840</v>
      </c>
      <c r="K26" s="101" t="n">
        <v>66219</v>
      </c>
      <c r="L26" s="25" t="n">
        <f aca="false">J26*K26</f>
        <v>254280960</v>
      </c>
    </row>
    <row r="27" customFormat="false" ht="22.5" hidden="false" customHeight="true" outlineLevel="0" collapsed="false">
      <c r="A27" s="22" t="s">
        <v>334</v>
      </c>
      <c r="B27" s="22" t="s">
        <v>335</v>
      </c>
      <c r="C27" s="22" t="s">
        <v>303</v>
      </c>
      <c r="D27" s="90"/>
      <c r="E27" s="90"/>
      <c r="F27" s="90"/>
      <c r="G27" s="90"/>
      <c r="H27" s="90"/>
      <c r="I27" s="90"/>
      <c r="J27" s="91"/>
      <c r="K27" s="92"/>
      <c r="L27" s="23" t="n">
        <f aca="false">J27*K27</f>
        <v>0</v>
      </c>
    </row>
    <row r="28" customFormat="false" ht="22.5" hidden="false" customHeight="true" outlineLevel="0" collapsed="false">
      <c r="A28" s="24" t="s">
        <v>336</v>
      </c>
      <c r="B28" s="24" t="s">
        <v>38</v>
      </c>
      <c r="C28" s="24" t="s">
        <v>303</v>
      </c>
      <c r="D28" s="69" t="n">
        <v>273867</v>
      </c>
      <c r="E28" s="69" t="n">
        <v>255643095</v>
      </c>
      <c r="F28" s="69" t="n">
        <v>8568</v>
      </c>
      <c r="G28" s="69" t="n">
        <v>267390144</v>
      </c>
      <c r="H28" s="69" t="n">
        <v>274625</v>
      </c>
      <c r="I28" s="69" t="n">
        <f aca="false">E28+G28-K28</f>
        <v>523002031</v>
      </c>
      <c r="J28" s="102" t="n">
        <v>5200</v>
      </c>
      <c r="K28" s="103" t="n">
        <v>31208</v>
      </c>
      <c r="L28" s="25" t="n">
        <f aca="false">J28*K28</f>
        <v>162281600</v>
      </c>
    </row>
    <row r="29" customFormat="false" ht="22.5" hidden="false" customHeight="true" outlineLevel="0" collapsed="false">
      <c r="A29" s="22" t="s">
        <v>337</v>
      </c>
      <c r="B29" s="22" t="s">
        <v>338</v>
      </c>
      <c r="C29" s="22" t="s">
        <v>303</v>
      </c>
      <c r="D29" s="90"/>
      <c r="E29" s="90"/>
      <c r="F29" s="90"/>
      <c r="G29" s="90"/>
      <c r="H29" s="90"/>
      <c r="I29" s="90"/>
      <c r="J29" s="91"/>
      <c r="K29" s="92"/>
      <c r="L29" s="23" t="n">
        <f aca="false">J29*K29</f>
        <v>0</v>
      </c>
    </row>
    <row r="30" customFormat="false" ht="22.5" hidden="false" customHeight="true" outlineLevel="0" collapsed="false">
      <c r="A30" s="22" t="s">
        <v>339</v>
      </c>
      <c r="B30" s="22" t="s">
        <v>340</v>
      </c>
      <c r="C30" s="22" t="s">
        <v>303</v>
      </c>
      <c r="D30" s="90"/>
      <c r="E30" s="90"/>
      <c r="F30" s="90"/>
      <c r="G30" s="90"/>
      <c r="H30" s="90"/>
      <c r="I30" s="90"/>
      <c r="J30" s="91"/>
      <c r="K30" s="92"/>
      <c r="L30" s="23" t="n">
        <f aca="false">J30*K30</f>
        <v>0</v>
      </c>
    </row>
    <row r="31" customFormat="false" ht="22.5" hidden="false" customHeight="true" outlineLevel="0" collapsed="false">
      <c r="A31" s="22" t="s">
        <v>341</v>
      </c>
      <c r="B31" s="22" t="s">
        <v>342</v>
      </c>
      <c r="C31" s="22" t="s">
        <v>303</v>
      </c>
      <c r="D31" s="90"/>
      <c r="E31" s="90"/>
      <c r="F31" s="90"/>
      <c r="G31" s="90"/>
      <c r="H31" s="90"/>
      <c r="I31" s="90"/>
      <c r="J31" s="91"/>
      <c r="K31" s="92"/>
      <c r="L31" s="23" t="n">
        <f aca="false">J31*K31</f>
        <v>0</v>
      </c>
    </row>
    <row r="32" customFormat="false" ht="22.5" hidden="false" customHeight="true" outlineLevel="0" collapsed="false">
      <c r="A32" s="22" t="s">
        <v>343</v>
      </c>
      <c r="B32" s="22" t="s">
        <v>344</v>
      </c>
      <c r="C32" s="22" t="s">
        <v>303</v>
      </c>
      <c r="D32" s="90"/>
      <c r="E32" s="90"/>
      <c r="F32" s="90"/>
      <c r="G32" s="90"/>
      <c r="H32" s="90"/>
      <c r="I32" s="90"/>
      <c r="J32" s="91"/>
      <c r="K32" s="92"/>
      <c r="L32" s="23" t="n">
        <f aca="false">J32*K32</f>
        <v>0</v>
      </c>
    </row>
    <row r="33" customFormat="false" ht="22.5" hidden="false" customHeight="true" outlineLevel="0" collapsed="false">
      <c r="A33" s="22" t="s">
        <v>345</v>
      </c>
      <c r="B33" s="22" t="s">
        <v>346</v>
      </c>
      <c r="C33" s="22" t="s">
        <v>327</v>
      </c>
      <c r="D33" s="90"/>
      <c r="E33" s="90"/>
      <c r="F33" s="90"/>
      <c r="G33" s="90"/>
      <c r="H33" s="90"/>
      <c r="I33" s="90"/>
      <c r="J33" s="104" t="n">
        <v>306</v>
      </c>
      <c r="K33" s="105" t="n">
        <v>51389</v>
      </c>
      <c r="L33" s="106" t="n">
        <f aca="false">J33*K33</f>
        <v>15725034</v>
      </c>
    </row>
    <row r="34" customFormat="false" ht="22.5" hidden="false" customHeight="true" outlineLevel="0" collapsed="false">
      <c r="A34" s="24" t="s">
        <v>347</v>
      </c>
      <c r="B34" s="24" t="s">
        <v>348</v>
      </c>
      <c r="C34" s="24" t="s">
        <v>327</v>
      </c>
      <c r="D34" s="69" t="n">
        <v>25915</v>
      </c>
      <c r="E34" s="69" t="n">
        <v>50321430</v>
      </c>
      <c r="F34" s="69" t="n">
        <v>1500</v>
      </c>
      <c r="G34" s="69" t="n">
        <v>54276000</v>
      </c>
      <c r="H34" s="69" t="n">
        <v>26863</v>
      </c>
      <c r="I34" s="69" t="n">
        <f aca="false">E34+G34-K34</f>
        <v>104561246</v>
      </c>
      <c r="J34" s="102" t="n">
        <v>2000</v>
      </c>
      <c r="K34" s="103" t="n">
        <v>36184</v>
      </c>
      <c r="L34" s="25" t="n">
        <f aca="false">J34*K34</f>
        <v>72368000</v>
      </c>
    </row>
    <row r="35" customFormat="false" ht="22.5" hidden="false" customHeight="true" outlineLevel="0" collapsed="false">
      <c r="A35" s="22" t="s">
        <v>349</v>
      </c>
      <c r="B35" s="22" t="s">
        <v>42</v>
      </c>
      <c r="C35" s="22" t="s">
        <v>327</v>
      </c>
      <c r="D35" s="69" t="n">
        <v>160</v>
      </c>
      <c r="E35" s="69" t="n">
        <v>8538638</v>
      </c>
      <c r="F35" s="69" t="n">
        <v>0</v>
      </c>
      <c r="G35" s="69" t="n">
        <v>0</v>
      </c>
      <c r="H35" s="69" t="n">
        <v>26</v>
      </c>
      <c r="I35" s="69" t="n">
        <f aca="false">E35+G35-K35</f>
        <v>8486153</v>
      </c>
      <c r="J35" s="97" t="n">
        <v>130</v>
      </c>
      <c r="K35" s="107" t="n">
        <v>52485</v>
      </c>
      <c r="L35" s="23" t="n">
        <f aca="false">J35*K35</f>
        <v>6823050</v>
      </c>
    </row>
    <row r="36" customFormat="false" ht="22.5" hidden="false" customHeight="true" outlineLevel="0" collapsed="false">
      <c r="A36" s="22" t="s">
        <v>350</v>
      </c>
      <c r="B36" s="22" t="s">
        <v>351</v>
      </c>
      <c r="C36" s="22" t="s">
        <v>327</v>
      </c>
      <c r="D36" s="90"/>
      <c r="E36" s="90"/>
      <c r="F36" s="90"/>
      <c r="G36" s="90"/>
      <c r="H36" s="90"/>
      <c r="I36" s="90"/>
      <c r="J36" s="91"/>
      <c r="K36" s="92"/>
      <c r="L36" s="23" t="n">
        <f aca="false">J36*K36</f>
        <v>0</v>
      </c>
    </row>
    <row r="37" customFormat="false" ht="21" hidden="false" customHeight="true" outlineLevel="0" collapsed="false">
      <c r="A37" s="22" t="s">
        <v>352</v>
      </c>
      <c r="B37" s="22" t="s">
        <v>41</v>
      </c>
      <c r="C37" s="22" t="s">
        <v>303</v>
      </c>
      <c r="D37" s="90"/>
      <c r="E37" s="90"/>
      <c r="F37" s="90"/>
      <c r="G37" s="90"/>
      <c r="H37" s="90"/>
      <c r="I37" s="90"/>
      <c r="J37" s="91"/>
      <c r="K37" s="92"/>
      <c r="L37" s="23" t="n">
        <f aca="false">J37*K37</f>
        <v>0</v>
      </c>
    </row>
    <row r="38" customFormat="false" ht="22.5" hidden="false" customHeight="true" outlineLevel="0" collapsed="false">
      <c r="A38" s="22" t="s">
        <v>353</v>
      </c>
      <c r="B38" s="22" t="s">
        <v>354</v>
      </c>
      <c r="C38" s="22" t="s">
        <v>355</v>
      </c>
      <c r="D38" s="90"/>
      <c r="E38" s="90"/>
      <c r="F38" s="90"/>
      <c r="G38" s="90"/>
      <c r="H38" s="90"/>
      <c r="I38" s="90"/>
      <c r="J38" s="91"/>
      <c r="K38" s="92"/>
      <c r="L38" s="23" t="n">
        <f aca="false">J38*K38</f>
        <v>0</v>
      </c>
    </row>
    <row r="39" customFormat="false" ht="22.5" hidden="false" customHeight="true" outlineLevel="0" collapsed="false">
      <c r="A39" s="22" t="s">
        <v>356</v>
      </c>
      <c r="B39" s="22" t="s">
        <v>357</v>
      </c>
      <c r="C39" s="22" t="s">
        <v>327</v>
      </c>
      <c r="D39" s="90"/>
      <c r="E39" s="90"/>
      <c r="F39" s="90"/>
      <c r="G39" s="90"/>
      <c r="H39" s="90"/>
      <c r="I39" s="90"/>
      <c r="J39" s="104" t="n">
        <v>62</v>
      </c>
      <c r="K39" s="105" t="n">
        <v>29119.92</v>
      </c>
      <c r="L39" s="106" t="n">
        <f aca="false">J39*K39</f>
        <v>1805435.04</v>
      </c>
    </row>
    <row r="40" customFormat="false" ht="22.5" hidden="false" customHeight="true" outlineLevel="0" collapsed="false">
      <c r="A40" s="22" t="s">
        <v>358</v>
      </c>
      <c r="B40" s="22" t="s">
        <v>50</v>
      </c>
      <c r="C40" s="22" t="s">
        <v>327</v>
      </c>
      <c r="D40" s="69" t="n">
        <v>750</v>
      </c>
      <c r="E40" s="69" t="n">
        <v>2517000</v>
      </c>
      <c r="F40" s="69" t="n">
        <v>0</v>
      </c>
      <c r="G40" s="69" t="n">
        <v>0</v>
      </c>
      <c r="H40" s="69" t="n">
        <v>23</v>
      </c>
      <c r="I40" s="69" t="n">
        <f aca="false">E40+G40-K40</f>
        <v>2513536.76</v>
      </c>
      <c r="J40" s="97" t="n">
        <v>750</v>
      </c>
      <c r="K40" s="107" t="n">
        <v>3463.24</v>
      </c>
      <c r="L40" s="23" t="n">
        <f aca="false">J40*K40</f>
        <v>2597430</v>
      </c>
    </row>
    <row r="41" customFormat="false" ht="22.5" hidden="false" customHeight="true" outlineLevel="0" collapsed="false">
      <c r="A41" s="22" t="s">
        <v>359</v>
      </c>
      <c r="B41" s="22" t="s">
        <v>360</v>
      </c>
      <c r="C41" s="22" t="s">
        <v>327</v>
      </c>
      <c r="D41" s="69" t="n">
        <v>1500</v>
      </c>
      <c r="E41" s="69" t="n">
        <v>7597338</v>
      </c>
      <c r="F41" s="69" t="n">
        <v>250</v>
      </c>
      <c r="G41" s="69" t="n">
        <v>1273250</v>
      </c>
      <c r="H41" s="69" t="n">
        <v>691</v>
      </c>
      <c r="I41" s="69" t="n">
        <f aca="false">E41+G41-K41</f>
        <v>8865826.04</v>
      </c>
      <c r="J41" s="97" t="n">
        <v>995</v>
      </c>
      <c r="K41" s="107" t="n">
        <v>4761.96</v>
      </c>
      <c r="L41" s="23" t="n">
        <f aca="false">J41*K41</f>
        <v>4738150.2</v>
      </c>
    </row>
    <row r="42" customFormat="false" ht="22.5" hidden="false" customHeight="true" outlineLevel="0" collapsed="false">
      <c r="A42" s="22" t="s">
        <v>361</v>
      </c>
      <c r="B42" s="22" t="s">
        <v>51</v>
      </c>
      <c r="C42" s="22" t="s">
        <v>327</v>
      </c>
      <c r="D42" s="69" t="n">
        <v>1350</v>
      </c>
      <c r="E42" s="69" t="n">
        <v>5561964</v>
      </c>
      <c r="F42" s="69" t="n">
        <v>200</v>
      </c>
      <c r="G42" s="69" t="n">
        <v>833400</v>
      </c>
      <c r="H42" s="69" t="n">
        <v>780</v>
      </c>
      <c r="I42" s="69" t="n">
        <f aca="false">E42+G42-K42</f>
        <v>6391467.86</v>
      </c>
      <c r="J42" s="97" t="n">
        <v>770</v>
      </c>
      <c r="K42" s="107" t="n">
        <v>3896.14</v>
      </c>
      <c r="L42" s="23" t="n">
        <f aca="false">J42*K42</f>
        <v>3000027.8</v>
      </c>
    </row>
    <row r="43" customFormat="false" ht="22.5" hidden="false" customHeight="true" outlineLevel="0" collapsed="false">
      <c r="A43" s="22" t="s">
        <v>362</v>
      </c>
      <c r="B43" s="22" t="s">
        <v>52</v>
      </c>
      <c r="C43" s="22" t="s">
        <v>303</v>
      </c>
      <c r="D43" s="69" t="n">
        <v>1676</v>
      </c>
      <c r="E43" s="69" t="n">
        <v>38641471</v>
      </c>
      <c r="F43" s="69" t="n">
        <v>288</v>
      </c>
      <c r="G43" s="69" t="n">
        <v>6666624</v>
      </c>
      <c r="H43" s="69" t="n">
        <v>143</v>
      </c>
      <c r="I43" s="69" t="n">
        <f aca="false">E43+G43-K43</f>
        <v>45286451.62</v>
      </c>
      <c r="J43" s="97" t="n">
        <v>1708</v>
      </c>
      <c r="K43" s="107" t="n">
        <v>21643.38</v>
      </c>
      <c r="L43" s="23" t="n">
        <f aca="false">J43*K43</f>
        <v>36966893.04</v>
      </c>
    </row>
    <row r="44" customFormat="false" ht="22.5" hidden="false" customHeight="true" outlineLevel="0" collapsed="false">
      <c r="A44" s="22" t="s">
        <v>363</v>
      </c>
      <c r="B44" s="22" t="s">
        <v>364</v>
      </c>
      <c r="C44" s="22" t="s">
        <v>303</v>
      </c>
      <c r="D44" s="90"/>
      <c r="E44" s="90"/>
      <c r="F44" s="90"/>
      <c r="G44" s="90"/>
      <c r="H44" s="90"/>
      <c r="I44" s="90"/>
      <c r="J44" s="91"/>
      <c r="K44" s="92"/>
      <c r="L44" s="23" t="n">
        <f aca="false">J44*K44</f>
        <v>0</v>
      </c>
    </row>
    <row r="45" customFormat="false" ht="22.5" hidden="false" customHeight="true" outlineLevel="0" collapsed="false">
      <c r="A45" s="22" t="s">
        <v>365</v>
      </c>
      <c r="B45" s="22" t="s">
        <v>366</v>
      </c>
      <c r="C45" s="22" t="s">
        <v>367</v>
      </c>
      <c r="D45" s="90"/>
      <c r="E45" s="90"/>
      <c r="F45" s="90"/>
      <c r="G45" s="90"/>
      <c r="H45" s="90"/>
      <c r="I45" s="90"/>
      <c r="J45" s="91"/>
      <c r="K45" s="92"/>
      <c r="L45" s="23" t="n">
        <f aca="false">J45*K45</f>
        <v>0</v>
      </c>
    </row>
    <row r="46" customFormat="false" ht="22.5" hidden="false" customHeight="true" outlineLevel="0" collapsed="false">
      <c r="A46" s="22" t="s">
        <v>368</v>
      </c>
      <c r="B46" s="22" t="s">
        <v>369</v>
      </c>
      <c r="C46" s="22" t="s">
        <v>367</v>
      </c>
      <c r="D46" s="90"/>
      <c r="E46" s="90"/>
      <c r="F46" s="90"/>
      <c r="G46" s="90"/>
      <c r="H46" s="90"/>
      <c r="I46" s="90"/>
      <c r="J46" s="91"/>
      <c r="K46" s="92"/>
      <c r="L46" s="23" t="n">
        <f aca="false">J46*K46</f>
        <v>0</v>
      </c>
    </row>
    <row r="47" customFormat="false" ht="22.5" hidden="false" customHeight="true" outlineLevel="0" collapsed="false">
      <c r="A47" s="22" t="s">
        <v>370</v>
      </c>
      <c r="B47" s="22" t="s">
        <v>371</v>
      </c>
      <c r="C47" s="22" t="s">
        <v>367</v>
      </c>
      <c r="D47" s="90"/>
      <c r="E47" s="90"/>
      <c r="F47" s="90"/>
      <c r="G47" s="90"/>
      <c r="H47" s="90"/>
      <c r="I47" s="90"/>
      <c r="J47" s="91"/>
      <c r="K47" s="92"/>
      <c r="L47" s="23" t="n">
        <f aca="false">J47*K47</f>
        <v>0</v>
      </c>
    </row>
    <row r="48" customFormat="false" ht="22.5" hidden="false" customHeight="true" outlineLevel="0" collapsed="false">
      <c r="A48" s="24" t="s">
        <v>372</v>
      </c>
      <c r="B48" s="24" t="s">
        <v>373</v>
      </c>
      <c r="C48" s="24" t="s">
        <v>303</v>
      </c>
      <c r="D48" s="90"/>
      <c r="E48" s="90"/>
      <c r="F48" s="90"/>
      <c r="G48" s="90"/>
      <c r="H48" s="90"/>
      <c r="I48" s="90"/>
      <c r="J48" s="100" t="n">
        <v>628</v>
      </c>
      <c r="K48" s="101" t="n">
        <v>8657</v>
      </c>
      <c r="L48" s="25" t="n">
        <f aca="false">J48*K48</f>
        <v>5436596</v>
      </c>
    </row>
    <row r="49" customFormat="false" ht="22.5" hidden="false" customHeight="true" outlineLevel="0" collapsed="false">
      <c r="A49" s="108" t="s">
        <v>374</v>
      </c>
      <c r="B49" s="108" t="s">
        <v>375</v>
      </c>
      <c r="C49" s="108" t="s">
        <v>303</v>
      </c>
      <c r="D49" s="90"/>
      <c r="E49" s="90"/>
      <c r="F49" s="90"/>
      <c r="G49" s="90"/>
      <c r="H49" s="90"/>
      <c r="I49" s="90"/>
      <c r="J49" s="109" t="n">
        <v>651</v>
      </c>
      <c r="K49" s="110" t="n">
        <v>8657</v>
      </c>
      <c r="L49" s="111" t="n">
        <f aca="false">J49*K49</f>
        <v>5635707</v>
      </c>
    </row>
    <row r="50" customFormat="false" ht="22.5" hidden="false" customHeight="true" outlineLevel="0" collapsed="false">
      <c r="A50" s="108" t="s">
        <v>376</v>
      </c>
      <c r="B50" s="108" t="s">
        <v>377</v>
      </c>
      <c r="C50" s="108" t="s">
        <v>303</v>
      </c>
      <c r="D50" s="90"/>
      <c r="E50" s="90"/>
      <c r="F50" s="90"/>
      <c r="G50" s="90"/>
      <c r="H50" s="90"/>
      <c r="I50" s="90"/>
      <c r="J50" s="97" t="n">
        <v>890</v>
      </c>
      <c r="K50" s="112" t="n">
        <v>9090</v>
      </c>
      <c r="L50" s="111" t="n">
        <f aca="false">J50*K50</f>
        <v>8090100</v>
      </c>
    </row>
    <row r="51" customFormat="false" ht="22.5" hidden="false" customHeight="true" outlineLevel="0" collapsed="false">
      <c r="A51" s="22" t="s">
        <v>378</v>
      </c>
      <c r="B51" s="22" t="s">
        <v>53</v>
      </c>
      <c r="C51" s="22" t="s">
        <v>303</v>
      </c>
      <c r="D51" s="90"/>
      <c r="E51" s="90"/>
      <c r="F51" s="90"/>
      <c r="G51" s="90"/>
      <c r="H51" s="90"/>
      <c r="I51" s="90"/>
      <c r="J51" s="97" t="n">
        <v>3590</v>
      </c>
      <c r="K51" s="107" t="n">
        <v>9955.88</v>
      </c>
      <c r="L51" s="23" t="n">
        <f aca="false">J51*K51</f>
        <v>35741609.2</v>
      </c>
    </row>
    <row r="52" customFormat="false" ht="22.5" hidden="false" customHeight="true" outlineLevel="0" collapsed="false">
      <c r="A52" s="22" t="s">
        <v>379</v>
      </c>
      <c r="B52" s="22" t="s">
        <v>380</v>
      </c>
      <c r="C52" s="22" t="s">
        <v>327</v>
      </c>
      <c r="D52" s="90"/>
      <c r="E52" s="90"/>
      <c r="F52" s="90"/>
      <c r="G52" s="90"/>
      <c r="H52" s="90"/>
      <c r="I52" s="90"/>
      <c r="J52" s="97" t="n">
        <v>37</v>
      </c>
      <c r="K52" s="107" t="n">
        <v>19698.8</v>
      </c>
      <c r="L52" s="23" t="n">
        <f aca="false">J52*K52</f>
        <v>728855.6</v>
      </c>
    </row>
    <row r="53" customFormat="false" ht="22.5" hidden="false" customHeight="true" outlineLevel="0" collapsed="false">
      <c r="A53" s="22" t="s">
        <v>381</v>
      </c>
      <c r="B53" s="22" t="s">
        <v>382</v>
      </c>
      <c r="C53" s="22" t="s">
        <v>327</v>
      </c>
      <c r="D53" s="90"/>
      <c r="E53" s="90"/>
      <c r="F53" s="90"/>
      <c r="G53" s="90"/>
      <c r="H53" s="90"/>
      <c r="I53" s="90"/>
      <c r="J53" s="97" t="n">
        <v>132</v>
      </c>
      <c r="K53" s="107" t="n">
        <v>23981.55</v>
      </c>
      <c r="L53" s="23" t="n">
        <f aca="false">J53*K53</f>
        <v>3165564.6</v>
      </c>
    </row>
    <row r="54" customFormat="false" ht="22.5" hidden="false" customHeight="true" outlineLevel="0" collapsed="false">
      <c r="A54" s="22" t="s">
        <v>383</v>
      </c>
      <c r="B54" s="22" t="s">
        <v>384</v>
      </c>
      <c r="C54" s="22" t="s">
        <v>327</v>
      </c>
      <c r="D54" s="90"/>
      <c r="E54" s="90"/>
      <c r="F54" s="90"/>
      <c r="G54" s="90"/>
      <c r="H54" s="90"/>
      <c r="I54" s="90"/>
      <c r="J54" s="97" t="n">
        <v>40</v>
      </c>
      <c r="K54" s="107" t="n">
        <v>42045.88</v>
      </c>
      <c r="L54" s="23" t="n">
        <f aca="false">J54*K54</f>
        <v>1681835.2</v>
      </c>
    </row>
    <row r="55" customFormat="false" ht="22.5" hidden="false" customHeight="true" outlineLevel="0" collapsed="false">
      <c r="A55" s="22" t="s">
        <v>385</v>
      </c>
      <c r="B55" s="22" t="s">
        <v>129</v>
      </c>
      <c r="C55" s="22" t="s">
        <v>327</v>
      </c>
      <c r="D55" s="90"/>
      <c r="E55" s="90"/>
      <c r="F55" s="90"/>
      <c r="G55" s="90"/>
      <c r="H55" s="90"/>
      <c r="I55" s="90"/>
      <c r="J55" s="97" t="n">
        <v>15</v>
      </c>
      <c r="K55" s="107" t="n">
        <v>31689.58</v>
      </c>
      <c r="L55" s="23" t="n">
        <f aca="false">J55*K55</f>
        <v>475343.7</v>
      </c>
    </row>
    <row r="56" customFormat="false" ht="22.5" hidden="false" customHeight="true" outlineLevel="0" collapsed="false">
      <c r="A56" s="22" t="s">
        <v>386</v>
      </c>
      <c r="B56" s="22" t="s">
        <v>130</v>
      </c>
      <c r="C56" s="22" t="s">
        <v>327</v>
      </c>
      <c r="D56" s="90"/>
      <c r="E56" s="90"/>
      <c r="F56" s="90"/>
      <c r="G56" s="90"/>
      <c r="H56" s="90"/>
      <c r="I56" s="90"/>
      <c r="J56" s="97" t="n">
        <v>86</v>
      </c>
      <c r="K56" s="107" t="n">
        <v>44108.62</v>
      </c>
      <c r="L56" s="23" t="n">
        <f aca="false">J56*K56</f>
        <v>3793341.32</v>
      </c>
    </row>
    <row r="57" customFormat="false" ht="22.5" hidden="false" customHeight="true" outlineLevel="0" collapsed="false">
      <c r="A57" s="22" t="s">
        <v>387</v>
      </c>
      <c r="B57" s="22" t="s">
        <v>131</v>
      </c>
      <c r="C57" s="22" t="s">
        <v>327</v>
      </c>
      <c r="D57" s="90"/>
      <c r="E57" s="90"/>
      <c r="F57" s="90"/>
      <c r="G57" s="90"/>
      <c r="H57" s="90"/>
      <c r="I57" s="90"/>
      <c r="J57" s="97" t="n">
        <v>36</v>
      </c>
      <c r="K57" s="107" t="n">
        <v>46250</v>
      </c>
      <c r="L57" s="23" t="n">
        <f aca="false">J57*K57</f>
        <v>1665000</v>
      </c>
    </row>
    <row r="58" customFormat="false" ht="22.5" hidden="false" customHeight="true" outlineLevel="0" collapsed="false">
      <c r="A58" s="22" t="s">
        <v>388</v>
      </c>
      <c r="B58" s="22" t="s">
        <v>132</v>
      </c>
      <c r="C58" s="22" t="s">
        <v>327</v>
      </c>
      <c r="D58" s="90"/>
      <c r="E58" s="90"/>
      <c r="F58" s="90"/>
      <c r="G58" s="90"/>
      <c r="H58" s="90"/>
      <c r="I58" s="90"/>
      <c r="J58" s="97" t="n">
        <v>53</v>
      </c>
      <c r="K58" s="107" t="n">
        <v>41110.7</v>
      </c>
      <c r="L58" s="23" t="n">
        <f aca="false">J58*K58</f>
        <v>2178867.1</v>
      </c>
    </row>
    <row r="59" customFormat="false" ht="22.5" hidden="false" customHeight="true" outlineLevel="0" collapsed="false">
      <c r="A59" s="22" t="s">
        <v>389</v>
      </c>
      <c r="B59" s="22" t="s">
        <v>390</v>
      </c>
      <c r="C59" s="22" t="s">
        <v>327</v>
      </c>
      <c r="D59" s="90"/>
      <c r="E59" s="90"/>
      <c r="F59" s="90"/>
      <c r="G59" s="90"/>
      <c r="H59" s="90"/>
      <c r="I59" s="90"/>
      <c r="J59" s="91"/>
      <c r="K59" s="92"/>
      <c r="L59" s="23" t="n">
        <f aca="false">J59*K59</f>
        <v>0</v>
      </c>
    </row>
    <row r="60" customFormat="false" ht="22.5" hidden="false" customHeight="true" outlineLevel="0" collapsed="false">
      <c r="A60" s="22" t="s">
        <v>391</v>
      </c>
      <c r="B60" s="22" t="s">
        <v>133</v>
      </c>
      <c r="C60" s="22" t="s">
        <v>327</v>
      </c>
      <c r="D60" s="90"/>
      <c r="E60" s="90"/>
      <c r="F60" s="90"/>
      <c r="G60" s="90"/>
      <c r="H60" s="90"/>
      <c r="I60" s="90"/>
      <c r="J60" s="97" t="n">
        <v>35</v>
      </c>
      <c r="K60" s="107" t="n">
        <v>35115.78</v>
      </c>
      <c r="L60" s="23" t="n">
        <f aca="false">J60*K60</f>
        <v>1229052.3</v>
      </c>
    </row>
    <row r="61" customFormat="false" ht="22.5" hidden="false" customHeight="true" outlineLevel="0" collapsed="false">
      <c r="A61" s="22" t="s">
        <v>392</v>
      </c>
      <c r="B61" s="22" t="s">
        <v>54</v>
      </c>
      <c r="C61" s="22" t="s">
        <v>393</v>
      </c>
      <c r="D61" s="90"/>
      <c r="E61" s="90"/>
      <c r="F61" s="90"/>
      <c r="G61" s="90"/>
      <c r="H61" s="90"/>
      <c r="I61" s="90"/>
      <c r="J61" s="97" t="n">
        <v>5692</v>
      </c>
      <c r="K61" s="107" t="n">
        <v>13852.02</v>
      </c>
      <c r="L61" s="23" t="n">
        <f aca="false">J61*K61</f>
        <v>78845697.84</v>
      </c>
    </row>
    <row r="62" customFormat="false" ht="22.5" hidden="false" customHeight="true" outlineLevel="0" collapsed="false">
      <c r="A62" s="22" t="s">
        <v>394</v>
      </c>
      <c r="B62" s="22" t="s">
        <v>55</v>
      </c>
      <c r="C62" s="22" t="s">
        <v>395</v>
      </c>
      <c r="D62" s="90"/>
      <c r="E62" s="90"/>
      <c r="F62" s="90"/>
      <c r="G62" s="90"/>
      <c r="H62" s="90"/>
      <c r="I62" s="90"/>
      <c r="J62" s="97" t="n">
        <v>258</v>
      </c>
      <c r="K62" s="107" t="n">
        <v>82678.31</v>
      </c>
      <c r="L62" s="23" t="n">
        <f aca="false">J62*K62</f>
        <v>21331003.98</v>
      </c>
    </row>
    <row r="63" customFormat="false" ht="22.5" hidden="false" customHeight="true" outlineLevel="0" collapsed="false">
      <c r="A63" s="22" t="s">
        <v>396</v>
      </c>
      <c r="B63" s="22" t="s">
        <v>134</v>
      </c>
      <c r="C63" s="22" t="s">
        <v>327</v>
      </c>
      <c r="D63" s="90"/>
      <c r="E63" s="90"/>
      <c r="F63" s="90"/>
      <c r="G63" s="90"/>
      <c r="H63" s="90"/>
      <c r="I63" s="90"/>
      <c r="J63" s="97" t="n">
        <v>15</v>
      </c>
      <c r="K63" s="107" t="n">
        <v>26979.48</v>
      </c>
      <c r="L63" s="23" t="n">
        <f aca="false">J63*K63</f>
        <v>404692.2</v>
      </c>
    </row>
    <row r="64" customFormat="false" ht="22.5" hidden="false" customHeight="true" outlineLevel="0" collapsed="false">
      <c r="A64" s="22" t="s">
        <v>397</v>
      </c>
      <c r="B64" s="22" t="s">
        <v>398</v>
      </c>
      <c r="C64" s="22" t="s">
        <v>327</v>
      </c>
      <c r="D64" s="90"/>
      <c r="E64" s="90"/>
      <c r="F64" s="90"/>
      <c r="G64" s="90"/>
      <c r="H64" s="90"/>
      <c r="I64" s="90"/>
      <c r="J64" s="91"/>
      <c r="K64" s="92"/>
      <c r="L64" s="23" t="n">
        <f aca="false">J64*K64</f>
        <v>0</v>
      </c>
    </row>
    <row r="65" customFormat="false" ht="22.5" hidden="false" customHeight="true" outlineLevel="0" collapsed="false">
      <c r="A65" s="22" t="s">
        <v>399</v>
      </c>
      <c r="B65" s="22" t="s">
        <v>56</v>
      </c>
      <c r="C65" s="22" t="s">
        <v>393</v>
      </c>
      <c r="D65" s="90"/>
      <c r="E65" s="90"/>
      <c r="F65" s="90"/>
      <c r="G65" s="90"/>
      <c r="H65" s="90"/>
      <c r="I65" s="90"/>
      <c r="J65" s="97" t="n">
        <v>1056</v>
      </c>
      <c r="K65" s="107" t="n">
        <v>9004.05</v>
      </c>
      <c r="L65" s="23" t="n">
        <f aca="false">J65*K65</f>
        <v>9508276.8</v>
      </c>
    </row>
    <row r="66" customFormat="false" ht="22.5" hidden="false" customHeight="true" outlineLevel="0" collapsed="false">
      <c r="A66" s="22" t="s">
        <v>400</v>
      </c>
      <c r="B66" s="22" t="s">
        <v>57</v>
      </c>
      <c r="C66" s="22" t="s">
        <v>393</v>
      </c>
      <c r="D66" s="90"/>
      <c r="E66" s="90"/>
      <c r="F66" s="90"/>
      <c r="G66" s="90"/>
      <c r="H66" s="90"/>
      <c r="I66" s="90"/>
      <c r="J66" s="97" t="n">
        <v>766</v>
      </c>
      <c r="K66" s="107" t="n">
        <v>16449.46</v>
      </c>
      <c r="L66" s="23" t="n">
        <f aca="false">J66*K66</f>
        <v>12600286.36</v>
      </c>
    </row>
    <row r="67" customFormat="false" ht="22.5" hidden="false" customHeight="true" outlineLevel="0" collapsed="false">
      <c r="A67" s="22" t="s">
        <v>401</v>
      </c>
      <c r="B67" s="22" t="s">
        <v>402</v>
      </c>
      <c r="C67" s="22" t="s">
        <v>393</v>
      </c>
      <c r="D67" s="90"/>
      <c r="E67" s="90"/>
      <c r="F67" s="90"/>
      <c r="G67" s="90"/>
      <c r="H67" s="90"/>
      <c r="I67" s="90"/>
      <c r="J67" s="91"/>
      <c r="K67" s="92"/>
      <c r="L67" s="23" t="n">
        <f aca="false">J67*K67</f>
        <v>0</v>
      </c>
    </row>
    <row r="68" customFormat="false" ht="22.5" hidden="false" customHeight="true" outlineLevel="0" collapsed="false">
      <c r="A68" s="22" t="s">
        <v>403</v>
      </c>
      <c r="B68" s="22" t="s">
        <v>58</v>
      </c>
      <c r="C68" s="22" t="s">
        <v>393</v>
      </c>
      <c r="D68" s="90"/>
      <c r="E68" s="90"/>
      <c r="F68" s="90"/>
      <c r="G68" s="90"/>
      <c r="H68" s="90"/>
      <c r="I68" s="90"/>
      <c r="J68" s="97" t="n">
        <v>2892</v>
      </c>
      <c r="K68" s="107" t="n">
        <v>8051.28</v>
      </c>
      <c r="L68" s="23" t="n">
        <f aca="false">J68*K68</f>
        <v>23284301.76</v>
      </c>
    </row>
    <row r="69" customFormat="false" ht="22.5" hidden="false" customHeight="true" outlineLevel="0" collapsed="false">
      <c r="A69" s="22" t="s">
        <v>404</v>
      </c>
      <c r="B69" s="22" t="s">
        <v>59</v>
      </c>
      <c r="C69" s="22" t="s">
        <v>393</v>
      </c>
      <c r="D69" s="90"/>
      <c r="E69" s="90"/>
      <c r="F69" s="90"/>
      <c r="G69" s="90"/>
      <c r="H69" s="90"/>
      <c r="I69" s="90"/>
      <c r="J69" s="97" t="n">
        <v>2848</v>
      </c>
      <c r="K69" s="107" t="n">
        <v>15583.64</v>
      </c>
      <c r="L69" s="23" t="n">
        <f aca="false">J69*K69</f>
        <v>44382206.72</v>
      </c>
    </row>
    <row r="70" customFormat="false" ht="22.5" hidden="false" customHeight="true" outlineLevel="0" collapsed="false">
      <c r="A70" s="22" t="s">
        <v>405</v>
      </c>
      <c r="B70" s="22" t="s">
        <v>60</v>
      </c>
      <c r="C70" s="22" t="s">
        <v>393</v>
      </c>
      <c r="D70" s="90"/>
      <c r="E70" s="90"/>
      <c r="F70" s="90"/>
      <c r="G70" s="90"/>
      <c r="H70" s="90"/>
      <c r="I70" s="90"/>
      <c r="J70" s="97" t="n">
        <v>1637</v>
      </c>
      <c r="K70" s="107" t="n">
        <v>32897.98</v>
      </c>
      <c r="L70" s="23" t="n">
        <f aca="false">J70*K70</f>
        <v>53853993.26</v>
      </c>
    </row>
    <row r="71" customFormat="false" ht="22.5" hidden="false" customHeight="true" outlineLevel="0" collapsed="false">
      <c r="A71" s="22" t="s">
        <v>406</v>
      </c>
      <c r="B71" s="22" t="s">
        <v>407</v>
      </c>
      <c r="C71" s="22" t="s">
        <v>327</v>
      </c>
      <c r="D71" s="90"/>
      <c r="E71" s="90"/>
      <c r="F71" s="90"/>
      <c r="G71" s="90"/>
      <c r="H71" s="90"/>
      <c r="I71" s="90"/>
      <c r="J71" s="91"/>
      <c r="K71" s="92"/>
      <c r="L71" s="23" t="n">
        <f aca="false">J71*K71</f>
        <v>0</v>
      </c>
    </row>
    <row r="72" customFormat="false" ht="22.5" hidden="false" customHeight="true" outlineLevel="0" collapsed="false">
      <c r="A72" s="22" t="s">
        <v>408</v>
      </c>
      <c r="B72" s="22" t="s">
        <v>49</v>
      </c>
      <c r="C72" s="22" t="s">
        <v>327</v>
      </c>
      <c r="D72" s="90"/>
      <c r="E72" s="90"/>
      <c r="F72" s="90"/>
      <c r="G72" s="90"/>
      <c r="H72" s="90"/>
      <c r="I72" s="90"/>
      <c r="J72" s="97" t="n">
        <v>1570</v>
      </c>
      <c r="K72" s="107" t="n">
        <v>4588.04</v>
      </c>
      <c r="L72" s="23" t="n">
        <f aca="false">J72*K72</f>
        <v>7203222.8</v>
      </c>
    </row>
    <row r="73" customFormat="false" ht="22.5" hidden="false" customHeight="true" outlineLevel="0" collapsed="false">
      <c r="A73" s="22" t="s">
        <v>409</v>
      </c>
      <c r="B73" s="22" t="s">
        <v>410</v>
      </c>
      <c r="C73" s="22" t="s">
        <v>303</v>
      </c>
      <c r="D73" s="90"/>
      <c r="E73" s="90"/>
      <c r="F73" s="90"/>
      <c r="G73" s="90"/>
      <c r="H73" s="90"/>
      <c r="I73" s="90"/>
      <c r="J73" s="91"/>
      <c r="K73" s="92"/>
      <c r="L73" s="23" t="n">
        <f aca="false">J73*K73</f>
        <v>0</v>
      </c>
    </row>
    <row r="74" customFormat="false" ht="22.5" hidden="false" customHeight="true" outlineLevel="0" collapsed="false">
      <c r="A74" s="22" t="s">
        <v>411</v>
      </c>
      <c r="B74" s="22" t="s">
        <v>62</v>
      </c>
      <c r="C74" s="22" t="s">
        <v>327</v>
      </c>
      <c r="D74" s="90"/>
      <c r="E74" s="90"/>
      <c r="F74" s="90"/>
      <c r="G74" s="90"/>
      <c r="H74" s="90"/>
      <c r="I74" s="90"/>
      <c r="J74" s="97" t="n">
        <v>1844</v>
      </c>
      <c r="K74" s="107" t="n">
        <v>4588.04</v>
      </c>
      <c r="L74" s="23" t="n">
        <f aca="false">J74*K74</f>
        <v>8460345.76</v>
      </c>
    </row>
    <row r="75" customFormat="false" ht="22.5" hidden="false" customHeight="true" outlineLevel="0" collapsed="false">
      <c r="A75" s="22" t="s">
        <v>412</v>
      </c>
      <c r="B75" s="22" t="s">
        <v>413</v>
      </c>
      <c r="C75" s="22" t="s">
        <v>303</v>
      </c>
      <c r="D75" s="90"/>
      <c r="E75" s="90"/>
      <c r="F75" s="90"/>
      <c r="G75" s="90"/>
      <c r="H75" s="90"/>
      <c r="I75" s="90"/>
      <c r="J75" s="91"/>
      <c r="K75" s="92"/>
      <c r="L75" s="23" t="n">
        <f aca="false">J75*K75</f>
        <v>0</v>
      </c>
    </row>
    <row r="76" customFormat="false" ht="22.5" hidden="false" customHeight="true" outlineLevel="0" collapsed="false">
      <c r="A76" s="22" t="s">
        <v>414</v>
      </c>
      <c r="B76" s="22" t="s">
        <v>64</v>
      </c>
      <c r="C76" s="22" t="s">
        <v>303</v>
      </c>
      <c r="D76" s="90"/>
      <c r="E76" s="90"/>
      <c r="F76" s="90"/>
      <c r="G76" s="90"/>
      <c r="H76" s="90"/>
      <c r="I76" s="90"/>
      <c r="J76" s="97" t="n">
        <v>25</v>
      </c>
      <c r="K76" s="107" t="n">
        <v>181805.14</v>
      </c>
      <c r="L76" s="23" t="n">
        <f aca="false">J76*K76</f>
        <v>4545128.5</v>
      </c>
    </row>
    <row r="77" customFormat="false" ht="22.5" hidden="false" customHeight="true" outlineLevel="0" collapsed="false">
      <c r="A77" s="22" t="s">
        <v>415</v>
      </c>
      <c r="B77" s="22" t="s">
        <v>65</v>
      </c>
      <c r="C77" s="22" t="s">
        <v>303</v>
      </c>
      <c r="D77" s="90"/>
      <c r="E77" s="90"/>
      <c r="F77" s="90"/>
      <c r="G77" s="90"/>
      <c r="H77" s="90"/>
      <c r="I77" s="90"/>
      <c r="J77" s="97" t="n">
        <v>7</v>
      </c>
      <c r="K77" s="107" t="n">
        <v>177477.02</v>
      </c>
      <c r="L77" s="23" t="n">
        <f aca="false">J77*K77</f>
        <v>1242339.14</v>
      </c>
    </row>
    <row r="78" customFormat="false" ht="22.5" hidden="false" customHeight="true" outlineLevel="0" collapsed="false">
      <c r="A78" s="22" t="s">
        <v>416</v>
      </c>
      <c r="B78" s="22" t="s">
        <v>66</v>
      </c>
      <c r="C78" s="22" t="s">
        <v>393</v>
      </c>
      <c r="D78" s="90"/>
      <c r="E78" s="90"/>
      <c r="F78" s="90"/>
      <c r="G78" s="90"/>
      <c r="H78" s="90"/>
      <c r="I78" s="90"/>
      <c r="J78" s="97" t="n">
        <v>1419</v>
      </c>
      <c r="K78" s="107" t="n">
        <v>14717.84</v>
      </c>
      <c r="L78" s="23" t="n">
        <f aca="false">J78*K78</f>
        <v>20884614.96</v>
      </c>
    </row>
    <row r="79" customFormat="false" ht="22.5" hidden="false" customHeight="true" outlineLevel="0" collapsed="false">
      <c r="A79" s="22" t="s">
        <v>417</v>
      </c>
      <c r="B79" s="22" t="s">
        <v>418</v>
      </c>
      <c r="C79" s="22" t="s">
        <v>393</v>
      </c>
      <c r="D79" s="90"/>
      <c r="E79" s="90"/>
      <c r="F79" s="90"/>
      <c r="G79" s="90"/>
      <c r="H79" s="90"/>
      <c r="I79" s="90"/>
      <c r="J79" s="97" t="n">
        <v>5123</v>
      </c>
      <c r="K79" s="107" t="n">
        <v>14284.93</v>
      </c>
      <c r="L79" s="23" t="n">
        <f aca="false">J79*K79</f>
        <v>73181696.39</v>
      </c>
    </row>
    <row r="80" customFormat="false" ht="22.5" hidden="false" customHeight="true" outlineLevel="0" collapsed="false">
      <c r="A80" s="22" t="s">
        <v>419</v>
      </c>
      <c r="B80" s="22" t="s">
        <v>420</v>
      </c>
      <c r="C80" s="22" t="s">
        <v>393</v>
      </c>
      <c r="D80" s="90"/>
      <c r="E80" s="90"/>
      <c r="F80" s="90"/>
      <c r="G80" s="90"/>
      <c r="H80" s="90"/>
      <c r="I80" s="90"/>
      <c r="J80" s="91"/>
      <c r="K80" s="92"/>
      <c r="L80" s="23" t="n">
        <f aca="false">J80*K80</f>
        <v>0</v>
      </c>
    </row>
    <row r="81" customFormat="false" ht="22.5" hidden="false" customHeight="true" outlineLevel="0" collapsed="false">
      <c r="A81" s="22" t="s">
        <v>421</v>
      </c>
      <c r="B81" s="22" t="s">
        <v>422</v>
      </c>
      <c r="C81" s="22" t="s">
        <v>393</v>
      </c>
      <c r="D81" s="90"/>
      <c r="E81" s="90"/>
      <c r="F81" s="90"/>
      <c r="G81" s="90"/>
      <c r="H81" s="90"/>
      <c r="I81" s="90"/>
      <c r="J81" s="91"/>
      <c r="K81" s="92"/>
      <c r="L81" s="23" t="n">
        <f aca="false">J81*K81</f>
        <v>0</v>
      </c>
    </row>
    <row r="82" customFormat="false" ht="22.5" hidden="false" customHeight="true" outlineLevel="0" collapsed="false">
      <c r="A82" s="22" t="s">
        <v>423</v>
      </c>
      <c r="B82" s="22" t="s">
        <v>424</v>
      </c>
      <c r="C82" s="22" t="s">
        <v>393</v>
      </c>
      <c r="D82" s="90"/>
      <c r="E82" s="90"/>
      <c r="F82" s="90"/>
      <c r="G82" s="90"/>
      <c r="H82" s="90"/>
      <c r="I82" s="90"/>
      <c r="J82" s="91"/>
      <c r="K82" s="92"/>
      <c r="L82" s="23" t="n">
        <f aca="false">J82*K82</f>
        <v>0</v>
      </c>
    </row>
    <row r="83" customFormat="false" ht="22.5" hidden="false" customHeight="true" outlineLevel="0" collapsed="false">
      <c r="A83" s="22" t="s">
        <v>425</v>
      </c>
      <c r="B83" s="22" t="s">
        <v>426</v>
      </c>
      <c r="C83" s="22" t="s">
        <v>393</v>
      </c>
      <c r="D83" s="90"/>
      <c r="E83" s="90"/>
      <c r="F83" s="90"/>
      <c r="G83" s="90"/>
      <c r="H83" s="90"/>
      <c r="I83" s="90"/>
      <c r="J83" s="97" t="n">
        <v>720</v>
      </c>
      <c r="K83" s="107" t="n">
        <v>36534.19</v>
      </c>
      <c r="L83" s="23" t="n">
        <f aca="false">J83*K83</f>
        <v>26304616.8</v>
      </c>
    </row>
    <row r="84" customFormat="false" ht="22.5" hidden="false" customHeight="true" outlineLevel="0" collapsed="false">
      <c r="A84" s="22" t="s">
        <v>427</v>
      </c>
      <c r="B84" s="22" t="s">
        <v>428</v>
      </c>
      <c r="C84" s="22" t="s">
        <v>393</v>
      </c>
      <c r="D84" s="90"/>
      <c r="E84" s="90"/>
      <c r="F84" s="90"/>
      <c r="G84" s="90"/>
      <c r="H84" s="90"/>
      <c r="I84" s="90"/>
      <c r="J84" s="91"/>
      <c r="K84" s="92"/>
      <c r="L84" s="23" t="n">
        <f aca="false">J84*K84</f>
        <v>0</v>
      </c>
    </row>
    <row r="85" customFormat="false" ht="22.5" hidden="false" customHeight="true" outlineLevel="0" collapsed="false">
      <c r="A85" s="22" t="s">
        <v>429</v>
      </c>
      <c r="B85" s="22" t="s">
        <v>67</v>
      </c>
      <c r="C85" s="22" t="s">
        <v>393</v>
      </c>
      <c r="D85" s="90"/>
      <c r="E85" s="90"/>
      <c r="F85" s="90"/>
      <c r="G85" s="90"/>
      <c r="H85" s="90"/>
      <c r="I85" s="90"/>
      <c r="J85" s="113" t="n">
        <v>191</v>
      </c>
      <c r="K85" s="107" t="n">
        <v>15583.64</v>
      </c>
      <c r="L85" s="23" t="n">
        <f aca="false">J85*K85</f>
        <v>2976475.24</v>
      </c>
    </row>
    <row r="86" customFormat="false" ht="22.5" hidden="false" customHeight="true" outlineLevel="0" collapsed="false">
      <c r="A86" s="22" t="s">
        <v>430</v>
      </c>
      <c r="B86" s="22" t="s">
        <v>68</v>
      </c>
      <c r="C86" s="22" t="s">
        <v>393</v>
      </c>
      <c r="D86" s="90"/>
      <c r="E86" s="90"/>
      <c r="F86" s="90"/>
      <c r="G86" s="90"/>
      <c r="H86" s="90"/>
      <c r="I86" s="90"/>
      <c r="J86" s="97" t="n">
        <v>364</v>
      </c>
      <c r="K86" s="107" t="n">
        <v>43633.64</v>
      </c>
      <c r="L86" s="23" t="n">
        <f aca="false">J86*K86</f>
        <v>15882644.96</v>
      </c>
    </row>
    <row r="87" customFormat="false" ht="22.5" hidden="false" customHeight="true" outlineLevel="0" collapsed="false">
      <c r="A87" s="22" t="s">
        <v>431</v>
      </c>
      <c r="B87" s="22" t="s">
        <v>69</v>
      </c>
      <c r="C87" s="22" t="s">
        <v>303</v>
      </c>
      <c r="D87" s="90"/>
      <c r="E87" s="90"/>
      <c r="F87" s="90"/>
      <c r="G87" s="90"/>
      <c r="H87" s="90"/>
      <c r="I87" s="90"/>
      <c r="J87" s="97" t="n">
        <v>150</v>
      </c>
      <c r="K87" s="107" t="n">
        <v>96963.24</v>
      </c>
      <c r="L87" s="23" t="n">
        <f aca="false">J87*K87</f>
        <v>14544486</v>
      </c>
    </row>
    <row r="88" customFormat="false" ht="22.5" hidden="false" customHeight="true" outlineLevel="0" collapsed="false">
      <c r="A88" s="22" t="s">
        <v>432</v>
      </c>
      <c r="B88" s="22" t="s">
        <v>70</v>
      </c>
      <c r="C88" s="22" t="s">
        <v>303</v>
      </c>
      <c r="D88" s="90"/>
      <c r="E88" s="90"/>
      <c r="F88" s="90"/>
      <c r="G88" s="90"/>
      <c r="H88" s="90"/>
      <c r="I88" s="90"/>
      <c r="J88" s="97" t="n">
        <v>79</v>
      </c>
      <c r="K88" s="107" t="n">
        <v>135055.14</v>
      </c>
      <c r="L88" s="23" t="n">
        <f aca="false">J88*K88</f>
        <v>10669356.06</v>
      </c>
    </row>
    <row r="89" customFormat="false" ht="22.5" hidden="false" customHeight="true" outlineLevel="0" collapsed="false">
      <c r="A89" s="22" t="s">
        <v>433</v>
      </c>
      <c r="B89" s="22" t="s">
        <v>71</v>
      </c>
      <c r="C89" s="22" t="s">
        <v>393</v>
      </c>
      <c r="D89" s="90"/>
      <c r="E89" s="90"/>
      <c r="F89" s="90"/>
      <c r="G89" s="90"/>
      <c r="H89" s="90"/>
      <c r="I89" s="90"/>
      <c r="J89" s="97" t="n">
        <v>817</v>
      </c>
      <c r="K89" s="107" t="n">
        <v>14717.84</v>
      </c>
      <c r="L89" s="23" t="n">
        <f aca="false">J89*K89</f>
        <v>12024475.28</v>
      </c>
    </row>
    <row r="90" customFormat="false" ht="22.5" hidden="false" customHeight="true" outlineLevel="0" collapsed="false">
      <c r="A90" s="108" t="s">
        <v>434</v>
      </c>
      <c r="B90" s="108" t="s">
        <v>435</v>
      </c>
      <c r="C90" s="108" t="s">
        <v>395</v>
      </c>
      <c r="D90" s="90"/>
      <c r="E90" s="90"/>
      <c r="F90" s="90"/>
      <c r="G90" s="90"/>
      <c r="H90" s="90"/>
      <c r="I90" s="90"/>
      <c r="J90" s="97" t="n">
        <v>245</v>
      </c>
      <c r="K90" s="112" t="n">
        <v>49347.43</v>
      </c>
      <c r="L90" s="111" t="n">
        <f aca="false">J90*K90</f>
        <v>12090120.35</v>
      </c>
    </row>
    <row r="91" customFormat="false" ht="22.5" hidden="false" customHeight="true" outlineLevel="0" collapsed="false">
      <c r="A91" s="22" t="s">
        <v>436</v>
      </c>
      <c r="B91" s="22" t="s">
        <v>72</v>
      </c>
      <c r="C91" s="22" t="s">
        <v>393</v>
      </c>
      <c r="D91" s="90"/>
      <c r="E91" s="90"/>
      <c r="F91" s="90"/>
      <c r="G91" s="90"/>
      <c r="H91" s="90"/>
      <c r="I91" s="90"/>
      <c r="J91" s="97" t="n">
        <v>1734</v>
      </c>
      <c r="K91" s="107" t="n">
        <v>22509.19</v>
      </c>
      <c r="L91" s="23" t="n">
        <f aca="false">J91*K91</f>
        <v>39030935.46</v>
      </c>
    </row>
    <row r="92" customFormat="false" ht="22.5" hidden="false" customHeight="true" outlineLevel="0" collapsed="false">
      <c r="A92" s="22" t="s">
        <v>437</v>
      </c>
      <c r="B92" s="22" t="s">
        <v>438</v>
      </c>
      <c r="C92" s="22" t="s">
        <v>393</v>
      </c>
      <c r="D92" s="90"/>
      <c r="E92" s="90"/>
      <c r="F92" s="90"/>
      <c r="G92" s="90"/>
      <c r="H92" s="90"/>
      <c r="I92" s="90"/>
      <c r="J92" s="91"/>
      <c r="K92" s="92"/>
      <c r="L92" s="23" t="n">
        <f aca="false">J92*K92</f>
        <v>0</v>
      </c>
    </row>
    <row r="93" customFormat="false" ht="22.5" hidden="false" customHeight="true" outlineLevel="0" collapsed="false">
      <c r="A93" s="22" t="s">
        <v>439</v>
      </c>
      <c r="B93" s="22" t="s">
        <v>73</v>
      </c>
      <c r="C93" s="22" t="s">
        <v>393</v>
      </c>
      <c r="D93" s="90"/>
      <c r="E93" s="90"/>
      <c r="F93" s="90"/>
      <c r="G93" s="90"/>
      <c r="H93" s="90"/>
      <c r="I93" s="90"/>
      <c r="J93" s="97" t="n">
        <v>1072</v>
      </c>
      <c r="K93" s="107" t="n">
        <v>32032.16</v>
      </c>
      <c r="L93" s="23" t="n">
        <f aca="false">J93*K93</f>
        <v>34338475.52</v>
      </c>
    </row>
    <row r="94" customFormat="false" ht="22.5" hidden="false" customHeight="true" outlineLevel="0" collapsed="false">
      <c r="A94" s="22" t="s">
        <v>440</v>
      </c>
      <c r="B94" s="22" t="s">
        <v>77</v>
      </c>
      <c r="C94" s="22" t="s">
        <v>393</v>
      </c>
      <c r="D94" s="90"/>
      <c r="E94" s="90"/>
      <c r="F94" s="90"/>
      <c r="G94" s="90"/>
      <c r="H94" s="90"/>
      <c r="I94" s="90"/>
      <c r="J94" s="97" t="n">
        <v>846</v>
      </c>
      <c r="K94" s="107" t="n">
        <v>5886.76</v>
      </c>
      <c r="L94" s="23" t="n">
        <f aca="false">J94*K94</f>
        <v>4980198.96</v>
      </c>
    </row>
    <row r="95" customFormat="false" ht="22.5" hidden="false" customHeight="true" outlineLevel="0" collapsed="false">
      <c r="A95" s="22" t="s">
        <v>441</v>
      </c>
      <c r="B95" s="22" t="s">
        <v>78</v>
      </c>
      <c r="C95" s="22" t="s">
        <v>393</v>
      </c>
      <c r="D95" s="90"/>
      <c r="E95" s="90"/>
      <c r="F95" s="90"/>
      <c r="G95" s="90"/>
      <c r="H95" s="90"/>
      <c r="I95" s="90"/>
      <c r="J95" s="97" t="n">
        <v>4801</v>
      </c>
      <c r="K95" s="107" t="n">
        <v>10388.78</v>
      </c>
      <c r="L95" s="23" t="n">
        <f aca="false">J95*K95</f>
        <v>49876532.78</v>
      </c>
    </row>
    <row r="96" customFormat="false" ht="22.5" hidden="false" customHeight="true" outlineLevel="0" collapsed="false">
      <c r="A96" s="22" t="s">
        <v>442</v>
      </c>
      <c r="B96" s="22" t="s">
        <v>79</v>
      </c>
      <c r="C96" s="22" t="s">
        <v>393</v>
      </c>
      <c r="D96" s="90"/>
      <c r="E96" s="90"/>
      <c r="F96" s="90"/>
      <c r="G96" s="90"/>
      <c r="H96" s="90"/>
      <c r="I96" s="90"/>
      <c r="J96" s="97" t="n">
        <v>339</v>
      </c>
      <c r="K96" s="107" t="n">
        <v>19911.76</v>
      </c>
      <c r="L96" s="23" t="n">
        <f aca="false">J96*K96</f>
        <v>6750086.64</v>
      </c>
    </row>
    <row r="97" customFormat="false" ht="22.5" hidden="false" customHeight="true" outlineLevel="0" collapsed="false">
      <c r="A97" s="22" t="s">
        <v>443</v>
      </c>
      <c r="B97" s="22" t="s">
        <v>76</v>
      </c>
      <c r="C97" s="22" t="s">
        <v>395</v>
      </c>
      <c r="D97" s="90"/>
      <c r="E97" s="90"/>
      <c r="F97" s="90"/>
      <c r="G97" s="90"/>
      <c r="H97" s="90"/>
      <c r="I97" s="90"/>
      <c r="J97" s="91"/>
      <c r="K97" s="92"/>
      <c r="L97" s="23" t="n">
        <f aca="false">J97*K97</f>
        <v>0</v>
      </c>
    </row>
    <row r="98" customFormat="false" ht="22.5" hidden="false" customHeight="true" outlineLevel="0" collapsed="false">
      <c r="A98" s="22" t="s">
        <v>444</v>
      </c>
      <c r="B98" s="22" t="s">
        <v>445</v>
      </c>
      <c r="C98" s="22" t="s">
        <v>393</v>
      </c>
      <c r="D98" s="90"/>
      <c r="E98" s="90"/>
      <c r="F98" s="90"/>
      <c r="G98" s="90"/>
      <c r="H98" s="90"/>
      <c r="I98" s="90"/>
      <c r="J98" s="97" t="n">
        <v>778</v>
      </c>
      <c r="K98" s="107" t="n">
        <v>13852.02</v>
      </c>
      <c r="L98" s="23" t="n">
        <f aca="false">J98*K98</f>
        <v>10776871.56</v>
      </c>
    </row>
    <row r="99" customFormat="false" ht="22.5" hidden="false" customHeight="true" outlineLevel="0" collapsed="false">
      <c r="A99" s="22" t="s">
        <v>446</v>
      </c>
      <c r="B99" s="22" t="s">
        <v>75</v>
      </c>
      <c r="C99" s="22" t="s">
        <v>327</v>
      </c>
      <c r="D99" s="90"/>
      <c r="E99" s="90"/>
      <c r="F99" s="90"/>
      <c r="G99" s="90"/>
      <c r="H99" s="90"/>
      <c r="I99" s="90"/>
      <c r="J99" s="97" t="n">
        <v>800</v>
      </c>
      <c r="K99" s="107" t="n">
        <v>345.95</v>
      </c>
      <c r="L99" s="23" t="n">
        <f aca="false">J99*K99</f>
        <v>276760</v>
      </c>
    </row>
    <row r="100" customFormat="false" ht="22.5" hidden="false" customHeight="true" outlineLevel="0" collapsed="false">
      <c r="A100" s="22" t="s">
        <v>447</v>
      </c>
      <c r="B100" s="22" t="s">
        <v>448</v>
      </c>
      <c r="C100" s="22" t="s">
        <v>393</v>
      </c>
      <c r="D100" s="90"/>
      <c r="E100" s="90"/>
      <c r="F100" s="90"/>
      <c r="G100" s="90"/>
      <c r="H100" s="90"/>
      <c r="I100" s="90"/>
      <c r="J100" s="97" t="n">
        <v>26074</v>
      </c>
      <c r="K100" s="107" t="n">
        <v>5194.86</v>
      </c>
      <c r="L100" s="23" t="n">
        <f aca="false">J100*K100</f>
        <v>135450779.64</v>
      </c>
    </row>
    <row r="101" customFormat="false" ht="22.5" hidden="false" customHeight="true" outlineLevel="0" collapsed="false">
      <c r="A101" s="22" t="s">
        <v>449</v>
      </c>
      <c r="B101" s="22" t="s">
        <v>80</v>
      </c>
      <c r="C101" s="22" t="s">
        <v>393</v>
      </c>
      <c r="D101" s="90"/>
      <c r="E101" s="90"/>
      <c r="F101" s="90"/>
      <c r="G101" s="90"/>
      <c r="H101" s="90"/>
      <c r="I101" s="90"/>
      <c r="J101" s="97" t="n">
        <v>252</v>
      </c>
      <c r="K101" s="107" t="n">
        <v>13852.02</v>
      </c>
      <c r="L101" s="23" t="n">
        <f aca="false">J101*K101</f>
        <v>3490709.04</v>
      </c>
    </row>
    <row r="102" customFormat="false" ht="22.5" hidden="false" customHeight="true" outlineLevel="0" collapsed="false">
      <c r="A102" s="22" t="s">
        <v>450</v>
      </c>
      <c r="B102" s="22" t="s">
        <v>81</v>
      </c>
      <c r="C102" s="22" t="s">
        <v>451</v>
      </c>
      <c r="D102" s="90"/>
      <c r="E102" s="90"/>
      <c r="F102" s="90"/>
      <c r="G102" s="90"/>
      <c r="H102" s="90"/>
      <c r="I102" s="90"/>
      <c r="J102" s="97" t="n">
        <v>516</v>
      </c>
      <c r="K102" s="107" t="n">
        <v>14717.84</v>
      </c>
      <c r="L102" s="23" t="n">
        <f aca="false">J102*K102</f>
        <v>7594405.44</v>
      </c>
    </row>
    <row r="103" customFormat="false" ht="22.5" hidden="false" customHeight="true" outlineLevel="0" collapsed="false">
      <c r="A103" s="22" t="s">
        <v>452</v>
      </c>
      <c r="B103" s="22" t="s">
        <v>453</v>
      </c>
      <c r="C103" s="22" t="s">
        <v>367</v>
      </c>
      <c r="D103" s="90"/>
      <c r="E103" s="90"/>
      <c r="F103" s="90"/>
      <c r="G103" s="90"/>
      <c r="H103" s="90"/>
      <c r="I103" s="90"/>
      <c r="J103" s="91"/>
      <c r="K103" s="92"/>
      <c r="L103" s="23" t="n">
        <f aca="false">J103*K103</f>
        <v>0</v>
      </c>
    </row>
    <row r="104" customFormat="false" ht="22.5" hidden="false" customHeight="true" outlineLevel="0" collapsed="false">
      <c r="A104" s="22" t="s">
        <v>454</v>
      </c>
      <c r="B104" s="22" t="s">
        <v>455</v>
      </c>
      <c r="C104" s="22" t="s">
        <v>367</v>
      </c>
      <c r="D104" s="90"/>
      <c r="E104" s="90"/>
      <c r="F104" s="90"/>
      <c r="G104" s="90"/>
      <c r="H104" s="90"/>
      <c r="I104" s="90"/>
      <c r="J104" s="91"/>
      <c r="K104" s="92"/>
      <c r="L104" s="23" t="n">
        <f aca="false">J104*K104</f>
        <v>0</v>
      </c>
    </row>
    <row r="105" customFormat="false" ht="22.5" hidden="false" customHeight="true" outlineLevel="0" collapsed="false">
      <c r="A105" s="22" t="s">
        <v>456</v>
      </c>
      <c r="B105" s="22" t="s">
        <v>457</v>
      </c>
      <c r="C105" s="22" t="s">
        <v>458</v>
      </c>
      <c r="D105" s="90"/>
      <c r="E105" s="90"/>
      <c r="F105" s="90"/>
      <c r="G105" s="90"/>
      <c r="H105" s="90"/>
      <c r="I105" s="90"/>
      <c r="J105" s="91"/>
      <c r="K105" s="92"/>
      <c r="L105" s="23" t="n">
        <f aca="false">J105*K105</f>
        <v>0</v>
      </c>
    </row>
    <row r="106" customFormat="false" ht="22.5" hidden="false" customHeight="true" outlineLevel="0" collapsed="false">
      <c r="A106" s="22" t="s">
        <v>459</v>
      </c>
      <c r="B106" s="22" t="s">
        <v>82</v>
      </c>
      <c r="C106" s="22" t="s">
        <v>451</v>
      </c>
      <c r="D106" s="90"/>
      <c r="E106" s="90"/>
      <c r="F106" s="90"/>
      <c r="G106" s="90"/>
      <c r="H106" s="90"/>
      <c r="I106" s="90"/>
      <c r="J106" s="97" t="n">
        <v>2024</v>
      </c>
      <c r="K106" s="107" t="n">
        <v>6925.54</v>
      </c>
      <c r="L106" s="23" t="n">
        <f aca="false">J106*K106</f>
        <v>14017292.96</v>
      </c>
    </row>
    <row r="107" customFormat="false" ht="22.5" hidden="false" customHeight="true" outlineLevel="0" collapsed="false">
      <c r="A107" s="22" t="s">
        <v>460</v>
      </c>
      <c r="B107" s="22" t="s">
        <v>83</v>
      </c>
      <c r="C107" s="22" t="s">
        <v>393</v>
      </c>
      <c r="D107" s="90"/>
      <c r="E107" s="90"/>
      <c r="F107" s="90"/>
      <c r="G107" s="90"/>
      <c r="H107" s="90"/>
      <c r="I107" s="90"/>
      <c r="J107" s="97" t="n">
        <v>744</v>
      </c>
      <c r="K107" s="107" t="n">
        <v>7272.43</v>
      </c>
      <c r="L107" s="23" t="n">
        <f aca="false">J107*K107</f>
        <v>5410687.92</v>
      </c>
    </row>
    <row r="108" customFormat="false" ht="22.5" hidden="false" customHeight="true" outlineLevel="0" collapsed="false">
      <c r="A108" s="22" t="s">
        <v>461</v>
      </c>
      <c r="B108" s="22" t="s">
        <v>84</v>
      </c>
      <c r="C108" s="22" t="s">
        <v>451</v>
      </c>
      <c r="D108" s="90"/>
      <c r="E108" s="90"/>
      <c r="F108" s="90"/>
      <c r="G108" s="90"/>
      <c r="H108" s="90"/>
      <c r="I108" s="90"/>
      <c r="J108" s="97" t="n">
        <v>9318</v>
      </c>
      <c r="K108" s="107" t="n">
        <v>29434.74</v>
      </c>
      <c r="L108" s="23" t="n">
        <f aca="false">J108*K108</f>
        <v>274272907.32</v>
      </c>
    </row>
    <row r="109" customFormat="false" ht="22.5" hidden="false" customHeight="true" outlineLevel="0" collapsed="false">
      <c r="A109" s="22" t="s">
        <v>462</v>
      </c>
      <c r="B109" s="22" t="s">
        <v>85</v>
      </c>
      <c r="C109" s="22" t="s">
        <v>393</v>
      </c>
      <c r="D109" s="90"/>
      <c r="E109" s="90"/>
      <c r="F109" s="90"/>
      <c r="G109" s="90"/>
      <c r="H109" s="90"/>
      <c r="I109" s="90"/>
      <c r="J109" s="97" t="n">
        <v>15053</v>
      </c>
      <c r="K109" s="107" t="n">
        <v>8657.17</v>
      </c>
      <c r="L109" s="23" t="n">
        <f aca="false">J109*K109</f>
        <v>130316380.01</v>
      </c>
    </row>
    <row r="110" customFormat="false" ht="22.5" hidden="false" customHeight="true" outlineLevel="0" collapsed="false">
      <c r="A110" s="24" t="s">
        <v>463</v>
      </c>
      <c r="B110" s="24" t="s">
        <v>86</v>
      </c>
      <c r="C110" s="24" t="s">
        <v>451</v>
      </c>
      <c r="D110" s="90"/>
      <c r="E110" s="90"/>
      <c r="F110" s="90"/>
      <c r="G110" s="90"/>
      <c r="H110" s="90"/>
      <c r="I110" s="90"/>
      <c r="J110" s="102" t="n">
        <v>14400</v>
      </c>
      <c r="K110" s="103" t="n">
        <v>6925.54</v>
      </c>
      <c r="L110" s="25" t="n">
        <f aca="false">J110*K110</f>
        <v>99727776</v>
      </c>
    </row>
    <row r="111" customFormat="false" ht="22.5" hidden="false" customHeight="true" outlineLevel="0" collapsed="false">
      <c r="A111" s="22" t="s">
        <v>464</v>
      </c>
      <c r="B111" s="22" t="s">
        <v>465</v>
      </c>
      <c r="C111" s="22" t="s">
        <v>451</v>
      </c>
      <c r="D111" s="90"/>
      <c r="E111" s="90"/>
      <c r="F111" s="90"/>
      <c r="G111" s="90"/>
      <c r="H111" s="90"/>
      <c r="I111" s="90"/>
      <c r="J111" s="97" t="n">
        <v>2810</v>
      </c>
      <c r="K111" s="107" t="n">
        <v>16882.36</v>
      </c>
      <c r="L111" s="23" t="n">
        <f aca="false">J111*K111</f>
        <v>47439431.6</v>
      </c>
    </row>
    <row r="112" customFormat="false" ht="22.5" hidden="false" customHeight="true" outlineLevel="0" collapsed="false">
      <c r="A112" s="22" t="s">
        <v>466</v>
      </c>
      <c r="B112" s="22" t="s">
        <v>125</v>
      </c>
      <c r="C112" s="22" t="s">
        <v>451</v>
      </c>
      <c r="D112" s="90"/>
      <c r="E112" s="90"/>
      <c r="F112" s="90"/>
      <c r="G112" s="90"/>
      <c r="H112" s="90"/>
      <c r="I112" s="90"/>
      <c r="J112" s="97" t="n">
        <v>644</v>
      </c>
      <c r="K112" s="107" t="n">
        <v>41988.04</v>
      </c>
      <c r="L112" s="23" t="n">
        <f aca="false">J112*K112</f>
        <v>27040297.76</v>
      </c>
    </row>
    <row r="113" customFormat="false" ht="22.5" hidden="false" customHeight="true" outlineLevel="0" collapsed="false">
      <c r="A113" s="22" t="s">
        <v>467</v>
      </c>
      <c r="B113" s="22" t="s">
        <v>110</v>
      </c>
      <c r="C113" s="22" t="s">
        <v>451</v>
      </c>
      <c r="D113" s="90"/>
      <c r="E113" s="90"/>
      <c r="F113" s="90"/>
      <c r="G113" s="90"/>
      <c r="H113" s="90"/>
      <c r="I113" s="90"/>
      <c r="J113" s="97" t="n">
        <v>420</v>
      </c>
      <c r="K113" s="107" t="n">
        <v>16882.36</v>
      </c>
      <c r="L113" s="23" t="n">
        <f aca="false">J113*K113</f>
        <v>7090591.2</v>
      </c>
    </row>
    <row r="114" customFormat="false" ht="22.5" hidden="false" customHeight="true" outlineLevel="0" collapsed="false">
      <c r="A114" s="22" t="s">
        <v>468</v>
      </c>
      <c r="B114" s="22" t="s">
        <v>89</v>
      </c>
      <c r="C114" s="22" t="s">
        <v>393</v>
      </c>
      <c r="D114" s="90"/>
      <c r="E114" s="90"/>
      <c r="F114" s="90"/>
      <c r="G114" s="90"/>
      <c r="H114" s="90"/>
      <c r="I114" s="90"/>
      <c r="J114" s="97" t="n">
        <v>444</v>
      </c>
      <c r="K114" s="107" t="n">
        <v>22942.1</v>
      </c>
      <c r="L114" s="23" t="n">
        <f aca="false">J114*K114</f>
        <v>10186292.4</v>
      </c>
    </row>
    <row r="115" customFormat="false" ht="22.5" hidden="false" customHeight="true" outlineLevel="0" collapsed="false">
      <c r="A115" s="22" t="s">
        <v>469</v>
      </c>
      <c r="B115" s="22" t="s">
        <v>90</v>
      </c>
      <c r="C115" s="22" t="s">
        <v>393</v>
      </c>
      <c r="D115" s="90"/>
      <c r="E115" s="90"/>
      <c r="F115" s="90"/>
      <c r="G115" s="90"/>
      <c r="H115" s="90"/>
      <c r="I115" s="90"/>
      <c r="J115" s="97" t="n">
        <v>539</v>
      </c>
      <c r="K115" s="107" t="n">
        <v>49780.34</v>
      </c>
      <c r="L115" s="23" t="n">
        <f aca="false">J115*K115</f>
        <v>26831603.26</v>
      </c>
    </row>
    <row r="116" customFormat="false" ht="22.5" hidden="false" customHeight="true" outlineLevel="0" collapsed="false">
      <c r="A116" s="22" t="s">
        <v>470</v>
      </c>
      <c r="B116" s="22" t="s">
        <v>91</v>
      </c>
      <c r="C116" s="22" t="s">
        <v>393</v>
      </c>
      <c r="D116" s="90"/>
      <c r="E116" s="90"/>
      <c r="F116" s="90"/>
      <c r="G116" s="90"/>
      <c r="H116" s="90"/>
      <c r="I116" s="90"/>
      <c r="J116" s="97" t="n">
        <v>5847</v>
      </c>
      <c r="K116" s="107" t="n">
        <v>9090.07</v>
      </c>
      <c r="L116" s="23" t="n">
        <f aca="false">J116*K116</f>
        <v>53149639.29</v>
      </c>
    </row>
    <row r="117" customFormat="false" ht="22.5" hidden="false" customHeight="true" outlineLevel="0" collapsed="false">
      <c r="A117" s="22" t="s">
        <v>471</v>
      </c>
      <c r="B117" s="22" t="s">
        <v>92</v>
      </c>
      <c r="C117" s="22" t="s">
        <v>327</v>
      </c>
      <c r="D117" s="90"/>
      <c r="E117" s="90"/>
      <c r="F117" s="90"/>
      <c r="G117" s="90"/>
      <c r="H117" s="90"/>
      <c r="I117" s="90"/>
      <c r="J117" s="97" t="n">
        <v>38000</v>
      </c>
      <c r="K117" s="107" t="n">
        <v>459.08</v>
      </c>
      <c r="L117" s="23" t="n">
        <f aca="false">J117*K117</f>
        <v>17445040</v>
      </c>
    </row>
    <row r="118" customFormat="false" ht="22.5" hidden="false" customHeight="true" outlineLevel="0" collapsed="false">
      <c r="A118" s="22" t="s">
        <v>472</v>
      </c>
      <c r="B118" s="22" t="s">
        <v>94</v>
      </c>
      <c r="C118" s="22" t="s">
        <v>393</v>
      </c>
      <c r="D118" s="90"/>
      <c r="E118" s="90"/>
      <c r="F118" s="90"/>
      <c r="G118" s="90"/>
      <c r="H118" s="90"/>
      <c r="I118" s="90"/>
      <c r="J118" s="97" t="n">
        <v>168</v>
      </c>
      <c r="K118" s="107" t="n">
        <v>9090.07</v>
      </c>
      <c r="L118" s="23" t="n">
        <f aca="false">J118*K118</f>
        <v>1527131.76</v>
      </c>
    </row>
    <row r="119" customFormat="false" ht="22.5" hidden="false" customHeight="true" outlineLevel="0" collapsed="false">
      <c r="A119" s="22" t="s">
        <v>473</v>
      </c>
      <c r="B119" s="22" t="s">
        <v>93</v>
      </c>
      <c r="C119" s="22" t="s">
        <v>393</v>
      </c>
      <c r="D119" s="90"/>
      <c r="E119" s="90"/>
      <c r="F119" s="90"/>
      <c r="G119" s="90"/>
      <c r="H119" s="90"/>
      <c r="I119" s="90"/>
      <c r="J119" s="97" t="n">
        <v>36</v>
      </c>
      <c r="K119" s="107" t="n">
        <v>49780.34</v>
      </c>
      <c r="L119" s="23" t="n">
        <f aca="false">J119*K119</f>
        <v>1792092.24</v>
      </c>
    </row>
    <row r="120" customFormat="false" ht="22.5" hidden="false" customHeight="true" outlineLevel="0" collapsed="false">
      <c r="A120" s="108" t="s">
        <v>474</v>
      </c>
      <c r="B120" s="108" t="s">
        <v>475</v>
      </c>
      <c r="C120" s="108" t="s">
        <v>393</v>
      </c>
      <c r="D120" s="90"/>
      <c r="E120" s="90"/>
      <c r="F120" s="90"/>
      <c r="G120" s="90"/>
      <c r="H120" s="90"/>
      <c r="I120" s="90"/>
      <c r="J120" s="114" t="n">
        <v>48</v>
      </c>
      <c r="K120" s="110" t="n">
        <v>22942</v>
      </c>
      <c r="L120" s="111" t="n">
        <f aca="false">J120*K120</f>
        <v>1101216</v>
      </c>
    </row>
    <row r="121" customFormat="false" ht="22.5" hidden="false" customHeight="true" outlineLevel="0" collapsed="false">
      <c r="A121" s="22" t="s">
        <v>476</v>
      </c>
      <c r="B121" s="22" t="s">
        <v>107</v>
      </c>
      <c r="C121" s="22" t="s">
        <v>393</v>
      </c>
      <c r="D121" s="90"/>
      <c r="E121" s="90"/>
      <c r="F121" s="90"/>
      <c r="G121" s="90"/>
      <c r="H121" s="90"/>
      <c r="I121" s="90"/>
      <c r="J121" s="91"/>
      <c r="K121" s="92"/>
      <c r="L121" s="23" t="n">
        <f aca="false">J121*K121</f>
        <v>0</v>
      </c>
    </row>
    <row r="122" customFormat="false" ht="22.5" hidden="false" customHeight="true" outlineLevel="0" collapsed="false">
      <c r="A122" s="22" t="s">
        <v>477</v>
      </c>
      <c r="B122" s="22" t="s">
        <v>478</v>
      </c>
      <c r="C122" s="22" t="s">
        <v>393</v>
      </c>
      <c r="D122" s="90"/>
      <c r="E122" s="90"/>
      <c r="F122" s="90"/>
      <c r="G122" s="90"/>
      <c r="H122" s="90"/>
      <c r="I122" s="90"/>
      <c r="J122" s="91"/>
      <c r="K122" s="92"/>
      <c r="L122" s="23" t="n">
        <f aca="false">J122*K122</f>
        <v>0</v>
      </c>
    </row>
    <row r="123" customFormat="false" ht="22.5" hidden="false" customHeight="true" outlineLevel="0" collapsed="false">
      <c r="A123" s="24" t="s">
        <v>479</v>
      </c>
      <c r="B123" s="24" t="s">
        <v>108</v>
      </c>
      <c r="C123" s="24" t="s">
        <v>393</v>
      </c>
      <c r="D123" s="90"/>
      <c r="E123" s="90"/>
      <c r="F123" s="90"/>
      <c r="G123" s="90"/>
      <c r="H123" s="90"/>
      <c r="I123" s="90"/>
      <c r="J123" s="102" t="n">
        <v>14488</v>
      </c>
      <c r="K123" s="103" t="n">
        <v>6925.54</v>
      </c>
      <c r="L123" s="25" t="n">
        <f aca="false">J123*K123</f>
        <v>100337223.52</v>
      </c>
    </row>
    <row r="124" customFormat="false" ht="22.5" hidden="false" customHeight="true" outlineLevel="0" collapsed="false">
      <c r="A124" s="24" t="s">
        <v>480</v>
      </c>
      <c r="B124" s="24" t="s">
        <v>481</v>
      </c>
      <c r="C124" s="24" t="s">
        <v>393</v>
      </c>
      <c r="D124" s="90"/>
      <c r="E124" s="90"/>
      <c r="F124" s="90"/>
      <c r="G124" s="90"/>
      <c r="H124" s="90"/>
      <c r="I124" s="90"/>
      <c r="J124" s="102" t="n">
        <v>60</v>
      </c>
      <c r="K124" s="103" t="n">
        <v>45451.28</v>
      </c>
      <c r="L124" s="25" t="n">
        <f aca="false">J124*K124</f>
        <v>2727076.8</v>
      </c>
    </row>
    <row r="125" customFormat="false" ht="22.5" hidden="false" customHeight="true" outlineLevel="0" collapsed="false">
      <c r="A125" s="22" t="s">
        <v>482</v>
      </c>
      <c r="B125" s="22" t="s">
        <v>483</v>
      </c>
      <c r="C125" s="22" t="s">
        <v>393</v>
      </c>
      <c r="D125" s="90"/>
      <c r="E125" s="90"/>
      <c r="F125" s="90"/>
      <c r="G125" s="90"/>
      <c r="H125" s="90"/>
      <c r="I125" s="90"/>
      <c r="J125" s="97" t="n">
        <v>78</v>
      </c>
      <c r="K125" s="107" t="n">
        <v>15150.74</v>
      </c>
      <c r="L125" s="23" t="n">
        <f aca="false">J125*K125</f>
        <v>1181757.72</v>
      </c>
    </row>
    <row r="126" customFormat="false" ht="22.5" hidden="false" customHeight="true" outlineLevel="0" collapsed="false">
      <c r="A126" s="22" t="s">
        <v>484</v>
      </c>
      <c r="B126" s="22" t="s">
        <v>95</v>
      </c>
      <c r="C126" s="22" t="s">
        <v>451</v>
      </c>
      <c r="D126" s="90"/>
      <c r="E126" s="90"/>
      <c r="F126" s="90"/>
      <c r="G126" s="90"/>
      <c r="H126" s="90"/>
      <c r="I126" s="90"/>
      <c r="J126" s="97" t="n">
        <v>78</v>
      </c>
      <c r="K126" s="115" t="n">
        <v>7791.36</v>
      </c>
      <c r="L126" s="23" t="n">
        <f aca="false">J126*K126</f>
        <v>607726.08</v>
      </c>
    </row>
    <row r="127" customFormat="false" ht="22.5" hidden="false" customHeight="true" outlineLevel="0" collapsed="false">
      <c r="A127" s="22" t="s">
        <v>485</v>
      </c>
      <c r="B127" s="22" t="s">
        <v>88</v>
      </c>
      <c r="C127" s="22" t="s">
        <v>311</v>
      </c>
      <c r="D127" s="90"/>
      <c r="E127" s="90"/>
      <c r="F127" s="90"/>
      <c r="G127" s="90"/>
      <c r="H127" s="90"/>
      <c r="I127" s="90"/>
      <c r="J127" s="97" t="n">
        <v>548</v>
      </c>
      <c r="K127" s="107" t="n">
        <v>19549.92</v>
      </c>
      <c r="L127" s="23" t="n">
        <f aca="false">J127*K127</f>
        <v>10713356.16</v>
      </c>
    </row>
    <row r="128" customFormat="false" ht="22.5" hidden="false" customHeight="true" outlineLevel="0" collapsed="false">
      <c r="A128" s="22" t="s">
        <v>486</v>
      </c>
      <c r="B128" s="22" t="s">
        <v>487</v>
      </c>
      <c r="C128" s="22" t="s">
        <v>311</v>
      </c>
      <c r="D128" s="90"/>
      <c r="E128" s="90"/>
      <c r="F128" s="90"/>
      <c r="G128" s="90"/>
      <c r="H128" s="90"/>
      <c r="I128" s="90"/>
      <c r="J128" s="91"/>
      <c r="K128" s="92"/>
      <c r="L128" s="23" t="n">
        <f aca="false">J128*K128</f>
        <v>0</v>
      </c>
    </row>
    <row r="129" customFormat="false" ht="22.5" hidden="false" customHeight="true" outlineLevel="0" collapsed="false">
      <c r="A129" s="24" t="s">
        <v>488</v>
      </c>
      <c r="B129" s="24" t="s">
        <v>96</v>
      </c>
      <c r="C129" s="24" t="s">
        <v>395</v>
      </c>
      <c r="D129" s="90"/>
      <c r="E129" s="90"/>
      <c r="F129" s="90"/>
      <c r="G129" s="90"/>
      <c r="H129" s="90"/>
      <c r="I129" s="90"/>
      <c r="J129" s="102" t="n">
        <v>30</v>
      </c>
      <c r="K129" s="103" t="n">
        <v>108650.74</v>
      </c>
      <c r="L129" s="25" t="n">
        <f aca="false">J129*K129</f>
        <v>3259522.2</v>
      </c>
    </row>
    <row r="130" customFormat="false" ht="22.5" hidden="false" customHeight="true" outlineLevel="0" collapsed="false">
      <c r="A130" s="22" t="s">
        <v>489</v>
      </c>
      <c r="B130" s="22" t="s">
        <v>490</v>
      </c>
      <c r="C130" s="22" t="s">
        <v>393</v>
      </c>
      <c r="D130" s="90"/>
      <c r="E130" s="90"/>
      <c r="F130" s="90"/>
      <c r="G130" s="90"/>
      <c r="H130" s="90"/>
      <c r="I130" s="90"/>
      <c r="J130" s="91"/>
      <c r="K130" s="92"/>
      <c r="L130" s="23" t="n">
        <f aca="false">J130*K130</f>
        <v>0</v>
      </c>
    </row>
    <row r="131" customFormat="false" ht="22.5" hidden="false" customHeight="true" outlineLevel="0" collapsed="false">
      <c r="A131" s="22" t="s">
        <v>491</v>
      </c>
      <c r="B131" s="22" t="s">
        <v>97</v>
      </c>
      <c r="C131" s="22" t="s">
        <v>327</v>
      </c>
      <c r="D131" s="90"/>
      <c r="E131" s="90"/>
      <c r="F131" s="90"/>
      <c r="G131" s="90"/>
      <c r="H131" s="90"/>
      <c r="I131" s="90"/>
      <c r="J131" s="97" t="n">
        <v>42800</v>
      </c>
      <c r="K131" s="107" t="n">
        <v>459.08</v>
      </c>
      <c r="L131" s="23" t="n">
        <f aca="false">J131*K131</f>
        <v>19648624</v>
      </c>
    </row>
    <row r="132" customFormat="false" ht="22.5" hidden="false" customHeight="true" outlineLevel="0" collapsed="false">
      <c r="A132" s="22" t="s">
        <v>492</v>
      </c>
      <c r="B132" s="22" t="s">
        <v>98</v>
      </c>
      <c r="C132" s="22" t="s">
        <v>393</v>
      </c>
      <c r="D132" s="90"/>
      <c r="E132" s="90"/>
      <c r="F132" s="90"/>
      <c r="G132" s="90"/>
      <c r="H132" s="90"/>
      <c r="I132" s="90"/>
      <c r="J132" s="97" t="n">
        <v>738</v>
      </c>
      <c r="K132" s="107" t="n">
        <v>9869.86</v>
      </c>
      <c r="L132" s="23" t="n">
        <f aca="false">J132*K132</f>
        <v>7283956.68</v>
      </c>
    </row>
    <row r="133" customFormat="false" ht="22.5" hidden="false" customHeight="true" outlineLevel="0" collapsed="false">
      <c r="A133" s="22" t="s">
        <v>493</v>
      </c>
      <c r="B133" s="22" t="s">
        <v>99</v>
      </c>
      <c r="C133" s="22" t="s">
        <v>393</v>
      </c>
      <c r="D133" s="90"/>
      <c r="E133" s="90"/>
      <c r="F133" s="90"/>
      <c r="G133" s="90"/>
      <c r="H133" s="90"/>
      <c r="I133" s="90"/>
      <c r="J133" s="97" t="n">
        <v>172</v>
      </c>
      <c r="K133" s="107" t="n">
        <v>5800.74</v>
      </c>
      <c r="L133" s="23" t="n">
        <f aca="false">J133*K133</f>
        <v>997727.28</v>
      </c>
    </row>
    <row r="134" customFormat="false" ht="22.5" hidden="false" customHeight="true" outlineLevel="0" collapsed="false">
      <c r="A134" s="22" t="s">
        <v>494</v>
      </c>
      <c r="B134" s="22" t="s">
        <v>100</v>
      </c>
      <c r="C134" s="22" t="s">
        <v>393</v>
      </c>
      <c r="D134" s="90"/>
      <c r="E134" s="90"/>
      <c r="F134" s="90"/>
      <c r="G134" s="90"/>
      <c r="H134" s="90"/>
      <c r="I134" s="90"/>
      <c r="J134" s="97" t="n">
        <v>1923</v>
      </c>
      <c r="K134" s="107" t="n">
        <v>49780.34</v>
      </c>
      <c r="L134" s="23" t="n">
        <f aca="false">J134*K134</f>
        <v>95727593.82</v>
      </c>
    </row>
    <row r="135" customFormat="false" ht="22.5" hidden="false" customHeight="true" outlineLevel="0" collapsed="false">
      <c r="A135" s="22" t="s">
        <v>495</v>
      </c>
      <c r="B135" s="22" t="s">
        <v>496</v>
      </c>
      <c r="C135" s="22" t="s">
        <v>393</v>
      </c>
      <c r="D135" s="90"/>
      <c r="E135" s="90"/>
      <c r="F135" s="90"/>
      <c r="G135" s="90"/>
      <c r="H135" s="90"/>
      <c r="I135" s="90"/>
      <c r="J135" s="97" t="n">
        <v>144</v>
      </c>
      <c r="K135" s="107" t="n">
        <v>6925.54</v>
      </c>
      <c r="L135" s="23" t="n">
        <f aca="false">J135*K135</f>
        <v>997277.76</v>
      </c>
    </row>
    <row r="136" customFormat="false" ht="22.5" hidden="false" customHeight="true" outlineLevel="0" collapsed="false">
      <c r="A136" s="24" t="s">
        <v>497</v>
      </c>
      <c r="B136" s="24" t="s">
        <v>101</v>
      </c>
      <c r="C136" s="24" t="s">
        <v>393</v>
      </c>
      <c r="D136" s="90"/>
      <c r="E136" s="90"/>
      <c r="F136" s="90"/>
      <c r="G136" s="90"/>
      <c r="H136" s="90"/>
      <c r="I136" s="90"/>
      <c r="J136" s="102" t="n">
        <v>4800</v>
      </c>
      <c r="K136" s="103" t="n">
        <v>9090.07</v>
      </c>
      <c r="L136" s="25" t="n">
        <f aca="false">J136*K136</f>
        <v>43632336</v>
      </c>
    </row>
    <row r="137" customFormat="false" ht="22.5" hidden="false" customHeight="true" outlineLevel="0" collapsed="false">
      <c r="A137" s="22" t="s">
        <v>498</v>
      </c>
      <c r="B137" s="22" t="s">
        <v>102</v>
      </c>
      <c r="C137" s="22" t="s">
        <v>393</v>
      </c>
      <c r="D137" s="90"/>
      <c r="E137" s="90"/>
      <c r="F137" s="90"/>
      <c r="G137" s="90"/>
      <c r="H137" s="90"/>
      <c r="I137" s="90"/>
      <c r="J137" s="97" t="n">
        <v>489</v>
      </c>
      <c r="K137" s="107" t="n">
        <v>22942.1</v>
      </c>
      <c r="L137" s="23" t="n">
        <f aca="false">J137*K137</f>
        <v>11218686.9</v>
      </c>
    </row>
    <row r="138" customFormat="false" ht="22.5" hidden="false" customHeight="true" outlineLevel="0" collapsed="false">
      <c r="A138" s="22" t="s">
        <v>499</v>
      </c>
      <c r="B138" s="22" t="s">
        <v>103</v>
      </c>
      <c r="C138" s="22" t="s">
        <v>393</v>
      </c>
      <c r="D138" s="90"/>
      <c r="E138" s="90"/>
      <c r="F138" s="90"/>
      <c r="G138" s="90"/>
      <c r="H138" s="90"/>
      <c r="I138" s="90"/>
      <c r="J138" s="97" t="n">
        <v>1236</v>
      </c>
      <c r="K138" s="107" t="n">
        <v>12986.22</v>
      </c>
      <c r="L138" s="23" t="n">
        <f aca="false">J138*K138</f>
        <v>16050967.92</v>
      </c>
    </row>
    <row r="139" customFormat="false" ht="22.5" hidden="false" customHeight="true" outlineLevel="0" collapsed="false">
      <c r="A139" s="22" t="s">
        <v>500</v>
      </c>
      <c r="B139" s="22" t="s">
        <v>104</v>
      </c>
      <c r="C139" s="22" t="s">
        <v>393</v>
      </c>
      <c r="D139" s="90"/>
      <c r="E139" s="90"/>
      <c r="F139" s="90"/>
      <c r="G139" s="90"/>
      <c r="H139" s="90"/>
      <c r="I139" s="90"/>
      <c r="J139" s="97" t="n">
        <v>285</v>
      </c>
      <c r="K139" s="107" t="n">
        <v>18180.14</v>
      </c>
      <c r="L139" s="23" t="n">
        <f aca="false">J139*K139</f>
        <v>5181339.9</v>
      </c>
    </row>
    <row r="140" customFormat="false" ht="22.5" hidden="false" customHeight="true" outlineLevel="0" collapsed="false">
      <c r="A140" s="22" t="s">
        <v>501</v>
      </c>
      <c r="B140" s="22" t="s">
        <v>105</v>
      </c>
      <c r="C140" s="22" t="s">
        <v>393</v>
      </c>
      <c r="D140" s="90"/>
      <c r="E140" s="90"/>
      <c r="F140" s="90"/>
      <c r="G140" s="90"/>
      <c r="H140" s="90"/>
      <c r="I140" s="90"/>
      <c r="J140" s="97" t="n">
        <v>30</v>
      </c>
      <c r="K140" s="107" t="n">
        <v>49780.34</v>
      </c>
      <c r="L140" s="23" t="n">
        <f aca="false">J140*K140</f>
        <v>1493410.2</v>
      </c>
    </row>
    <row r="141" customFormat="false" ht="22.5" hidden="false" customHeight="true" outlineLevel="0" collapsed="false">
      <c r="A141" s="22" t="s">
        <v>502</v>
      </c>
      <c r="B141" s="22" t="s">
        <v>106</v>
      </c>
      <c r="C141" s="22" t="s">
        <v>393</v>
      </c>
      <c r="D141" s="90"/>
      <c r="E141" s="90"/>
      <c r="F141" s="90"/>
      <c r="G141" s="90"/>
      <c r="H141" s="90"/>
      <c r="I141" s="90"/>
      <c r="J141" s="97" t="n">
        <v>749</v>
      </c>
      <c r="K141" s="107" t="n">
        <v>9090.07</v>
      </c>
      <c r="L141" s="23" t="n">
        <f aca="false">J141*K141</f>
        <v>6808462.43</v>
      </c>
    </row>
    <row r="142" customFormat="false" ht="22.5" hidden="false" customHeight="true" outlineLevel="0" collapsed="false">
      <c r="A142" s="22" t="s">
        <v>503</v>
      </c>
      <c r="B142" s="22" t="s">
        <v>112</v>
      </c>
      <c r="C142" s="22" t="s">
        <v>327</v>
      </c>
      <c r="D142" s="90"/>
      <c r="E142" s="90"/>
      <c r="F142" s="90"/>
      <c r="G142" s="90"/>
      <c r="H142" s="90"/>
      <c r="I142" s="90"/>
      <c r="J142" s="97" t="n">
        <v>870</v>
      </c>
      <c r="K142" s="107" t="n">
        <v>7618.38</v>
      </c>
      <c r="L142" s="23" t="n">
        <f aca="false">J142*K142</f>
        <v>6627990.6</v>
      </c>
    </row>
    <row r="143" customFormat="false" ht="22.5" hidden="false" customHeight="true" outlineLevel="0" collapsed="false">
      <c r="A143" s="22" t="s">
        <v>504</v>
      </c>
      <c r="B143" s="22" t="s">
        <v>111</v>
      </c>
      <c r="C143" s="22" t="s">
        <v>327</v>
      </c>
      <c r="D143" s="90"/>
      <c r="E143" s="90"/>
      <c r="F143" s="90"/>
      <c r="G143" s="90"/>
      <c r="H143" s="90"/>
      <c r="I143" s="90"/>
      <c r="J143" s="97" t="n">
        <v>1460</v>
      </c>
      <c r="K143" s="107" t="n">
        <v>7618.38</v>
      </c>
      <c r="L143" s="23" t="n">
        <f aca="false">J143*K143</f>
        <v>11122834.8</v>
      </c>
    </row>
    <row r="144" customFormat="false" ht="22.5" hidden="false" customHeight="true" outlineLevel="0" collapsed="false">
      <c r="A144" s="22" t="s">
        <v>505</v>
      </c>
      <c r="B144" s="22" t="s">
        <v>114</v>
      </c>
      <c r="C144" s="22" t="s">
        <v>393</v>
      </c>
      <c r="D144" s="90"/>
      <c r="E144" s="90"/>
      <c r="F144" s="90"/>
      <c r="G144" s="90"/>
      <c r="H144" s="90"/>
      <c r="I144" s="90"/>
      <c r="J144" s="97" t="n">
        <v>261</v>
      </c>
      <c r="K144" s="107" t="n">
        <v>18180.14</v>
      </c>
      <c r="L144" s="23" t="n">
        <f aca="false">J144*K144</f>
        <v>4745016.54</v>
      </c>
    </row>
    <row r="145" customFormat="false" ht="22.5" hidden="false" customHeight="true" outlineLevel="0" collapsed="false">
      <c r="A145" s="22" t="s">
        <v>506</v>
      </c>
      <c r="B145" s="22" t="s">
        <v>113</v>
      </c>
      <c r="C145" s="22" t="s">
        <v>393</v>
      </c>
      <c r="D145" s="90"/>
      <c r="E145" s="90"/>
      <c r="F145" s="90"/>
      <c r="G145" s="90"/>
      <c r="H145" s="90"/>
      <c r="I145" s="90"/>
      <c r="J145" s="97" t="n">
        <v>312</v>
      </c>
      <c r="K145" s="107" t="n">
        <v>15583.64</v>
      </c>
      <c r="L145" s="23" t="n">
        <f aca="false">J145*K145</f>
        <v>4862095.68</v>
      </c>
    </row>
    <row r="146" customFormat="false" ht="22.5" hidden="false" customHeight="true" outlineLevel="0" collapsed="false">
      <c r="A146" s="22" t="s">
        <v>507</v>
      </c>
      <c r="B146" s="22" t="s">
        <v>115</v>
      </c>
      <c r="C146" s="22" t="s">
        <v>327</v>
      </c>
      <c r="D146" s="90"/>
      <c r="E146" s="90"/>
      <c r="F146" s="90"/>
      <c r="G146" s="90"/>
      <c r="H146" s="90"/>
      <c r="I146" s="90"/>
      <c r="J146" s="97" t="n">
        <v>1947</v>
      </c>
      <c r="K146" s="107" t="n">
        <v>6059.74</v>
      </c>
      <c r="L146" s="23" t="n">
        <f aca="false">J146*K146</f>
        <v>11798313.78</v>
      </c>
    </row>
    <row r="147" customFormat="false" ht="22.5" hidden="false" customHeight="true" outlineLevel="0" collapsed="false">
      <c r="A147" s="22" t="s">
        <v>508</v>
      </c>
      <c r="B147" s="22" t="s">
        <v>116</v>
      </c>
      <c r="C147" s="22" t="s">
        <v>393</v>
      </c>
      <c r="D147" s="90"/>
      <c r="E147" s="90"/>
      <c r="F147" s="90"/>
      <c r="G147" s="90"/>
      <c r="H147" s="90"/>
      <c r="I147" s="90"/>
      <c r="J147" s="97" t="n">
        <v>1969</v>
      </c>
      <c r="K147" s="107" t="n">
        <v>19045.95</v>
      </c>
      <c r="L147" s="23" t="n">
        <f aca="false">J147*K147</f>
        <v>37501475.55</v>
      </c>
    </row>
    <row r="148" customFormat="false" ht="22.5" hidden="false" customHeight="true" outlineLevel="0" collapsed="false">
      <c r="A148" s="22" t="s">
        <v>509</v>
      </c>
      <c r="B148" s="22" t="s">
        <v>117</v>
      </c>
      <c r="C148" s="22" t="s">
        <v>393</v>
      </c>
      <c r="D148" s="90"/>
      <c r="E148" s="90"/>
      <c r="F148" s="90"/>
      <c r="G148" s="90"/>
      <c r="H148" s="90"/>
      <c r="I148" s="90"/>
      <c r="J148" s="97" t="n">
        <v>470</v>
      </c>
      <c r="K148" s="107" t="n">
        <v>16449.46</v>
      </c>
      <c r="L148" s="23" t="n">
        <f aca="false">J148*K148</f>
        <v>7731246.2</v>
      </c>
    </row>
    <row r="149" customFormat="false" ht="22.5" hidden="false" customHeight="true" outlineLevel="0" collapsed="false">
      <c r="A149" s="22" t="s">
        <v>510</v>
      </c>
      <c r="B149" s="22" t="s">
        <v>118</v>
      </c>
      <c r="C149" s="22" t="s">
        <v>395</v>
      </c>
      <c r="D149" s="90"/>
      <c r="E149" s="90"/>
      <c r="F149" s="90"/>
      <c r="G149" s="90"/>
      <c r="H149" s="90"/>
      <c r="I149" s="90"/>
      <c r="J149" s="97" t="n">
        <v>288</v>
      </c>
      <c r="K149" s="107" t="n">
        <v>14284.93</v>
      </c>
      <c r="L149" s="23" t="n">
        <f aca="false">J149*K149</f>
        <v>4114059.84</v>
      </c>
    </row>
    <row r="150" customFormat="false" ht="22.5" hidden="false" customHeight="true" outlineLevel="0" collapsed="false">
      <c r="A150" s="22" t="s">
        <v>511</v>
      </c>
      <c r="B150" s="22" t="s">
        <v>119</v>
      </c>
      <c r="C150" s="22" t="s">
        <v>327</v>
      </c>
      <c r="D150" s="90"/>
      <c r="E150" s="90"/>
      <c r="F150" s="90"/>
      <c r="G150" s="90"/>
      <c r="H150" s="90"/>
      <c r="I150" s="90"/>
      <c r="J150" s="97" t="n">
        <v>260</v>
      </c>
      <c r="K150" s="107" t="n">
        <v>21643.38</v>
      </c>
      <c r="L150" s="23" t="n">
        <f aca="false">J150*K150</f>
        <v>5627278.8</v>
      </c>
    </row>
    <row r="151" customFormat="false" ht="22.5" hidden="false" customHeight="true" outlineLevel="0" collapsed="false">
      <c r="A151" s="22" t="s">
        <v>512</v>
      </c>
      <c r="B151" s="22" t="s">
        <v>120</v>
      </c>
      <c r="C151" s="22" t="s">
        <v>327</v>
      </c>
      <c r="D151" s="90"/>
      <c r="E151" s="90"/>
      <c r="F151" s="90"/>
      <c r="G151" s="90"/>
      <c r="H151" s="90"/>
      <c r="I151" s="90"/>
      <c r="J151" s="97" t="n">
        <v>80</v>
      </c>
      <c r="K151" s="107" t="n">
        <v>20777.57</v>
      </c>
      <c r="L151" s="23" t="n">
        <f aca="false">J151*K151</f>
        <v>1662205.6</v>
      </c>
    </row>
    <row r="152" customFormat="false" ht="22.5" hidden="false" customHeight="true" outlineLevel="0" collapsed="false">
      <c r="A152" s="22" t="s">
        <v>513</v>
      </c>
      <c r="B152" s="22" t="s">
        <v>121</v>
      </c>
      <c r="C152" s="22" t="s">
        <v>393</v>
      </c>
      <c r="D152" s="90"/>
      <c r="E152" s="90"/>
      <c r="F152" s="90"/>
      <c r="G152" s="90"/>
      <c r="H152" s="90"/>
      <c r="I152" s="90"/>
      <c r="J152" s="97" t="n">
        <v>2934</v>
      </c>
      <c r="K152" s="107" t="n">
        <v>11254.6</v>
      </c>
      <c r="L152" s="23" t="n">
        <f aca="false">J152*K152</f>
        <v>33020996.4</v>
      </c>
    </row>
    <row r="153" customFormat="false" ht="22.5" hidden="false" customHeight="true" outlineLevel="0" collapsed="false">
      <c r="A153" s="22" t="s">
        <v>514</v>
      </c>
      <c r="B153" s="22" t="s">
        <v>122</v>
      </c>
      <c r="C153" s="22" t="s">
        <v>327</v>
      </c>
      <c r="D153" s="90"/>
      <c r="E153" s="90"/>
      <c r="F153" s="90"/>
      <c r="G153" s="90"/>
      <c r="H153" s="90"/>
      <c r="I153" s="90"/>
      <c r="J153" s="97" t="n">
        <v>163</v>
      </c>
      <c r="K153" s="107" t="n">
        <v>8138.24</v>
      </c>
      <c r="L153" s="23" t="n">
        <f aca="false">J153*K153</f>
        <v>1326533.12</v>
      </c>
    </row>
    <row r="154" customFormat="false" ht="22.5" hidden="false" customHeight="true" outlineLevel="0" collapsed="false">
      <c r="A154" s="22" t="s">
        <v>515</v>
      </c>
      <c r="B154" s="22" t="s">
        <v>516</v>
      </c>
      <c r="C154" s="22" t="s">
        <v>451</v>
      </c>
      <c r="D154" s="90"/>
      <c r="E154" s="90"/>
      <c r="F154" s="90"/>
      <c r="G154" s="90"/>
      <c r="H154" s="90"/>
      <c r="I154" s="90"/>
      <c r="J154" s="97" t="n">
        <v>72</v>
      </c>
      <c r="K154" s="107" t="n">
        <v>22509.19</v>
      </c>
      <c r="L154" s="23" t="n">
        <f aca="false">J154*K154</f>
        <v>1620661.68</v>
      </c>
    </row>
    <row r="155" customFormat="false" ht="22.5" hidden="false" customHeight="true" outlineLevel="0" collapsed="false">
      <c r="A155" s="22" t="s">
        <v>517</v>
      </c>
      <c r="B155" s="22" t="s">
        <v>123</v>
      </c>
      <c r="C155" s="22" t="s">
        <v>393</v>
      </c>
      <c r="D155" s="90"/>
      <c r="E155" s="90"/>
      <c r="F155" s="90"/>
      <c r="G155" s="90"/>
      <c r="H155" s="90"/>
      <c r="I155" s="90"/>
      <c r="J155" s="97" t="n">
        <v>132</v>
      </c>
      <c r="K155" s="107" t="n">
        <v>17315.26</v>
      </c>
      <c r="L155" s="23" t="n">
        <f aca="false">J155*K155</f>
        <v>2285614.32</v>
      </c>
    </row>
    <row r="156" customFormat="false" ht="22.5" hidden="false" customHeight="true" outlineLevel="0" collapsed="false">
      <c r="A156" s="22" t="s">
        <v>518</v>
      </c>
      <c r="B156" s="22" t="s">
        <v>519</v>
      </c>
      <c r="C156" s="22" t="s">
        <v>327</v>
      </c>
      <c r="D156" s="90"/>
      <c r="E156" s="90"/>
      <c r="F156" s="90"/>
      <c r="G156" s="90"/>
      <c r="H156" s="90"/>
      <c r="I156" s="90"/>
      <c r="J156" s="91"/>
      <c r="K156" s="92"/>
      <c r="L156" s="23" t="n">
        <f aca="false">J156*K156</f>
        <v>0</v>
      </c>
    </row>
    <row r="157" customFormat="false" ht="22.5" hidden="false" customHeight="true" outlineLevel="0" collapsed="false">
      <c r="A157" s="22" t="s">
        <v>520</v>
      </c>
      <c r="B157" s="22" t="s">
        <v>124</v>
      </c>
      <c r="C157" s="22" t="s">
        <v>393</v>
      </c>
      <c r="D157" s="90"/>
      <c r="E157" s="90"/>
      <c r="F157" s="90"/>
      <c r="G157" s="90"/>
      <c r="H157" s="90"/>
      <c r="I157" s="90"/>
      <c r="J157" s="97" t="n">
        <v>8</v>
      </c>
      <c r="K157" s="107" t="n">
        <v>17315.26</v>
      </c>
      <c r="L157" s="23" t="n">
        <f aca="false">J157*K157</f>
        <v>138522.08</v>
      </c>
    </row>
    <row r="158" customFormat="false" ht="22.5" hidden="false" customHeight="true" outlineLevel="0" collapsed="false">
      <c r="A158" s="22" t="s">
        <v>521</v>
      </c>
      <c r="B158" s="22" t="s">
        <v>522</v>
      </c>
      <c r="C158" s="22" t="s">
        <v>327</v>
      </c>
      <c r="D158" s="90"/>
      <c r="E158" s="90"/>
      <c r="F158" s="90"/>
      <c r="G158" s="90"/>
      <c r="H158" s="90"/>
      <c r="I158" s="90"/>
      <c r="J158" s="97" t="n">
        <v>5934</v>
      </c>
      <c r="K158" s="107" t="n">
        <v>8224.26</v>
      </c>
      <c r="L158" s="23" t="n">
        <f aca="false">J158*K158</f>
        <v>48802758.84</v>
      </c>
    </row>
    <row r="159" customFormat="false" ht="22.5" hidden="false" customHeight="true" outlineLevel="0" collapsed="false">
      <c r="A159" s="22" t="s">
        <v>523</v>
      </c>
      <c r="B159" s="22" t="s">
        <v>126</v>
      </c>
      <c r="C159" s="22" t="s">
        <v>327</v>
      </c>
      <c r="D159" s="90"/>
      <c r="E159" s="90"/>
      <c r="F159" s="90"/>
      <c r="G159" s="90"/>
      <c r="H159" s="90"/>
      <c r="I159" s="90"/>
      <c r="J159" s="97" t="n">
        <v>34074</v>
      </c>
      <c r="K159" s="107" t="n">
        <v>5453.86</v>
      </c>
      <c r="L159" s="23" t="n">
        <f aca="false">J159*K159</f>
        <v>185834825.64</v>
      </c>
    </row>
    <row r="160" customFormat="false" ht="22.5" hidden="false" customHeight="true" outlineLevel="0" collapsed="false">
      <c r="A160" s="22" t="s">
        <v>524</v>
      </c>
      <c r="B160" s="22" t="s">
        <v>127</v>
      </c>
      <c r="C160" s="22" t="s">
        <v>327</v>
      </c>
      <c r="D160" s="90"/>
      <c r="E160" s="90"/>
      <c r="F160" s="90"/>
      <c r="G160" s="90"/>
      <c r="H160" s="90"/>
      <c r="I160" s="90"/>
      <c r="J160" s="97" t="n">
        <v>2463</v>
      </c>
      <c r="K160" s="107" t="n">
        <v>5453.86</v>
      </c>
      <c r="L160" s="23" t="n">
        <f aca="false">J160*K160</f>
        <v>13432857.18</v>
      </c>
    </row>
    <row r="161" customFormat="false" ht="22.5" hidden="false" customHeight="true" outlineLevel="0" collapsed="false">
      <c r="A161" s="22" t="s">
        <v>525</v>
      </c>
      <c r="B161" s="22" t="s">
        <v>128</v>
      </c>
      <c r="C161" s="22" t="s">
        <v>327</v>
      </c>
      <c r="D161" s="90"/>
      <c r="E161" s="90"/>
      <c r="F161" s="90"/>
      <c r="G161" s="90"/>
      <c r="H161" s="90"/>
      <c r="I161" s="90"/>
      <c r="J161" s="97" t="n">
        <v>454</v>
      </c>
      <c r="K161" s="107" t="n">
        <v>14284.93</v>
      </c>
      <c r="L161" s="23" t="n">
        <f aca="false">J161*K161</f>
        <v>6485358.22</v>
      </c>
    </row>
    <row r="162" customFormat="false" ht="22.5" hidden="false" customHeight="true" outlineLevel="0" collapsed="false">
      <c r="A162" s="22" t="s">
        <v>526</v>
      </c>
      <c r="B162" s="22" t="s">
        <v>527</v>
      </c>
      <c r="C162" s="22" t="s">
        <v>528</v>
      </c>
      <c r="D162" s="90"/>
      <c r="E162" s="90"/>
      <c r="F162" s="90"/>
      <c r="G162" s="90"/>
      <c r="H162" s="90"/>
      <c r="I162" s="90"/>
      <c r="J162" s="91"/>
      <c r="K162" s="92"/>
      <c r="L162" s="23" t="n">
        <f aca="false">J162*K162</f>
        <v>0</v>
      </c>
    </row>
    <row r="163" customFormat="false" ht="22.5" hidden="false" customHeight="true" outlineLevel="0" collapsed="false">
      <c r="A163" s="22" t="s">
        <v>529</v>
      </c>
      <c r="B163" s="22" t="s">
        <v>168</v>
      </c>
      <c r="C163" s="22" t="s">
        <v>303</v>
      </c>
      <c r="D163" s="90"/>
      <c r="E163" s="90"/>
      <c r="F163" s="90"/>
      <c r="G163" s="90"/>
      <c r="H163" s="90"/>
      <c r="I163" s="90"/>
      <c r="J163" s="97" t="n">
        <v>83</v>
      </c>
      <c r="K163" s="107" t="n">
        <v>30500</v>
      </c>
      <c r="L163" s="23" t="n">
        <f aca="false">J163*K163</f>
        <v>2531500</v>
      </c>
    </row>
    <row r="164" customFormat="false" ht="22.5" hidden="false" customHeight="true" outlineLevel="0" collapsed="false">
      <c r="A164" s="22" t="s">
        <v>530</v>
      </c>
      <c r="B164" s="22" t="s">
        <v>147</v>
      </c>
      <c r="C164" s="22" t="s">
        <v>327</v>
      </c>
      <c r="D164" s="90"/>
      <c r="E164" s="90"/>
      <c r="F164" s="90"/>
      <c r="G164" s="90"/>
      <c r="H164" s="90"/>
      <c r="I164" s="90"/>
      <c r="J164" s="97" t="n">
        <v>344</v>
      </c>
      <c r="K164" s="107" t="n">
        <v>4608.33</v>
      </c>
      <c r="L164" s="23" t="n">
        <f aca="false">J164*K164</f>
        <v>1585265.52</v>
      </c>
    </row>
    <row r="165" customFormat="false" ht="22.5" hidden="false" customHeight="true" outlineLevel="0" collapsed="false">
      <c r="A165" s="22" t="s">
        <v>531</v>
      </c>
      <c r="B165" s="22" t="s">
        <v>532</v>
      </c>
      <c r="C165" s="22" t="s">
        <v>528</v>
      </c>
      <c r="D165" s="90"/>
      <c r="E165" s="90"/>
      <c r="F165" s="90"/>
      <c r="G165" s="90"/>
      <c r="H165" s="90"/>
      <c r="I165" s="90"/>
      <c r="J165" s="91"/>
      <c r="K165" s="92"/>
      <c r="L165" s="23" t="n">
        <f aca="false">J165*K165</f>
        <v>0</v>
      </c>
    </row>
    <row r="166" customFormat="false" ht="22.5" hidden="false" customHeight="true" outlineLevel="0" collapsed="false">
      <c r="A166" s="22" t="s">
        <v>533</v>
      </c>
      <c r="B166" s="22" t="s">
        <v>140</v>
      </c>
      <c r="C166" s="22" t="s">
        <v>528</v>
      </c>
      <c r="D166" s="90"/>
      <c r="E166" s="90"/>
      <c r="F166" s="90"/>
      <c r="G166" s="90"/>
      <c r="H166" s="90"/>
      <c r="I166" s="90"/>
      <c r="J166" s="97" t="n">
        <v>1328</v>
      </c>
      <c r="K166" s="107" t="n">
        <v>186415</v>
      </c>
      <c r="L166" s="23" t="n">
        <f aca="false">J166*K166</f>
        <v>247559120</v>
      </c>
    </row>
    <row r="167" customFormat="false" ht="22.5" hidden="false" customHeight="true" outlineLevel="0" collapsed="false">
      <c r="A167" s="22" t="s">
        <v>534</v>
      </c>
      <c r="B167" s="22" t="s">
        <v>142</v>
      </c>
      <c r="C167" s="22" t="s">
        <v>528</v>
      </c>
      <c r="D167" s="90"/>
      <c r="E167" s="90"/>
      <c r="F167" s="90"/>
      <c r="G167" s="90"/>
      <c r="H167" s="90"/>
      <c r="I167" s="90"/>
      <c r="J167" s="97" t="n">
        <v>1150</v>
      </c>
      <c r="K167" s="107" t="n">
        <v>183667</v>
      </c>
      <c r="L167" s="23" t="n">
        <f aca="false">J167*K167</f>
        <v>211217050</v>
      </c>
    </row>
    <row r="168" customFormat="false" ht="22.5" hidden="false" customHeight="true" outlineLevel="0" collapsed="false">
      <c r="A168" s="24" t="s">
        <v>535</v>
      </c>
      <c r="B168" s="24" t="s">
        <v>141</v>
      </c>
      <c r="C168" s="24" t="s">
        <v>528</v>
      </c>
      <c r="D168" s="90"/>
      <c r="E168" s="90"/>
      <c r="F168" s="90"/>
      <c r="G168" s="90"/>
      <c r="H168" s="90"/>
      <c r="I168" s="90"/>
      <c r="J168" s="102" t="n">
        <v>1000</v>
      </c>
      <c r="K168" s="103" t="n">
        <v>186415</v>
      </c>
      <c r="L168" s="25" t="n">
        <f aca="false">J168*K168</f>
        <v>186415000</v>
      </c>
    </row>
    <row r="169" customFormat="false" ht="22.5" hidden="false" customHeight="true" outlineLevel="0" collapsed="false">
      <c r="A169" s="22" t="s">
        <v>536</v>
      </c>
      <c r="B169" s="22" t="s">
        <v>149</v>
      </c>
      <c r="C169" s="22" t="s">
        <v>528</v>
      </c>
      <c r="D169" s="90"/>
      <c r="E169" s="90"/>
      <c r="F169" s="90"/>
      <c r="G169" s="90"/>
      <c r="H169" s="90"/>
      <c r="I169" s="90"/>
      <c r="J169" s="91"/>
      <c r="K169" s="92"/>
      <c r="L169" s="23" t="n">
        <f aca="false">J169*K169</f>
        <v>0</v>
      </c>
    </row>
    <row r="170" customFormat="false" ht="22.5" hidden="false" customHeight="true" outlineLevel="0" collapsed="false">
      <c r="A170" s="22" t="s">
        <v>537</v>
      </c>
      <c r="B170" s="22" t="s">
        <v>143</v>
      </c>
      <c r="C170" s="22" t="s">
        <v>528</v>
      </c>
      <c r="D170" s="90"/>
      <c r="E170" s="90"/>
      <c r="F170" s="90"/>
      <c r="G170" s="90"/>
      <c r="H170" s="90"/>
      <c r="I170" s="90"/>
      <c r="J170" s="91"/>
      <c r="K170" s="92"/>
      <c r="L170" s="23" t="n">
        <f aca="false">J170*K170</f>
        <v>0</v>
      </c>
    </row>
    <row r="171" customFormat="false" ht="22.5" hidden="false" customHeight="true" outlineLevel="0" collapsed="false">
      <c r="A171" s="22" t="s">
        <v>538</v>
      </c>
      <c r="B171" s="22" t="s">
        <v>144</v>
      </c>
      <c r="C171" s="22" t="s">
        <v>528</v>
      </c>
      <c r="D171" s="90"/>
      <c r="E171" s="90"/>
      <c r="F171" s="90"/>
      <c r="G171" s="90"/>
      <c r="H171" s="90"/>
      <c r="I171" s="90"/>
      <c r="J171" s="97" t="n">
        <v>583</v>
      </c>
      <c r="K171" s="107" t="n">
        <v>184320</v>
      </c>
      <c r="L171" s="23" t="n">
        <f aca="false">J171*K171</f>
        <v>107458560</v>
      </c>
    </row>
    <row r="172" customFormat="false" ht="22.5" hidden="false" customHeight="true" outlineLevel="0" collapsed="false">
      <c r="A172" s="22" t="s">
        <v>539</v>
      </c>
      <c r="B172" s="22" t="s">
        <v>146</v>
      </c>
      <c r="C172" s="22" t="s">
        <v>528</v>
      </c>
      <c r="D172" s="90"/>
      <c r="E172" s="90"/>
      <c r="F172" s="90"/>
      <c r="G172" s="90"/>
      <c r="H172" s="90"/>
      <c r="I172" s="90"/>
      <c r="J172" s="97" t="n">
        <v>115</v>
      </c>
      <c r="K172" s="107" t="n">
        <v>191651</v>
      </c>
      <c r="L172" s="23" t="n">
        <f aca="false">J172*K172</f>
        <v>22039865</v>
      </c>
    </row>
    <row r="173" customFormat="false" ht="22.5" hidden="false" customHeight="true" outlineLevel="0" collapsed="false">
      <c r="A173" s="22" t="s">
        <v>540</v>
      </c>
      <c r="B173" s="22" t="s">
        <v>149</v>
      </c>
      <c r="C173" s="22" t="s">
        <v>327</v>
      </c>
      <c r="D173" s="90"/>
      <c r="E173" s="90"/>
      <c r="F173" s="90"/>
      <c r="G173" s="90"/>
      <c r="H173" s="90"/>
      <c r="I173" s="90"/>
      <c r="J173" s="97" t="n">
        <v>1236</v>
      </c>
      <c r="K173" s="107" t="n">
        <v>16000</v>
      </c>
      <c r="L173" s="23" t="n">
        <f aca="false">J173*K173</f>
        <v>19776000</v>
      </c>
    </row>
    <row r="174" customFormat="false" ht="22.5" hidden="false" customHeight="true" outlineLevel="0" collapsed="false">
      <c r="A174" s="22" t="s">
        <v>541</v>
      </c>
      <c r="B174" s="22" t="s">
        <v>542</v>
      </c>
      <c r="C174" s="22" t="s">
        <v>528</v>
      </c>
      <c r="D174" s="90"/>
      <c r="E174" s="90"/>
      <c r="F174" s="90"/>
      <c r="G174" s="90"/>
      <c r="H174" s="90"/>
      <c r="I174" s="90"/>
      <c r="J174" s="91"/>
      <c r="K174" s="92"/>
      <c r="L174" s="23" t="n">
        <f aca="false">J174*K174</f>
        <v>0</v>
      </c>
    </row>
    <row r="175" customFormat="false" ht="22.5" hidden="false" customHeight="true" outlineLevel="0" collapsed="false">
      <c r="A175" s="22" t="s">
        <v>543</v>
      </c>
      <c r="B175" s="22" t="s">
        <v>148</v>
      </c>
      <c r="C175" s="22" t="s">
        <v>303</v>
      </c>
      <c r="D175" s="90"/>
      <c r="E175" s="90"/>
      <c r="F175" s="90"/>
      <c r="G175" s="90"/>
      <c r="H175" s="90"/>
      <c r="I175" s="90"/>
      <c r="J175" s="91"/>
      <c r="K175" s="92"/>
      <c r="L175" s="23" t="n">
        <f aca="false">J175*K175</f>
        <v>0</v>
      </c>
    </row>
    <row r="176" customFormat="false" ht="22.5" hidden="false" customHeight="true" outlineLevel="0" collapsed="false">
      <c r="A176" s="22" t="s">
        <v>544</v>
      </c>
      <c r="B176" s="22" t="s">
        <v>146</v>
      </c>
      <c r="C176" s="22" t="s">
        <v>327</v>
      </c>
      <c r="D176" s="90"/>
      <c r="E176" s="90"/>
      <c r="F176" s="90"/>
      <c r="G176" s="90"/>
      <c r="H176" s="90"/>
      <c r="I176" s="90"/>
      <c r="J176" s="91"/>
      <c r="K176" s="92"/>
      <c r="L176" s="23" t="n">
        <f aca="false">J176*K176</f>
        <v>0</v>
      </c>
    </row>
    <row r="177" customFormat="false" ht="22.5" hidden="false" customHeight="true" outlineLevel="0" collapsed="false">
      <c r="A177" s="22" t="s">
        <v>545</v>
      </c>
      <c r="B177" s="22" t="s">
        <v>546</v>
      </c>
      <c r="C177" s="22" t="s">
        <v>528</v>
      </c>
      <c r="D177" s="90"/>
      <c r="E177" s="90"/>
      <c r="F177" s="90"/>
      <c r="G177" s="90"/>
      <c r="H177" s="90"/>
      <c r="I177" s="90"/>
      <c r="J177" s="91"/>
      <c r="K177" s="92"/>
      <c r="L177" s="23" t="n">
        <f aca="false">J177*K177</f>
        <v>0</v>
      </c>
    </row>
    <row r="178" customFormat="false" ht="22.5" hidden="false" customHeight="true" outlineLevel="0" collapsed="false">
      <c r="A178" s="22" t="s">
        <v>547</v>
      </c>
      <c r="B178" s="22" t="s">
        <v>548</v>
      </c>
      <c r="C178" s="22" t="s">
        <v>528</v>
      </c>
      <c r="D178" s="90"/>
      <c r="E178" s="90"/>
      <c r="F178" s="90"/>
      <c r="G178" s="90"/>
      <c r="H178" s="90"/>
      <c r="I178" s="90"/>
      <c r="J178" s="97" t="n">
        <v>810</v>
      </c>
      <c r="K178" s="107" t="n">
        <v>115200</v>
      </c>
      <c r="L178" s="23" t="n">
        <f aca="false">J178*K178</f>
        <v>93312000</v>
      </c>
    </row>
    <row r="179" customFormat="false" ht="22.5" hidden="false" customHeight="true" outlineLevel="0" collapsed="false">
      <c r="A179" s="22" t="s">
        <v>549</v>
      </c>
      <c r="B179" s="22" t="s">
        <v>550</v>
      </c>
      <c r="C179" s="22" t="s">
        <v>528</v>
      </c>
      <c r="D179" s="90"/>
      <c r="E179" s="90"/>
      <c r="F179" s="90"/>
      <c r="G179" s="90"/>
      <c r="H179" s="90"/>
      <c r="I179" s="90"/>
      <c r="J179" s="97" t="n">
        <v>280</v>
      </c>
      <c r="K179" s="107" t="n">
        <v>267055</v>
      </c>
      <c r="L179" s="23" t="n">
        <f aca="false">J179*K179</f>
        <v>74775400</v>
      </c>
    </row>
    <row r="180" customFormat="false" ht="22.5" hidden="false" customHeight="true" outlineLevel="0" collapsed="false">
      <c r="A180" s="22" t="s">
        <v>551</v>
      </c>
      <c r="B180" s="22" t="s">
        <v>139</v>
      </c>
      <c r="C180" s="22" t="s">
        <v>528</v>
      </c>
      <c r="D180" s="90"/>
      <c r="E180" s="90"/>
      <c r="F180" s="90"/>
      <c r="G180" s="90"/>
      <c r="H180" s="90"/>
      <c r="I180" s="90"/>
      <c r="J180" s="97" t="n">
        <v>188</v>
      </c>
      <c r="K180" s="107" t="n">
        <v>183667</v>
      </c>
      <c r="L180" s="23" t="n">
        <f aca="false">J180*K180</f>
        <v>34529396</v>
      </c>
    </row>
    <row r="181" customFormat="false" ht="22.5" hidden="false" customHeight="true" outlineLevel="0" collapsed="false">
      <c r="A181" s="22" t="s">
        <v>552</v>
      </c>
      <c r="B181" s="22" t="s">
        <v>553</v>
      </c>
      <c r="C181" s="22" t="s">
        <v>528</v>
      </c>
      <c r="D181" s="90"/>
      <c r="E181" s="90"/>
      <c r="F181" s="90"/>
      <c r="G181" s="90"/>
      <c r="H181" s="90"/>
      <c r="I181" s="90"/>
      <c r="J181" s="91"/>
      <c r="K181" s="92"/>
      <c r="L181" s="23" t="n">
        <f aca="false">J181*K181</f>
        <v>0</v>
      </c>
    </row>
    <row r="182" customFormat="false" ht="22.5" hidden="false" customHeight="true" outlineLevel="0" collapsed="false">
      <c r="A182" s="22" t="s">
        <v>554</v>
      </c>
      <c r="B182" s="22" t="s">
        <v>553</v>
      </c>
      <c r="C182" s="22" t="s">
        <v>303</v>
      </c>
      <c r="D182" s="90"/>
      <c r="E182" s="90"/>
      <c r="F182" s="90"/>
      <c r="G182" s="90"/>
      <c r="H182" s="90"/>
      <c r="I182" s="90"/>
      <c r="J182" s="91"/>
      <c r="K182" s="92"/>
      <c r="L182" s="23" t="n">
        <f aca="false">J182*K182</f>
        <v>0</v>
      </c>
    </row>
    <row r="183" customFormat="false" ht="22.5" hidden="false" customHeight="true" outlineLevel="0" collapsed="false">
      <c r="A183" s="22" t="s">
        <v>555</v>
      </c>
      <c r="B183" s="22" t="s">
        <v>556</v>
      </c>
      <c r="C183" s="22" t="s">
        <v>528</v>
      </c>
      <c r="D183" s="90"/>
      <c r="E183" s="90"/>
      <c r="F183" s="90"/>
      <c r="G183" s="90"/>
      <c r="H183" s="90"/>
      <c r="I183" s="90"/>
      <c r="J183" s="97" t="n">
        <v>2</v>
      </c>
      <c r="K183" s="107" t="n">
        <v>184473</v>
      </c>
      <c r="L183" s="23" t="n">
        <f aca="false">J183*K183</f>
        <v>368946</v>
      </c>
    </row>
    <row r="184" customFormat="false" ht="22.5" hidden="false" customHeight="true" outlineLevel="0" collapsed="false">
      <c r="A184" s="22" t="s">
        <v>557</v>
      </c>
      <c r="B184" s="22" t="s">
        <v>151</v>
      </c>
      <c r="C184" s="22" t="s">
        <v>528</v>
      </c>
      <c r="D184" s="90"/>
      <c r="E184" s="90"/>
      <c r="F184" s="90"/>
      <c r="G184" s="90"/>
      <c r="H184" s="90"/>
      <c r="I184" s="90"/>
      <c r="J184" s="97" t="n">
        <v>319</v>
      </c>
      <c r="K184" s="107" t="n">
        <v>189655</v>
      </c>
      <c r="L184" s="23" t="n">
        <f aca="false">J184*K184</f>
        <v>60499945</v>
      </c>
    </row>
    <row r="185" customFormat="false" ht="22.5" hidden="false" customHeight="true" outlineLevel="0" collapsed="false">
      <c r="A185" s="22" t="s">
        <v>558</v>
      </c>
      <c r="B185" s="22" t="s">
        <v>559</v>
      </c>
      <c r="C185" s="22" t="s">
        <v>528</v>
      </c>
      <c r="D185" s="90"/>
      <c r="E185" s="90"/>
      <c r="F185" s="90"/>
      <c r="G185" s="90"/>
      <c r="H185" s="90"/>
      <c r="I185" s="90"/>
      <c r="J185" s="97" t="n">
        <v>50</v>
      </c>
      <c r="K185" s="107" t="n">
        <v>170182</v>
      </c>
      <c r="L185" s="23" t="n">
        <f aca="false">J185*K185</f>
        <v>8509100</v>
      </c>
    </row>
    <row r="186" customFormat="false" ht="22.5" hidden="false" customHeight="true" outlineLevel="0" collapsed="false">
      <c r="A186" s="22" t="s">
        <v>560</v>
      </c>
      <c r="B186" s="22" t="s">
        <v>561</v>
      </c>
      <c r="C186" s="22" t="s">
        <v>528</v>
      </c>
      <c r="D186" s="90"/>
      <c r="E186" s="90"/>
      <c r="F186" s="90"/>
      <c r="G186" s="90"/>
      <c r="H186" s="90"/>
      <c r="I186" s="90"/>
      <c r="J186" s="91"/>
      <c r="K186" s="92"/>
      <c r="L186" s="23" t="n">
        <f aca="false">J186*K186</f>
        <v>0</v>
      </c>
    </row>
    <row r="187" customFormat="false" ht="22.5" hidden="false" customHeight="true" outlineLevel="0" collapsed="false">
      <c r="A187" s="22" t="s">
        <v>562</v>
      </c>
      <c r="B187" s="22" t="s">
        <v>563</v>
      </c>
      <c r="C187" s="22" t="s">
        <v>327</v>
      </c>
      <c r="D187" s="90"/>
      <c r="E187" s="90"/>
      <c r="F187" s="90"/>
      <c r="G187" s="90"/>
      <c r="H187" s="90"/>
      <c r="I187" s="90"/>
      <c r="J187" s="91"/>
      <c r="K187" s="92"/>
      <c r="L187" s="23" t="n">
        <f aca="false">J187*K187</f>
        <v>0</v>
      </c>
    </row>
    <row r="188" customFormat="false" ht="22.5" hidden="false" customHeight="true" outlineLevel="0" collapsed="false">
      <c r="A188" s="116" t="s">
        <v>564</v>
      </c>
      <c r="B188" s="116" t="s">
        <v>40</v>
      </c>
      <c r="C188" s="116" t="s">
        <v>327</v>
      </c>
      <c r="D188" s="90"/>
      <c r="E188" s="90"/>
      <c r="F188" s="90"/>
      <c r="G188" s="90"/>
      <c r="H188" s="90"/>
      <c r="I188" s="90"/>
      <c r="J188" s="117" t="n">
        <v>2430</v>
      </c>
      <c r="K188" s="92" t="n">
        <v>40050</v>
      </c>
      <c r="L188" s="23" t="n">
        <f aca="false">J188*K188</f>
        <v>97321500</v>
      </c>
    </row>
    <row r="189" customFormat="false" ht="22.5" hidden="false" customHeight="true" outlineLevel="0" collapsed="false">
      <c r="A189" s="22" t="s">
        <v>565</v>
      </c>
      <c r="B189" s="22" t="s">
        <v>43</v>
      </c>
      <c r="C189" s="22" t="s">
        <v>303</v>
      </c>
      <c r="D189" s="90"/>
      <c r="E189" s="90"/>
      <c r="F189" s="90"/>
      <c r="G189" s="90"/>
      <c r="H189" s="90"/>
      <c r="I189" s="90"/>
      <c r="J189" s="91"/>
      <c r="K189" s="92"/>
      <c r="L189" s="23" t="n">
        <f aca="false">J189*K189</f>
        <v>0</v>
      </c>
    </row>
    <row r="190" customFormat="false" ht="22.5" hidden="false" customHeight="true" outlineLevel="0" collapsed="false">
      <c r="A190" s="24" t="s">
        <v>566</v>
      </c>
      <c r="B190" s="24" t="s">
        <v>44</v>
      </c>
      <c r="C190" s="24" t="s">
        <v>327</v>
      </c>
      <c r="D190" s="90"/>
      <c r="E190" s="90"/>
      <c r="F190" s="90"/>
      <c r="G190" s="90"/>
      <c r="H190" s="90"/>
      <c r="I190" s="90"/>
      <c r="J190" s="102" t="n">
        <v>300</v>
      </c>
      <c r="K190" s="103" t="n">
        <v>36184</v>
      </c>
      <c r="L190" s="25" t="n">
        <f aca="false">J190*K190</f>
        <v>10855200</v>
      </c>
    </row>
    <row r="191" customFormat="false" ht="22.5" hidden="false" customHeight="true" outlineLevel="0" collapsed="false">
      <c r="A191" s="24" t="s">
        <v>567</v>
      </c>
      <c r="B191" s="24" t="s">
        <v>45</v>
      </c>
      <c r="C191" s="24" t="s">
        <v>327</v>
      </c>
      <c r="D191" s="90"/>
      <c r="E191" s="90"/>
      <c r="F191" s="90"/>
      <c r="G191" s="90"/>
      <c r="H191" s="90"/>
      <c r="I191" s="90"/>
      <c r="J191" s="102" t="n">
        <v>150</v>
      </c>
      <c r="K191" s="103" t="n">
        <v>36184</v>
      </c>
      <c r="L191" s="25" t="n">
        <f aca="false">J191*K191</f>
        <v>5427600</v>
      </c>
    </row>
    <row r="192" customFormat="false" ht="22.5" hidden="false" customHeight="true" outlineLevel="0" collapsed="false">
      <c r="A192" s="22" t="s">
        <v>568</v>
      </c>
      <c r="B192" s="22" t="s">
        <v>46</v>
      </c>
      <c r="C192" s="22" t="s">
        <v>327</v>
      </c>
      <c r="D192" s="90"/>
      <c r="E192" s="90"/>
      <c r="F192" s="90"/>
      <c r="G192" s="90"/>
      <c r="H192" s="90"/>
      <c r="I192" s="90"/>
      <c r="J192" s="97" t="n">
        <v>65</v>
      </c>
      <c r="K192" s="107" t="n">
        <v>36184</v>
      </c>
      <c r="L192" s="23" t="n">
        <f aca="false">J192*K192</f>
        <v>2351960</v>
      </c>
    </row>
    <row r="193" customFormat="false" ht="22.5" hidden="false" customHeight="true" outlineLevel="0" collapsed="false">
      <c r="A193" s="22" t="s">
        <v>569</v>
      </c>
      <c r="B193" s="22" t="s">
        <v>570</v>
      </c>
      <c r="C193" s="22" t="s">
        <v>327</v>
      </c>
      <c r="D193" s="90"/>
      <c r="E193" s="90"/>
      <c r="F193" s="90"/>
      <c r="G193" s="90"/>
      <c r="H193" s="90"/>
      <c r="I193" s="90"/>
      <c r="J193" s="91"/>
      <c r="K193" s="92"/>
      <c r="L193" s="23" t="n">
        <f aca="false">J193*K193</f>
        <v>0</v>
      </c>
    </row>
    <row r="194" customFormat="false" ht="22.5" hidden="false" customHeight="true" outlineLevel="0" collapsed="false">
      <c r="A194" s="22" t="s">
        <v>571</v>
      </c>
      <c r="B194" s="22" t="s">
        <v>572</v>
      </c>
      <c r="C194" s="22" t="s">
        <v>528</v>
      </c>
      <c r="D194" s="90"/>
      <c r="E194" s="90"/>
      <c r="F194" s="90"/>
      <c r="G194" s="90"/>
      <c r="H194" s="90"/>
      <c r="I194" s="90"/>
      <c r="J194" s="97" t="n">
        <v>123</v>
      </c>
      <c r="K194" s="107" t="n">
        <v>234589</v>
      </c>
      <c r="L194" s="23" t="n">
        <f aca="false">J194*K194</f>
        <v>28854447</v>
      </c>
    </row>
    <row r="195" customFormat="false" ht="22.5" hidden="false" customHeight="true" outlineLevel="0" collapsed="false">
      <c r="A195" s="22" t="s">
        <v>573</v>
      </c>
      <c r="B195" s="22" t="s">
        <v>574</v>
      </c>
      <c r="C195" s="22" t="s">
        <v>528</v>
      </c>
      <c r="D195" s="90"/>
      <c r="E195" s="90"/>
      <c r="F195" s="90"/>
      <c r="G195" s="90"/>
      <c r="H195" s="90"/>
      <c r="I195" s="90"/>
      <c r="J195" s="97" t="n">
        <v>117</v>
      </c>
      <c r="K195" s="107" t="n">
        <v>167564</v>
      </c>
      <c r="L195" s="23" t="n">
        <f aca="false">J195*K195</f>
        <v>19604988</v>
      </c>
    </row>
    <row r="196" customFormat="false" ht="22.5" hidden="false" customHeight="true" outlineLevel="0" collapsed="false">
      <c r="A196" s="22" t="s">
        <v>575</v>
      </c>
      <c r="B196" s="22" t="s">
        <v>155</v>
      </c>
      <c r="C196" s="22" t="s">
        <v>528</v>
      </c>
      <c r="D196" s="90"/>
      <c r="E196" s="90"/>
      <c r="F196" s="90"/>
      <c r="G196" s="90"/>
      <c r="H196" s="90"/>
      <c r="I196" s="90"/>
      <c r="J196" s="91"/>
      <c r="K196" s="92"/>
      <c r="L196" s="23" t="n">
        <f aca="false">J196*K196</f>
        <v>0</v>
      </c>
    </row>
    <row r="197" customFormat="false" ht="22.5" hidden="false" customHeight="true" outlineLevel="0" collapsed="false">
      <c r="A197" s="22" t="s">
        <v>576</v>
      </c>
      <c r="B197" s="22" t="s">
        <v>577</v>
      </c>
      <c r="C197" s="22" t="s">
        <v>528</v>
      </c>
      <c r="D197" s="90"/>
      <c r="E197" s="90"/>
      <c r="F197" s="90"/>
      <c r="G197" s="90"/>
      <c r="H197" s="90"/>
      <c r="I197" s="90"/>
      <c r="J197" s="97" t="n">
        <v>70</v>
      </c>
      <c r="K197" s="107" t="n">
        <v>234589</v>
      </c>
      <c r="L197" s="23" t="n">
        <f aca="false">J197*K197</f>
        <v>16421230</v>
      </c>
    </row>
    <row r="198" customFormat="false" ht="22.5" hidden="false" customHeight="true" outlineLevel="0" collapsed="false">
      <c r="A198" s="22" t="s">
        <v>578</v>
      </c>
      <c r="B198" s="22" t="s">
        <v>161</v>
      </c>
      <c r="C198" s="22" t="s">
        <v>528</v>
      </c>
      <c r="D198" s="90"/>
      <c r="E198" s="90"/>
      <c r="F198" s="90"/>
      <c r="G198" s="90"/>
      <c r="H198" s="90"/>
      <c r="I198" s="90"/>
      <c r="J198" s="97" t="n">
        <v>92</v>
      </c>
      <c r="K198" s="107" t="n">
        <v>234589</v>
      </c>
      <c r="L198" s="23" t="n">
        <f aca="false">J198*K198</f>
        <v>21582188</v>
      </c>
    </row>
    <row r="199" customFormat="false" ht="22.5" hidden="false" customHeight="true" outlineLevel="0" collapsed="false">
      <c r="A199" s="22" t="s">
        <v>579</v>
      </c>
      <c r="B199" s="22" t="s">
        <v>580</v>
      </c>
      <c r="C199" s="22" t="s">
        <v>528</v>
      </c>
      <c r="D199" s="90"/>
      <c r="E199" s="90"/>
      <c r="F199" s="90"/>
      <c r="G199" s="90"/>
      <c r="H199" s="90"/>
      <c r="I199" s="90"/>
      <c r="J199" s="91"/>
      <c r="K199" s="92"/>
      <c r="L199" s="23" t="n">
        <f aca="false">J199*K199</f>
        <v>0</v>
      </c>
    </row>
    <row r="200" customFormat="false" ht="22.5" hidden="false" customHeight="true" outlineLevel="0" collapsed="false">
      <c r="A200" s="22" t="s">
        <v>581</v>
      </c>
      <c r="B200" s="22" t="s">
        <v>582</v>
      </c>
      <c r="C200" s="22" t="s">
        <v>528</v>
      </c>
      <c r="D200" s="90"/>
      <c r="E200" s="90"/>
      <c r="F200" s="90"/>
      <c r="G200" s="90"/>
      <c r="H200" s="90"/>
      <c r="I200" s="90"/>
      <c r="J200" s="97" t="n">
        <v>84</v>
      </c>
      <c r="K200" s="107" t="n">
        <v>234589</v>
      </c>
      <c r="L200" s="23" t="n">
        <f aca="false">J200*K200</f>
        <v>19705476</v>
      </c>
    </row>
    <row r="201" customFormat="false" ht="22.5" hidden="false" customHeight="true" outlineLevel="0" collapsed="false">
      <c r="A201" s="22" t="s">
        <v>583</v>
      </c>
      <c r="B201" s="22" t="s">
        <v>156</v>
      </c>
      <c r="C201" s="22" t="s">
        <v>528</v>
      </c>
      <c r="D201" s="90"/>
      <c r="E201" s="90"/>
      <c r="F201" s="90"/>
      <c r="G201" s="90"/>
      <c r="H201" s="90"/>
      <c r="I201" s="90"/>
      <c r="J201" s="97" t="n">
        <v>137</v>
      </c>
      <c r="K201" s="107" t="n">
        <v>234589</v>
      </c>
      <c r="L201" s="23" t="n">
        <f aca="false">J201*K201</f>
        <v>32138693</v>
      </c>
    </row>
    <row r="202" customFormat="false" ht="22.5" hidden="false" customHeight="true" outlineLevel="0" collapsed="false">
      <c r="A202" s="22" t="s">
        <v>584</v>
      </c>
      <c r="B202" s="22" t="s">
        <v>157</v>
      </c>
      <c r="C202" s="22" t="s">
        <v>528</v>
      </c>
      <c r="D202" s="90"/>
      <c r="E202" s="90"/>
      <c r="F202" s="90"/>
      <c r="G202" s="90"/>
      <c r="H202" s="90"/>
      <c r="I202" s="90"/>
      <c r="J202" s="97" t="n">
        <v>100</v>
      </c>
      <c r="K202" s="107" t="n">
        <v>234589</v>
      </c>
      <c r="L202" s="23" t="n">
        <f aca="false">J202*K202</f>
        <v>23458900</v>
      </c>
    </row>
    <row r="203" customFormat="false" ht="22.5" hidden="false" customHeight="true" outlineLevel="0" collapsed="false">
      <c r="A203" s="22" t="s">
        <v>585</v>
      </c>
      <c r="B203" s="22" t="s">
        <v>586</v>
      </c>
      <c r="C203" s="22" t="s">
        <v>528</v>
      </c>
      <c r="D203" s="90"/>
      <c r="E203" s="90"/>
      <c r="F203" s="90"/>
      <c r="G203" s="90"/>
      <c r="H203" s="90"/>
      <c r="I203" s="90"/>
      <c r="J203" s="97" t="n">
        <v>351</v>
      </c>
      <c r="K203" s="107" t="n">
        <v>115200</v>
      </c>
      <c r="L203" s="23" t="n">
        <f aca="false">J203*K203</f>
        <v>40435200</v>
      </c>
    </row>
    <row r="204" customFormat="false" ht="22.5" hidden="false" customHeight="true" outlineLevel="0" collapsed="false">
      <c r="A204" s="24" t="s">
        <v>587</v>
      </c>
      <c r="B204" s="24" t="s">
        <v>163</v>
      </c>
      <c r="C204" s="24" t="s">
        <v>528</v>
      </c>
      <c r="D204" s="90"/>
      <c r="E204" s="90"/>
      <c r="F204" s="90"/>
      <c r="G204" s="90"/>
      <c r="H204" s="90"/>
      <c r="I204" s="90"/>
      <c r="J204" s="102" t="n">
        <v>700</v>
      </c>
      <c r="K204" s="103" t="n">
        <v>319418</v>
      </c>
      <c r="L204" s="25" t="n">
        <f aca="false">J204*K204</f>
        <v>223592600</v>
      </c>
    </row>
    <row r="205" customFormat="false" ht="22.5" hidden="false" customHeight="true" outlineLevel="0" collapsed="false">
      <c r="A205" s="22" t="s">
        <v>588</v>
      </c>
      <c r="B205" s="22" t="s">
        <v>167</v>
      </c>
      <c r="C205" s="22" t="s">
        <v>528</v>
      </c>
      <c r="D205" s="90"/>
      <c r="E205" s="90"/>
      <c r="F205" s="90"/>
      <c r="G205" s="90"/>
      <c r="H205" s="90"/>
      <c r="I205" s="90"/>
      <c r="J205" s="91"/>
      <c r="K205" s="92"/>
      <c r="L205" s="23" t="n">
        <f aca="false">J205*K205</f>
        <v>0</v>
      </c>
    </row>
    <row r="206" customFormat="false" ht="22.5" hidden="false" customHeight="true" outlineLevel="0" collapsed="false">
      <c r="A206" s="22" t="s">
        <v>589</v>
      </c>
      <c r="B206" s="22" t="s">
        <v>168</v>
      </c>
      <c r="C206" s="22" t="s">
        <v>528</v>
      </c>
      <c r="D206" s="90"/>
      <c r="E206" s="90"/>
      <c r="F206" s="90"/>
      <c r="G206" s="90"/>
      <c r="H206" s="90"/>
      <c r="I206" s="90"/>
      <c r="J206" s="91"/>
      <c r="K206" s="92"/>
      <c r="L206" s="23" t="n">
        <f aca="false">J206*K206</f>
        <v>0</v>
      </c>
    </row>
    <row r="207" customFormat="false" ht="22.5" hidden="false" customHeight="true" outlineLevel="0" collapsed="false">
      <c r="A207" s="22" t="s">
        <v>590</v>
      </c>
      <c r="B207" s="22" t="s">
        <v>164</v>
      </c>
      <c r="C207" s="22" t="s">
        <v>528</v>
      </c>
      <c r="D207" s="90"/>
      <c r="E207" s="90"/>
      <c r="F207" s="90"/>
      <c r="G207" s="90"/>
      <c r="H207" s="90"/>
      <c r="I207" s="90"/>
      <c r="J207" s="91"/>
      <c r="K207" s="92"/>
      <c r="L207" s="23" t="n">
        <f aca="false">J207*K207</f>
        <v>0</v>
      </c>
    </row>
    <row r="208" customFormat="false" ht="22.5" hidden="false" customHeight="true" outlineLevel="0" collapsed="false">
      <c r="A208" s="22" t="s">
        <v>591</v>
      </c>
      <c r="B208" s="22" t="s">
        <v>165</v>
      </c>
      <c r="C208" s="22" t="s">
        <v>528</v>
      </c>
      <c r="D208" s="90"/>
      <c r="E208" s="90"/>
      <c r="F208" s="90"/>
      <c r="G208" s="90"/>
      <c r="H208" s="90"/>
      <c r="I208" s="90"/>
      <c r="J208" s="97"/>
      <c r="K208" s="107" t="n">
        <v>0</v>
      </c>
      <c r="L208" s="23" t="n">
        <f aca="false">J208*K208</f>
        <v>0</v>
      </c>
    </row>
    <row r="209" customFormat="false" ht="22.5" hidden="false" customHeight="true" outlineLevel="0" collapsed="false">
      <c r="A209" s="22" t="s">
        <v>592</v>
      </c>
      <c r="B209" s="22" t="s">
        <v>166</v>
      </c>
      <c r="C209" s="22" t="s">
        <v>528</v>
      </c>
      <c r="D209" s="90"/>
      <c r="E209" s="90"/>
      <c r="F209" s="90"/>
      <c r="G209" s="90"/>
      <c r="H209" s="90"/>
      <c r="I209" s="90"/>
      <c r="J209" s="91"/>
      <c r="K209" s="92"/>
      <c r="L209" s="23" t="n">
        <f aca="false">J209*K209</f>
        <v>0</v>
      </c>
    </row>
    <row r="210" customFormat="false" ht="22.5" hidden="false" customHeight="true" outlineLevel="0" collapsed="false">
      <c r="A210" s="22" t="s">
        <v>593</v>
      </c>
      <c r="B210" s="22" t="s">
        <v>171</v>
      </c>
      <c r="C210" s="22" t="s">
        <v>528</v>
      </c>
      <c r="D210" s="90"/>
      <c r="E210" s="90"/>
      <c r="F210" s="90"/>
      <c r="G210" s="90"/>
      <c r="H210" s="90"/>
      <c r="I210" s="90"/>
      <c r="J210" s="91"/>
      <c r="K210" s="92"/>
      <c r="L210" s="23" t="n">
        <f aca="false">J210*K210</f>
        <v>0</v>
      </c>
    </row>
    <row r="211" customFormat="false" ht="22.5" hidden="false" customHeight="true" outlineLevel="0" collapsed="false">
      <c r="A211" s="22" t="s">
        <v>594</v>
      </c>
      <c r="B211" s="22" t="s">
        <v>172</v>
      </c>
      <c r="C211" s="22" t="s">
        <v>528</v>
      </c>
      <c r="D211" s="90"/>
      <c r="E211" s="90"/>
      <c r="F211" s="90"/>
      <c r="G211" s="90"/>
      <c r="H211" s="90"/>
      <c r="I211" s="90"/>
      <c r="J211" s="97" t="n">
        <v>489</v>
      </c>
      <c r="K211" s="107" t="n">
        <v>188509</v>
      </c>
      <c r="L211" s="23" t="n">
        <f aca="false">J211*K211</f>
        <v>92180901</v>
      </c>
    </row>
    <row r="212" customFormat="false" ht="22.5" hidden="false" customHeight="true" outlineLevel="0" collapsed="false">
      <c r="A212" s="22" t="s">
        <v>595</v>
      </c>
      <c r="B212" s="22" t="s">
        <v>173</v>
      </c>
      <c r="C212" s="22" t="s">
        <v>528</v>
      </c>
      <c r="D212" s="90"/>
      <c r="E212" s="90"/>
      <c r="F212" s="90"/>
      <c r="G212" s="90"/>
      <c r="H212" s="90"/>
      <c r="I212" s="90"/>
      <c r="J212" s="97" t="n">
        <v>509</v>
      </c>
      <c r="K212" s="107" t="n">
        <v>188509</v>
      </c>
      <c r="L212" s="23" t="n">
        <f aca="false">J212*K212</f>
        <v>95951081</v>
      </c>
    </row>
    <row r="213" customFormat="false" ht="22.5" hidden="false" customHeight="true" outlineLevel="0" collapsed="false">
      <c r="A213" s="22" t="s">
        <v>596</v>
      </c>
      <c r="B213" s="22" t="s">
        <v>145</v>
      </c>
      <c r="C213" s="22" t="s">
        <v>528</v>
      </c>
      <c r="D213" s="90"/>
      <c r="E213" s="90"/>
      <c r="F213" s="90"/>
      <c r="G213" s="90"/>
      <c r="H213" s="90"/>
      <c r="I213" s="90"/>
      <c r="J213" s="91"/>
      <c r="K213" s="92"/>
      <c r="L213" s="23" t="n">
        <f aca="false">J213*K213</f>
        <v>0</v>
      </c>
    </row>
    <row r="214" customFormat="false" ht="22.5" hidden="false" customHeight="true" outlineLevel="0" collapsed="false">
      <c r="A214" s="22" t="s">
        <v>597</v>
      </c>
      <c r="B214" s="22" t="s">
        <v>598</v>
      </c>
      <c r="C214" s="22" t="s">
        <v>528</v>
      </c>
      <c r="D214" s="90"/>
      <c r="E214" s="90"/>
      <c r="F214" s="90"/>
      <c r="G214" s="90"/>
      <c r="H214" s="90"/>
      <c r="I214" s="90"/>
      <c r="J214" s="91"/>
      <c r="K214" s="92"/>
      <c r="L214" s="23" t="n">
        <f aca="false">J214*K214</f>
        <v>0</v>
      </c>
    </row>
    <row r="215" customFormat="false" ht="22.5" hidden="false" customHeight="true" outlineLevel="0" collapsed="false">
      <c r="A215" s="22" t="s">
        <v>599</v>
      </c>
      <c r="B215" s="22" t="s">
        <v>600</v>
      </c>
      <c r="C215" s="22" t="s">
        <v>528</v>
      </c>
      <c r="D215" s="90"/>
      <c r="E215" s="90"/>
      <c r="F215" s="90"/>
      <c r="G215" s="90"/>
      <c r="H215" s="90"/>
      <c r="I215" s="90"/>
      <c r="J215" s="97" t="n">
        <v>144</v>
      </c>
      <c r="K215" s="107" t="n">
        <v>157091</v>
      </c>
      <c r="L215" s="23" t="n">
        <f aca="false">J215*K215</f>
        <v>22621104</v>
      </c>
    </row>
    <row r="216" customFormat="false" ht="22.5" hidden="false" customHeight="true" outlineLevel="0" collapsed="false">
      <c r="A216" s="22" t="s">
        <v>601</v>
      </c>
      <c r="B216" s="22" t="s">
        <v>602</v>
      </c>
      <c r="C216" s="22" t="s">
        <v>528</v>
      </c>
      <c r="D216" s="90"/>
      <c r="E216" s="90"/>
      <c r="F216" s="90"/>
      <c r="G216" s="90"/>
      <c r="H216" s="90"/>
      <c r="I216" s="90"/>
      <c r="J216" s="97" t="n">
        <v>149</v>
      </c>
      <c r="K216" s="107" t="n">
        <v>157091</v>
      </c>
      <c r="L216" s="23" t="n">
        <f aca="false">J216*K216</f>
        <v>23406559</v>
      </c>
    </row>
    <row r="217" customFormat="false" ht="22.5" hidden="false" customHeight="true" outlineLevel="0" collapsed="false">
      <c r="A217" s="22" t="s">
        <v>603</v>
      </c>
      <c r="B217" s="22" t="s">
        <v>604</v>
      </c>
      <c r="C217" s="22" t="s">
        <v>528</v>
      </c>
      <c r="D217" s="90"/>
      <c r="E217" s="90"/>
      <c r="F217" s="90"/>
      <c r="G217" s="90"/>
      <c r="H217" s="90"/>
      <c r="I217" s="90"/>
      <c r="J217" s="91"/>
      <c r="K217" s="92"/>
      <c r="L217" s="23" t="n">
        <f aca="false">J217*K217</f>
        <v>0</v>
      </c>
    </row>
    <row r="218" customFormat="false" ht="22.5" hidden="false" customHeight="true" outlineLevel="0" collapsed="false">
      <c r="A218" s="22" t="s">
        <v>605</v>
      </c>
      <c r="B218" s="22" t="s">
        <v>606</v>
      </c>
      <c r="C218" s="22" t="s">
        <v>528</v>
      </c>
      <c r="D218" s="90"/>
      <c r="E218" s="90"/>
      <c r="F218" s="90"/>
      <c r="G218" s="90"/>
      <c r="H218" s="90"/>
      <c r="I218" s="90"/>
      <c r="J218" s="91"/>
      <c r="K218" s="92"/>
      <c r="L218" s="23" t="n">
        <f aca="false">J218*K218</f>
        <v>0</v>
      </c>
    </row>
    <row r="219" customFormat="false" ht="22.5" hidden="false" customHeight="true" outlineLevel="0" collapsed="false">
      <c r="A219" s="22" t="s">
        <v>607</v>
      </c>
      <c r="B219" s="22" t="s">
        <v>608</v>
      </c>
      <c r="C219" s="22" t="s">
        <v>528</v>
      </c>
      <c r="D219" s="90"/>
      <c r="E219" s="90"/>
      <c r="F219" s="90"/>
      <c r="G219" s="90"/>
      <c r="H219" s="90"/>
      <c r="I219" s="90"/>
      <c r="J219" s="91"/>
      <c r="K219" s="92"/>
      <c r="L219" s="23" t="n">
        <f aca="false">J219*K219</f>
        <v>0</v>
      </c>
    </row>
    <row r="220" customFormat="false" ht="22.5" hidden="false" customHeight="true" outlineLevel="0" collapsed="false">
      <c r="A220" s="22" t="s">
        <v>609</v>
      </c>
      <c r="B220" s="22" t="s">
        <v>610</v>
      </c>
      <c r="C220" s="22" t="s">
        <v>528</v>
      </c>
      <c r="D220" s="90"/>
      <c r="E220" s="90"/>
      <c r="F220" s="90"/>
      <c r="G220" s="90"/>
      <c r="H220" s="90"/>
      <c r="I220" s="90"/>
      <c r="J220" s="91"/>
      <c r="K220" s="92"/>
      <c r="L220" s="23" t="n">
        <f aca="false">J220*K220</f>
        <v>0</v>
      </c>
    </row>
    <row r="221" customFormat="false" ht="22.5" hidden="false" customHeight="true" outlineLevel="0" collapsed="false">
      <c r="A221" s="22" t="s">
        <v>611</v>
      </c>
      <c r="B221" s="22" t="s">
        <v>147</v>
      </c>
      <c r="C221" s="22" t="s">
        <v>528</v>
      </c>
      <c r="D221" s="90"/>
      <c r="E221" s="90"/>
      <c r="F221" s="90"/>
      <c r="G221" s="90"/>
      <c r="H221" s="90"/>
      <c r="I221" s="90"/>
      <c r="J221" s="91"/>
      <c r="K221" s="92"/>
      <c r="L221" s="23" t="n">
        <f aca="false">J221*K221</f>
        <v>0</v>
      </c>
    </row>
    <row r="222" customFormat="false" ht="22.5" hidden="false" customHeight="true" outlineLevel="0" collapsed="false">
      <c r="A222" s="22" t="s">
        <v>612</v>
      </c>
      <c r="B222" s="22" t="s">
        <v>613</v>
      </c>
      <c r="C222" s="22" t="s">
        <v>528</v>
      </c>
      <c r="D222" s="90"/>
      <c r="E222" s="90"/>
      <c r="F222" s="90"/>
      <c r="G222" s="90"/>
      <c r="H222" s="90"/>
      <c r="I222" s="90"/>
      <c r="J222" s="91"/>
      <c r="K222" s="92"/>
      <c r="L222" s="23" t="n">
        <f aca="false">J222*K222</f>
        <v>0</v>
      </c>
    </row>
    <row r="223" customFormat="false" ht="22.5" hidden="false" customHeight="true" outlineLevel="0" collapsed="false">
      <c r="A223" s="22" t="s">
        <v>614</v>
      </c>
      <c r="B223" s="22" t="s">
        <v>148</v>
      </c>
      <c r="C223" s="22" t="s">
        <v>528</v>
      </c>
      <c r="D223" s="90"/>
      <c r="E223" s="90"/>
      <c r="F223" s="90"/>
      <c r="G223" s="90"/>
      <c r="H223" s="90"/>
      <c r="I223" s="90"/>
      <c r="J223" s="91"/>
      <c r="K223" s="92"/>
      <c r="L223" s="23" t="n">
        <f aca="false">J223*K223</f>
        <v>0</v>
      </c>
    </row>
    <row r="224" customFormat="false" ht="22.5" hidden="false" customHeight="true" outlineLevel="0" collapsed="false">
      <c r="A224" s="22" t="s">
        <v>615</v>
      </c>
      <c r="B224" s="22" t="s">
        <v>616</v>
      </c>
      <c r="C224" s="22" t="s">
        <v>528</v>
      </c>
      <c r="D224" s="90"/>
      <c r="E224" s="90"/>
      <c r="F224" s="90"/>
      <c r="G224" s="90"/>
      <c r="H224" s="90"/>
      <c r="I224" s="90"/>
      <c r="J224" s="91"/>
      <c r="K224" s="92"/>
      <c r="L224" s="23" t="n">
        <f aca="false">J224*K224</f>
        <v>0</v>
      </c>
    </row>
    <row r="225" customFormat="false" ht="22.5" hidden="false" customHeight="true" outlineLevel="0" collapsed="false">
      <c r="A225" s="22" t="s">
        <v>617</v>
      </c>
      <c r="B225" s="22" t="s">
        <v>618</v>
      </c>
      <c r="C225" s="22" t="s">
        <v>528</v>
      </c>
      <c r="D225" s="90"/>
      <c r="E225" s="90"/>
      <c r="F225" s="90"/>
      <c r="G225" s="90"/>
      <c r="H225" s="90"/>
      <c r="I225" s="90"/>
      <c r="J225" s="91"/>
      <c r="K225" s="92"/>
      <c r="L225" s="23" t="n">
        <f aca="false">J225*K225</f>
        <v>0</v>
      </c>
    </row>
    <row r="226" customFormat="false" ht="22.5" hidden="false" customHeight="true" outlineLevel="0" collapsed="false">
      <c r="A226" s="22" t="s">
        <v>619</v>
      </c>
      <c r="B226" s="22" t="s">
        <v>150</v>
      </c>
      <c r="C226" s="22" t="s">
        <v>528</v>
      </c>
      <c r="D226" s="90"/>
      <c r="E226" s="90"/>
      <c r="F226" s="90"/>
      <c r="G226" s="90"/>
      <c r="H226" s="90"/>
      <c r="I226" s="90"/>
      <c r="J226" s="91"/>
      <c r="K226" s="92"/>
      <c r="L226" s="23" t="n">
        <f aca="false">J226*K226</f>
        <v>0</v>
      </c>
    </row>
    <row r="227" customFormat="false" ht="22.5" hidden="false" customHeight="true" outlineLevel="0" collapsed="false">
      <c r="A227" s="22" t="s">
        <v>620</v>
      </c>
      <c r="B227" s="22" t="s">
        <v>153</v>
      </c>
      <c r="C227" s="22" t="s">
        <v>528</v>
      </c>
      <c r="D227" s="90"/>
      <c r="E227" s="90"/>
      <c r="F227" s="90"/>
      <c r="G227" s="90"/>
      <c r="H227" s="90"/>
      <c r="I227" s="90"/>
      <c r="J227" s="91"/>
      <c r="K227" s="92"/>
      <c r="L227" s="23" t="n">
        <f aca="false">J227*K227</f>
        <v>0</v>
      </c>
    </row>
    <row r="228" customFormat="false" ht="22.5" hidden="false" customHeight="true" outlineLevel="0" collapsed="false">
      <c r="A228" s="22" t="s">
        <v>621</v>
      </c>
      <c r="B228" s="22" t="s">
        <v>159</v>
      </c>
      <c r="C228" s="22" t="s">
        <v>528</v>
      </c>
      <c r="D228" s="90"/>
      <c r="E228" s="90"/>
      <c r="F228" s="90"/>
      <c r="G228" s="90"/>
      <c r="H228" s="90"/>
      <c r="I228" s="90"/>
      <c r="J228" s="97" t="n">
        <v>59</v>
      </c>
      <c r="K228" s="107" t="n">
        <v>264273</v>
      </c>
      <c r="L228" s="23" t="n">
        <f aca="false">J228*K228</f>
        <v>15592107</v>
      </c>
    </row>
    <row r="229" customFormat="false" ht="22.5" hidden="false" customHeight="true" outlineLevel="0" collapsed="false">
      <c r="A229" s="22" t="s">
        <v>622</v>
      </c>
      <c r="B229" s="22" t="s">
        <v>160</v>
      </c>
      <c r="C229" s="22" t="s">
        <v>528</v>
      </c>
      <c r="D229" s="90"/>
      <c r="E229" s="90"/>
      <c r="F229" s="90"/>
      <c r="G229" s="90"/>
      <c r="H229" s="90"/>
      <c r="I229" s="90"/>
      <c r="J229" s="97" t="n">
        <v>4</v>
      </c>
      <c r="K229" s="107" t="n">
        <v>264273</v>
      </c>
      <c r="L229" s="23" t="n">
        <f aca="false">J229*K229</f>
        <v>1057092</v>
      </c>
    </row>
    <row r="230" customFormat="false" ht="22.5" hidden="false" customHeight="true" outlineLevel="0" collapsed="false">
      <c r="A230" s="22" t="s">
        <v>623</v>
      </c>
      <c r="B230" s="22" t="s">
        <v>158</v>
      </c>
      <c r="C230" s="22" t="s">
        <v>528</v>
      </c>
      <c r="D230" s="90"/>
      <c r="E230" s="90"/>
      <c r="F230" s="90"/>
      <c r="G230" s="90"/>
      <c r="H230" s="90"/>
      <c r="I230" s="90"/>
      <c r="J230" s="91"/>
      <c r="K230" s="92"/>
      <c r="L230" s="23" t="n">
        <f aca="false">J230*K230</f>
        <v>0</v>
      </c>
    </row>
    <row r="231" customFormat="false" ht="22.5" hidden="false" customHeight="true" outlineLevel="0" collapsed="false">
      <c r="A231" s="22" t="s">
        <v>624</v>
      </c>
      <c r="B231" s="22" t="s">
        <v>625</v>
      </c>
      <c r="C231" s="22" t="s">
        <v>528</v>
      </c>
      <c r="D231" s="90"/>
      <c r="E231" s="90"/>
      <c r="F231" s="90"/>
      <c r="G231" s="90"/>
      <c r="H231" s="90"/>
      <c r="I231" s="90"/>
      <c r="J231" s="91"/>
      <c r="K231" s="92"/>
      <c r="L231" s="23" t="n">
        <f aca="false">J231*K231</f>
        <v>0</v>
      </c>
    </row>
    <row r="232" customFormat="false" ht="22.5" hidden="false" customHeight="true" outlineLevel="0" collapsed="false">
      <c r="A232" s="22" t="s">
        <v>626</v>
      </c>
      <c r="B232" s="22" t="s">
        <v>627</v>
      </c>
      <c r="C232" s="22" t="s">
        <v>528</v>
      </c>
      <c r="D232" s="90"/>
      <c r="E232" s="90"/>
      <c r="F232" s="90"/>
      <c r="G232" s="90"/>
      <c r="H232" s="90"/>
      <c r="I232" s="90"/>
      <c r="J232" s="91"/>
      <c r="K232" s="92"/>
      <c r="L232" s="23" t="n">
        <f aca="false">J232*K232</f>
        <v>0</v>
      </c>
    </row>
    <row r="233" customFormat="false" ht="22.5" hidden="false" customHeight="true" outlineLevel="0" collapsed="false">
      <c r="A233" s="22" t="s">
        <v>628</v>
      </c>
      <c r="B233" s="22" t="s">
        <v>629</v>
      </c>
      <c r="C233" s="22" t="s">
        <v>528</v>
      </c>
      <c r="D233" s="90"/>
      <c r="E233" s="90"/>
      <c r="F233" s="90"/>
      <c r="G233" s="90"/>
      <c r="H233" s="90"/>
      <c r="I233" s="90"/>
      <c r="J233" s="91"/>
      <c r="K233" s="92"/>
      <c r="L233" s="23" t="n">
        <f aca="false">J233*K233</f>
        <v>0</v>
      </c>
    </row>
    <row r="234" customFormat="false" ht="22.5" hidden="false" customHeight="true" outlineLevel="0" collapsed="false">
      <c r="A234" s="22" t="s">
        <v>630</v>
      </c>
      <c r="B234" s="22" t="s">
        <v>631</v>
      </c>
      <c r="C234" s="22" t="s">
        <v>528</v>
      </c>
      <c r="D234" s="90"/>
      <c r="E234" s="90"/>
      <c r="F234" s="90"/>
      <c r="G234" s="90"/>
      <c r="H234" s="90"/>
      <c r="I234" s="90"/>
      <c r="J234" s="91"/>
      <c r="K234" s="92"/>
      <c r="L234" s="23" t="n">
        <f aca="false">J234*K234</f>
        <v>0</v>
      </c>
    </row>
    <row r="235" customFormat="false" ht="22.5" hidden="false" customHeight="true" outlineLevel="0" collapsed="false">
      <c r="A235" s="22" t="s">
        <v>632</v>
      </c>
      <c r="B235" s="22" t="s">
        <v>633</v>
      </c>
      <c r="C235" s="22" t="s">
        <v>528</v>
      </c>
      <c r="D235" s="90"/>
      <c r="E235" s="90"/>
      <c r="F235" s="90"/>
      <c r="G235" s="90"/>
      <c r="H235" s="90"/>
      <c r="I235" s="90"/>
      <c r="J235" s="91"/>
      <c r="K235" s="92"/>
      <c r="L235" s="23" t="n">
        <f aca="false">J235*K235</f>
        <v>0</v>
      </c>
    </row>
    <row r="236" customFormat="false" ht="22.5" hidden="false" customHeight="true" outlineLevel="0" collapsed="false">
      <c r="A236" s="22" t="s">
        <v>634</v>
      </c>
      <c r="B236" s="22" t="s">
        <v>174</v>
      </c>
      <c r="C236" s="22" t="s">
        <v>528</v>
      </c>
      <c r="D236" s="90"/>
      <c r="E236" s="90"/>
      <c r="F236" s="90"/>
      <c r="G236" s="90"/>
      <c r="H236" s="90"/>
      <c r="I236" s="90"/>
      <c r="J236" s="97" t="n">
        <v>5</v>
      </c>
      <c r="K236" s="107" t="n">
        <v>274636</v>
      </c>
      <c r="L236" s="23" t="n">
        <f aca="false">J236*K236</f>
        <v>1373180</v>
      </c>
    </row>
    <row r="237" customFormat="false" ht="22.5" hidden="false" customHeight="true" outlineLevel="0" collapsed="false">
      <c r="A237" s="22" t="s">
        <v>635</v>
      </c>
      <c r="B237" s="22" t="s">
        <v>162</v>
      </c>
      <c r="C237" s="22" t="s">
        <v>528</v>
      </c>
      <c r="D237" s="90"/>
      <c r="E237" s="90"/>
      <c r="F237" s="90"/>
      <c r="G237" s="90"/>
      <c r="H237" s="90"/>
      <c r="I237" s="90"/>
      <c r="J237" s="91"/>
      <c r="K237" s="92"/>
      <c r="L237" s="23" t="n">
        <f aca="false">J237*K237</f>
        <v>0</v>
      </c>
    </row>
    <row r="238" customFormat="false" ht="22.5" hidden="false" customHeight="true" outlineLevel="0" collapsed="false">
      <c r="A238" s="22" t="s">
        <v>636</v>
      </c>
      <c r="B238" s="22" t="s">
        <v>637</v>
      </c>
      <c r="C238" s="22" t="s">
        <v>528</v>
      </c>
      <c r="D238" s="90"/>
      <c r="E238" s="90"/>
      <c r="F238" s="90"/>
      <c r="G238" s="90"/>
      <c r="H238" s="90"/>
      <c r="I238" s="90"/>
      <c r="J238" s="91"/>
      <c r="K238" s="92"/>
      <c r="L238" s="23" t="n">
        <f aca="false">J238*K238</f>
        <v>0</v>
      </c>
    </row>
    <row r="239" customFormat="false" ht="22.5" hidden="false" customHeight="true" outlineLevel="0" collapsed="false">
      <c r="A239" s="22" t="s">
        <v>638</v>
      </c>
      <c r="B239" s="22" t="s">
        <v>169</v>
      </c>
      <c r="C239" s="22" t="s">
        <v>528</v>
      </c>
      <c r="D239" s="90"/>
      <c r="E239" s="90"/>
      <c r="F239" s="90"/>
      <c r="G239" s="90"/>
      <c r="H239" s="90"/>
      <c r="I239" s="90"/>
      <c r="J239" s="97" t="n">
        <v>670</v>
      </c>
      <c r="K239" s="107" t="n">
        <v>182083</v>
      </c>
      <c r="L239" s="23" t="n">
        <f aca="false">J239*K239</f>
        <v>121995610</v>
      </c>
    </row>
    <row r="240" customFormat="false" ht="22.5" hidden="false" customHeight="true" outlineLevel="0" collapsed="false">
      <c r="A240" s="22" t="s">
        <v>639</v>
      </c>
      <c r="B240" s="22" t="s">
        <v>152</v>
      </c>
      <c r="C240" s="22" t="s">
        <v>528</v>
      </c>
      <c r="D240" s="90"/>
      <c r="E240" s="90"/>
      <c r="F240" s="90"/>
      <c r="G240" s="90"/>
      <c r="H240" s="90"/>
      <c r="I240" s="90"/>
      <c r="J240" s="91"/>
      <c r="K240" s="92"/>
      <c r="L240" s="23" t="n">
        <f aca="false">J240*K240</f>
        <v>0</v>
      </c>
    </row>
    <row r="241" customFormat="false" ht="22.5" hidden="false" customHeight="true" outlineLevel="0" collapsed="false">
      <c r="A241" s="22" t="s">
        <v>640</v>
      </c>
      <c r="B241" s="22" t="s">
        <v>641</v>
      </c>
      <c r="C241" s="22" t="s">
        <v>311</v>
      </c>
      <c r="D241" s="90"/>
      <c r="E241" s="90"/>
      <c r="F241" s="90"/>
      <c r="G241" s="90"/>
      <c r="H241" s="90"/>
      <c r="I241" s="90"/>
      <c r="J241" s="91"/>
      <c r="K241" s="92"/>
      <c r="L241" s="23" t="n">
        <f aca="false">J241*K241</f>
        <v>0</v>
      </c>
    </row>
    <row r="242" customFormat="false" ht="22.5" hidden="false" customHeight="true" outlineLevel="0" collapsed="false">
      <c r="A242" s="22" t="s">
        <v>642</v>
      </c>
      <c r="B242" s="22" t="s">
        <v>643</v>
      </c>
      <c r="C242" s="22" t="s">
        <v>303</v>
      </c>
      <c r="D242" s="90"/>
      <c r="E242" s="90"/>
      <c r="F242" s="90"/>
      <c r="G242" s="90"/>
      <c r="H242" s="90"/>
      <c r="I242" s="90"/>
      <c r="J242" s="91"/>
      <c r="K242" s="92"/>
      <c r="L242" s="23" t="n">
        <f aca="false">J242*K242</f>
        <v>0</v>
      </c>
    </row>
    <row r="243" customFormat="false" ht="22.5" hidden="false" customHeight="true" outlineLevel="0" collapsed="false">
      <c r="A243" s="22" t="s">
        <v>644</v>
      </c>
      <c r="B243" s="22" t="s">
        <v>645</v>
      </c>
      <c r="C243" s="22" t="s">
        <v>303</v>
      </c>
      <c r="D243" s="90"/>
      <c r="E243" s="90"/>
      <c r="F243" s="90"/>
      <c r="G243" s="90"/>
      <c r="H243" s="90"/>
      <c r="I243" s="90"/>
      <c r="J243" s="91"/>
      <c r="K243" s="92"/>
      <c r="L243" s="23" t="n">
        <f aca="false">J243*K243</f>
        <v>0</v>
      </c>
    </row>
    <row r="244" customFormat="false" ht="22.5" hidden="false" customHeight="true" outlineLevel="0" collapsed="false">
      <c r="A244" s="22" t="s">
        <v>646</v>
      </c>
      <c r="B244" s="22" t="s">
        <v>193</v>
      </c>
      <c r="C244" s="22" t="s">
        <v>528</v>
      </c>
      <c r="D244" s="90"/>
      <c r="E244" s="90"/>
      <c r="F244" s="90"/>
      <c r="G244" s="90"/>
      <c r="H244" s="90"/>
      <c r="I244" s="90"/>
      <c r="J244" s="97" t="n">
        <v>250</v>
      </c>
      <c r="K244" s="107" t="n">
        <v>213651.57</v>
      </c>
      <c r="L244" s="23" t="n">
        <f aca="false">J244*K244</f>
        <v>53412892.5</v>
      </c>
    </row>
    <row r="245" customFormat="false" ht="22.5" hidden="false" customHeight="true" outlineLevel="0" collapsed="false">
      <c r="A245" s="108" t="s">
        <v>647</v>
      </c>
      <c r="B245" s="108" t="s">
        <v>195</v>
      </c>
      <c r="C245" s="108" t="s">
        <v>528</v>
      </c>
      <c r="D245" s="90"/>
      <c r="E245" s="90"/>
      <c r="F245" s="90"/>
      <c r="G245" s="90"/>
      <c r="H245" s="90"/>
      <c r="I245" s="90"/>
      <c r="J245" s="118" t="n">
        <v>9805</v>
      </c>
      <c r="K245" s="112" t="n">
        <v>213651.57</v>
      </c>
      <c r="L245" s="111" t="n">
        <f aca="false">J245*K245</f>
        <v>2094853643.85</v>
      </c>
    </row>
    <row r="246" customFormat="false" ht="22.5" hidden="false" customHeight="true" outlineLevel="0" collapsed="false">
      <c r="A246" s="22" t="s">
        <v>648</v>
      </c>
      <c r="B246" s="22" t="s">
        <v>649</v>
      </c>
      <c r="C246" s="22" t="s">
        <v>303</v>
      </c>
      <c r="D246" s="90"/>
      <c r="E246" s="90"/>
      <c r="F246" s="90"/>
      <c r="G246" s="90"/>
      <c r="H246" s="90"/>
      <c r="I246" s="90"/>
      <c r="J246" s="91"/>
      <c r="K246" s="92"/>
      <c r="L246" s="23" t="n">
        <f aca="false">J246*K246</f>
        <v>0</v>
      </c>
    </row>
    <row r="247" customFormat="false" ht="22.5" hidden="false" customHeight="true" outlineLevel="0" collapsed="false">
      <c r="A247" s="22" t="s">
        <v>650</v>
      </c>
      <c r="B247" s="22" t="s">
        <v>651</v>
      </c>
      <c r="C247" s="22" t="s">
        <v>303</v>
      </c>
      <c r="D247" s="90"/>
      <c r="E247" s="90"/>
      <c r="F247" s="90"/>
      <c r="G247" s="90"/>
      <c r="H247" s="90"/>
      <c r="I247" s="90"/>
      <c r="J247" s="91"/>
      <c r="K247" s="92"/>
      <c r="L247" s="23" t="n">
        <f aca="false">J247*K247</f>
        <v>0</v>
      </c>
    </row>
    <row r="248" customFormat="false" ht="22.5" hidden="false" customHeight="true" outlineLevel="0" collapsed="false">
      <c r="A248" s="22" t="s">
        <v>652</v>
      </c>
      <c r="B248" s="22" t="s">
        <v>653</v>
      </c>
      <c r="C248" s="22" t="s">
        <v>654</v>
      </c>
      <c r="D248" s="90"/>
      <c r="E248" s="90"/>
      <c r="F248" s="90"/>
      <c r="G248" s="90"/>
      <c r="H248" s="90"/>
      <c r="I248" s="90"/>
      <c r="J248" s="91"/>
      <c r="K248" s="92"/>
      <c r="L248" s="23" t="n">
        <f aca="false">J248*K248</f>
        <v>0</v>
      </c>
    </row>
    <row r="249" customFormat="false" ht="22.5" hidden="false" customHeight="true" outlineLevel="0" collapsed="false">
      <c r="A249" s="22" t="s">
        <v>655</v>
      </c>
      <c r="B249" s="22" t="s">
        <v>251</v>
      </c>
      <c r="C249" s="22" t="s">
        <v>327</v>
      </c>
      <c r="D249" s="90"/>
      <c r="E249" s="90"/>
      <c r="F249" s="90"/>
      <c r="G249" s="90"/>
      <c r="H249" s="90"/>
      <c r="I249" s="90"/>
      <c r="J249" s="91"/>
      <c r="K249" s="92"/>
      <c r="L249" s="23" t="n">
        <f aca="false">J249*K249</f>
        <v>0</v>
      </c>
    </row>
    <row r="250" customFormat="false" ht="22.5" hidden="false" customHeight="true" outlineLevel="0" collapsed="false">
      <c r="A250" s="22" t="s">
        <v>656</v>
      </c>
      <c r="B250" s="22" t="s">
        <v>252</v>
      </c>
      <c r="C250" s="22" t="s">
        <v>327</v>
      </c>
      <c r="D250" s="90"/>
      <c r="E250" s="90"/>
      <c r="F250" s="90"/>
      <c r="G250" s="90"/>
      <c r="H250" s="90"/>
      <c r="I250" s="90"/>
      <c r="J250" s="91"/>
      <c r="K250" s="92"/>
      <c r="L250" s="23" t="n">
        <f aca="false">J250*K250</f>
        <v>0</v>
      </c>
    </row>
    <row r="251" customFormat="false" ht="22.5" hidden="false" customHeight="true" outlineLevel="0" collapsed="false">
      <c r="A251" s="22" t="s">
        <v>657</v>
      </c>
      <c r="B251" s="22" t="s">
        <v>253</v>
      </c>
      <c r="C251" s="22" t="s">
        <v>327</v>
      </c>
      <c r="D251" s="90"/>
      <c r="E251" s="90"/>
      <c r="F251" s="90"/>
      <c r="G251" s="90"/>
      <c r="H251" s="90"/>
      <c r="I251" s="90"/>
      <c r="J251" s="91"/>
      <c r="K251" s="92"/>
      <c r="L251" s="23" t="n">
        <f aca="false">J251*K251</f>
        <v>0</v>
      </c>
    </row>
    <row r="252" customFormat="false" ht="22.5" hidden="false" customHeight="true" outlineLevel="0" collapsed="false">
      <c r="A252" s="22" t="s">
        <v>658</v>
      </c>
      <c r="B252" s="22" t="s">
        <v>659</v>
      </c>
      <c r="C252" s="22" t="s">
        <v>327</v>
      </c>
      <c r="D252" s="90"/>
      <c r="E252" s="90"/>
      <c r="F252" s="90"/>
      <c r="G252" s="90"/>
      <c r="H252" s="90"/>
      <c r="I252" s="90"/>
      <c r="J252" s="91"/>
      <c r="K252" s="92"/>
      <c r="L252" s="23" t="n">
        <f aca="false">J252*K252</f>
        <v>0</v>
      </c>
    </row>
    <row r="253" customFormat="false" ht="22.5" hidden="false" customHeight="true" outlineLevel="0" collapsed="false">
      <c r="A253" s="22" t="s">
        <v>660</v>
      </c>
      <c r="B253" s="22" t="s">
        <v>254</v>
      </c>
      <c r="C253" s="22" t="s">
        <v>327</v>
      </c>
      <c r="D253" s="90"/>
      <c r="E253" s="90"/>
      <c r="F253" s="90"/>
      <c r="G253" s="90"/>
      <c r="H253" s="90"/>
      <c r="I253" s="90"/>
      <c r="J253" s="91"/>
      <c r="K253" s="92"/>
      <c r="L253" s="23" t="n">
        <f aca="false">J253*K253</f>
        <v>0</v>
      </c>
    </row>
    <row r="254" customFormat="false" ht="22.5" hidden="false" customHeight="true" outlineLevel="0" collapsed="false">
      <c r="A254" s="22" t="s">
        <v>661</v>
      </c>
      <c r="B254" s="22" t="s">
        <v>662</v>
      </c>
      <c r="C254" s="22" t="s">
        <v>303</v>
      </c>
      <c r="D254" s="90"/>
      <c r="E254" s="90"/>
      <c r="F254" s="90"/>
      <c r="G254" s="90"/>
      <c r="H254" s="90"/>
      <c r="I254" s="90"/>
      <c r="J254" s="91"/>
      <c r="K254" s="92"/>
      <c r="L254" s="23" t="n">
        <f aca="false">J254*K254</f>
        <v>0</v>
      </c>
    </row>
    <row r="255" customFormat="false" ht="22.5" hidden="false" customHeight="true" outlineLevel="0" collapsed="false">
      <c r="A255" s="22" t="s">
        <v>663</v>
      </c>
      <c r="B255" s="22" t="s">
        <v>260</v>
      </c>
      <c r="C255" s="22" t="s">
        <v>327</v>
      </c>
      <c r="D255" s="90"/>
      <c r="E255" s="90"/>
      <c r="F255" s="90"/>
      <c r="G255" s="90"/>
      <c r="H255" s="90"/>
      <c r="I255" s="90"/>
      <c r="J255" s="97" t="n">
        <v>7</v>
      </c>
      <c r="K255" s="107" t="n">
        <v>35040</v>
      </c>
      <c r="L255" s="23" t="n">
        <f aca="false">J255*K255</f>
        <v>245280</v>
      </c>
    </row>
    <row r="256" customFormat="false" ht="22.5" hidden="false" customHeight="true" outlineLevel="0" collapsed="false">
      <c r="A256" s="22" t="s">
        <v>664</v>
      </c>
      <c r="B256" s="22" t="s">
        <v>261</v>
      </c>
      <c r="C256" s="22" t="s">
        <v>327</v>
      </c>
      <c r="D256" s="90"/>
      <c r="E256" s="90"/>
      <c r="F256" s="90"/>
      <c r="G256" s="90"/>
      <c r="H256" s="90"/>
      <c r="I256" s="90"/>
      <c r="J256" s="91"/>
      <c r="K256" s="92"/>
      <c r="L256" s="23" t="n">
        <f aca="false">J256*K256</f>
        <v>0</v>
      </c>
    </row>
    <row r="257" customFormat="false" ht="22.5" hidden="false" customHeight="true" outlineLevel="0" collapsed="false">
      <c r="A257" s="22" t="s">
        <v>665</v>
      </c>
      <c r="B257" s="22" t="s">
        <v>262</v>
      </c>
      <c r="C257" s="22" t="s">
        <v>327</v>
      </c>
      <c r="D257" s="90"/>
      <c r="E257" s="90"/>
      <c r="F257" s="90"/>
      <c r="G257" s="90"/>
      <c r="H257" s="90"/>
      <c r="I257" s="90"/>
      <c r="J257" s="97" t="n">
        <v>4</v>
      </c>
      <c r="K257" s="107" t="n">
        <v>33060.37</v>
      </c>
      <c r="L257" s="23" t="n">
        <f aca="false">J257*K257</f>
        <v>132241.48</v>
      </c>
    </row>
    <row r="258" customFormat="false" ht="22.5" hidden="false" customHeight="true" outlineLevel="0" collapsed="false">
      <c r="A258" s="22" t="s">
        <v>666</v>
      </c>
      <c r="B258" s="22" t="s">
        <v>263</v>
      </c>
      <c r="C258" s="22" t="s">
        <v>327</v>
      </c>
      <c r="D258" s="90"/>
      <c r="E258" s="90"/>
      <c r="F258" s="90"/>
      <c r="G258" s="90"/>
      <c r="H258" s="90"/>
      <c r="I258" s="90"/>
      <c r="J258" s="91"/>
      <c r="K258" s="92"/>
      <c r="L258" s="23" t="n">
        <f aca="false">J258*K258</f>
        <v>0</v>
      </c>
    </row>
    <row r="259" customFormat="false" ht="22.5" hidden="false" customHeight="true" outlineLevel="0" collapsed="false">
      <c r="A259" s="22" t="s">
        <v>667</v>
      </c>
      <c r="B259" s="22" t="s">
        <v>668</v>
      </c>
      <c r="C259" s="22" t="s">
        <v>327</v>
      </c>
      <c r="D259" s="90"/>
      <c r="E259" s="90"/>
      <c r="F259" s="90"/>
      <c r="G259" s="90"/>
      <c r="H259" s="90"/>
      <c r="I259" s="90"/>
      <c r="J259" s="91"/>
      <c r="K259" s="92"/>
      <c r="L259" s="23" t="n">
        <f aca="false">J259*K259</f>
        <v>0</v>
      </c>
    </row>
    <row r="260" customFormat="false" ht="22.5" hidden="false" customHeight="true" outlineLevel="0" collapsed="false">
      <c r="A260" s="22" t="s">
        <v>669</v>
      </c>
      <c r="B260" s="22" t="s">
        <v>670</v>
      </c>
      <c r="C260" s="22" t="s">
        <v>327</v>
      </c>
      <c r="D260" s="90"/>
      <c r="E260" s="90"/>
      <c r="F260" s="90"/>
      <c r="G260" s="90"/>
      <c r="H260" s="90"/>
      <c r="I260" s="90"/>
      <c r="J260" s="91"/>
      <c r="K260" s="92"/>
      <c r="L260" s="23" t="n">
        <f aca="false">J260*K260</f>
        <v>0</v>
      </c>
    </row>
    <row r="261" customFormat="false" ht="22.5" hidden="false" customHeight="true" outlineLevel="0" collapsed="false">
      <c r="A261" s="22" t="s">
        <v>671</v>
      </c>
      <c r="B261" s="22" t="s">
        <v>672</v>
      </c>
      <c r="C261" s="22" t="s">
        <v>327</v>
      </c>
      <c r="D261" s="90"/>
      <c r="E261" s="90"/>
      <c r="F261" s="90"/>
      <c r="G261" s="90"/>
      <c r="H261" s="90"/>
      <c r="I261" s="90"/>
      <c r="J261" s="91"/>
      <c r="K261" s="92"/>
      <c r="L261" s="23" t="n">
        <f aca="false">J261*K261</f>
        <v>0</v>
      </c>
    </row>
    <row r="262" customFormat="false" ht="22.5" hidden="false" customHeight="true" outlineLevel="0" collapsed="false">
      <c r="A262" s="22" t="s">
        <v>673</v>
      </c>
      <c r="B262" s="22" t="s">
        <v>264</v>
      </c>
      <c r="C262" s="22" t="s">
        <v>327</v>
      </c>
      <c r="D262" s="90"/>
      <c r="E262" s="90"/>
      <c r="F262" s="90"/>
      <c r="G262" s="90"/>
      <c r="H262" s="90"/>
      <c r="I262" s="90"/>
      <c r="J262" s="91"/>
      <c r="K262" s="92"/>
      <c r="L262" s="23" t="n">
        <f aca="false">J262*K262</f>
        <v>0</v>
      </c>
    </row>
    <row r="263" customFormat="false" ht="22.5" hidden="false" customHeight="true" outlineLevel="0" collapsed="false">
      <c r="A263" s="22" t="s">
        <v>674</v>
      </c>
      <c r="B263" s="22" t="s">
        <v>675</v>
      </c>
      <c r="C263" s="22" t="s">
        <v>327</v>
      </c>
      <c r="D263" s="90"/>
      <c r="E263" s="90"/>
      <c r="F263" s="90"/>
      <c r="G263" s="90"/>
      <c r="H263" s="90"/>
      <c r="I263" s="90"/>
      <c r="J263" s="91"/>
      <c r="K263" s="92"/>
      <c r="L263" s="23" t="n">
        <f aca="false">J263*K263</f>
        <v>0</v>
      </c>
    </row>
    <row r="264" customFormat="false" ht="22.5" hidden="false" customHeight="true" outlineLevel="0" collapsed="false">
      <c r="A264" s="22" t="s">
        <v>676</v>
      </c>
      <c r="B264" s="22" t="s">
        <v>266</v>
      </c>
      <c r="C264" s="22" t="s">
        <v>327</v>
      </c>
      <c r="D264" s="90"/>
      <c r="E264" s="90"/>
      <c r="F264" s="90"/>
      <c r="G264" s="90"/>
      <c r="H264" s="90"/>
      <c r="I264" s="90"/>
      <c r="J264" s="97" t="n">
        <v>5</v>
      </c>
      <c r="K264" s="107" t="n">
        <v>44160</v>
      </c>
      <c r="L264" s="23" t="n">
        <f aca="false">J264*K264</f>
        <v>220800</v>
      </c>
    </row>
    <row r="265" customFormat="false" ht="22.5" hidden="false" customHeight="true" outlineLevel="0" collapsed="false">
      <c r="A265" s="22" t="s">
        <v>677</v>
      </c>
      <c r="B265" s="22" t="s">
        <v>265</v>
      </c>
      <c r="C265" s="22" t="s">
        <v>327</v>
      </c>
      <c r="D265" s="90"/>
      <c r="E265" s="90"/>
      <c r="F265" s="90"/>
      <c r="G265" s="90"/>
      <c r="H265" s="90"/>
      <c r="I265" s="90"/>
      <c r="J265" s="97" t="n">
        <v>5</v>
      </c>
      <c r="K265" s="107" t="n">
        <v>41280</v>
      </c>
      <c r="L265" s="23" t="n">
        <f aca="false">J265*K265</f>
        <v>206400</v>
      </c>
    </row>
    <row r="266" customFormat="false" ht="22.5" hidden="false" customHeight="true" outlineLevel="0" collapsed="false">
      <c r="A266" s="22" t="s">
        <v>678</v>
      </c>
      <c r="B266" s="22" t="s">
        <v>267</v>
      </c>
      <c r="C266" s="22" t="s">
        <v>327</v>
      </c>
      <c r="D266" s="90"/>
      <c r="E266" s="90"/>
      <c r="F266" s="90"/>
      <c r="G266" s="90"/>
      <c r="H266" s="90"/>
      <c r="I266" s="90"/>
      <c r="J266" s="97" t="n">
        <v>6</v>
      </c>
      <c r="K266" s="107" t="n">
        <v>40800</v>
      </c>
      <c r="L266" s="23" t="n">
        <f aca="false">J266*K266</f>
        <v>244800</v>
      </c>
    </row>
    <row r="267" customFormat="false" ht="22.5" hidden="false" customHeight="true" outlineLevel="0" collapsed="false">
      <c r="A267" s="22" t="s">
        <v>679</v>
      </c>
      <c r="B267" s="22" t="s">
        <v>680</v>
      </c>
      <c r="C267" s="22" t="s">
        <v>327</v>
      </c>
      <c r="D267" s="90"/>
      <c r="E267" s="90"/>
      <c r="F267" s="90"/>
      <c r="G267" s="90"/>
      <c r="H267" s="90"/>
      <c r="I267" s="90"/>
      <c r="J267" s="91"/>
      <c r="K267" s="92"/>
      <c r="L267" s="23" t="n">
        <f aca="false">J267*K267</f>
        <v>0</v>
      </c>
    </row>
    <row r="268" customFormat="false" ht="22.5" hidden="false" customHeight="true" outlineLevel="0" collapsed="false">
      <c r="A268" s="22" t="s">
        <v>681</v>
      </c>
      <c r="B268" s="22" t="s">
        <v>682</v>
      </c>
      <c r="C268" s="22" t="s">
        <v>327</v>
      </c>
      <c r="D268" s="90"/>
      <c r="E268" s="90"/>
      <c r="F268" s="90"/>
      <c r="G268" s="90"/>
      <c r="H268" s="90"/>
      <c r="I268" s="90"/>
      <c r="J268" s="91"/>
      <c r="K268" s="92"/>
      <c r="L268" s="23" t="n">
        <f aca="false">J268*K268</f>
        <v>0</v>
      </c>
    </row>
    <row r="269" customFormat="false" ht="22.5" hidden="false" customHeight="true" outlineLevel="0" collapsed="false">
      <c r="A269" s="22" t="s">
        <v>683</v>
      </c>
      <c r="B269" s="22" t="s">
        <v>684</v>
      </c>
      <c r="C269" s="22" t="s">
        <v>327</v>
      </c>
      <c r="D269" s="90"/>
      <c r="E269" s="90"/>
      <c r="F269" s="90"/>
      <c r="G269" s="90"/>
      <c r="H269" s="90"/>
      <c r="I269" s="90"/>
      <c r="J269" s="91"/>
      <c r="K269" s="92"/>
      <c r="L269" s="23" t="n">
        <f aca="false">J269*K269</f>
        <v>0</v>
      </c>
    </row>
    <row r="270" customFormat="false" ht="22.5" hidden="false" customHeight="true" outlineLevel="0" collapsed="false">
      <c r="A270" s="22" t="s">
        <v>685</v>
      </c>
      <c r="B270" s="22" t="s">
        <v>686</v>
      </c>
      <c r="C270" s="22" t="s">
        <v>654</v>
      </c>
      <c r="D270" s="90"/>
      <c r="E270" s="90"/>
      <c r="F270" s="90"/>
      <c r="G270" s="90"/>
      <c r="H270" s="90"/>
      <c r="I270" s="90"/>
      <c r="J270" s="91"/>
      <c r="K270" s="92"/>
      <c r="L270" s="23" t="n">
        <f aca="false">J270*K270</f>
        <v>0</v>
      </c>
    </row>
    <row r="271" customFormat="false" ht="22.5" hidden="false" customHeight="true" outlineLevel="0" collapsed="false">
      <c r="A271" s="22" t="s">
        <v>687</v>
      </c>
      <c r="B271" s="22" t="s">
        <v>688</v>
      </c>
      <c r="C271" s="22" t="s">
        <v>327</v>
      </c>
      <c r="D271" s="90"/>
      <c r="E271" s="90"/>
      <c r="F271" s="90"/>
      <c r="G271" s="90"/>
      <c r="H271" s="90"/>
      <c r="I271" s="90"/>
      <c r="J271" s="91"/>
      <c r="K271" s="92"/>
      <c r="L271" s="23" t="n">
        <f aca="false">J271*K271</f>
        <v>0</v>
      </c>
    </row>
    <row r="272" customFormat="false" ht="22.5" hidden="false" customHeight="true" outlineLevel="0" collapsed="false">
      <c r="A272" s="22" t="s">
        <v>689</v>
      </c>
      <c r="B272" s="22" t="s">
        <v>268</v>
      </c>
      <c r="C272" s="22" t="s">
        <v>327</v>
      </c>
      <c r="D272" s="90"/>
      <c r="E272" s="90"/>
      <c r="F272" s="90"/>
      <c r="G272" s="90"/>
      <c r="H272" s="90"/>
      <c r="I272" s="90"/>
      <c r="J272" s="91"/>
      <c r="K272" s="92"/>
      <c r="L272" s="23" t="n">
        <f aca="false">J272*K272</f>
        <v>0</v>
      </c>
    </row>
    <row r="273" customFormat="false" ht="22.5" hidden="false" customHeight="true" outlineLevel="0" collapsed="false">
      <c r="A273" s="22" t="s">
        <v>690</v>
      </c>
      <c r="B273" s="22" t="s">
        <v>269</v>
      </c>
      <c r="C273" s="22" t="s">
        <v>327</v>
      </c>
      <c r="D273" s="90"/>
      <c r="E273" s="90"/>
      <c r="F273" s="90"/>
      <c r="G273" s="90"/>
      <c r="H273" s="90"/>
      <c r="I273" s="90"/>
      <c r="J273" s="91"/>
      <c r="K273" s="92"/>
      <c r="L273" s="23" t="n">
        <f aca="false">J273*K273</f>
        <v>0</v>
      </c>
    </row>
    <row r="274" customFormat="false" ht="22.5" hidden="false" customHeight="true" outlineLevel="0" collapsed="false">
      <c r="A274" s="22" t="s">
        <v>691</v>
      </c>
      <c r="B274" s="22" t="s">
        <v>692</v>
      </c>
      <c r="C274" s="22" t="s">
        <v>327</v>
      </c>
      <c r="D274" s="90"/>
      <c r="E274" s="90"/>
      <c r="F274" s="90"/>
      <c r="G274" s="90"/>
      <c r="H274" s="90"/>
      <c r="I274" s="90"/>
      <c r="J274" s="91"/>
      <c r="K274" s="92"/>
      <c r="L274" s="23" t="n">
        <f aca="false">J274*K274</f>
        <v>0</v>
      </c>
    </row>
    <row r="275" customFormat="false" ht="22.5" hidden="false" customHeight="true" outlineLevel="0" collapsed="false">
      <c r="A275" s="22" t="s">
        <v>693</v>
      </c>
      <c r="B275" s="22" t="s">
        <v>270</v>
      </c>
      <c r="C275" s="22" t="s">
        <v>327</v>
      </c>
      <c r="D275" s="90"/>
      <c r="E275" s="90"/>
      <c r="F275" s="90"/>
      <c r="G275" s="90"/>
      <c r="H275" s="90"/>
      <c r="I275" s="90"/>
      <c r="J275" s="91"/>
      <c r="K275" s="92"/>
      <c r="L275" s="23" t="n">
        <f aca="false">J275*K275</f>
        <v>0</v>
      </c>
    </row>
    <row r="276" customFormat="false" ht="22.5" hidden="false" customHeight="true" outlineLevel="0" collapsed="false">
      <c r="A276" s="22" t="s">
        <v>694</v>
      </c>
      <c r="B276" s="22" t="s">
        <v>257</v>
      </c>
      <c r="C276" s="22" t="s">
        <v>327</v>
      </c>
      <c r="D276" s="90"/>
      <c r="E276" s="90"/>
      <c r="F276" s="90"/>
      <c r="G276" s="90"/>
      <c r="H276" s="90"/>
      <c r="I276" s="90"/>
      <c r="J276" s="91"/>
      <c r="K276" s="92"/>
      <c r="L276" s="23" t="n">
        <f aca="false">J276*K276</f>
        <v>0</v>
      </c>
    </row>
    <row r="277" customFormat="false" ht="22.5" hidden="false" customHeight="true" outlineLevel="0" collapsed="false">
      <c r="A277" s="22" t="s">
        <v>695</v>
      </c>
      <c r="B277" s="108" t="s">
        <v>696</v>
      </c>
      <c r="C277" s="108" t="s">
        <v>327</v>
      </c>
      <c r="D277" s="90"/>
      <c r="E277" s="90"/>
      <c r="F277" s="90"/>
      <c r="G277" s="90"/>
      <c r="H277" s="90"/>
      <c r="I277" s="90"/>
      <c r="J277" s="109" t="n">
        <v>226</v>
      </c>
      <c r="K277" s="107" t="n">
        <v>27744</v>
      </c>
      <c r="L277" s="23" t="n">
        <f aca="false">J277*K277</f>
        <v>6270144</v>
      </c>
    </row>
    <row r="278" customFormat="false" ht="22.5" hidden="false" customHeight="true" outlineLevel="0" collapsed="false">
      <c r="A278" s="22" t="s">
        <v>697</v>
      </c>
      <c r="B278" s="22" t="s">
        <v>698</v>
      </c>
      <c r="C278" s="22" t="s">
        <v>699</v>
      </c>
      <c r="D278" s="90"/>
      <c r="E278" s="90"/>
      <c r="F278" s="90"/>
      <c r="G278" s="90"/>
      <c r="H278" s="90"/>
      <c r="I278" s="90"/>
      <c r="J278" s="91"/>
      <c r="K278" s="92"/>
      <c r="L278" s="23" t="n">
        <f aca="false">J278*K278</f>
        <v>0</v>
      </c>
    </row>
    <row r="279" customFormat="false" ht="22.5" hidden="false" customHeight="true" outlineLevel="0" collapsed="false">
      <c r="A279" s="22" t="s">
        <v>700</v>
      </c>
      <c r="B279" s="22" t="s">
        <v>211</v>
      </c>
      <c r="C279" s="22" t="s">
        <v>303</v>
      </c>
      <c r="D279" s="90"/>
      <c r="E279" s="90"/>
      <c r="F279" s="90"/>
      <c r="G279" s="90"/>
      <c r="H279" s="90"/>
      <c r="I279" s="90"/>
      <c r="J279" s="97" t="n">
        <v>144</v>
      </c>
      <c r="K279" s="92" t="n">
        <v>18630</v>
      </c>
      <c r="L279" s="23" t="n">
        <f aca="false">J279*K279</f>
        <v>2682720</v>
      </c>
    </row>
    <row r="280" customFormat="false" ht="22.5" hidden="false" customHeight="true" outlineLevel="0" collapsed="false">
      <c r="A280" s="22" t="s">
        <v>701</v>
      </c>
      <c r="B280" s="22" t="s">
        <v>273</v>
      </c>
      <c r="C280" s="22" t="s">
        <v>327</v>
      </c>
      <c r="D280" s="90"/>
      <c r="E280" s="90"/>
      <c r="F280" s="90"/>
      <c r="G280" s="90"/>
      <c r="H280" s="90"/>
      <c r="I280" s="90"/>
      <c r="J280" s="91"/>
      <c r="K280" s="92"/>
      <c r="L280" s="23" t="n">
        <f aca="false">J280*K280</f>
        <v>0</v>
      </c>
    </row>
    <row r="281" customFormat="false" ht="22.5" hidden="false" customHeight="true" outlineLevel="0" collapsed="false">
      <c r="A281" s="22" t="s">
        <v>702</v>
      </c>
      <c r="B281" s="22" t="s">
        <v>275</v>
      </c>
      <c r="C281" s="22" t="s">
        <v>327</v>
      </c>
      <c r="D281" s="90"/>
      <c r="E281" s="90"/>
      <c r="F281" s="90"/>
      <c r="G281" s="90"/>
      <c r="H281" s="90"/>
      <c r="I281" s="90"/>
      <c r="J281" s="91"/>
      <c r="K281" s="92"/>
      <c r="L281" s="23" t="n">
        <f aca="false">J281*K281</f>
        <v>0</v>
      </c>
    </row>
    <row r="282" customFormat="false" ht="22.5" hidden="false" customHeight="true" outlineLevel="0" collapsed="false">
      <c r="A282" s="22" t="s">
        <v>703</v>
      </c>
      <c r="B282" s="22" t="s">
        <v>276</v>
      </c>
      <c r="C282" s="22" t="s">
        <v>327</v>
      </c>
      <c r="D282" s="90"/>
      <c r="E282" s="90"/>
      <c r="F282" s="90"/>
      <c r="G282" s="90"/>
      <c r="H282" s="90"/>
      <c r="I282" s="90"/>
      <c r="J282" s="91"/>
      <c r="K282" s="92"/>
      <c r="L282" s="23" t="n">
        <f aca="false">J282*K282</f>
        <v>0</v>
      </c>
    </row>
    <row r="283" customFormat="false" ht="22.5" hidden="false" customHeight="true" outlineLevel="0" collapsed="false">
      <c r="A283" s="22" t="s">
        <v>704</v>
      </c>
      <c r="B283" s="22" t="s">
        <v>274</v>
      </c>
      <c r="C283" s="22" t="s">
        <v>327</v>
      </c>
      <c r="D283" s="90"/>
      <c r="E283" s="90"/>
      <c r="F283" s="90"/>
      <c r="G283" s="90"/>
      <c r="H283" s="90"/>
      <c r="I283" s="90"/>
      <c r="J283" s="97" t="n">
        <v>14</v>
      </c>
      <c r="K283" s="92" t="n">
        <v>31950</v>
      </c>
      <c r="L283" s="23" t="n">
        <f aca="false">J283*K283</f>
        <v>447300</v>
      </c>
    </row>
    <row r="284" customFormat="false" ht="22.5" hidden="false" customHeight="true" outlineLevel="0" collapsed="false">
      <c r="A284" s="22" t="s">
        <v>705</v>
      </c>
      <c r="B284" s="22" t="s">
        <v>214</v>
      </c>
      <c r="C284" s="22" t="s">
        <v>303</v>
      </c>
      <c r="D284" s="90"/>
      <c r="E284" s="90"/>
      <c r="F284" s="90"/>
      <c r="G284" s="90"/>
      <c r="H284" s="90"/>
      <c r="I284" s="90"/>
      <c r="J284" s="97" t="n">
        <v>10868</v>
      </c>
      <c r="K284" s="107" t="n">
        <v>24638</v>
      </c>
      <c r="L284" s="23" t="n">
        <f aca="false">J284*K284</f>
        <v>267765784</v>
      </c>
    </row>
    <row r="285" customFormat="false" ht="22.5" hidden="false" customHeight="true" outlineLevel="0" collapsed="false">
      <c r="A285" s="22" t="s">
        <v>706</v>
      </c>
      <c r="B285" s="22" t="s">
        <v>277</v>
      </c>
      <c r="C285" s="22" t="s">
        <v>327</v>
      </c>
      <c r="D285" s="90"/>
      <c r="E285" s="90"/>
      <c r="F285" s="90"/>
      <c r="G285" s="90"/>
      <c r="H285" s="90"/>
      <c r="I285" s="90"/>
      <c r="J285" s="91"/>
      <c r="K285" s="92"/>
      <c r="L285" s="23" t="n">
        <f aca="false">J285*K285</f>
        <v>0</v>
      </c>
    </row>
    <row r="286" customFormat="false" ht="22.5" hidden="false" customHeight="true" outlineLevel="0" collapsed="false">
      <c r="A286" s="22" t="s">
        <v>707</v>
      </c>
      <c r="B286" s="22" t="s">
        <v>708</v>
      </c>
      <c r="C286" s="22" t="s">
        <v>327</v>
      </c>
      <c r="D286" s="90"/>
      <c r="E286" s="90"/>
      <c r="F286" s="90"/>
      <c r="G286" s="90"/>
      <c r="H286" s="90"/>
      <c r="I286" s="90"/>
      <c r="J286" s="91"/>
      <c r="K286" s="92"/>
      <c r="L286" s="23" t="n">
        <f aca="false">J286*K286</f>
        <v>0</v>
      </c>
    </row>
    <row r="287" customFormat="false" ht="22.5" hidden="false" customHeight="true" outlineLevel="0" collapsed="false">
      <c r="A287" s="22" t="s">
        <v>709</v>
      </c>
      <c r="B287" s="22" t="s">
        <v>278</v>
      </c>
      <c r="C287" s="22" t="s">
        <v>303</v>
      </c>
      <c r="D287" s="90"/>
      <c r="E287" s="90"/>
      <c r="F287" s="90"/>
      <c r="G287" s="90"/>
      <c r="H287" s="90"/>
      <c r="I287" s="90"/>
      <c r="J287" s="91"/>
      <c r="K287" s="92"/>
      <c r="L287" s="23" t="n">
        <f aca="false">J287*K287</f>
        <v>0</v>
      </c>
    </row>
    <row r="288" customFormat="false" ht="22.5" hidden="false" customHeight="true" outlineLevel="0" collapsed="false">
      <c r="A288" s="22" t="s">
        <v>710</v>
      </c>
      <c r="B288" s="22" t="s">
        <v>711</v>
      </c>
      <c r="C288" s="22" t="s">
        <v>327</v>
      </c>
      <c r="D288" s="90"/>
      <c r="E288" s="90"/>
      <c r="F288" s="90"/>
      <c r="G288" s="90"/>
      <c r="H288" s="90"/>
      <c r="I288" s="90"/>
      <c r="J288" s="91"/>
      <c r="K288" s="92"/>
      <c r="L288" s="23" t="n">
        <f aca="false">J288*K288</f>
        <v>0</v>
      </c>
    </row>
    <row r="289" customFormat="false" ht="22.5" hidden="false" customHeight="true" outlineLevel="0" collapsed="false">
      <c r="A289" s="22" t="s">
        <v>712</v>
      </c>
      <c r="B289" s="22" t="s">
        <v>713</v>
      </c>
      <c r="C289" s="22" t="s">
        <v>303</v>
      </c>
      <c r="D289" s="90"/>
      <c r="E289" s="90"/>
      <c r="F289" s="90"/>
      <c r="G289" s="90"/>
      <c r="H289" s="90"/>
      <c r="I289" s="90"/>
      <c r="J289" s="91"/>
      <c r="K289" s="92"/>
      <c r="L289" s="23" t="n">
        <f aca="false">J289*K289</f>
        <v>0</v>
      </c>
    </row>
    <row r="290" customFormat="false" ht="22.5" hidden="false" customHeight="true" outlineLevel="0" collapsed="false">
      <c r="A290" s="22" t="s">
        <v>714</v>
      </c>
      <c r="B290" s="22" t="s">
        <v>715</v>
      </c>
      <c r="C290" s="22" t="s">
        <v>303</v>
      </c>
      <c r="D290" s="90"/>
      <c r="E290" s="90"/>
      <c r="F290" s="90"/>
      <c r="G290" s="90"/>
      <c r="H290" s="90"/>
      <c r="I290" s="90"/>
      <c r="J290" s="91"/>
      <c r="K290" s="92"/>
      <c r="L290" s="23" t="n">
        <f aca="false">J290*K290</f>
        <v>0</v>
      </c>
    </row>
    <row r="291" customFormat="false" ht="22.5" hidden="false" customHeight="true" outlineLevel="0" collapsed="false">
      <c r="A291" s="22" t="s">
        <v>716</v>
      </c>
      <c r="B291" s="22" t="s">
        <v>279</v>
      </c>
      <c r="C291" s="22" t="s">
        <v>327</v>
      </c>
      <c r="D291" s="90"/>
      <c r="E291" s="90"/>
      <c r="F291" s="90"/>
      <c r="G291" s="90"/>
      <c r="H291" s="90"/>
      <c r="I291" s="90"/>
      <c r="J291" s="91"/>
      <c r="K291" s="92"/>
      <c r="L291" s="23" t="n">
        <f aca="false">J291*K291</f>
        <v>0</v>
      </c>
    </row>
    <row r="292" customFormat="false" ht="22.5" hidden="false" customHeight="true" outlineLevel="0" collapsed="false">
      <c r="A292" s="22" t="s">
        <v>717</v>
      </c>
      <c r="B292" s="22" t="s">
        <v>280</v>
      </c>
      <c r="C292" s="22" t="s">
        <v>327</v>
      </c>
      <c r="D292" s="90"/>
      <c r="E292" s="90"/>
      <c r="F292" s="90"/>
      <c r="G292" s="90"/>
      <c r="H292" s="90"/>
      <c r="I292" s="90"/>
      <c r="J292" s="91"/>
      <c r="K292" s="92"/>
      <c r="L292" s="23" t="n">
        <f aca="false">J292*K292</f>
        <v>0</v>
      </c>
    </row>
    <row r="293" customFormat="false" ht="22.5" hidden="false" customHeight="true" outlineLevel="0" collapsed="false">
      <c r="A293" s="22" t="s">
        <v>718</v>
      </c>
      <c r="B293" s="22" t="s">
        <v>719</v>
      </c>
      <c r="C293" s="22" t="s">
        <v>327</v>
      </c>
      <c r="D293" s="90"/>
      <c r="E293" s="90"/>
      <c r="F293" s="90"/>
      <c r="G293" s="90"/>
      <c r="H293" s="90"/>
      <c r="I293" s="90"/>
      <c r="J293" s="97" t="n">
        <v>167</v>
      </c>
      <c r="K293" s="107" t="n">
        <v>17640</v>
      </c>
      <c r="L293" s="23" t="n">
        <f aca="false">J293*K293</f>
        <v>2945880</v>
      </c>
    </row>
    <row r="294" customFormat="false" ht="22.5" hidden="false" customHeight="true" outlineLevel="0" collapsed="false">
      <c r="A294" s="22" t="s">
        <v>720</v>
      </c>
      <c r="B294" s="22" t="s">
        <v>282</v>
      </c>
      <c r="C294" s="22" t="s">
        <v>327</v>
      </c>
      <c r="D294" s="90"/>
      <c r="E294" s="90"/>
      <c r="F294" s="90"/>
      <c r="G294" s="90"/>
      <c r="H294" s="90"/>
      <c r="I294" s="90"/>
      <c r="J294" s="97" t="n">
        <v>13</v>
      </c>
      <c r="K294" s="107" t="n">
        <v>35280</v>
      </c>
      <c r="L294" s="23" t="n">
        <f aca="false">J294*K294</f>
        <v>458640</v>
      </c>
    </row>
    <row r="295" customFormat="false" ht="22.5" hidden="false" customHeight="true" outlineLevel="0" collapsed="false">
      <c r="A295" s="22" t="s">
        <v>721</v>
      </c>
      <c r="B295" s="22" t="s">
        <v>233</v>
      </c>
      <c r="C295" s="22" t="s">
        <v>654</v>
      </c>
      <c r="D295" s="90"/>
      <c r="E295" s="90"/>
      <c r="F295" s="90"/>
      <c r="G295" s="90"/>
      <c r="H295" s="90"/>
      <c r="I295" s="90"/>
      <c r="J295" s="97" t="n">
        <v>2974</v>
      </c>
      <c r="K295" s="107" t="n">
        <v>62720</v>
      </c>
      <c r="L295" s="23" t="n">
        <f aca="false">J295*K295</f>
        <v>186529280</v>
      </c>
    </row>
    <row r="296" customFormat="false" ht="22.5" hidden="false" customHeight="true" outlineLevel="0" collapsed="false">
      <c r="A296" s="22" t="s">
        <v>722</v>
      </c>
      <c r="B296" s="22" t="s">
        <v>245</v>
      </c>
      <c r="C296" s="22" t="s">
        <v>303</v>
      </c>
      <c r="D296" s="90"/>
      <c r="E296" s="90"/>
      <c r="F296" s="90"/>
      <c r="G296" s="90"/>
      <c r="H296" s="90"/>
      <c r="I296" s="90"/>
      <c r="J296" s="91"/>
      <c r="K296" s="92"/>
      <c r="L296" s="23" t="n">
        <f aca="false">J296*K296</f>
        <v>0</v>
      </c>
    </row>
    <row r="297" customFormat="false" ht="22.5" hidden="false" customHeight="true" outlineLevel="0" collapsed="false">
      <c r="A297" s="22" t="s">
        <v>723</v>
      </c>
      <c r="B297" s="22" t="s">
        <v>724</v>
      </c>
      <c r="C297" s="22" t="s">
        <v>654</v>
      </c>
      <c r="D297" s="90"/>
      <c r="E297" s="90"/>
      <c r="F297" s="90"/>
      <c r="G297" s="90"/>
      <c r="H297" s="90"/>
      <c r="I297" s="90"/>
      <c r="J297" s="91"/>
      <c r="K297" s="92"/>
      <c r="L297" s="23" t="n">
        <f aca="false">J297*K297</f>
        <v>0</v>
      </c>
    </row>
    <row r="298" customFormat="false" ht="22.5" hidden="false" customHeight="true" outlineLevel="0" collapsed="false">
      <c r="A298" s="22" t="s">
        <v>725</v>
      </c>
      <c r="B298" s="22" t="s">
        <v>726</v>
      </c>
      <c r="C298" s="22" t="s">
        <v>528</v>
      </c>
      <c r="D298" s="90"/>
      <c r="E298" s="90"/>
      <c r="F298" s="90"/>
      <c r="G298" s="90"/>
      <c r="H298" s="90"/>
      <c r="I298" s="90"/>
      <c r="J298" s="91"/>
      <c r="K298" s="92"/>
      <c r="L298" s="23" t="n">
        <f aca="false">J298*K298</f>
        <v>0</v>
      </c>
    </row>
    <row r="299" customFormat="false" ht="22.5" hidden="false" customHeight="true" outlineLevel="0" collapsed="false">
      <c r="A299" s="22" t="s">
        <v>727</v>
      </c>
      <c r="B299" s="22" t="s">
        <v>728</v>
      </c>
      <c r="C299" s="22" t="s">
        <v>327</v>
      </c>
      <c r="D299" s="90"/>
      <c r="E299" s="90"/>
      <c r="F299" s="90"/>
      <c r="G299" s="90"/>
      <c r="H299" s="90"/>
      <c r="I299" s="90"/>
      <c r="J299" s="91"/>
      <c r="K299" s="92"/>
      <c r="L299" s="23" t="n">
        <f aca="false">J299*K299</f>
        <v>0</v>
      </c>
    </row>
    <row r="300" customFormat="false" ht="22.5" hidden="false" customHeight="true" outlineLevel="0" collapsed="false">
      <c r="A300" s="22" t="s">
        <v>729</v>
      </c>
      <c r="B300" s="22" t="s">
        <v>730</v>
      </c>
      <c r="C300" s="22" t="s">
        <v>327</v>
      </c>
      <c r="D300" s="90"/>
      <c r="E300" s="90"/>
      <c r="F300" s="90"/>
      <c r="G300" s="90"/>
      <c r="H300" s="90"/>
      <c r="I300" s="90"/>
      <c r="J300" s="91"/>
      <c r="K300" s="92"/>
      <c r="L300" s="23" t="n">
        <f aca="false">J300*K300</f>
        <v>0</v>
      </c>
    </row>
    <row r="301" customFormat="false" ht="22.5" hidden="false" customHeight="true" outlineLevel="0" collapsed="false">
      <c r="A301" s="22" t="s">
        <v>731</v>
      </c>
      <c r="B301" s="22" t="s">
        <v>287</v>
      </c>
      <c r="C301" s="22" t="s">
        <v>327</v>
      </c>
      <c r="D301" s="90"/>
      <c r="E301" s="90"/>
      <c r="F301" s="90"/>
      <c r="G301" s="90"/>
      <c r="H301" s="90"/>
      <c r="I301" s="90"/>
      <c r="J301" s="97" t="n">
        <v>8</v>
      </c>
      <c r="K301" s="107" t="n">
        <v>29616</v>
      </c>
      <c r="L301" s="23" t="n">
        <f aca="false">J301*K301</f>
        <v>236928</v>
      </c>
    </row>
    <row r="302" customFormat="false" ht="22.5" hidden="false" customHeight="true" outlineLevel="0" collapsed="false">
      <c r="A302" s="22" t="s">
        <v>732</v>
      </c>
      <c r="B302" s="22" t="s">
        <v>618</v>
      </c>
      <c r="C302" s="22" t="s">
        <v>327</v>
      </c>
      <c r="D302" s="90"/>
      <c r="E302" s="90"/>
      <c r="F302" s="90"/>
      <c r="G302" s="90"/>
      <c r="H302" s="90"/>
      <c r="I302" s="90"/>
      <c r="J302" s="91"/>
      <c r="K302" s="92"/>
      <c r="L302" s="23" t="n">
        <f aca="false">J302*K302</f>
        <v>0</v>
      </c>
    </row>
    <row r="303" customFormat="false" ht="22.5" hidden="false" customHeight="true" outlineLevel="0" collapsed="false">
      <c r="A303" s="22" t="s">
        <v>733</v>
      </c>
      <c r="B303" s="22" t="s">
        <v>210</v>
      </c>
      <c r="C303" s="22" t="s">
        <v>327</v>
      </c>
      <c r="D303" s="90"/>
      <c r="E303" s="90"/>
      <c r="F303" s="90"/>
      <c r="G303" s="90"/>
      <c r="H303" s="90"/>
      <c r="I303" s="90"/>
      <c r="J303" s="97" t="n">
        <v>625</v>
      </c>
      <c r="K303" s="107" t="n">
        <v>13152</v>
      </c>
      <c r="L303" s="23" t="n">
        <f aca="false">J303*K303</f>
        <v>8220000</v>
      </c>
    </row>
    <row r="304" customFormat="false" ht="22.5" hidden="false" customHeight="true" outlineLevel="0" collapsed="false">
      <c r="A304" s="22" t="s">
        <v>734</v>
      </c>
      <c r="B304" s="22" t="s">
        <v>735</v>
      </c>
      <c r="C304" s="22" t="s">
        <v>736</v>
      </c>
      <c r="D304" s="90"/>
      <c r="E304" s="90"/>
      <c r="F304" s="90"/>
      <c r="G304" s="90"/>
      <c r="H304" s="90"/>
      <c r="I304" s="90"/>
      <c r="J304" s="91"/>
      <c r="K304" s="92"/>
      <c r="L304" s="23" t="n">
        <f aca="false">J304*K304</f>
        <v>0</v>
      </c>
    </row>
    <row r="305" customFormat="false" ht="22.5" hidden="false" customHeight="true" outlineLevel="0" collapsed="false">
      <c r="A305" s="22" t="s">
        <v>737</v>
      </c>
      <c r="B305" s="22" t="s">
        <v>182</v>
      </c>
      <c r="C305" s="22" t="s">
        <v>528</v>
      </c>
      <c r="D305" s="90"/>
      <c r="E305" s="90"/>
      <c r="F305" s="90"/>
      <c r="G305" s="90"/>
      <c r="H305" s="90"/>
      <c r="I305" s="90"/>
      <c r="J305" s="91"/>
      <c r="K305" s="92"/>
      <c r="L305" s="23" t="n">
        <f aca="false">J305*K305</f>
        <v>0</v>
      </c>
    </row>
    <row r="306" customFormat="false" ht="22.5" hidden="false" customHeight="true" outlineLevel="0" collapsed="false">
      <c r="A306" s="24" t="s">
        <v>738</v>
      </c>
      <c r="B306" s="24" t="s">
        <v>183</v>
      </c>
      <c r="C306" s="24" t="s">
        <v>528</v>
      </c>
      <c r="D306" s="90"/>
      <c r="E306" s="90"/>
      <c r="F306" s="90"/>
      <c r="G306" s="90"/>
      <c r="H306" s="90"/>
      <c r="I306" s="90"/>
      <c r="J306" s="102" t="n">
        <v>750</v>
      </c>
      <c r="K306" s="103" t="n">
        <v>54405.18</v>
      </c>
      <c r="L306" s="25" t="n">
        <f aca="false">J306*K306</f>
        <v>40803885</v>
      </c>
    </row>
    <row r="307" customFormat="false" ht="22.5" hidden="false" customHeight="true" outlineLevel="0" collapsed="false">
      <c r="A307" s="24" t="s">
        <v>739</v>
      </c>
      <c r="B307" s="24" t="s">
        <v>184</v>
      </c>
      <c r="C307" s="24" t="s">
        <v>528</v>
      </c>
      <c r="D307" s="90"/>
      <c r="E307" s="90"/>
      <c r="F307" s="90"/>
      <c r="G307" s="90"/>
      <c r="H307" s="90"/>
      <c r="I307" s="90"/>
      <c r="J307" s="102" t="n">
        <v>678</v>
      </c>
      <c r="K307" s="103" t="n">
        <v>54405.18</v>
      </c>
      <c r="L307" s="25" t="n">
        <f aca="false">J307*K307</f>
        <v>36886712.04</v>
      </c>
    </row>
    <row r="308" customFormat="false" ht="22.5" hidden="false" customHeight="true" outlineLevel="0" collapsed="false">
      <c r="A308" s="22" t="s">
        <v>740</v>
      </c>
      <c r="B308" s="22" t="s">
        <v>189</v>
      </c>
      <c r="C308" s="22" t="s">
        <v>303</v>
      </c>
      <c r="D308" s="90"/>
      <c r="E308" s="90"/>
      <c r="F308" s="90"/>
      <c r="G308" s="90"/>
      <c r="H308" s="90"/>
      <c r="I308" s="90"/>
      <c r="J308" s="97" t="n">
        <v>555</v>
      </c>
      <c r="K308" s="107" t="n">
        <v>44306.06</v>
      </c>
      <c r="L308" s="23" t="n">
        <f aca="false">J308*K308</f>
        <v>24589863.3</v>
      </c>
    </row>
    <row r="309" customFormat="false" ht="22.5" hidden="false" customHeight="true" outlineLevel="0" collapsed="false">
      <c r="A309" s="22" t="s">
        <v>741</v>
      </c>
      <c r="B309" s="22" t="s">
        <v>742</v>
      </c>
      <c r="C309" s="22" t="s">
        <v>303</v>
      </c>
      <c r="D309" s="90"/>
      <c r="E309" s="90"/>
      <c r="F309" s="90"/>
      <c r="G309" s="90"/>
      <c r="H309" s="90"/>
      <c r="I309" s="90"/>
      <c r="J309" s="91"/>
      <c r="K309" s="92"/>
      <c r="L309" s="23" t="n">
        <f aca="false">J309*K309</f>
        <v>0</v>
      </c>
    </row>
    <row r="310" customFormat="false" ht="22.5" hidden="false" customHeight="true" outlineLevel="0" collapsed="false">
      <c r="A310" s="22" t="s">
        <v>743</v>
      </c>
      <c r="B310" s="22" t="s">
        <v>186</v>
      </c>
      <c r="C310" s="22" t="s">
        <v>303</v>
      </c>
      <c r="D310" s="90"/>
      <c r="E310" s="90"/>
      <c r="F310" s="90"/>
      <c r="G310" s="90"/>
      <c r="H310" s="90"/>
      <c r="I310" s="90"/>
      <c r="J310" s="97" t="n">
        <v>4395</v>
      </c>
      <c r="K310" s="107" t="n">
        <v>43373.31</v>
      </c>
      <c r="L310" s="23" t="n">
        <f aca="false">J310*K310</f>
        <v>190625697.45</v>
      </c>
    </row>
    <row r="311" customFormat="false" ht="22.5" hidden="false" customHeight="true" outlineLevel="0" collapsed="false">
      <c r="A311" s="22" t="s">
        <v>744</v>
      </c>
      <c r="B311" s="22" t="s">
        <v>745</v>
      </c>
      <c r="C311" s="22" t="s">
        <v>303</v>
      </c>
      <c r="D311" s="90"/>
      <c r="E311" s="90"/>
      <c r="F311" s="90"/>
      <c r="G311" s="90"/>
      <c r="H311" s="90"/>
      <c r="I311" s="90"/>
      <c r="J311" s="91"/>
      <c r="K311" s="92"/>
      <c r="L311" s="23" t="n">
        <f aca="false">J311*K311</f>
        <v>0</v>
      </c>
    </row>
    <row r="312" customFormat="false" ht="22.5" hidden="false" customHeight="true" outlineLevel="0" collapsed="false">
      <c r="A312" s="22" t="s">
        <v>746</v>
      </c>
      <c r="B312" s="22" t="s">
        <v>185</v>
      </c>
      <c r="C312" s="22" t="s">
        <v>303</v>
      </c>
      <c r="D312" s="90"/>
      <c r="E312" s="90"/>
      <c r="F312" s="90"/>
      <c r="G312" s="90"/>
      <c r="H312" s="90"/>
      <c r="I312" s="90"/>
      <c r="J312" s="97" t="n">
        <v>925</v>
      </c>
      <c r="K312" s="107" t="n">
        <v>180233.73</v>
      </c>
      <c r="L312" s="23" t="n">
        <f aca="false">J312*K312</f>
        <v>166716200.25</v>
      </c>
    </row>
    <row r="313" customFormat="false" ht="22.5" hidden="false" customHeight="true" outlineLevel="0" collapsed="false">
      <c r="A313" s="22" t="s">
        <v>747</v>
      </c>
      <c r="B313" s="22" t="s">
        <v>748</v>
      </c>
      <c r="C313" s="22" t="s">
        <v>303</v>
      </c>
      <c r="D313" s="90"/>
      <c r="E313" s="90"/>
      <c r="F313" s="90"/>
      <c r="G313" s="90"/>
      <c r="H313" s="90"/>
      <c r="I313" s="90"/>
      <c r="J313" s="97" t="n">
        <v>8407</v>
      </c>
      <c r="K313" s="107" t="n">
        <v>178467</v>
      </c>
      <c r="L313" s="23" t="n">
        <f aca="false">J313*K313</f>
        <v>1500372069</v>
      </c>
    </row>
    <row r="314" customFormat="false" ht="22.5" hidden="false" customHeight="true" outlineLevel="0" collapsed="false">
      <c r="A314" s="22" t="s">
        <v>749</v>
      </c>
      <c r="B314" s="22" t="s">
        <v>750</v>
      </c>
      <c r="C314" s="22" t="s">
        <v>303</v>
      </c>
      <c r="D314" s="90"/>
      <c r="E314" s="90"/>
      <c r="F314" s="90"/>
      <c r="G314" s="90"/>
      <c r="H314" s="90"/>
      <c r="I314" s="90"/>
      <c r="J314" s="91"/>
      <c r="K314" s="92" t="n">
        <v>43373</v>
      </c>
      <c r="L314" s="23" t="n">
        <f aca="false">J314*K314</f>
        <v>0</v>
      </c>
    </row>
    <row r="315" customFormat="false" ht="22.5" hidden="false" customHeight="true" outlineLevel="0" collapsed="false">
      <c r="A315" s="22" t="s">
        <v>751</v>
      </c>
      <c r="B315" s="22" t="s">
        <v>192</v>
      </c>
      <c r="C315" s="22" t="s">
        <v>311</v>
      </c>
      <c r="D315" s="90"/>
      <c r="E315" s="90"/>
      <c r="F315" s="90"/>
      <c r="G315" s="90"/>
      <c r="H315" s="90"/>
      <c r="I315" s="90"/>
      <c r="J315" s="97" t="n">
        <v>6335</v>
      </c>
      <c r="K315" s="107" t="n">
        <v>7220</v>
      </c>
      <c r="L315" s="23" t="n">
        <f aca="false">J315*K315</f>
        <v>45738700</v>
      </c>
    </row>
    <row r="316" customFormat="false" ht="22.5" hidden="false" customHeight="true" outlineLevel="0" collapsed="false">
      <c r="A316" s="22" t="s">
        <v>752</v>
      </c>
      <c r="B316" s="22" t="s">
        <v>190</v>
      </c>
      <c r="C316" s="22" t="s">
        <v>753</v>
      </c>
      <c r="D316" s="90"/>
      <c r="E316" s="90"/>
      <c r="F316" s="90"/>
      <c r="G316" s="90"/>
      <c r="H316" s="90"/>
      <c r="I316" s="90"/>
      <c r="J316" s="97" t="n">
        <v>4737</v>
      </c>
      <c r="K316" s="107" t="n">
        <v>28272</v>
      </c>
      <c r="L316" s="23" t="n">
        <f aca="false">J316*K316</f>
        <v>133924464</v>
      </c>
    </row>
    <row r="317" customFormat="false" ht="22.5" hidden="false" customHeight="true" outlineLevel="0" collapsed="false">
      <c r="A317" s="22" t="s">
        <v>754</v>
      </c>
      <c r="B317" s="22" t="s">
        <v>755</v>
      </c>
      <c r="C317" s="22" t="s">
        <v>753</v>
      </c>
      <c r="D317" s="90"/>
      <c r="E317" s="90"/>
      <c r="F317" s="90"/>
      <c r="G317" s="90"/>
      <c r="H317" s="90"/>
      <c r="I317" s="90"/>
      <c r="J317" s="97" t="n">
        <v>843</v>
      </c>
      <c r="K317" s="107" t="n">
        <v>35340</v>
      </c>
      <c r="L317" s="23" t="n">
        <f aca="false">J317*K317</f>
        <v>29791620</v>
      </c>
    </row>
    <row r="318" customFormat="false" ht="22.5" hidden="false" customHeight="true" outlineLevel="0" collapsed="false">
      <c r="A318" s="22" t="s">
        <v>756</v>
      </c>
      <c r="B318" s="22" t="s">
        <v>194</v>
      </c>
      <c r="C318" s="22" t="s">
        <v>311</v>
      </c>
      <c r="D318" s="90"/>
      <c r="E318" s="90"/>
      <c r="F318" s="90"/>
      <c r="G318" s="90"/>
      <c r="H318" s="90"/>
      <c r="I318" s="90"/>
      <c r="J318" s="97" t="n">
        <v>243366</v>
      </c>
      <c r="K318" s="107" t="n">
        <v>7068</v>
      </c>
      <c r="L318" s="23" t="n">
        <f aca="false">J318*K318</f>
        <v>1720110888</v>
      </c>
    </row>
    <row r="319" customFormat="false" ht="22.5" hidden="false" customHeight="true" outlineLevel="0" collapsed="false">
      <c r="A319" s="22" t="s">
        <v>757</v>
      </c>
      <c r="B319" s="22" t="s">
        <v>191</v>
      </c>
      <c r="C319" s="22" t="s">
        <v>753</v>
      </c>
      <c r="D319" s="90"/>
      <c r="E319" s="90"/>
      <c r="F319" s="90"/>
      <c r="G319" s="90"/>
      <c r="H319" s="90"/>
      <c r="I319" s="90"/>
      <c r="J319" s="97" t="n">
        <v>46715</v>
      </c>
      <c r="K319" s="107" t="n">
        <v>28272</v>
      </c>
      <c r="L319" s="23" t="n">
        <f aca="false">J319*K319</f>
        <v>1320726480</v>
      </c>
    </row>
    <row r="320" customFormat="false" ht="22.5" hidden="false" customHeight="true" outlineLevel="0" collapsed="false">
      <c r="A320" s="22" t="s">
        <v>758</v>
      </c>
      <c r="B320" s="22" t="s">
        <v>759</v>
      </c>
      <c r="C320" s="22" t="s">
        <v>753</v>
      </c>
      <c r="D320" s="90"/>
      <c r="E320" s="90"/>
      <c r="F320" s="90"/>
      <c r="G320" s="90"/>
      <c r="H320" s="90"/>
      <c r="I320" s="90"/>
      <c r="J320" s="91"/>
      <c r="K320" s="92"/>
      <c r="L320" s="23" t="n">
        <f aca="false">J320*K320</f>
        <v>0</v>
      </c>
    </row>
    <row r="321" customFormat="false" ht="22.5" hidden="false" customHeight="true" outlineLevel="0" collapsed="false">
      <c r="A321" s="22" t="s">
        <v>760</v>
      </c>
      <c r="B321" s="22" t="s">
        <v>198</v>
      </c>
      <c r="C321" s="22" t="s">
        <v>753</v>
      </c>
      <c r="D321" s="90"/>
      <c r="E321" s="90"/>
      <c r="F321" s="90"/>
      <c r="G321" s="90"/>
      <c r="H321" s="90"/>
      <c r="I321" s="90"/>
      <c r="J321" s="91"/>
      <c r="K321" s="92"/>
      <c r="L321" s="23" t="n">
        <f aca="false">J321*K321</f>
        <v>0</v>
      </c>
    </row>
    <row r="322" customFormat="false" ht="22.5" hidden="false" customHeight="true" outlineLevel="0" collapsed="false">
      <c r="A322" s="24" t="s">
        <v>761</v>
      </c>
      <c r="B322" s="24" t="s">
        <v>762</v>
      </c>
      <c r="C322" s="24" t="s">
        <v>753</v>
      </c>
      <c r="D322" s="90"/>
      <c r="E322" s="90"/>
      <c r="F322" s="90"/>
      <c r="G322" s="90"/>
      <c r="H322" s="90"/>
      <c r="I322" s="90"/>
      <c r="J322" s="100" t="n">
        <v>18683</v>
      </c>
      <c r="K322" s="119" t="n">
        <v>27388.5</v>
      </c>
      <c r="L322" s="25" t="n">
        <f aca="false">J322*K322</f>
        <v>511699345.5</v>
      </c>
    </row>
    <row r="323" customFormat="false" ht="22.5" hidden="false" customHeight="true" outlineLevel="0" collapsed="false">
      <c r="A323" s="22" t="s">
        <v>763</v>
      </c>
      <c r="B323" s="22" t="s">
        <v>196</v>
      </c>
      <c r="C323" s="22" t="s">
        <v>303</v>
      </c>
      <c r="D323" s="90"/>
      <c r="E323" s="90"/>
      <c r="F323" s="90"/>
      <c r="G323" s="90"/>
      <c r="H323" s="90"/>
      <c r="I323" s="90"/>
      <c r="J323" s="91"/>
      <c r="K323" s="92"/>
      <c r="L323" s="23" t="n">
        <f aca="false">J323*K323</f>
        <v>0</v>
      </c>
    </row>
    <row r="324" customFormat="false" ht="22.5" hidden="false" customHeight="true" outlineLevel="0" collapsed="false">
      <c r="A324" s="22" t="s">
        <v>764</v>
      </c>
      <c r="B324" s="22" t="s">
        <v>765</v>
      </c>
      <c r="C324" s="22" t="s">
        <v>311</v>
      </c>
      <c r="D324" s="90"/>
      <c r="E324" s="90"/>
      <c r="F324" s="90"/>
      <c r="G324" s="90"/>
      <c r="H324" s="90"/>
      <c r="I324" s="90"/>
      <c r="J324" s="97" t="n">
        <v>1150</v>
      </c>
      <c r="K324" s="107" t="n">
        <v>7220</v>
      </c>
      <c r="L324" s="23" t="n">
        <f aca="false">J324*K324</f>
        <v>8303000</v>
      </c>
    </row>
    <row r="325" customFormat="false" ht="22.5" hidden="false" customHeight="true" outlineLevel="0" collapsed="false">
      <c r="A325" s="22" t="s">
        <v>766</v>
      </c>
      <c r="B325" s="22" t="s">
        <v>767</v>
      </c>
      <c r="C325" s="22" t="s">
        <v>753</v>
      </c>
      <c r="D325" s="90"/>
      <c r="E325" s="90"/>
      <c r="F325" s="90"/>
      <c r="G325" s="90"/>
      <c r="H325" s="90"/>
      <c r="I325" s="90"/>
      <c r="J325" s="91"/>
      <c r="K325" s="92"/>
      <c r="L325" s="23" t="n">
        <f aca="false">J325*K325</f>
        <v>0</v>
      </c>
    </row>
    <row r="326" customFormat="false" ht="22.5" hidden="false" customHeight="true" outlineLevel="0" collapsed="false">
      <c r="A326" s="22" t="s">
        <v>768</v>
      </c>
      <c r="B326" s="22" t="s">
        <v>769</v>
      </c>
      <c r="C326" s="22" t="s">
        <v>303</v>
      </c>
      <c r="D326" s="90"/>
      <c r="E326" s="90"/>
      <c r="F326" s="90"/>
      <c r="G326" s="90"/>
      <c r="H326" s="90"/>
      <c r="I326" s="90"/>
      <c r="J326" s="91"/>
      <c r="K326" s="92"/>
      <c r="L326" s="23" t="n">
        <f aca="false">J326*K326</f>
        <v>0</v>
      </c>
    </row>
    <row r="327" customFormat="false" ht="22.5" hidden="false" customHeight="true" outlineLevel="0" collapsed="false">
      <c r="A327" s="22" t="s">
        <v>770</v>
      </c>
      <c r="B327" s="22" t="s">
        <v>771</v>
      </c>
      <c r="C327" s="22" t="s">
        <v>303</v>
      </c>
      <c r="D327" s="90"/>
      <c r="E327" s="90"/>
      <c r="F327" s="90"/>
      <c r="G327" s="90"/>
      <c r="H327" s="90"/>
      <c r="I327" s="90"/>
      <c r="J327" s="91"/>
      <c r="K327" s="92"/>
      <c r="L327" s="23" t="n">
        <f aca="false">J327*K327</f>
        <v>0</v>
      </c>
    </row>
    <row r="328" customFormat="false" ht="22.5" hidden="false" customHeight="true" outlineLevel="0" collapsed="false">
      <c r="A328" s="22" t="s">
        <v>772</v>
      </c>
      <c r="B328" s="22" t="s">
        <v>773</v>
      </c>
      <c r="C328" s="22" t="s">
        <v>303</v>
      </c>
      <c r="D328" s="90"/>
      <c r="E328" s="90"/>
      <c r="F328" s="90"/>
      <c r="G328" s="90"/>
      <c r="H328" s="90"/>
      <c r="I328" s="90"/>
      <c r="J328" s="91"/>
      <c r="K328" s="92"/>
      <c r="L328" s="23" t="n">
        <f aca="false">J328*K328</f>
        <v>0</v>
      </c>
    </row>
    <row r="329" customFormat="false" ht="22.5" hidden="false" customHeight="true" outlineLevel="0" collapsed="false">
      <c r="A329" s="22" t="s">
        <v>774</v>
      </c>
      <c r="B329" s="22" t="s">
        <v>775</v>
      </c>
      <c r="C329" s="22" t="s">
        <v>303</v>
      </c>
      <c r="D329" s="90"/>
      <c r="E329" s="90"/>
      <c r="F329" s="90"/>
      <c r="G329" s="90"/>
      <c r="H329" s="90"/>
      <c r="I329" s="90"/>
      <c r="J329" s="91"/>
      <c r="K329" s="92"/>
      <c r="L329" s="23" t="n">
        <f aca="false">J329*K329</f>
        <v>0</v>
      </c>
    </row>
    <row r="330" customFormat="false" ht="22.5" hidden="false" customHeight="true" outlineLevel="0" collapsed="false">
      <c r="A330" s="22" t="s">
        <v>776</v>
      </c>
      <c r="B330" s="22" t="s">
        <v>777</v>
      </c>
      <c r="C330" s="22" t="s">
        <v>303</v>
      </c>
      <c r="D330" s="90"/>
      <c r="E330" s="90"/>
      <c r="F330" s="90"/>
      <c r="G330" s="90"/>
      <c r="H330" s="90"/>
      <c r="I330" s="90"/>
      <c r="J330" s="91"/>
      <c r="K330" s="92"/>
      <c r="L330" s="23" t="n">
        <f aca="false">J330*K330</f>
        <v>0</v>
      </c>
    </row>
    <row r="331" customFormat="false" ht="22.5" hidden="false" customHeight="true" outlineLevel="0" collapsed="false">
      <c r="A331" s="22" t="s">
        <v>778</v>
      </c>
      <c r="B331" s="22" t="s">
        <v>779</v>
      </c>
      <c r="C331" s="22" t="s">
        <v>303</v>
      </c>
      <c r="D331" s="90"/>
      <c r="E331" s="90"/>
      <c r="F331" s="90"/>
      <c r="G331" s="90"/>
      <c r="H331" s="90"/>
      <c r="I331" s="90"/>
      <c r="J331" s="91"/>
      <c r="K331" s="92"/>
      <c r="L331" s="23" t="n">
        <f aca="false">J331*K331</f>
        <v>0</v>
      </c>
    </row>
    <row r="332" customFormat="false" ht="22.5" hidden="false" customHeight="true" outlineLevel="0" collapsed="false">
      <c r="A332" s="22" t="s">
        <v>780</v>
      </c>
      <c r="B332" s="22" t="s">
        <v>781</v>
      </c>
      <c r="C332" s="22" t="s">
        <v>303</v>
      </c>
      <c r="D332" s="90"/>
      <c r="E332" s="90"/>
      <c r="F332" s="90"/>
      <c r="G332" s="90"/>
      <c r="H332" s="90"/>
      <c r="I332" s="90"/>
      <c r="J332" s="91"/>
      <c r="K332" s="92"/>
      <c r="L332" s="23" t="n">
        <f aca="false">J332*K332</f>
        <v>0</v>
      </c>
    </row>
    <row r="333" customFormat="false" ht="22.5" hidden="false" customHeight="true" outlineLevel="0" collapsed="false">
      <c r="A333" s="22" t="s">
        <v>782</v>
      </c>
      <c r="B333" s="22" t="s">
        <v>203</v>
      </c>
      <c r="C333" s="22" t="s">
        <v>303</v>
      </c>
      <c r="D333" s="90"/>
      <c r="E333" s="90"/>
      <c r="F333" s="90"/>
      <c r="G333" s="90"/>
      <c r="H333" s="90"/>
      <c r="I333" s="90"/>
      <c r="J333" s="97" t="n">
        <v>918</v>
      </c>
      <c r="K333" s="107" t="n">
        <v>11737</v>
      </c>
      <c r="L333" s="23" t="n">
        <f aca="false">J333*K333</f>
        <v>10774566</v>
      </c>
    </row>
    <row r="334" customFormat="false" ht="22.5" hidden="false" customHeight="true" outlineLevel="0" collapsed="false">
      <c r="A334" s="22" t="s">
        <v>783</v>
      </c>
      <c r="B334" s="22" t="s">
        <v>202</v>
      </c>
      <c r="C334" s="22" t="s">
        <v>303</v>
      </c>
      <c r="D334" s="90"/>
      <c r="E334" s="90"/>
      <c r="F334" s="90"/>
      <c r="G334" s="90"/>
      <c r="H334" s="90"/>
      <c r="I334" s="90"/>
      <c r="J334" s="97" t="n">
        <v>72</v>
      </c>
      <c r="K334" s="107" t="n">
        <v>25802</v>
      </c>
      <c r="L334" s="23" t="n">
        <f aca="false">J334*K334</f>
        <v>1857744</v>
      </c>
    </row>
    <row r="335" customFormat="false" ht="22.5" hidden="false" customHeight="true" outlineLevel="0" collapsed="false">
      <c r="A335" s="22" t="s">
        <v>784</v>
      </c>
      <c r="B335" s="22" t="s">
        <v>204</v>
      </c>
      <c r="C335" s="22" t="s">
        <v>303</v>
      </c>
      <c r="D335" s="90"/>
      <c r="E335" s="90"/>
      <c r="F335" s="90"/>
      <c r="G335" s="90"/>
      <c r="H335" s="90"/>
      <c r="I335" s="90"/>
      <c r="J335" s="97" t="n">
        <v>8457</v>
      </c>
      <c r="K335" s="107" t="n">
        <v>32010</v>
      </c>
      <c r="L335" s="23" t="n">
        <f aca="false">J335*K335</f>
        <v>270708570</v>
      </c>
    </row>
    <row r="336" customFormat="false" ht="22.5" hidden="false" customHeight="true" outlineLevel="0" collapsed="false">
      <c r="A336" s="22" t="s">
        <v>785</v>
      </c>
      <c r="B336" s="22" t="s">
        <v>205</v>
      </c>
      <c r="C336" s="22" t="s">
        <v>303</v>
      </c>
      <c r="D336" s="90"/>
      <c r="E336" s="90"/>
      <c r="F336" s="90"/>
      <c r="G336" s="90"/>
      <c r="H336" s="90"/>
      <c r="I336" s="90"/>
      <c r="J336" s="97" t="n">
        <v>190</v>
      </c>
      <c r="K336" s="107" t="n">
        <v>67124</v>
      </c>
      <c r="L336" s="23" t="n">
        <f aca="false">J336*K336</f>
        <v>12753560</v>
      </c>
    </row>
    <row r="337" customFormat="false" ht="22.5" hidden="false" customHeight="true" outlineLevel="0" collapsed="false">
      <c r="A337" s="22" t="s">
        <v>786</v>
      </c>
      <c r="B337" s="22" t="s">
        <v>787</v>
      </c>
      <c r="C337" s="22" t="s">
        <v>327</v>
      </c>
      <c r="D337" s="90"/>
      <c r="E337" s="90"/>
      <c r="F337" s="90"/>
      <c r="G337" s="90"/>
      <c r="H337" s="90"/>
      <c r="I337" s="90"/>
      <c r="J337" s="91"/>
      <c r="K337" s="92"/>
      <c r="L337" s="23" t="n">
        <f aca="false">J337*K337</f>
        <v>0</v>
      </c>
    </row>
    <row r="338" customFormat="false" ht="22.5" hidden="false" customHeight="true" outlineLevel="0" collapsed="false">
      <c r="A338" s="22" t="s">
        <v>788</v>
      </c>
      <c r="B338" s="22" t="s">
        <v>255</v>
      </c>
      <c r="C338" s="22" t="s">
        <v>327</v>
      </c>
      <c r="D338" s="90"/>
      <c r="E338" s="90"/>
      <c r="F338" s="90"/>
      <c r="G338" s="90"/>
      <c r="H338" s="90"/>
      <c r="I338" s="90"/>
      <c r="J338" s="91"/>
      <c r="K338" s="92"/>
      <c r="L338" s="23" t="n">
        <f aca="false">J338*K338</f>
        <v>0</v>
      </c>
    </row>
    <row r="339" customFormat="false" ht="22.5" hidden="false" customHeight="true" outlineLevel="0" collapsed="false">
      <c r="A339" s="22" t="s">
        <v>789</v>
      </c>
      <c r="B339" s="93" t="s">
        <v>209</v>
      </c>
      <c r="C339" s="22" t="s">
        <v>451</v>
      </c>
      <c r="D339" s="90"/>
      <c r="E339" s="90"/>
      <c r="F339" s="90"/>
      <c r="G339" s="90"/>
      <c r="H339" s="90"/>
      <c r="I339" s="90"/>
      <c r="J339" s="97" t="n">
        <v>76</v>
      </c>
      <c r="K339" s="107" t="n">
        <v>58410</v>
      </c>
      <c r="L339" s="23" t="n">
        <f aca="false">J339*K339</f>
        <v>4439160</v>
      </c>
    </row>
    <row r="340" customFormat="false" ht="22.5" hidden="false" customHeight="true" outlineLevel="0" collapsed="false">
      <c r="A340" s="22" t="s">
        <v>790</v>
      </c>
      <c r="B340" s="22" t="s">
        <v>791</v>
      </c>
      <c r="C340" s="22" t="s">
        <v>654</v>
      </c>
      <c r="D340" s="90"/>
      <c r="E340" s="90"/>
      <c r="F340" s="90"/>
      <c r="G340" s="90"/>
      <c r="H340" s="90"/>
      <c r="I340" s="90"/>
      <c r="J340" s="91"/>
      <c r="K340" s="92"/>
      <c r="L340" s="23" t="n">
        <f aca="false">J340*K340</f>
        <v>0</v>
      </c>
    </row>
    <row r="341" customFormat="false" ht="22.5" hidden="false" customHeight="true" outlineLevel="0" collapsed="false">
      <c r="A341" s="22" t="s">
        <v>792</v>
      </c>
      <c r="B341" s="22" t="s">
        <v>206</v>
      </c>
      <c r="C341" s="22" t="s">
        <v>303</v>
      </c>
      <c r="D341" s="90"/>
      <c r="E341" s="90"/>
      <c r="F341" s="90"/>
      <c r="G341" s="90"/>
      <c r="H341" s="90"/>
      <c r="I341" s="90"/>
      <c r="J341" s="97" t="n">
        <v>360</v>
      </c>
      <c r="K341" s="107" t="n">
        <v>32864</v>
      </c>
      <c r="L341" s="23" t="n">
        <f aca="false">J341*K341</f>
        <v>11831040</v>
      </c>
    </row>
    <row r="342" customFormat="false" ht="22.5" hidden="false" customHeight="true" outlineLevel="0" collapsed="false">
      <c r="A342" s="22" t="s">
        <v>793</v>
      </c>
      <c r="B342" s="22" t="s">
        <v>207</v>
      </c>
      <c r="C342" s="22" t="s">
        <v>303</v>
      </c>
      <c r="D342" s="90"/>
      <c r="E342" s="90"/>
      <c r="F342" s="90"/>
      <c r="G342" s="90"/>
      <c r="H342" s="90"/>
      <c r="I342" s="90"/>
      <c r="J342" s="97" t="n">
        <v>2634</v>
      </c>
      <c r="K342" s="107" t="n">
        <v>12804</v>
      </c>
      <c r="L342" s="23" t="n">
        <f aca="false">J342*K342</f>
        <v>33725736</v>
      </c>
    </row>
    <row r="343" customFormat="false" ht="22.5" hidden="false" customHeight="true" outlineLevel="0" collapsed="false">
      <c r="A343" s="22" t="s">
        <v>794</v>
      </c>
      <c r="B343" s="22" t="s">
        <v>258</v>
      </c>
      <c r="C343" s="22" t="s">
        <v>327</v>
      </c>
      <c r="D343" s="90"/>
      <c r="E343" s="90"/>
      <c r="F343" s="90"/>
      <c r="G343" s="90"/>
      <c r="H343" s="90"/>
      <c r="I343" s="90"/>
      <c r="J343" s="97" t="n">
        <v>1215</v>
      </c>
      <c r="K343" s="115" t="n">
        <v>15322</v>
      </c>
      <c r="L343" s="23" t="n">
        <f aca="false">J343*K343</f>
        <v>18616230</v>
      </c>
    </row>
    <row r="344" customFormat="false" ht="22.5" hidden="false" customHeight="true" outlineLevel="0" collapsed="false">
      <c r="A344" s="22" t="s">
        <v>795</v>
      </c>
      <c r="B344" s="22" t="s">
        <v>208</v>
      </c>
      <c r="C344" s="22" t="s">
        <v>303</v>
      </c>
      <c r="D344" s="90"/>
      <c r="E344" s="90"/>
      <c r="F344" s="90"/>
      <c r="G344" s="90"/>
      <c r="H344" s="90"/>
      <c r="I344" s="90"/>
      <c r="J344" s="97" t="n">
        <v>205</v>
      </c>
      <c r="K344" s="107" t="n">
        <v>10476</v>
      </c>
      <c r="L344" s="23" t="n">
        <f aca="false">J344*K344</f>
        <v>2147580</v>
      </c>
    </row>
    <row r="345" customFormat="false" ht="22.5" hidden="false" customHeight="true" outlineLevel="0" collapsed="false">
      <c r="A345" s="22" t="s">
        <v>796</v>
      </c>
      <c r="B345" s="22" t="s">
        <v>797</v>
      </c>
      <c r="C345" s="22" t="s">
        <v>327</v>
      </c>
      <c r="D345" s="90"/>
      <c r="E345" s="90"/>
      <c r="F345" s="90"/>
      <c r="G345" s="90"/>
      <c r="H345" s="90"/>
      <c r="I345" s="90"/>
      <c r="J345" s="97" t="n">
        <v>90</v>
      </c>
      <c r="K345" s="120" t="n">
        <v>21363.9</v>
      </c>
      <c r="L345" s="23" t="n">
        <f aca="false">J345*K345</f>
        <v>1922751</v>
      </c>
    </row>
    <row r="346" customFormat="false" ht="22.5" hidden="false" customHeight="true" outlineLevel="0" collapsed="false">
      <c r="A346" s="22" t="s">
        <v>798</v>
      </c>
      <c r="B346" s="22" t="s">
        <v>799</v>
      </c>
      <c r="C346" s="22" t="s">
        <v>327</v>
      </c>
      <c r="D346" s="90"/>
      <c r="E346" s="90"/>
      <c r="F346" s="90"/>
      <c r="G346" s="90"/>
      <c r="H346" s="90"/>
      <c r="I346" s="90"/>
      <c r="J346" s="91"/>
      <c r="K346" s="92"/>
      <c r="L346" s="23" t="n">
        <f aca="false">J346*K346</f>
        <v>0</v>
      </c>
    </row>
    <row r="347" customFormat="false" ht="22.5" hidden="false" customHeight="true" outlineLevel="0" collapsed="false">
      <c r="A347" s="22" t="s">
        <v>800</v>
      </c>
      <c r="B347" s="22" t="s">
        <v>801</v>
      </c>
      <c r="C347" s="22" t="s">
        <v>327</v>
      </c>
      <c r="D347" s="90"/>
      <c r="E347" s="90"/>
      <c r="F347" s="90"/>
      <c r="G347" s="90"/>
      <c r="H347" s="90"/>
      <c r="I347" s="90"/>
      <c r="J347" s="91"/>
      <c r="K347" s="92"/>
      <c r="L347" s="23" t="n">
        <f aca="false">J347*K347</f>
        <v>0</v>
      </c>
    </row>
    <row r="348" customFormat="false" ht="22.5" hidden="false" customHeight="true" outlineLevel="0" collapsed="false">
      <c r="A348" s="22" t="s">
        <v>802</v>
      </c>
      <c r="B348" s="22" t="s">
        <v>803</v>
      </c>
      <c r="C348" s="22" t="s">
        <v>327</v>
      </c>
      <c r="D348" s="90"/>
      <c r="E348" s="90"/>
      <c r="F348" s="90"/>
      <c r="G348" s="90"/>
      <c r="H348" s="90"/>
      <c r="I348" s="90"/>
      <c r="J348" s="91"/>
      <c r="K348" s="92"/>
      <c r="L348" s="23" t="n">
        <f aca="false">J348*K348</f>
        <v>0</v>
      </c>
    </row>
    <row r="349" customFormat="false" ht="22.5" hidden="false" customHeight="true" outlineLevel="0" collapsed="false">
      <c r="A349" s="22" t="s">
        <v>804</v>
      </c>
      <c r="B349" s="22" t="s">
        <v>805</v>
      </c>
      <c r="C349" s="22" t="s">
        <v>699</v>
      </c>
      <c r="D349" s="90"/>
      <c r="E349" s="90"/>
      <c r="F349" s="90"/>
      <c r="G349" s="90"/>
      <c r="H349" s="90"/>
      <c r="I349" s="90"/>
      <c r="J349" s="91"/>
      <c r="K349" s="92"/>
      <c r="L349" s="23" t="n">
        <f aca="false">J349*K349</f>
        <v>0</v>
      </c>
    </row>
    <row r="350" customFormat="false" ht="22.5" hidden="false" customHeight="true" outlineLevel="0" collapsed="false">
      <c r="A350" s="22" t="s">
        <v>806</v>
      </c>
      <c r="B350" s="22" t="s">
        <v>256</v>
      </c>
      <c r="C350" s="22" t="s">
        <v>327</v>
      </c>
      <c r="D350" s="90"/>
      <c r="E350" s="90"/>
      <c r="F350" s="90"/>
      <c r="G350" s="90"/>
      <c r="H350" s="90"/>
      <c r="I350" s="90"/>
      <c r="J350" s="91"/>
      <c r="K350" s="92"/>
      <c r="L350" s="23" t="n">
        <f aca="false">J350*K350</f>
        <v>0</v>
      </c>
    </row>
    <row r="351" customFormat="false" ht="22.5" hidden="false" customHeight="true" outlineLevel="0" collapsed="false">
      <c r="A351" s="22" t="s">
        <v>807</v>
      </c>
      <c r="B351" s="22" t="s">
        <v>286</v>
      </c>
      <c r="C351" s="22" t="s">
        <v>327</v>
      </c>
      <c r="D351" s="90"/>
      <c r="E351" s="90"/>
      <c r="F351" s="90"/>
      <c r="G351" s="90"/>
      <c r="H351" s="90"/>
      <c r="I351" s="90"/>
      <c r="J351" s="91"/>
      <c r="K351" s="92"/>
      <c r="L351" s="23" t="n">
        <f aca="false">J351*K351</f>
        <v>0</v>
      </c>
    </row>
    <row r="352" customFormat="false" ht="22.5" hidden="false" customHeight="true" outlineLevel="0" collapsed="false">
      <c r="A352" s="22" t="s">
        <v>808</v>
      </c>
      <c r="B352" s="22" t="s">
        <v>213</v>
      </c>
      <c r="C352" s="22" t="s">
        <v>303</v>
      </c>
      <c r="D352" s="90"/>
      <c r="E352" s="90"/>
      <c r="F352" s="90"/>
      <c r="G352" s="90"/>
      <c r="H352" s="90"/>
      <c r="I352" s="90"/>
      <c r="J352" s="97" t="n">
        <v>1474</v>
      </c>
      <c r="K352" s="107" t="n">
        <v>21243</v>
      </c>
      <c r="L352" s="23" t="n">
        <f aca="false">J352*K352</f>
        <v>31312182</v>
      </c>
    </row>
    <row r="353" customFormat="false" ht="22.5" hidden="false" customHeight="true" outlineLevel="0" collapsed="false">
      <c r="A353" s="22" t="s">
        <v>809</v>
      </c>
      <c r="B353" s="22" t="s">
        <v>212</v>
      </c>
      <c r="C353" s="22" t="s">
        <v>303</v>
      </c>
      <c r="D353" s="90"/>
      <c r="E353" s="90"/>
      <c r="F353" s="90"/>
      <c r="G353" s="90"/>
      <c r="H353" s="90"/>
      <c r="I353" s="90"/>
      <c r="J353" s="97" t="n">
        <v>20747</v>
      </c>
      <c r="K353" s="107" t="n">
        <v>12416</v>
      </c>
      <c r="L353" s="23" t="n">
        <f aca="false">J353*K353</f>
        <v>257594752</v>
      </c>
    </row>
    <row r="354" customFormat="false" ht="22.5" hidden="false" customHeight="true" outlineLevel="0" collapsed="false">
      <c r="A354" s="22" t="s">
        <v>810</v>
      </c>
      <c r="B354" s="22" t="s">
        <v>811</v>
      </c>
      <c r="C354" s="22" t="s">
        <v>303</v>
      </c>
      <c r="D354" s="90"/>
      <c r="E354" s="90"/>
      <c r="F354" s="90"/>
      <c r="G354" s="90"/>
      <c r="H354" s="90"/>
      <c r="I354" s="90"/>
      <c r="J354" s="91"/>
      <c r="K354" s="92"/>
      <c r="L354" s="23" t="n">
        <f aca="false">J354*K354</f>
        <v>0</v>
      </c>
    </row>
    <row r="355" customFormat="false" ht="22.5" hidden="false" customHeight="true" outlineLevel="0" collapsed="false">
      <c r="A355" s="22" t="s">
        <v>812</v>
      </c>
      <c r="B355" s="22" t="s">
        <v>215</v>
      </c>
      <c r="C355" s="22" t="s">
        <v>303</v>
      </c>
      <c r="D355" s="90"/>
      <c r="E355" s="90"/>
      <c r="F355" s="90"/>
      <c r="G355" s="90"/>
      <c r="H355" s="90"/>
      <c r="I355" s="90"/>
      <c r="J355" s="97" t="n">
        <v>597</v>
      </c>
      <c r="K355" s="107" t="n">
        <v>42680</v>
      </c>
      <c r="L355" s="23" t="n">
        <f aca="false">J355*K355</f>
        <v>25479960</v>
      </c>
    </row>
    <row r="356" customFormat="false" ht="22.5" hidden="false" customHeight="true" outlineLevel="0" collapsed="false">
      <c r="A356" s="22" t="s">
        <v>813</v>
      </c>
      <c r="B356" s="22" t="s">
        <v>216</v>
      </c>
      <c r="C356" s="22" t="s">
        <v>303</v>
      </c>
      <c r="D356" s="90"/>
      <c r="E356" s="90"/>
      <c r="F356" s="90"/>
      <c r="G356" s="90"/>
      <c r="H356" s="90"/>
      <c r="I356" s="90"/>
      <c r="J356" s="91"/>
      <c r="K356" s="92"/>
      <c r="L356" s="23" t="n">
        <f aca="false">J356*K356</f>
        <v>0</v>
      </c>
    </row>
    <row r="357" customFormat="false" ht="22.5" hidden="false" customHeight="true" outlineLevel="0" collapsed="false">
      <c r="A357" s="22" t="s">
        <v>814</v>
      </c>
      <c r="B357" s="22" t="s">
        <v>815</v>
      </c>
      <c r="C357" s="22" t="s">
        <v>327</v>
      </c>
      <c r="D357" s="90"/>
      <c r="E357" s="90"/>
      <c r="F357" s="90"/>
      <c r="G357" s="90"/>
      <c r="H357" s="90"/>
      <c r="I357" s="90"/>
      <c r="J357" s="91"/>
      <c r="K357" s="92"/>
      <c r="L357" s="23" t="n">
        <f aca="false">J357*K357</f>
        <v>0</v>
      </c>
    </row>
    <row r="358" customFormat="false" ht="22.5" hidden="false" customHeight="true" outlineLevel="0" collapsed="false">
      <c r="A358" s="22" t="s">
        <v>816</v>
      </c>
      <c r="B358" s="22" t="s">
        <v>815</v>
      </c>
      <c r="C358" s="22" t="s">
        <v>528</v>
      </c>
      <c r="D358" s="90"/>
      <c r="E358" s="90"/>
      <c r="F358" s="90"/>
      <c r="G358" s="90"/>
      <c r="H358" s="90"/>
      <c r="I358" s="90"/>
      <c r="J358" s="91"/>
      <c r="K358" s="92"/>
      <c r="L358" s="23" t="n">
        <f aca="false">J358*K358</f>
        <v>0</v>
      </c>
    </row>
    <row r="359" customFormat="false" ht="22.5" hidden="false" customHeight="true" outlineLevel="0" collapsed="false">
      <c r="A359" s="22" t="s">
        <v>817</v>
      </c>
      <c r="B359" s="22" t="s">
        <v>818</v>
      </c>
      <c r="C359" s="22" t="s">
        <v>528</v>
      </c>
      <c r="D359" s="90"/>
      <c r="E359" s="90"/>
      <c r="F359" s="90"/>
      <c r="G359" s="90"/>
      <c r="H359" s="90"/>
      <c r="I359" s="90"/>
      <c r="J359" s="91"/>
      <c r="K359" s="92"/>
      <c r="L359" s="23" t="n">
        <f aca="false">J359*K359</f>
        <v>0</v>
      </c>
    </row>
    <row r="360" customFormat="false" ht="22.5" hidden="false" customHeight="true" outlineLevel="0" collapsed="false">
      <c r="A360" s="22" t="s">
        <v>819</v>
      </c>
      <c r="B360" s="22" t="s">
        <v>239</v>
      </c>
      <c r="C360" s="22" t="s">
        <v>451</v>
      </c>
      <c r="D360" s="90"/>
      <c r="E360" s="90"/>
      <c r="F360" s="90"/>
      <c r="G360" s="90"/>
      <c r="H360" s="90"/>
      <c r="I360" s="90"/>
      <c r="J360" s="91"/>
      <c r="K360" s="92"/>
      <c r="L360" s="23" t="n">
        <f aca="false">J360*K360</f>
        <v>0</v>
      </c>
    </row>
    <row r="361" customFormat="false" ht="22.5" hidden="false" customHeight="true" outlineLevel="0" collapsed="false">
      <c r="A361" s="22" t="s">
        <v>820</v>
      </c>
      <c r="B361" s="22" t="s">
        <v>821</v>
      </c>
      <c r="C361" s="22" t="s">
        <v>654</v>
      </c>
      <c r="D361" s="90"/>
      <c r="E361" s="90"/>
      <c r="F361" s="90"/>
      <c r="G361" s="90"/>
      <c r="H361" s="90"/>
      <c r="I361" s="90"/>
      <c r="J361" s="91"/>
      <c r="K361" s="92"/>
      <c r="L361" s="23" t="n">
        <f aca="false">J361*K361</f>
        <v>0</v>
      </c>
    </row>
    <row r="362" customFormat="false" ht="22.5" hidden="false" customHeight="true" outlineLevel="0" collapsed="false">
      <c r="A362" s="22" t="s">
        <v>822</v>
      </c>
      <c r="B362" s="22" t="s">
        <v>217</v>
      </c>
      <c r="C362" s="22" t="s">
        <v>654</v>
      </c>
      <c r="D362" s="90"/>
      <c r="E362" s="90"/>
      <c r="F362" s="90"/>
      <c r="G362" s="90"/>
      <c r="H362" s="90"/>
      <c r="I362" s="90"/>
      <c r="J362" s="97" t="n">
        <v>90</v>
      </c>
      <c r="K362" s="107" t="n">
        <v>180700</v>
      </c>
      <c r="L362" s="23" t="n">
        <f aca="false">J362*K362</f>
        <v>16263000</v>
      </c>
    </row>
    <row r="363" customFormat="false" ht="22.5" hidden="false" customHeight="true" outlineLevel="0" collapsed="false">
      <c r="A363" s="22" t="s">
        <v>823</v>
      </c>
      <c r="B363" s="22" t="s">
        <v>218</v>
      </c>
      <c r="C363" s="22" t="s">
        <v>654</v>
      </c>
      <c r="D363" s="90"/>
      <c r="E363" s="90"/>
      <c r="F363" s="90"/>
      <c r="G363" s="90"/>
      <c r="H363" s="90"/>
      <c r="I363" s="90"/>
      <c r="J363" s="97" t="n">
        <v>50</v>
      </c>
      <c r="K363" s="107" t="n">
        <v>239590</v>
      </c>
      <c r="L363" s="23" t="n">
        <f aca="false">J363*K363</f>
        <v>11979500</v>
      </c>
    </row>
    <row r="364" customFormat="false" ht="22.5" hidden="false" customHeight="true" outlineLevel="0" collapsed="false">
      <c r="A364" s="22" t="s">
        <v>824</v>
      </c>
      <c r="B364" s="22" t="s">
        <v>219</v>
      </c>
      <c r="C364" s="22" t="s">
        <v>654</v>
      </c>
      <c r="D364" s="90"/>
      <c r="E364" s="90"/>
      <c r="F364" s="90"/>
      <c r="G364" s="90"/>
      <c r="H364" s="90"/>
      <c r="I364" s="90"/>
      <c r="J364" s="97" t="n">
        <v>30</v>
      </c>
      <c r="K364" s="107" t="n">
        <v>236000</v>
      </c>
      <c r="L364" s="23" t="n">
        <f aca="false">J364*K364</f>
        <v>7080000</v>
      </c>
    </row>
    <row r="365" customFormat="false" ht="22.5" hidden="false" customHeight="true" outlineLevel="0" collapsed="false">
      <c r="A365" s="22" t="s">
        <v>825</v>
      </c>
      <c r="B365" s="22" t="s">
        <v>220</v>
      </c>
      <c r="C365" s="22" t="s">
        <v>303</v>
      </c>
      <c r="D365" s="90"/>
      <c r="E365" s="90"/>
      <c r="F365" s="90"/>
      <c r="G365" s="90"/>
      <c r="H365" s="90"/>
      <c r="I365" s="90"/>
      <c r="J365" s="97" t="n">
        <v>72</v>
      </c>
      <c r="K365" s="107" t="n">
        <v>24444</v>
      </c>
      <c r="L365" s="23" t="n">
        <f aca="false">J365*K365</f>
        <v>1759968</v>
      </c>
    </row>
    <row r="366" customFormat="false" ht="22.5" hidden="false" customHeight="true" outlineLevel="0" collapsed="false">
      <c r="A366" s="22" t="s">
        <v>826</v>
      </c>
      <c r="B366" s="22" t="s">
        <v>827</v>
      </c>
      <c r="C366" s="22" t="s">
        <v>303</v>
      </c>
      <c r="D366" s="90"/>
      <c r="E366" s="90"/>
      <c r="F366" s="90"/>
      <c r="G366" s="90"/>
      <c r="H366" s="90"/>
      <c r="I366" s="90"/>
      <c r="J366" s="91"/>
      <c r="K366" s="92"/>
      <c r="L366" s="23" t="n">
        <f aca="false">J366*K366</f>
        <v>0</v>
      </c>
    </row>
    <row r="367" customFormat="false" ht="22.5" hidden="false" customHeight="true" outlineLevel="0" collapsed="false">
      <c r="A367" s="22" t="s">
        <v>828</v>
      </c>
      <c r="B367" s="22" t="s">
        <v>829</v>
      </c>
      <c r="C367" s="22" t="s">
        <v>654</v>
      </c>
      <c r="D367" s="90"/>
      <c r="E367" s="90"/>
      <c r="F367" s="90"/>
      <c r="G367" s="90"/>
      <c r="H367" s="90"/>
      <c r="I367" s="90"/>
      <c r="J367" s="91"/>
      <c r="K367" s="92"/>
      <c r="L367" s="23" t="n">
        <f aca="false">J367*K367</f>
        <v>0</v>
      </c>
    </row>
    <row r="368" customFormat="false" ht="22.5" hidden="false" customHeight="true" outlineLevel="0" collapsed="false">
      <c r="A368" s="22" t="s">
        <v>830</v>
      </c>
      <c r="B368" s="22" t="s">
        <v>221</v>
      </c>
      <c r="C368" s="22" t="s">
        <v>303</v>
      </c>
      <c r="D368" s="90"/>
      <c r="E368" s="90"/>
      <c r="F368" s="90"/>
      <c r="G368" s="90"/>
      <c r="H368" s="90"/>
      <c r="I368" s="90"/>
      <c r="J368" s="97" t="n">
        <v>3930</v>
      </c>
      <c r="K368" s="107" t="n">
        <v>19691</v>
      </c>
      <c r="L368" s="23" t="n">
        <f aca="false">J368*K368</f>
        <v>77385630</v>
      </c>
    </row>
    <row r="369" customFormat="false" ht="22.5" hidden="false" customHeight="true" outlineLevel="0" collapsed="false">
      <c r="A369" s="22" t="s">
        <v>831</v>
      </c>
      <c r="B369" s="22" t="s">
        <v>222</v>
      </c>
      <c r="C369" s="22" t="s">
        <v>303</v>
      </c>
      <c r="D369" s="90"/>
      <c r="E369" s="90"/>
      <c r="F369" s="90"/>
      <c r="G369" s="90"/>
      <c r="H369" s="90"/>
      <c r="I369" s="90"/>
      <c r="J369" s="97" t="n">
        <v>892</v>
      </c>
      <c r="K369" s="107" t="n">
        <v>25123</v>
      </c>
      <c r="L369" s="23" t="n">
        <f aca="false">J369*K369</f>
        <v>22409716</v>
      </c>
    </row>
    <row r="370" customFormat="false" ht="22.5" hidden="false" customHeight="true" outlineLevel="0" collapsed="false">
      <c r="A370" s="22" t="s">
        <v>832</v>
      </c>
      <c r="B370" s="22" t="s">
        <v>223</v>
      </c>
      <c r="C370" s="22" t="s">
        <v>303</v>
      </c>
      <c r="D370" s="90"/>
      <c r="E370" s="90"/>
      <c r="F370" s="90"/>
      <c r="G370" s="90"/>
      <c r="H370" s="90"/>
      <c r="I370" s="90"/>
      <c r="J370" s="97" t="n">
        <v>247</v>
      </c>
      <c r="K370" s="107" t="n">
        <v>43262</v>
      </c>
      <c r="L370" s="23" t="n">
        <f aca="false">J370*K370</f>
        <v>10685714</v>
      </c>
    </row>
    <row r="371" customFormat="false" ht="22.5" hidden="false" customHeight="true" outlineLevel="0" collapsed="false">
      <c r="A371" s="22" t="s">
        <v>833</v>
      </c>
      <c r="B371" s="22" t="s">
        <v>224</v>
      </c>
      <c r="C371" s="22" t="s">
        <v>303</v>
      </c>
      <c r="D371" s="90"/>
      <c r="E371" s="90"/>
      <c r="F371" s="90"/>
      <c r="G371" s="90"/>
      <c r="H371" s="90"/>
      <c r="I371" s="90"/>
      <c r="J371" s="91"/>
      <c r="K371" s="92"/>
      <c r="L371" s="23" t="n">
        <f aca="false">J371*K371</f>
        <v>0</v>
      </c>
    </row>
    <row r="372" customFormat="false" ht="22.5" hidden="false" customHeight="true" outlineLevel="0" collapsed="false">
      <c r="A372" s="22" t="s">
        <v>834</v>
      </c>
      <c r="B372" s="22" t="s">
        <v>225</v>
      </c>
      <c r="C372" s="22" t="s">
        <v>303</v>
      </c>
      <c r="D372" s="90"/>
      <c r="E372" s="90"/>
      <c r="F372" s="90"/>
      <c r="G372" s="90"/>
      <c r="H372" s="90"/>
      <c r="I372" s="90"/>
      <c r="J372" s="97" t="n">
        <v>232</v>
      </c>
      <c r="K372" s="107" t="n">
        <v>20981</v>
      </c>
      <c r="L372" s="23" t="n">
        <f aca="false">J372*K372</f>
        <v>4867592</v>
      </c>
    </row>
    <row r="373" customFormat="false" ht="22.5" hidden="false" customHeight="true" outlineLevel="0" collapsed="false">
      <c r="A373" s="22" t="s">
        <v>835</v>
      </c>
      <c r="B373" s="22" t="s">
        <v>226</v>
      </c>
      <c r="C373" s="22" t="s">
        <v>303</v>
      </c>
      <c r="D373" s="90"/>
      <c r="E373" s="90"/>
      <c r="F373" s="90"/>
      <c r="G373" s="90"/>
      <c r="H373" s="90"/>
      <c r="I373" s="90"/>
      <c r="J373" s="91"/>
      <c r="K373" s="92"/>
      <c r="L373" s="23" t="n">
        <f aca="false">J373*K373</f>
        <v>0</v>
      </c>
    </row>
    <row r="374" customFormat="false" ht="22.5" hidden="false" customHeight="true" outlineLevel="0" collapsed="false">
      <c r="A374" s="22" t="s">
        <v>836</v>
      </c>
      <c r="B374" s="22" t="s">
        <v>837</v>
      </c>
      <c r="C374" s="22" t="s">
        <v>654</v>
      </c>
      <c r="D374" s="90"/>
      <c r="E374" s="90"/>
      <c r="F374" s="90"/>
      <c r="G374" s="90"/>
      <c r="H374" s="90"/>
      <c r="I374" s="90"/>
      <c r="J374" s="97" t="n">
        <v>444</v>
      </c>
      <c r="K374" s="107" t="n">
        <v>88984</v>
      </c>
      <c r="L374" s="23" t="n">
        <f aca="false">J374*K374</f>
        <v>39508896</v>
      </c>
    </row>
    <row r="375" customFormat="false" ht="22.5" hidden="false" customHeight="true" outlineLevel="0" collapsed="false">
      <c r="A375" s="22" t="s">
        <v>838</v>
      </c>
      <c r="B375" s="22" t="s">
        <v>839</v>
      </c>
      <c r="C375" s="22" t="s">
        <v>654</v>
      </c>
      <c r="D375" s="90"/>
      <c r="E375" s="90"/>
      <c r="F375" s="90"/>
      <c r="G375" s="90"/>
      <c r="H375" s="90"/>
      <c r="I375" s="90"/>
      <c r="J375" s="97" t="n">
        <v>123</v>
      </c>
      <c r="K375" s="107" t="n">
        <v>87808</v>
      </c>
      <c r="L375" s="23" t="n">
        <f aca="false">J375*K375</f>
        <v>10800384</v>
      </c>
    </row>
    <row r="376" customFormat="false" ht="22.5" hidden="false" customHeight="true" outlineLevel="0" collapsed="false">
      <c r="A376" s="22" t="s">
        <v>840</v>
      </c>
      <c r="B376" s="22" t="s">
        <v>234</v>
      </c>
      <c r="C376" s="22" t="s">
        <v>654</v>
      </c>
      <c r="D376" s="90"/>
      <c r="E376" s="90"/>
      <c r="F376" s="90"/>
      <c r="G376" s="90"/>
      <c r="H376" s="90"/>
      <c r="I376" s="90"/>
      <c r="J376" s="97" t="n">
        <v>18807</v>
      </c>
      <c r="K376" s="107" t="n">
        <v>59682</v>
      </c>
      <c r="L376" s="23" t="n">
        <f aca="false">J376*K376</f>
        <v>1122439374</v>
      </c>
    </row>
    <row r="377" customFormat="false" ht="22.5" hidden="false" customHeight="true" outlineLevel="0" collapsed="false">
      <c r="A377" s="22" t="s">
        <v>841</v>
      </c>
      <c r="B377" s="22" t="s">
        <v>235</v>
      </c>
      <c r="C377" s="22" t="s">
        <v>451</v>
      </c>
      <c r="D377" s="90"/>
      <c r="E377" s="90"/>
      <c r="F377" s="90"/>
      <c r="G377" s="90"/>
      <c r="H377" s="90"/>
      <c r="I377" s="90"/>
      <c r="J377" s="97" t="n">
        <v>144</v>
      </c>
      <c r="K377" s="107" t="n">
        <v>70560</v>
      </c>
      <c r="L377" s="23" t="n">
        <f aca="false">J377*K377</f>
        <v>10160640</v>
      </c>
    </row>
    <row r="378" customFormat="false" ht="22.5" hidden="false" customHeight="true" outlineLevel="0" collapsed="false">
      <c r="A378" s="22" t="s">
        <v>842</v>
      </c>
      <c r="B378" s="22" t="s">
        <v>843</v>
      </c>
      <c r="C378" s="22" t="s">
        <v>844</v>
      </c>
      <c r="D378" s="90"/>
      <c r="E378" s="90"/>
      <c r="F378" s="90"/>
      <c r="G378" s="90"/>
      <c r="H378" s="90"/>
      <c r="I378" s="90"/>
      <c r="J378" s="97" t="n">
        <v>263</v>
      </c>
      <c r="K378" s="120" t="n">
        <v>65170</v>
      </c>
      <c r="L378" s="23" t="n">
        <f aca="false">J378*K378</f>
        <v>17139710</v>
      </c>
    </row>
    <row r="379" customFormat="false" ht="22.5" hidden="false" customHeight="true" outlineLevel="0" collapsed="false">
      <c r="A379" s="121" t="s">
        <v>845</v>
      </c>
      <c r="B379" s="121" t="s">
        <v>231</v>
      </c>
      <c r="C379" s="121" t="s">
        <v>451</v>
      </c>
      <c r="D379" s="90"/>
      <c r="E379" s="90"/>
      <c r="F379" s="90"/>
      <c r="G379" s="90"/>
      <c r="H379" s="90"/>
      <c r="I379" s="90"/>
      <c r="J379" s="122" t="n">
        <v>0</v>
      </c>
      <c r="K379" s="123"/>
      <c r="L379" s="23" t="n">
        <f aca="false">J379*K379</f>
        <v>0</v>
      </c>
    </row>
    <row r="380" customFormat="false" ht="22.5" hidden="false" customHeight="true" outlineLevel="0" collapsed="false">
      <c r="A380" s="22" t="s">
        <v>846</v>
      </c>
      <c r="B380" s="22" t="s">
        <v>232</v>
      </c>
      <c r="C380" s="22" t="s">
        <v>451</v>
      </c>
      <c r="D380" s="90"/>
      <c r="E380" s="90"/>
      <c r="F380" s="90"/>
      <c r="G380" s="90"/>
      <c r="H380" s="90"/>
      <c r="I380" s="90"/>
      <c r="J380" s="91"/>
      <c r="K380" s="92"/>
      <c r="L380" s="23" t="n">
        <f aca="false">J380*K380</f>
        <v>0</v>
      </c>
    </row>
    <row r="381" customFormat="false" ht="22.5" hidden="false" customHeight="true" outlineLevel="0" collapsed="false">
      <c r="A381" s="22" t="s">
        <v>847</v>
      </c>
      <c r="B381" s="22" t="s">
        <v>237</v>
      </c>
      <c r="C381" s="22" t="s">
        <v>654</v>
      </c>
      <c r="D381" s="90"/>
      <c r="E381" s="90"/>
      <c r="F381" s="90"/>
      <c r="G381" s="90"/>
      <c r="H381" s="90"/>
      <c r="I381" s="90"/>
      <c r="J381" s="97" t="n">
        <v>235</v>
      </c>
      <c r="K381" s="107" t="n">
        <v>59290</v>
      </c>
      <c r="L381" s="23" t="n">
        <f aca="false">J381*K381</f>
        <v>13933150</v>
      </c>
    </row>
    <row r="382" customFormat="false" ht="22.5" hidden="false" customHeight="true" outlineLevel="0" collapsed="false">
      <c r="A382" s="22" t="s">
        <v>848</v>
      </c>
      <c r="B382" s="22" t="s">
        <v>238</v>
      </c>
      <c r="C382" s="22" t="s">
        <v>654</v>
      </c>
      <c r="D382" s="90"/>
      <c r="E382" s="90"/>
      <c r="F382" s="90"/>
      <c r="G382" s="90"/>
      <c r="H382" s="90"/>
      <c r="I382" s="90"/>
      <c r="J382" s="97" t="n">
        <v>810</v>
      </c>
      <c r="K382" s="107" t="n">
        <v>59100.86</v>
      </c>
      <c r="L382" s="23" t="n">
        <f aca="false">J382*K382</f>
        <v>47871696.6</v>
      </c>
    </row>
    <row r="383" customFormat="false" ht="22.5" hidden="false" customHeight="true" outlineLevel="0" collapsed="false">
      <c r="A383" s="22" t="s">
        <v>849</v>
      </c>
      <c r="B383" s="22" t="s">
        <v>236</v>
      </c>
      <c r="C383" s="22" t="s">
        <v>654</v>
      </c>
      <c r="D383" s="90"/>
      <c r="E383" s="90"/>
      <c r="F383" s="90"/>
      <c r="G383" s="90"/>
      <c r="H383" s="90"/>
      <c r="I383" s="90"/>
      <c r="J383" s="97" t="n">
        <v>412</v>
      </c>
      <c r="K383" s="107" t="n">
        <v>64141</v>
      </c>
      <c r="L383" s="23" t="n">
        <f aca="false">J383*K383</f>
        <v>26426092</v>
      </c>
    </row>
    <row r="384" customFormat="false" ht="22.5" hidden="false" customHeight="true" outlineLevel="0" collapsed="false">
      <c r="A384" s="22" t="s">
        <v>850</v>
      </c>
      <c r="B384" s="22" t="s">
        <v>851</v>
      </c>
      <c r="C384" s="22" t="s">
        <v>451</v>
      </c>
      <c r="D384" s="90"/>
      <c r="E384" s="90"/>
      <c r="F384" s="90"/>
      <c r="G384" s="90"/>
      <c r="H384" s="90"/>
      <c r="I384" s="90"/>
      <c r="J384" s="91"/>
      <c r="K384" s="92"/>
      <c r="L384" s="23" t="n">
        <f aca="false">J384*K384</f>
        <v>0</v>
      </c>
    </row>
    <row r="385" customFormat="false" ht="22.5" hidden="false" customHeight="true" outlineLevel="0" collapsed="false">
      <c r="A385" s="22" t="s">
        <v>852</v>
      </c>
      <c r="B385" s="22" t="s">
        <v>229</v>
      </c>
      <c r="C385" s="22" t="s">
        <v>654</v>
      </c>
      <c r="D385" s="90"/>
      <c r="E385" s="90"/>
      <c r="F385" s="90"/>
      <c r="G385" s="90"/>
      <c r="H385" s="90"/>
      <c r="I385" s="90"/>
      <c r="J385" s="97" t="n">
        <v>226</v>
      </c>
      <c r="K385" s="107" t="n">
        <v>93394</v>
      </c>
      <c r="L385" s="23" t="n">
        <f aca="false">J385*K385</f>
        <v>21107044</v>
      </c>
    </row>
    <row r="386" customFormat="false" ht="22.5" hidden="false" customHeight="true" outlineLevel="0" collapsed="false">
      <c r="A386" s="22" t="s">
        <v>853</v>
      </c>
      <c r="B386" s="22" t="s">
        <v>240</v>
      </c>
      <c r="C386" s="22" t="s">
        <v>654</v>
      </c>
      <c r="D386" s="90"/>
      <c r="E386" s="90"/>
      <c r="F386" s="90"/>
      <c r="G386" s="90"/>
      <c r="H386" s="90"/>
      <c r="I386" s="90"/>
      <c r="J386" s="97" t="n">
        <v>549</v>
      </c>
      <c r="K386" s="107" t="n">
        <v>93492</v>
      </c>
      <c r="L386" s="23" t="n">
        <f aca="false">J386*K386</f>
        <v>51327108</v>
      </c>
    </row>
    <row r="387" customFormat="false" ht="22.5" hidden="false" customHeight="true" outlineLevel="0" collapsed="false">
      <c r="A387" s="22" t="s">
        <v>854</v>
      </c>
      <c r="B387" s="22" t="s">
        <v>241</v>
      </c>
      <c r="C387" s="22" t="s">
        <v>654</v>
      </c>
      <c r="D387" s="90"/>
      <c r="E387" s="90"/>
      <c r="F387" s="90"/>
      <c r="G387" s="90"/>
      <c r="H387" s="90"/>
      <c r="I387" s="90"/>
      <c r="J387" s="97" t="n">
        <v>969</v>
      </c>
      <c r="K387" s="107" t="n">
        <v>82810</v>
      </c>
      <c r="L387" s="23" t="n">
        <f aca="false">J387*K387</f>
        <v>80242890</v>
      </c>
    </row>
    <row r="388" customFormat="false" ht="22.5" hidden="false" customHeight="true" outlineLevel="0" collapsed="false">
      <c r="A388" s="22" t="s">
        <v>855</v>
      </c>
      <c r="B388" s="22" t="s">
        <v>242</v>
      </c>
      <c r="C388" s="22" t="s">
        <v>654</v>
      </c>
      <c r="D388" s="90"/>
      <c r="E388" s="90"/>
      <c r="F388" s="90"/>
      <c r="G388" s="90"/>
      <c r="H388" s="90"/>
      <c r="I388" s="90"/>
      <c r="J388" s="97" t="n">
        <v>158</v>
      </c>
      <c r="K388" s="107" t="n">
        <v>72324</v>
      </c>
      <c r="L388" s="23" t="n">
        <f aca="false">J388*K388</f>
        <v>11427192</v>
      </c>
    </row>
    <row r="389" customFormat="false" ht="22.5" hidden="false" customHeight="true" outlineLevel="0" collapsed="false">
      <c r="A389" s="22" t="s">
        <v>856</v>
      </c>
      <c r="B389" s="22" t="s">
        <v>857</v>
      </c>
      <c r="C389" s="22" t="s">
        <v>654</v>
      </c>
      <c r="D389" s="90"/>
      <c r="E389" s="90"/>
      <c r="F389" s="90"/>
      <c r="G389" s="90"/>
      <c r="H389" s="90"/>
      <c r="I389" s="90"/>
      <c r="J389" s="97" t="n">
        <v>879</v>
      </c>
      <c r="K389" s="107" t="n">
        <v>93492</v>
      </c>
      <c r="L389" s="23" t="n">
        <f aca="false">J389*K389</f>
        <v>82179468</v>
      </c>
    </row>
    <row r="390" customFormat="false" ht="22.5" hidden="false" customHeight="true" outlineLevel="0" collapsed="false">
      <c r="A390" s="22" t="s">
        <v>858</v>
      </c>
      <c r="B390" s="22" t="s">
        <v>859</v>
      </c>
      <c r="C390" s="22" t="s">
        <v>654</v>
      </c>
      <c r="D390" s="90"/>
      <c r="E390" s="90"/>
      <c r="F390" s="90"/>
      <c r="G390" s="90"/>
      <c r="H390" s="90"/>
      <c r="I390" s="90"/>
      <c r="J390" s="91"/>
      <c r="K390" s="92"/>
      <c r="L390" s="23" t="n">
        <f aca="false">J390*K390</f>
        <v>0</v>
      </c>
    </row>
    <row r="391" customFormat="false" ht="22.5" hidden="false" customHeight="true" outlineLevel="0" collapsed="false">
      <c r="A391" s="22" t="s">
        <v>860</v>
      </c>
      <c r="B391" s="22" t="s">
        <v>244</v>
      </c>
      <c r="C391" s="22" t="s">
        <v>654</v>
      </c>
      <c r="D391" s="90"/>
      <c r="E391" s="90"/>
      <c r="F391" s="90"/>
      <c r="G391" s="90"/>
      <c r="H391" s="90"/>
      <c r="I391" s="90"/>
      <c r="J391" s="91"/>
      <c r="K391" s="92"/>
      <c r="L391" s="23" t="n">
        <f aca="false">J391*K391</f>
        <v>0</v>
      </c>
    </row>
    <row r="392" customFormat="false" ht="22.5" hidden="false" customHeight="true" outlineLevel="0" collapsed="false">
      <c r="A392" s="22" t="s">
        <v>861</v>
      </c>
      <c r="B392" s="22" t="s">
        <v>243</v>
      </c>
      <c r="C392" s="22" t="s">
        <v>654</v>
      </c>
      <c r="D392" s="90"/>
      <c r="E392" s="90"/>
      <c r="F392" s="90"/>
      <c r="G392" s="90"/>
      <c r="H392" s="90"/>
      <c r="I392" s="90"/>
      <c r="J392" s="97" t="n">
        <v>129</v>
      </c>
      <c r="K392" s="107" t="n">
        <v>93394</v>
      </c>
      <c r="L392" s="23" t="n">
        <f aca="false">J392*K392</f>
        <v>12047826</v>
      </c>
    </row>
    <row r="393" customFormat="false" ht="22.5" hidden="false" customHeight="true" outlineLevel="0" collapsed="false">
      <c r="A393" s="22" t="s">
        <v>862</v>
      </c>
      <c r="B393" s="22" t="s">
        <v>863</v>
      </c>
      <c r="C393" s="22" t="s">
        <v>864</v>
      </c>
      <c r="D393" s="90"/>
      <c r="E393" s="90"/>
      <c r="F393" s="90"/>
      <c r="G393" s="90"/>
      <c r="H393" s="90"/>
      <c r="I393" s="90"/>
      <c r="J393" s="91"/>
      <c r="K393" s="92"/>
      <c r="L393" s="23" t="n">
        <f aca="false">J393*K393</f>
        <v>0</v>
      </c>
    </row>
    <row r="394" customFormat="false" ht="22.5" hidden="false" customHeight="true" outlineLevel="0" collapsed="false">
      <c r="A394" s="22" t="s">
        <v>865</v>
      </c>
      <c r="B394" s="22" t="s">
        <v>866</v>
      </c>
      <c r="C394" s="22" t="s">
        <v>528</v>
      </c>
      <c r="D394" s="90"/>
      <c r="E394" s="90"/>
      <c r="F394" s="90"/>
      <c r="G394" s="90"/>
      <c r="H394" s="90"/>
      <c r="I394" s="90"/>
      <c r="J394" s="91"/>
      <c r="K394" s="92"/>
      <c r="L394" s="23" t="n">
        <f aca="false">J394*K394</f>
        <v>0</v>
      </c>
    </row>
    <row r="395" customFormat="false" ht="22.5" hidden="false" customHeight="true" outlineLevel="0" collapsed="false">
      <c r="A395" s="24" t="s">
        <v>867</v>
      </c>
      <c r="B395" s="24" t="s">
        <v>866</v>
      </c>
      <c r="C395" s="24" t="s">
        <v>864</v>
      </c>
      <c r="D395" s="90"/>
      <c r="E395" s="90"/>
      <c r="F395" s="90"/>
      <c r="G395" s="90"/>
      <c r="H395" s="90"/>
      <c r="I395" s="90"/>
      <c r="J395" s="102" t="n">
        <v>5280</v>
      </c>
      <c r="K395" s="103" t="n">
        <v>7127.54</v>
      </c>
      <c r="L395" s="25" t="n">
        <f aca="false">J395*K395</f>
        <v>37633411.2</v>
      </c>
    </row>
    <row r="396" customFormat="false" ht="22.5" hidden="false" customHeight="true" outlineLevel="0" collapsed="false">
      <c r="A396" s="22" t="s">
        <v>868</v>
      </c>
      <c r="B396" s="22" t="s">
        <v>869</v>
      </c>
      <c r="C396" s="22" t="s">
        <v>528</v>
      </c>
      <c r="D396" s="90"/>
      <c r="E396" s="90"/>
      <c r="F396" s="90"/>
      <c r="G396" s="90"/>
      <c r="H396" s="90"/>
      <c r="I396" s="90"/>
      <c r="J396" s="91"/>
      <c r="K396" s="92"/>
      <c r="L396" s="23" t="n">
        <f aca="false">J396*K396</f>
        <v>0</v>
      </c>
    </row>
    <row r="397" customFormat="false" ht="22.5" hidden="false" customHeight="true" outlineLevel="0" collapsed="false">
      <c r="A397" s="22" t="s">
        <v>870</v>
      </c>
      <c r="B397" s="22" t="s">
        <v>247</v>
      </c>
      <c r="C397" s="22" t="s">
        <v>528</v>
      </c>
      <c r="D397" s="90"/>
      <c r="E397" s="90"/>
      <c r="F397" s="90"/>
      <c r="G397" s="90"/>
      <c r="H397" s="90"/>
      <c r="I397" s="90"/>
      <c r="J397" s="91"/>
      <c r="K397" s="92"/>
      <c r="L397" s="23" t="n">
        <f aca="false">J397*K397</f>
        <v>0</v>
      </c>
    </row>
    <row r="398" customFormat="false" ht="22.5" hidden="false" customHeight="true" outlineLevel="0" collapsed="false">
      <c r="A398" s="24" t="s">
        <v>871</v>
      </c>
      <c r="B398" s="24" t="s">
        <v>247</v>
      </c>
      <c r="C398" s="24" t="s">
        <v>864</v>
      </c>
      <c r="D398" s="90"/>
      <c r="E398" s="90"/>
      <c r="F398" s="90"/>
      <c r="G398" s="90"/>
      <c r="H398" s="90"/>
      <c r="I398" s="90"/>
      <c r="J398" s="102" t="n">
        <v>8640</v>
      </c>
      <c r="K398" s="103" t="n">
        <v>7127.54</v>
      </c>
      <c r="L398" s="25" t="n">
        <f aca="false">J398*K398</f>
        <v>61581945.6</v>
      </c>
    </row>
    <row r="399" customFormat="false" ht="22.5" hidden="false" customHeight="true" outlineLevel="0" collapsed="false">
      <c r="A399" s="22" t="s">
        <v>872</v>
      </c>
      <c r="B399" s="22" t="s">
        <v>248</v>
      </c>
      <c r="C399" s="22" t="s">
        <v>528</v>
      </c>
      <c r="D399" s="90"/>
      <c r="E399" s="90"/>
      <c r="F399" s="90"/>
      <c r="G399" s="90"/>
      <c r="H399" s="90"/>
      <c r="I399" s="90"/>
      <c r="J399" s="91"/>
      <c r="K399" s="92"/>
      <c r="L399" s="23" t="n">
        <f aca="false">J399*K399</f>
        <v>0</v>
      </c>
    </row>
    <row r="400" customFormat="false" ht="22.5" hidden="false" customHeight="true" outlineLevel="0" collapsed="false">
      <c r="A400" s="22" t="s">
        <v>873</v>
      </c>
      <c r="B400" s="22" t="s">
        <v>874</v>
      </c>
      <c r="C400" s="22" t="s">
        <v>528</v>
      </c>
      <c r="D400" s="90"/>
      <c r="E400" s="90"/>
      <c r="F400" s="90"/>
      <c r="G400" s="90"/>
      <c r="H400" s="90"/>
      <c r="I400" s="90"/>
      <c r="J400" s="91"/>
      <c r="K400" s="92"/>
      <c r="L400" s="23" t="n">
        <f aca="false">J400*K400</f>
        <v>0</v>
      </c>
    </row>
    <row r="401" customFormat="false" ht="22.5" hidden="false" customHeight="true" outlineLevel="0" collapsed="false">
      <c r="A401" s="22" t="s">
        <v>875</v>
      </c>
      <c r="B401" s="22" t="s">
        <v>248</v>
      </c>
      <c r="C401" s="22" t="s">
        <v>864</v>
      </c>
      <c r="D401" s="90"/>
      <c r="E401" s="90"/>
      <c r="F401" s="90"/>
      <c r="G401" s="90"/>
      <c r="H401" s="90"/>
      <c r="I401" s="90"/>
      <c r="J401" s="122" t="n">
        <v>384</v>
      </c>
      <c r="K401" s="124" t="n">
        <v>7127.54166666667</v>
      </c>
      <c r="L401" s="23" t="n">
        <f aca="false">J401*K401</f>
        <v>2736976</v>
      </c>
    </row>
    <row r="402" customFormat="false" ht="22.5" hidden="false" customHeight="true" outlineLevel="0" collapsed="false">
      <c r="A402" s="22" t="s">
        <v>876</v>
      </c>
      <c r="B402" s="22" t="s">
        <v>249</v>
      </c>
      <c r="C402" s="22" t="s">
        <v>528</v>
      </c>
      <c r="D402" s="90"/>
      <c r="E402" s="90"/>
      <c r="F402" s="90"/>
      <c r="G402" s="90"/>
      <c r="H402" s="90"/>
      <c r="I402" s="90"/>
      <c r="J402" s="91"/>
      <c r="K402" s="92"/>
      <c r="L402" s="23" t="n">
        <f aca="false">J402*K402</f>
        <v>0</v>
      </c>
    </row>
    <row r="403" customFormat="false" ht="22.5" hidden="false" customHeight="true" outlineLevel="0" collapsed="false">
      <c r="A403" s="22" t="s">
        <v>877</v>
      </c>
      <c r="B403" s="22" t="s">
        <v>878</v>
      </c>
      <c r="C403" s="22" t="s">
        <v>528</v>
      </c>
      <c r="D403" s="90"/>
      <c r="E403" s="90"/>
      <c r="F403" s="90"/>
      <c r="G403" s="90"/>
      <c r="H403" s="90"/>
      <c r="I403" s="90"/>
      <c r="J403" s="91"/>
      <c r="K403" s="92"/>
      <c r="L403" s="23" t="n">
        <f aca="false">J403*K403</f>
        <v>0</v>
      </c>
    </row>
    <row r="404" customFormat="false" ht="22.5" hidden="false" customHeight="true" outlineLevel="0" collapsed="false">
      <c r="A404" s="22" t="s">
        <v>879</v>
      </c>
      <c r="B404" s="22" t="s">
        <v>249</v>
      </c>
      <c r="C404" s="22" t="s">
        <v>864</v>
      </c>
      <c r="D404" s="90"/>
      <c r="E404" s="90"/>
      <c r="F404" s="90"/>
      <c r="G404" s="90"/>
      <c r="H404" s="90"/>
      <c r="I404" s="90"/>
      <c r="J404" s="122" t="n">
        <v>691</v>
      </c>
      <c r="K404" s="124" t="n">
        <v>7127.54166666667</v>
      </c>
      <c r="L404" s="23" t="n">
        <f aca="false">J404*K404</f>
        <v>4925131.29166667</v>
      </c>
    </row>
    <row r="405" customFormat="false" ht="22.5" hidden="false" customHeight="true" outlineLevel="0" collapsed="false">
      <c r="A405" s="22" t="s">
        <v>880</v>
      </c>
      <c r="B405" s="22" t="s">
        <v>881</v>
      </c>
      <c r="C405" s="22" t="s">
        <v>528</v>
      </c>
      <c r="D405" s="90"/>
      <c r="E405" s="90"/>
      <c r="F405" s="90"/>
      <c r="G405" s="90"/>
      <c r="H405" s="90"/>
      <c r="I405" s="90"/>
      <c r="J405" s="91"/>
      <c r="K405" s="92"/>
      <c r="L405" s="23" t="n">
        <f aca="false">J405*K405</f>
        <v>0</v>
      </c>
    </row>
    <row r="406" customFormat="false" ht="22.5" hidden="false" customHeight="true" outlineLevel="0" collapsed="false">
      <c r="A406" s="24" t="s">
        <v>882</v>
      </c>
      <c r="B406" s="24" t="s">
        <v>881</v>
      </c>
      <c r="C406" s="24" t="s">
        <v>864</v>
      </c>
      <c r="D406" s="90"/>
      <c r="E406" s="90"/>
      <c r="F406" s="90"/>
      <c r="G406" s="90"/>
      <c r="H406" s="90"/>
      <c r="I406" s="90"/>
      <c r="J406" s="102" t="n">
        <v>7200</v>
      </c>
      <c r="K406" s="125" t="n">
        <v>7127.54166666667</v>
      </c>
      <c r="L406" s="25" t="n">
        <f aca="false">J406*K406</f>
        <v>51318300</v>
      </c>
    </row>
    <row r="407" customFormat="false" ht="22.5" hidden="false" customHeight="true" outlineLevel="0" collapsed="false">
      <c r="A407" s="108" t="s">
        <v>883</v>
      </c>
      <c r="B407" s="108" t="s">
        <v>227</v>
      </c>
      <c r="C407" s="108" t="s">
        <v>528</v>
      </c>
      <c r="D407" s="90"/>
      <c r="E407" s="90"/>
      <c r="F407" s="90"/>
      <c r="G407" s="90"/>
      <c r="H407" s="90"/>
      <c r="I407" s="90"/>
      <c r="J407" s="109"/>
      <c r="K407" s="110"/>
      <c r="L407" s="111" t="n">
        <f aca="false">J407*K407</f>
        <v>0</v>
      </c>
    </row>
    <row r="408" customFormat="false" ht="22.5" hidden="false" customHeight="true" outlineLevel="0" collapsed="false">
      <c r="A408" s="24" t="s">
        <v>884</v>
      </c>
      <c r="B408" s="24" t="s">
        <v>283</v>
      </c>
      <c r="C408" s="24" t="s">
        <v>327</v>
      </c>
      <c r="D408" s="90"/>
      <c r="E408" s="90"/>
      <c r="F408" s="90"/>
      <c r="G408" s="90"/>
      <c r="H408" s="90"/>
      <c r="I408" s="90"/>
      <c r="J408" s="102" t="n">
        <v>500</v>
      </c>
      <c r="K408" s="103" t="n">
        <v>35952</v>
      </c>
      <c r="L408" s="25" t="n">
        <f aca="false">J408*K408</f>
        <v>17976000</v>
      </c>
    </row>
    <row r="409" customFormat="false" ht="22.5" hidden="false" customHeight="true" outlineLevel="0" collapsed="false">
      <c r="A409" s="22" t="s">
        <v>885</v>
      </c>
      <c r="B409" s="22" t="s">
        <v>284</v>
      </c>
      <c r="C409" s="22" t="s">
        <v>327</v>
      </c>
      <c r="D409" s="90"/>
      <c r="E409" s="90"/>
      <c r="F409" s="90"/>
      <c r="G409" s="90"/>
      <c r="H409" s="90"/>
      <c r="I409" s="90"/>
      <c r="J409" s="97" t="n">
        <v>184</v>
      </c>
      <c r="K409" s="120" t="n">
        <v>46032</v>
      </c>
      <c r="L409" s="23" t="n">
        <f aca="false">J409*K409</f>
        <v>8469888</v>
      </c>
    </row>
    <row r="410" customFormat="false" ht="22.5" hidden="false" customHeight="true" outlineLevel="0" collapsed="false">
      <c r="A410" s="22" t="s">
        <v>886</v>
      </c>
      <c r="B410" s="22" t="s">
        <v>285</v>
      </c>
      <c r="C410" s="22" t="s">
        <v>327</v>
      </c>
      <c r="D410" s="90"/>
      <c r="E410" s="90"/>
      <c r="F410" s="90"/>
      <c r="G410" s="90"/>
      <c r="H410" s="90"/>
      <c r="I410" s="90"/>
      <c r="J410" s="91"/>
      <c r="K410" s="92"/>
      <c r="L410" s="23" t="n">
        <f aca="false">J410*K410</f>
        <v>0</v>
      </c>
    </row>
    <row r="411" customFormat="false" ht="13.8" hidden="false" customHeight="false" outlineLevel="0" collapsed="false">
      <c r="A411" s="14"/>
      <c r="B411" s="14"/>
      <c r="C411" s="14"/>
      <c r="J411" s="14"/>
      <c r="K411" s="126"/>
      <c r="L411" s="15" t="n">
        <f aca="false">SUM(L6:L410)</f>
        <v>15761286564.2417</v>
      </c>
    </row>
    <row r="412" customFormat="false" ht="13.8" hidden="false" customHeight="false" outlineLevel="0" collapsed="false">
      <c r="A412" s="14"/>
      <c r="B412" s="14"/>
      <c r="C412" s="14"/>
      <c r="J412" s="14"/>
      <c r="K412" s="126"/>
      <c r="L412" s="15" t="n">
        <f aca="false">'ĐC Chính'!$J$286</f>
        <v>15761231523</v>
      </c>
    </row>
    <row r="413" customFormat="false" ht="13.8" hidden="false" customHeight="false" outlineLevel="0" collapsed="false">
      <c r="A413" s="14"/>
      <c r="B413" s="14"/>
      <c r="C413" s="14"/>
      <c r="J413" s="14"/>
      <c r="K413" s="126"/>
      <c r="L413" s="15" t="n">
        <f aca="false">L411-L412</f>
        <v>55041.2416667938</v>
      </c>
    </row>
  </sheetData>
  <mergeCells count="5">
    <mergeCell ref="A2:L2"/>
    <mergeCell ref="D4:E4"/>
    <mergeCell ref="F4:G4"/>
    <mergeCell ref="H4:I4"/>
    <mergeCell ref="J4:L4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410"/>
  <sheetViews>
    <sheetView showFormulas="false" showGridLines="true" showRowColHeaders="true" showZeros="true" rightToLeft="false" tabSelected="false" showOutlineSymbols="true" defaultGridColor="true" view="normal" topLeftCell="A208" colorId="64" zoomScale="100" zoomScaleNormal="100" zoomScalePageLayoutView="100" workbookViewId="0">
      <selection pane="topLeft" activeCell="J289" activeCellId="0" sqref="J289"/>
    </sheetView>
  </sheetViews>
  <sheetFormatPr defaultColWidth="9.1484375" defaultRowHeight="12.75" customHeight="false" zeroHeight="false" outlineLevelRow="0" outlineLevelCol="0"/>
  <cols>
    <col collapsed="false" customWidth="true" hidden="false" outlineLevel="0" max="1" min="1" style="61" width="51.29"/>
    <col collapsed="false" customWidth="true" hidden="false" outlineLevel="0" max="2" min="2" style="61" width="9.29"/>
    <col collapsed="false" customWidth="true" hidden="false" outlineLevel="0" max="3" min="3" style="61" width="12.71"/>
    <col collapsed="false" customWidth="true" hidden="false" outlineLevel="0" max="4" min="4" style="61" width="19.86"/>
    <col collapsed="false" customWidth="true" hidden="false" outlineLevel="0" max="5" min="5" style="61" width="12.71"/>
    <col collapsed="false" customWidth="true" hidden="false" outlineLevel="0" max="6" min="6" style="61" width="19.86"/>
    <col collapsed="false" customWidth="true" hidden="false" outlineLevel="0" max="7" min="7" style="61" width="14.57"/>
    <col collapsed="false" customWidth="true" hidden="false" outlineLevel="0" max="8" min="8" style="61" width="21"/>
    <col collapsed="false" customWidth="true" hidden="false" outlineLevel="0" max="9" min="9" style="61" width="12.71"/>
    <col collapsed="false" customWidth="true" hidden="false" outlineLevel="0" max="10" min="10" style="61" width="19.86"/>
    <col collapsed="false" customWidth="true" hidden="false" outlineLevel="0" max="11" min="11" style="63" width="9.86"/>
    <col collapsed="false" customWidth="false" hidden="false" outlineLevel="0" max="13" min="12" style="61" width="9.14"/>
    <col collapsed="false" customWidth="true" hidden="false" outlineLevel="0" max="14" min="14" style="61" width="36.71"/>
    <col collapsed="false" customWidth="false" hidden="false" outlineLevel="0" max="16" min="15" style="61" width="9.14"/>
    <col collapsed="false" customWidth="true" hidden="false" outlineLevel="0" max="17" min="17" style="127" width="9.86"/>
    <col collapsed="false" customWidth="true" hidden="false" outlineLevel="0" max="18" min="18" style="63" width="15.14"/>
    <col collapsed="false" customWidth="false" hidden="false" outlineLevel="0" max="16384" min="19" style="61" width="9.14"/>
  </cols>
  <sheetData>
    <row r="1" customFormat="false" ht="17.35" hidden="false" customHeight="false" outlineLevel="0" collapsed="false">
      <c r="A1" s="64" t="s">
        <v>887</v>
      </c>
      <c r="B1" s="64"/>
      <c r="C1" s="64"/>
      <c r="D1" s="64"/>
      <c r="E1" s="64"/>
      <c r="F1" s="64"/>
      <c r="G1" s="64"/>
      <c r="H1" s="64"/>
      <c r="I1" s="64"/>
      <c r="J1" s="64"/>
      <c r="L1" s="14"/>
    </row>
    <row r="2" customFormat="false" ht="13.8" hidden="false" customHeight="false" outlineLevel="0" collapsed="false">
      <c r="A2" s="65"/>
      <c r="B2" s="65"/>
      <c r="C2" s="65" t="s">
        <v>0</v>
      </c>
      <c r="D2" s="65"/>
      <c r="E2" s="65" t="s">
        <v>1</v>
      </c>
      <c r="F2" s="65"/>
      <c r="G2" s="65" t="s">
        <v>2</v>
      </c>
      <c r="H2" s="65"/>
      <c r="I2" s="65" t="s">
        <v>3</v>
      </c>
      <c r="J2" s="65"/>
      <c r="K2" s="128"/>
      <c r="L2" s="129"/>
      <c r="M2" s="130" t="s">
        <v>295</v>
      </c>
      <c r="N2" s="130" t="s">
        <v>296</v>
      </c>
      <c r="O2" s="130" t="s">
        <v>297</v>
      </c>
      <c r="P2" s="130" t="s">
        <v>298</v>
      </c>
      <c r="Q2" s="131" t="s">
        <v>299</v>
      </c>
      <c r="R2" s="71" t="s">
        <v>300</v>
      </c>
    </row>
    <row r="3" customFormat="false" ht="13.8" hidden="false" customHeight="false" outlineLevel="0" collapsed="false">
      <c r="A3" s="65" t="s">
        <v>4</v>
      </c>
      <c r="B3" s="65" t="s">
        <v>5</v>
      </c>
      <c r="C3" s="65" t="s">
        <v>6</v>
      </c>
      <c r="D3" s="65" t="s">
        <v>7</v>
      </c>
      <c r="E3" s="65" t="s">
        <v>8</v>
      </c>
      <c r="F3" s="65" t="s">
        <v>9</v>
      </c>
      <c r="G3" s="65" t="s">
        <v>6</v>
      </c>
      <c r="H3" s="65" t="s">
        <v>10</v>
      </c>
      <c r="I3" s="65" t="s">
        <v>6</v>
      </c>
      <c r="J3" s="65" t="s">
        <v>9</v>
      </c>
      <c r="K3" s="128" t="s">
        <v>889</v>
      </c>
      <c r="L3" s="129" t="n">
        <v>1</v>
      </c>
      <c r="M3" s="130" t="s">
        <v>301</v>
      </c>
      <c r="N3" s="130" t="s">
        <v>302</v>
      </c>
      <c r="O3" s="130" t="s">
        <v>303</v>
      </c>
      <c r="P3" s="132"/>
      <c r="Q3" s="133"/>
      <c r="R3" s="134" t="n">
        <v>0</v>
      </c>
    </row>
    <row r="4" customFormat="false" ht="13.8" hidden="false" customHeight="false" outlineLevel="0" collapsed="false">
      <c r="A4" s="135" t="s">
        <v>11</v>
      </c>
      <c r="B4" s="135" t="n">
        <v>12</v>
      </c>
      <c r="C4" s="70" t="n">
        <v>226</v>
      </c>
      <c r="D4" s="70" t="n">
        <v>6255676</v>
      </c>
      <c r="E4" s="70" t="n">
        <v>100</v>
      </c>
      <c r="F4" s="70" t="n">
        <v>2774400</v>
      </c>
      <c r="G4" s="70" t="n">
        <v>100</v>
      </c>
      <c r="H4" s="70" t="n">
        <f aca="false">D4+F4-J4</f>
        <v>2769962</v>
      </c>
      <c r="I4" s="70" t="n">
        <v>226</v>
      </c>
      <c r="J4" s="70" t="n">
        <v>6260114</v>
      </c>
      <c r="K4" s="136" t="n">
        <f aca="false">J4/I4</f>
        <v>27699.6194690265</v>
      </c>
      <c r="L4" s="129" t="n">
        <v>2</v>
      </c>
      <c r="M4" s="130" t="s">
        <v>304</v>
      </c>
      <c r="N4" s="130" t="s">
        <v>23</v>
      </c>
      <c r="O4" s="130" t="s">
        <v>305</v>
      </c>
      <c r="P4" s="132"/>
      <c r="Q4" s="133"/>
      <c r="R4" s="134" t="n">
        <v>0</v>
      </c>
    </row>
    <row r="5" customFormat="false" ht="13.8" hidden="false" customHeight="false" outlineLevel="0" collapsed="false">
      <c r="A5" s="68" t="s">
        <v>12</v>
      </c>
      <c r="B5" s="68" t="n">
        <v>12</v>
      </c>
      <c r="C5" s="69" t="n">
        <v>0</v>
      </c>
      <c r="D5" s="69" t="n">
        <v>0</v>
      </c>
      <c r="E5" s="69" t="n">
        <v>60</v>
      </c>
      <c r="F5" s="69" t="n">
        <v>1188660</v>
      </c>
      <c r="G5" s="69" t="n">
        <v>60</v>
      </c>
      <c r="H5" s="69" t="n">
        <f aca="false">D5+F5-J5</f>
        <v>1188660</v>
      </c>
      <c r="I5" s="70" t="n">
        <v>0</v>
      </c>
      <c r="J5" s="70" t="n">
        <v>0</v>
      </c>
      <c r="K5" s="136"/>
      <c r="L5" s="129" t="n">
        <v>3</v>
      </c>
      <c r="M5" s="130" t="s">
        <v>306</v>
      </c>
      <c r="N5" s="130" t="s">
        <v>12</v>
      </c>
      <c r="O5" s="130" t="s">
        <v>305</v>
      </c>
      <c r="P5" s="132"/>
      <c r="Q5" s="133"/>
      <c r="R5" s="134" t="n">
        <v>0</v>
      </c>
    </row>
    <row r="6" customFormat="false" ht="13.8" hidden="false" customHeight="false" outlineLevel="0" collapsed="false">
      <c r="A6" s="135" t="s">
        <v>13</v>
      </c>
      <c r="B6" s="135" t="n">
        <v>12</v>
      </c>
      <c r="C6" s="70" t="n">
        <v>587</v>
      </c>
      <c r="D6" s="70" t="n">
        <v>19248466</v>
      </c>
      <c r="E6" s="70" t="n">
        <v>0</v>
      </c>
      <c r="F6" s="70" t="n">
        <v>0</v>
      </c>
      <c r="G6" s="70" t="n">
        <v>338</v>
      </c>
      <c r="H6" s="70" t="n">
        <f aca="false">D6+F6-J6</f>
        <v>16955982.4</v>
      </c>
      <c r="I6" s="70" t="n">
        <v>132</v>
      </c>
      <c r="J6" s="70" t="n">
        <f aca="false">I6*K6</f>
        <v>2292483.6</v>
      </c>
      <c r="K6" s="136" t="n">
        <v>17367.3</v>
      </c>
      <c r="L6" s="129" t="n">
        <v>4</v>
      </c>
      <c r="M6" s="130" t="s">
        <v>307</v>
      </c>
      <c r="N6" s="130" t="s">
        <v>13</v>
      </c>
      <c r="O6" s="130" t="s">
        <v>305</v>
      </c>
      <c r="P6" s="132" t="n">
        <v>132</v>
      </c>
      <c r="Q6" s="133" t="n">
        <v>17367.3</v>
      </c>
      <c r="R6" s="134" t="n">
        <v>2292483.6</v>
      </c>
    </row>
    <row r="7" customFormat="false" ht="13.8" hidden="false" customHeight="false" outlineLevel="0" collapsed="false">
      <c r="A7" s="68" t="s">
        <v>14</v>
      </c>
      <c r="B7" s="68" t="n">
        <v>12</v>
      </c>
      <c r="C7" s="69" t="n">
        <v>120</v>
      </c>
      <c r="D7" s="69" t="n">
        <v>35752144</v>
      </c>
      <c r="E7" s="69" t="n">
        <v>0</v>
      </c>
      <c r="F7" s="69" t="n">
        <v>0</v>
      </c>
      <c r="G7" s="69" t="n">
        <v>120</v>
      </c>
      <c r="H7" s="69" t="n">
        <f aca="false">D7+F7-J7</f>
        <v>35752144</v>
      </c>
      <c r="I7" s="70" t="n">
        <v>0</v>
      </c>
      <c r="J7" s="70" t="n">
        <v>0</v>
      </c>
      <c r="K7" s="136"/>
      <c r="L7" s="129" t="n">
        <v>5</v>
      </c>
      <c r="M7" s="130" t="s">
        <v>308</v>
      </c>
      <c r="N7" s="130" t="s">
        <v>24</v>
      </c>
      <c r="O7" s="130" t="s">
        <v>305</v>
      </c>
      <c r="P7" s="132"/>
      <c r="Q7" s="133"/>
      <c r="R7" s="134" t="n">
        <v>0</v>
      </c>
    </row>
    <row r="8" customFormat="false" ht="13.8" hidden="false" customHeight="false" outlineLevel="0" collapsed="false">
      <c r="A8" s="68" t="s">
        <v>15</v>
      </c>
      <c r="B8" s="68" t="n">
        <v>12</v>
      </c>
      <c r="C8" s="69" t="n">
        <v>504</v>
      </c>
      <c r="D8" s="69" t="n">
        <v>68557545</v>
      </c>
      <c r="E8" s="69" t="n">
        <v>0</v>
      </c>
      <c r="F8" s="69" t="n">
        <v>0</v>
      </c>
      <c r="G8" s="69" t="n">
        <v>134</v>
      </c>
      <c r="H8" s="69" t="n">
        <f aca="false">D8+F8-J8</f>
        <v>49603045</v>
      </c>
      <c r="I8" s="70" t="n">
        <v>227</v>
      </c>
      <c r="J8" s="70" t="n">
        <f aca="false">I8*K8</f>
        <v>18954500</v>
      </c>
      <c r="K8" s="136" t="n">
        <v>83500</v>
      </c>
      <c r="L8" s="129" t="n">
        <v>6</v>
      </c>
      <c r="M8" s="130" t="s">
        <v>309</v>
      </c>
      <c r="N8" s="130" t="s">
        <v>14</v>
      </c>
      <c r="O8" s="130" t="s">
        <v>303</v>
      </c>
      <c r="P8" s="132"/>
      <c r="Q8" s="133"/>
      <c r="R8" s="134" t="n">
        <v>0</v>
      </c>
    </row>
    <row r="9" customFormat="false" ht="13.8" hidden="false" customHeight="false" outlineLevel="0" collapsed="false">
      <c r="A9" s="68" t="s">
        <v>16</v>
      </c>
      <c r="B9" s="68" t="n">
        <v>12</v>
      </c>
      <c r="C9" s="69" t="n">
        <v>344</v>
      </c>
      <c r="D9" s="69" t="n">
        <v>53839916</v>
      </c>
      <c r="E9" s="69" t="n">
        <v>0</v>
      </c>
      <c r="F9" s="69" t="n">
        <v>0</v>
      </c>
      <c r="G9" s="69" t="n">
        <v>34</v>
      </c>
      <c r="H9" s="69" t="n">
        <f aca="false">D9+F9-J9</f>
        <v>42484796</v>
      </c>
      <c r="I9" s="70" t="n">
        <v>150</v>
      </c>
      <c r="J9" s="70" t="n">
        <f aca="false">I9*K9</f>
        <v>11355120</v>
      </c>
      <c r="K9" s="136" t="n">
        <v>75700.8</v>
      </c>
      <c r="L9" s="129" t="n">
        <v>7</v>
      </c>
      <c r="M9" s="130" t="s">
        <v>310</v>
      </c>
      <c r="N9" s="130" t="s">
        <v>15</v>
      </c>
      <c r="O9" s="130" t="s">
        <v>311</v>
      </c>
      <c r="P9" s="132" t="n">
        <v>227</v>
      </c>
      <c r="Q9" s="133" t="n">
        <v>83500.2</v>
      </c>
      <c r="R9" s="134" t="n">
        <v>18954545.4</v>
      </c>
    </row>
    <row r="10" customFormat="false" ht="13.8" hidden="false" customHeight="false" outlineLevel="0" collapsed="false">
      <c r="A10" s="68" t="s">
        <v>17</v>
      </c>
      <c r="B10" s="68" t="n">
        <v>12</v>
      </c>
      <c r="C10" s="69" t="n">
        <v>153</v>
      </c>
      <c r="D10" s="69" t="n">
        <v>36613751</v>
      </c>
      <c r="E10" s="69" t="n">
        <v>0</v>
      </c>
      <c r="F10" s="69" t="n">
        <v>0</v>
      </c>
      <c r="G10" s="69" t="n">
        <v>153</v>
      </c>
      <c r="H10" s="69" t="n">
        <f aca="false">D10+F10-J10</f>
        <v>36613751</v>
      </c>
      <c r="I10" s="70" t="n">
        <v>0</v>
      </c>
      <c r="J10" s="70" t="n">
        <v>0</v>
      </c>
      <c r="K10" s="136"/>
      <c r="L10" s="129" t="n">
        <v>8</v>
      </c>
      <c r="M10" s="130" t="s">
        <v>312</v>
      </c>
      <c r="N10" s="130" t="s">
        <v>16</v>
      </c>
      <c r="O10" s="130" t="s">
        <v>303</v>
      </c>
      <c r="P10" s="132" t="n">
        <v>150</v>
      </c>
      <c r="Q10" s="133" t="n">
        <v>75700.8</v>
      </c>
      <c r="R10" s="134" t="n">
        <v>11355120</v>
      </c>
    </row>
    <row r="11" customFormat="false" ht="13.8" hidden="false" customHeight="false" outlineLevel="0" collapsed="false">
      <c r="A11" s="68" t="s">
        <v>18</v>
      </c>
      <c r="B11" s="68" t="n">
        <v>12</v>
      </c>
      <c r="C11" s="69" t="n">
        <v>554</v>
      </c>
      <c r="D11" s="69" t="n">
        <v>12063982</v>
      </c>
      <c r="E11" s="69" t="n">
        <v>0</v>
      </c>
      <c r="F11" s="69" t="n">
        <v>0</v>
      </c>
      <c r="G11" s="69" t="n">
        <v>344</v>
      </c>
      <c r="H11" s="69" t="n">
        <f aca="false">D11+F11-J11</f>
        <v>10667226</v>
      </c>
      <c r="I11" s="70" t="n">
        <v>116</v>
      </c>
      <c r="J11" s="70" t="n">
        <f aca="false">I11*K11</f>
        <v>1396756</v>
      </c>
      <c r="K11" s="136" t="n">
        <v>12041</v>
      </c>
      <c r="L11" s="129" t="n">
        <v>9</v>
      </c>
      <c r="M11" s="130" t="s">
        <v>313</v>
      </c>
      <c r="N11" s="130" t="s">
        <v>17</v>
      </c>
      <c r="O11" s="130" t="s">
        <v>311</v>
      </c>
      <c r="P11" s="132" t="n">
        <v>0</v>
      </c>
      <c r="Q11" s="133"/>
      <c r="R11" s="134" t="n">
        <v>0</v>
      </c>
    </row>
    <row r="12" customFormat="false" ht="13.8" hidden="false" customHeight="false" outlineLevel="0" collapsed="false">
      <c r="A12" s="68" t="s">
        <v>19</v>
      </c>
      <c r="B12" s="68" t="n">
        <v>12</v>
      </c>
      <c r="C12" s="69" t="n">
        <v>180</v>
      </c>
      <c r="D12" s="69" t="n">
        <v>3904035</v>
      </c>
      <c r="E12" s="69" t="n">
        <v>0</v>
      </c>
      <c r="F12" s="69" t="n">
        <v>0</v>
      </c>
      <c r="G12" s="69" t="n">
        <v>40</v>
      </c>
      <c r="H12" s="69" t="n">
        <f aca="false">D12+F12-J12</f>
        <v>2964837</v>
      </c>
      <c r="I12" s="70" t="n">
        <v>78</v>
      </c>
      <c r="J12" s="70" t="n">
        <f aca="false">I12*K12</f>
        <v>939198</v>
      </c>
      <c r="K12" s="136" t="n">
        <v>12041</v>
      </c>
      <c r="L12" s="129" t="n">
        <v>10</v>
      </c>
      <c r="M12" s="130" t="s">
        <v>314</v>
      </c>
      <c r="N12" s="130" t="s">
        <v>315</v>
      </c>
      <c r="O12" s="130" t="s">
        <v>311</v>
      </c>
      <c r="P12" s="132"/>
      <c r="Q12" s="133"/>
      <c r="R12" s="134" t="n">
        <v>0</v>
      </c>
    </row>
    <row r="13" customFormat="false" ht="13.8" hidden="false" customHeight="false" outlineLevel="0" collapsed="false">
      <c r="A13" s="68" t="s">
        <v>20</v>
      </c>
      <c r="B13" s="68" t="n">
        <v>12</v>
      </c>
      <c r="C13" s="69" t="n">
        <v>295</v>
      </c>
      <c r="D13" s="69" t="n">
        <v>31404753</v>
      </c>
      <c r="E13" s="69" t="n">
        <v>0</v>
      </c>
      <c r="F13" s="69" t="n">
        <v>0</v>
      </c>
      <c r="G13" s="69" t="n">
        <v>277</v>
      </c>
      <c r="H13" s="69" t="n">
        <f aca="false">D13+F13-J13</f>
        <v>29488531</v>
      </c>
      <c r="I13" s="137" t="n">
        <v>18</v>
      </c>
      <c r="J13" s="137" t="n">
        <v>1916222</v>
      </c>
      <c r="K13" s="138" t="n">
        <f aca="false">J13/I13</f>
        <v>106456.777777778</v>
      </c>
      <c r="L13" s="129" t="n">
        <v>11</v>
      </c>
      <c r="M13" s="130" t="s">
        <v>316</v>
      </c>
      <c r="N13" s="130" t="s">
        <v>317</v>
      </c>
      <c r="O13" s="130" t="s">
        <v>311</v>
      </c>
      <c r="P13" s="132"/>
      <c r="Q13" s="133"/>
      <c r="R13" s="134" t="n">
        <v>0</v>
      </c>
    </row>
    <row r="14" customFormat="false" ht="13.8" hidden="false" customHeight="false" outlineLevel="0" collapsed="false">
      <c r="A14" s="68" t="s">
        <v>21</v>
      </c>
      <c r="B14" s="68" t="n">
        <v>12</v>
      </c>
      <c r="C14" s="69" t="n">
        <v>170</v>
      </c>
      <c r="D14" s="69" t="n">
        <v>40681945</v>
      </c>
      <c r="E14" s="69" t="n">
        <v>0</v>
      </c>
      <c r="F14" s="69" t="n">
        <v>0</v>
      </c>
      <c r="G14" s="69" t="n">
        <v>88</v>
      </c>
      <c r="H14" s="69" t="n">
        <f aca="false">D14+F14-J14</f>
        <v>33998257</v>
      </c>
      <c r="I14" s="70" t="n">
        <v>48</v>
      </c>
      <c r="J14" s="70" t="n">
        <f aca="false">I14*K14</f>
        <v>6683688</v>
      </c>
      <c r="K14" s="136" t="n">
        <v>139243.5</v>
      </c>
      <c r="L14" s="129" t="n">
        <v>12</v>
      </c>
      <c r="M14" s="130" t="s">
        <v>318</v>
      </c>
      <c r="N14" s="130" t="s">
        <v>18</v>
      </c>
      <c r="O14" s="130" t="s">
        <v>305</v>
      </c>
      <c r="P14" s="132" t="n">
        <v>116</v>
      </c>
      <c r="Q14" s="133" t="n">
        <v>12041.1</v>
      </c>
      <c r="R14" s="134" t="n">
        <v>1396767.6</v>
      </c>
    </row>
    <row r="15" customFormat="false" ht="13.8" hidden="false" customHeight="false" outlineLevel="0" collapsed="false">
      <c r="A15" s="68" t="s">
        <v>22</v>
      </c>
      <c r="B15" s="68" t="n">
        <v>12</v>
      </c>
      <c r="C15" s="69" t="n">
        <v>18</v>
      </c>
      <c r="D15" s="69" t="n">
        <v>407934</v>
      </c>
      <c r="E15" s="69" t="n">
        <v>0</v>
      </c>
      <c r="F15" s="69" t="n">
        <v>0</v>
      </c>
      <c r="G15" s="69" t="n">
        <v>18</v>
      </c>
      <c r="H15" s="69" t="n">
        <f aca="false">D15+F15-J15</f>
        <v>407934</v>
      </c>
      <c r="I15" s="70" t="n">
        <v>0</v>
      </c>
      <c r="J15" s="70" t="n">
        <v>0</v>
      </c>
      <c r="K15" s="136"/>
      <c r="L15" s="129" t="n">
        <v>13</v>
      </c>
      <c r="M15" s="130" t="s">
        <v>319</v>
      </c>
      <c r="N15" s="130" t="s">
        <v>19</v>
      </c>
      <c r="O15" s="130" t="s">
        <v>305</v>
      </c>
      <c r="P15" s="132" t="n">
        <v>78</v>
      </c>
      <c r="Q15" s="133" t="n">
        <v>12041.1</v>
      </c>
      <c r="R15" s="134" t="n">
        <v>939205.8</v>
      </c>
    </row>
    <row r="16" customFormat="false" ht="13.8" hidden="false" customHeight="false" outlineLevel="0" collapsed="false">
      <c r="A16" s="68" t="s">
        <v>23</v>
      </c>
      <c r="B16" s="68" t="n">
        <v>12</v>
      </c>
      <c r="C16" s="69" t="n">
        <v>0</v>
      </c>
      <c r="D16" s="69" t="n">
        <v>0</v>
      </c>
      <c r="E16" s="69" t="n">
        <v>3</v>
      </c>
      <c r="F16" s="69" t="n">
        <v>57891</v>
      </c>
      <c r="G16" s="69" t="n">
        <v>3</v>
      </c>
      <c r="H16" s="69" t="n">
        <f aca="false">D16+F16-J16</f>
        <v>57891</v>
      </c>
      <c r="I16" s="69" t="n">
        <v>0</v>
      </c>
      <c r="J16" s="69" t="n">
        <v>0</v>
      </c>
      <c r="K16" s="139"/>
      <c r="L16" s="129" t="n">
        <v>14</v>
      </c>
      <c r="M16" s="130" t="s">
        <v>320</v>
      </c>
      <c r="N16" s="130" t="s">
        <v>321</v>
      </c>
      <c r="O16" s="130" t="s">
        <v>311</v>
      </c>
      <c r="P16" s="132"/>
      <c r="Q16" s="133"/>
      <c r="R16" s="134" t="n">
        <v>0</v>
      </c>
    </row>
    <row r="17" customFormat="false" ht="13.8" hidden="false" customHeight="false" outlineLevel="0" collapsed="false">
      <c r="A17" s="68" t="s">
        <v>24</v>
      </c>
      <c r="B17" s="68" t="n">
        <v>12</v>
      </c>
      <c r="C17" s="69" t="n">
        <v>0</v>
      </c>
      <c r="D17" s="69" t="n">
        <v>0</v>
      </c>
      <c r="E17" s="69" t="n">
        <v>12</v>
      </c>
      <c r="F17" s="69" t="n">
        <v>231564</v>
      </c>
      <c r="G17" s="69" t="n">
        <v>12</v>
      </c>
      <c r="H17" s="69" t="n">
        <f aca="false">D17+F17-J17</f>
        <v>231564</v>
      </c>
      <c r="I17" s="69" t="n">
        <v>0</v>
      </c>
      <c r="J17" s="69" t="n">
        <v>0</v>
      </c>
      <c r="K17" s="139"/>
      <c r="L17" s="129" t="n">
        <v>15</v>
      </c>
      <c r="M17" s="130" t="s">
        <v>322</v>
      </c>
      <c r="N17" s="130" t="s">
        <v>20</v>
      </c>
      <c r="O17" s="130" t="s">
        <v>303</v>
      </c>
      <c r="P17" s="132"/>
      <c r="Q17" s="133"/>
      <c r="R17" s="134" t="n">
        <v>0</v>
      </c>
    </row>
    <row r="18" customFormat="false" ht="13.8" hidden="false" customHeight="false" outlineLevel="0" collapsed="false">
      <c r="A18" s="68" t="s">
        <v>25</v>
      </c>
      <c r="B18" s="68" t="n">
        <v>12</v>
      </c>
      <c r="C18" s="69" t="n">
        <v>72</v>
      </c>
      <c r="D18" s="69" t="n">
        <v>1533524</v>
      </c>
      <c r="E18" s="69" t="n">
        <v>35</v>
      </c>
      <c r="F18" s="69" t="n">
        <v>745360</v>
      </c>
      <c r="G18" s="69" t="n">
        <v>67</v>
      </c>
      <c r="H18" s="69" t="n">
        <f aca="false">D18+F18-J18</f>
        <v>1490606</v>
      </c>
      <c r="I18" s="69" t="n">
        <v>40</v>
      </c>
      <c r="J18" s="69" t="n">
        <v>788278</v>
      </c>
      <c r="K18" s="139" t="n">
        <f aca="false">J18/I18</f>
        <v>19706.95</v>
      </c>
      <c r="L18" s="129" t="n">
        <v>16</v>
      </c>
      <c r="M18" s="130" t="s">
        <v>323</v>
      </c>
      <c r="N18" s="130" t="s">
        <v>21</v>
      </c>
      <c r="O18" s="130" t="s">
        <v>311</v>
      </c>
      <c r="P18" s="132" t="n">
        <v>48</v>
      </c>
      <c r="Q18" s="133" t="n">
        <v>139243.5</v>
      </c>
      <c r="R18" s="134" t="n">
        <v>6683688</v>
      </c>
    </row>
    <row r="19" customFormat="false" ht="13.8" hidden="false" customHeight="false" outlineLevel="0" collapsed="false">
      <c r="A19" s="68" t="s">
        <v>26</v>
      </c>
      <c r="B19" s="68" t="n">
        <v>12</v>
      </c>
      <c r="C19" s="69" t="n">
        <v>96</v>
      </c>
      <c r="D19" s="69" t="n">
        <v>2486575</v>
      </c>
      <c r="E19" s="69" t="n">
        <v>51</v>
      </c>
      <c r="F19" s="69" t="n">
        <v>1322226</v>
      </c>
      <c r="G19" s="69" t="n">
        <v>4</v>
      </c>
      <c r="H19" s="69" t="n">
        <f aca="false">D19+F19-J19</f>
        <v>388653</v>
      </c>
      <c r="I19" s="69" t="n">
        <v>143</v>
      </c>
      <c r="J19" s="69" t="n">
        <v>3420148</v>
      </c>
      <c r="K19" s="139" t="n">
        <f aca="false">J19/I19</f>
        <v>23917.1188811189</v>
      </c>
      <c r="L19" s="129" t="n">
        <v>17</v>
      </c>
      <c r="M19" s="130" t="s">
        <v>324</v>
      </c>
      <c r="N19" s="130" t="s">
        <v>22</v>
      </c>
      <c r="O19" s="130" t="s">
        <v>303</v>
      </c>
      <c r="P19" s="130"/>
      <c r="Q19" s="131"/>
      <c r="R19" s="71" t="n">
        <v>0</v>
      </c>
    </row>
    <row r="20" customFormat="false" ht="13.8" hidden="false" customHeight="false" outlineLevel="0" collapsed="false">
      <c r="A20" s="68" t="s">
        <v>27</v>
      </c>
      <c r="B20" s="68" t="n">
        <v>12</v>
      </c>
      <c r="C20" s="69" t="n">
        <v>67</v>
      </c>
      <c r="D20" s="69" t="n">
        <v>2083589</v>
      </c>
      <c r="E20" s="69" t="n">
        <v>0</v>
      </c>
      <c r="F20" s="69" t="n">
        <v>0</v>
      </c>
      <c r="G20" s="69" t="n">
        <v>1</v>
      </c>
      <c r="H20" s="69" t="n">
        <f aca="false">D20+F20-J20</f>
        <v>155492</v>
      </c>
      <c r="I20" s="69" t="n">
        <v>66</v>
      </c>
      <c r="J20" s="69" t="n">
        <v>1928097</v>
      </c>
      <c r="K20" s="139" t="n">
        <f aca="false">J20/I20</f>
        <v>29213.5909090909</v>
      </c>
      <c r="L20" s="129" t="n">
        <v>18</v>
      </c>
      <c r="M20" s="130" t="s">
        <v>325</v>
      </c>
      <c r="N20" s="130" t="s">
        <v>326</v>
      </c>
      <c r="O20" s="130" t="s">
        <v>327</v>
      </c>
      <c r="P20" s="130"/>
      <c r="Q20" s="131"/>
      <c r="R20" s="71" t="n">
        <v>0</v>
      </c>
    </row>
    <row r="21" customFormat="false" ht="13.8" hidden="false" customHeight="false" outlineLevel="0" collapsed="false">
      <c r="A21" s="68" t="s">
        <v>28</v>
      </c>
      <c r="B21" s="68" t="n">
        <v>12</v>
      </c>
      <c r="C21" s="69" t="n">
        <v>650</v>
      </c>
      <c r="D21" s="69" t="n">
        <v>74700000</v>
      </c>
      <c r="E21" s="69" t="n">
        <v>160</v>
      </c>
      <c r="F21" s="69" t="n">
        <v>18432000</v>
      </c>
      <c r="G21" s="69" t="n">
        <v>0</v>
      </c>
      <c r="H21" s="69" t="n">
        <f aca="false">D21+F21-J21</f>
        <v>0</v>
      </c>
      <c r="I21" s="69" t="n">
        <v>810</v>
      </c>
      <c r="J21" s="69" t="n">
        <v>93132000</v>
      </c>
      <c r="K21" s="139" t="n">
        <f aca="false">J21/I21</f>
        <v>114977.777777778</v>
      </c>
      <c r="L21" s="129" t="n">
        <v>19</v>
      </c>
      <c r="M21" s="130" t="s">
        <v>328</v>
      </c>
      <c r="N21" s="130" t="s">
        <v>329</v>
      </c>
      <c r="O21" s="130" t="s">
        <v>327</v>
      </c>
      <c r="P21" s="130"/>
      <c r="Q21" s="131"/>
      <c r="R21" s="71" t="n">
        <v>0</v>
      </c>
    </row>
    <row r="22" customFormat="false" ht="13.8" hidden="false" customHeight="false" outlineLevel="0" collapsed="false">
      <c r="A22" s="68" t="s">
        <v>29</v>
      </c>
      <c r="B22" s="68" t="n">
        <v>12</v>
      </c>
      <c r="C22" s="69" t="n">
        <v>280</v>
      </c>
      <c r="D22" s="69" t="n">
        <v>74052080</v>
      </c>
      <c r="E22" s="69" t="n">
        <v>0</v>
      </c>
      <c r="F22" s="69" t="n">
        <v>0</v>
      </c>
      <c r="G22" s="69" t="n">
        <v>0</v>
      </c>
      <c r="H22" s="69" t="n">
        <f aca="false">D22+F22-J22</f>
        <v>0</v>
      </c>
      <c r="I22" s="69" t="n">
        <v>280</v>
      </c>
      <c r="J22" s="69" t="n">
        <v>74052080</v>
      </c>
      <c r="K22" s="139" t="n">
        <f aca="false">J22/I22</f>
        <v>264471.714285714</v>
      </c>
      <c r="L22" s="129" t="n">
        <v>20</v>
      </c>
      <c r="M22" s="130" t="s">
        <v>330</v>
      </c>
      <c r="N22" s="130" t="s">
        <v>331</v>
      </c>
      <c r="O22" s="130" t="s">
        <v>303</v>
      </c>
      <c r="P22" s="130"/>
      <c r="Q22" s="131"/>
      <c r="R22" s="71" t="n">
        <v>0</v>
      </c>
    </row>
    <row r="23" customFormat="false" ht="13.8" hidden="false" customHeight="false" outlineLevel="0" collapsed="false">
      <c r="A23" s="68" t="s">
        <v>30</v>
      </c>
      <c r="B23" s="68" t="n">
        <v>12</v>
      </c>
      <c r="C23" s="69" t="n">
        <v>102</v>
      </c>
      <c r="D23" s="69" t="n">
        <v>19779439</v>
      </c>
      <c r="E23" s="69" t="n">
        <v>0</v>
      </c>
      <c r="F23" s="69" t="n">
        <v>0</v>
      </c>
      <c r="G23" s="69" t="n">
        <v>100</v>
      </c>
      <c r="H23" s="69" t="n">
        <f aca="false">D23+F23-J23</f>
        <v>19391607</v>
      </c>
      <c r="I23" s="69" t="n">
        <v>2</v>
      </c>
      <c r="J23" s="69" t="n">
        <v>387832</v>
      </c>
      <c r="K23" s="139" t="n">
        <f aca="false">J23/I23</f>
        <v>193916</v>
      </c>
      <c r="L23" s="129" t="n">
        <v>21</v>
      </c>
      <c r="M23" s="130" t="s">
        <v>332</v>
      </c>
      <c r="N23" s="130" t="s">
        <v>333</v>
      </c>
      <c r="O23" s="130" t="s">
        <v>303</v>
      </c>
      <c r="P23" s="132" t="n">
        <v>3840</v>
      </c>
      <c r="Q23" s="133" t="n">
        <v>66219</v>
      </c>
      <c r="R23" s="134" t="n">
        <v>254280960</v>
      </c>
    </row>
    <row r="24" customFormat="false" ht="13.8" hidden="false" customHeight="false" outlineLevel="0" collapsed="false">
      <c r="A24" s="68" t="s">
        <v>31</v>
      </c>
      <c r="B24" s="68" t="n">
        <v>12</v>
      </c>
      <c r="C24" s="69" t="n">
        <v>0</v>
      </c>
      <c r="D24" s="69" t="n">
        <v>0</v>
      </c>
      <c r="E24" s="69" t="n">
        <v>50</v>
      </c>
      <c r="F24" s="69" t="n">
        <v>8509100</v>
      </c>
      <c r="G24" s="69" t="n">
        <v>0</v>
      </c>
      <c r="H24" s="69" t="n">
        <f aca="false">D24+F24-J24</f>
        <v>0</v>
      </c>
      <c r="I24" s="69" t="n">
        <v>50</v>
      </c>
      <c r="J24" s="69" t="n">
        <v>8509100</v>
      </c>
      <c r="K24" s="139" t="n">
        <f aca="false">J24/I24</f>
        <v>170182</v>
      </c>
      <c r="L24" s="129" t="n">
        <v>22</v>
      </c>
      <c r="M24" s="130" t="s">
        <v>334</v>
      </c>
      <c r="N24" s="130" t="s">
        <v>335</v>
      </c>
      <c r="O24" s="130" t="s">
        <v>303</v>
      </c>
      <c r="P24" s="130"/>
      <c r="Q24" s="131"/>
      <c r="R24" s="71" t="n">
        <v>0</v>
      </c>
    </row>
    <row r="25" customFormat="false" ht="13.8" hidden="false" customHeight="false" outlineLevel="0" collapsed="false">
      <c r="A25" s="68" t="s">
        <v>32</v>
      </c>
      <c r="B25" s="68" t="n">
        <v>12</v>
      </c>
      <c r="C25" s="69" t="n">
        <v>137</v>
      </c>
      <c r="D25" s="69" t="n">
        <v>22821826</v>
      </c>
      <c r="E25" s="69" t="n">
        <v>0</v>
      </c>
      <c r="F25" s="69" t="n">
        <v>0</v>
      </c>
      <c r="G25" s="69" t="n">
        <v>20</v>
      </c>
      <c r="H25" s="69" t="n">
        <f aca="false">D25+F25-J25</f>
        <v>3331653</v>
      </c>
      <c r="I25" s="69" t="n">
        <v>117</v>
      </c>
      <c r="J25" s="69" t="n">
        <v>19490173</v>
      </c>
      <c r="K25" s="139" t="n">
        <f aca="false">J25/I25</f>
        <v>166582.675213675</v>
      </c>
      <c r="L25" s="129" t="n">
        <v>23</v>
      </c>
      <c r="M25" s="130" t="s">
        <v>336</v>
      </c>
      <c r="N25" s="130" t="s">
        <v>38</v>
      </c>
      <c r="O25" s="130" t="s">
        <v>303</v>
      </c>
      <c r="P25" s="132" t="n">
        <v>5200</v>
      </c>
      <c r="Q25" s="133" t="n">
        <v>31208</v>
      </c>
      <c r="R25" s="134" t="n">
        <v>162281600</v>
      </c>
    </row>
    <row r="26" customFormat="false" ht="13.8" hidden="false" customHeight="false" outlineLevel="0" collapsed="false">
      <c r="A26" s="68" t="s">
        <v>33</v>
      </c>
      <c r="B26" s="68" t="n">
        <v>12</v>
      </c>
      <c r="C26" s="69" t="n">
        <v>106</v>
      </c>
      <c r="D26" s="69" t="n">
        <v>16323470</v>
      </c>
      <c r="E26" s="69" t="n">
        <v>45</v>
      </c>
      <c r="F26" s="69" t="n">
        <v>10556505</v>
      </c>
      <c r="G26" s="69" t="n">
        <v>58</v>
      </c>
      <c r="H26" s="69" t="n">
        <f aca="false">D26+F26-J26</f>
        <v>4984366</v>
      </c>
      <c r="I26" s="69" t="n">
        <v>93</v>
      </c>
      <c r="J26" s="69" t="n">
        <v>21895609</v>
      </c>
      <c r="K26" s="139" t="n">
        <f aca="false">J26/I26</f>
        <v>235436.655913979</v>
      </c>
      <c r="L26" s="129" t="n">
        <v>24</v>
      </c>
      <c r="M26" s="130" t="s">
        <v>337</v>
      </c>
      <c r="N26" s="130" t="s">
        <v>338</v>
      </c>
      <c r="O26" s="130" t="s">
        <v>303</v>
      </c>
      <c r="P26" s="130"/>
      <c r="Q26" s="131"/>
      <c r="R26" s="71" t="n">
        <v>0</v>
      </c>
    </row>
    <row r="27" customFormat="false" ht="13.8" hidden="false" customHeight="false" outlineLevel="0" collapsed="false">
      <c r="A27" s="68" t="s">
        <v>34</v>
      </c>
      <c r="B27" s="68" t="n">
        <v>12</v>
      </c>
      <c r="C27" s="69" t="n">
        <v>94</v>
      </c>
      <c r="D27" s="69" t="n">
        <v>17372116</v>
      </c>
      <c r="E27" s="69" t="n">
        <v>40</v>
      </c>
      <c r="F27" s="69" t="n">
        <v>9383560</v>
      </c>
      <c r="G27" s="69" t="n">
        <v>63</v>
      </c>
      <c r="H27" s="69" t="n">
        <f aca="false">D27+F27-J27</f>
        <v>9983461</v>
      </c>
      <c r="I27" s="69" t="n">
        <v>71</v>
      </c>
      <c r="J27" s="69" t="n">
        <v>16772215</v>
      </c>
      <c r="K27" s="139" t="n">
        <f aca="false">J27/I27</f>
        <v>236228.38028169</v>
      </c>
      <c r="L27" s="129" t="n">
        <v>25</v>
      </c>
      <c r="M27" s="130" t="s">
        <v>339</v>
      </c>
      <c r="N27" s="130" t="s">
        <v>340</v>
      </c>
      <c r="O27" s="130" t="s">
        <v>303</v>
      </c>
      <c r="P27" s="130"/>
      <c r="Q27" s="131"/>
      <c r="R27" s="71" t="n">
        <v>0</v>
      </c>
    </row>
    <row r="28" customFormat="false" ht="13.8" hidden="false" customHeight="false" outlineLevel="0" collapsed="false">
      <c r="A28" s="68" t="s">
        <v>35</v>
      </c>
      <c r="B28" s="68" t="n">
        <v>12</v>
      </c>
      <c r="C28" s="69" t="n">
        <v>351</v>
      </c>
      <c r="D28" s="69" t="n">
        <v>40194000</v>
      </c>
      <c r="E28" s="69" t="n">
        <v>0</v>
      </c>
      <c r="F28" s="69" t="n">
        <v>0</v>
      </c>
      <c r="G28" s="69" t="n">
        <v>0</v>
      </c>
      <c r="H28" s="69" t="n">
        <f aca="false">D28+F28-J28</f>
        <v>0</v>
      </c>
      <c r="I28" s="69" t="n">
        <v>351</v>
      </c>
      <c r="J28" s="69" t="n">
        <v>40194000</v>
      </c>
      <c r="K28" s="139" t="n">
        <f aca="false">J28/I28</f>
        <v>114512.820512821</v>
      </c>
      <c r="L28" s="129" t="n">
        <v>26</v>
      </c>
      <c r="M28" s="130" t="s">
        <v>341</v>
      </c>
      <c r="N28" s="130" t="s">
        <v>342</v>
      </c>
      <c r="O28" s="130" t="s">
        <v>303</v>
      </c>
      <c r="P28" s="130"/>
      <c r="Q28" s="131"/>
      <c r="R28" s="71" t="n">
        <v>0</v>
      </c>
    </row>
    <row r="29" customFormat="false" ht="13.8" hidden="false" customHeight="false" outlineLevel="0" collapsed="false">
      <c r="A29" s="68" t="s">
        <v>36</v>
      </c>
      <c r="B29" s="68" t="n">
        <v>12</v>
      </c>
      <c r="C29" s="69" t="n">
        <v>40</v>
      </c>
      <c r="D29" s="69" t="n">
        <v>1818200</v>
      </c>
      <c r="E29" s="69" t="n">
        <v>0</v>
      </c>
      <c r="F29" s="69" t="n">
        <v>0</v>
      </c>
      <c r="G29" s="69" t="n">
        <v>0</v>
      </c>
      <c r="H29" s="69" t="n">
        <f aca="false">D29+F29-J29</f>
        <v>0</v>
      </c>
      <c r="I29" s="69" t="n">
        <v>40</v>
      </c>
      <c r="J29" s="69" t="n">
        <v>1818200</v>
      </c>
      <c r="K29" s="139" t="n">
        <f aca="false">J29/I29</f>
        <v>45455</v>
      </c>
      <c r="L29" s="129" t="n">
        <v>27</v>
      </c>
      <c r="M29" s="130" t="s">
        <v>343</v>
      </c>
      <c r="N29" s="130" t="s">
        <v>344</v>
      </c>
      <c r="O29" s="130" t="s">
        <v>303</v>
      </c>
      <c r="P29" s="130"/>
      <c r="Q29" s="131"/>
      <c r="R29" s="71" t="n">
        <v>0</v>
      </c>
    </row>
    <row r="30" customFormat="false" ht="13.8" hidden="false" customHeight="false" outlineLevel="0" collapsed="false">
      <c r="A30" s="68" t="s">
        <v>37</v>
      </c>
      <c r="B30" s="68" t="n">
        <v>12</v>
      </c>
      <c r="C30" s="69" t="n">
        <v>833</v>
      </c>
      <c r="D30" s="69" t="n">
        <v>46378988</v>
      </c>
      <c r="E30" s="69" t="n">
        <v>4571</v>
      </c>
      <c r="F30" s="69" t="n">
        <v>254508576</v>
      </c>
      <c r="G30" s="69" t="n">
        <v>5404</v>
      </c>
      <c r="H30" s="69" t="n">
        <f aca="false">D30+F30-J30</f>
        <v>46606604</v>
      </c>
      <c r="I30" s="70" t="n">
        <v>3840</v>
      </c>
      <c r="J30" s="70" t="n">
        <f aca="false">I30*K30</f>
        <v>254280960</v>
      </c>
      <c r="K30" s="136" t="n">
        <v>66219</v>
      </c>
      <c r="L30" s="129" t="n">
        <v>28</v>
      </c>
      <c r="M30" s="130" t="s">
        <v>345</v>
      </c>
      <c r="N30" s="140" t="s">
        <v>346</v>
      </c>
      <c r="O30" s="140" t="s">
        <v>327</v>
      </c>
      <c r="P30" s="140" t="n">
        <v>306</v>
      </c>
      <c r="Q30" s="141" t="n">
        <v>51389</v>
      </c>
      <c r="R30" s="142" t="n">
        <v>15725034</v>
      </c>
    </row>
    <row r="31" customFormat="false" ht="13.8" hidden="false" customHeight="false" outlineLevel="0" collapsed="false">
      <c r="A31" s="68" t="s">
        <v>38</v>
      </c>
      <c r="B31" s="68" t="n">
        <v>12</v>
      </c>
      <c r="C31" s="69" t="n">
        <v>273867</v>
      </c>
      <c r="D31" s="69" t="n">
        <v>255643095</v>
      </c>
      <c r="E31" s="69" t="n">
        <v>8568</v>
      </c>
      <c r="F31" s="69" t="n">
        <v>267390144</v>
      </c>
      <c r="G31" s="69" t="n">
        <v>274625</v>
      </c>
      <c r="H31" s="69" t="n">
        <f aca="false">D31+F31-J31</f>
        <v>360751639</v>
      </c>
      <c r="I31" s="70" t="n">
        <v>5200</v>
      </c>
      <c r="J31" s="70" t="n">
        <f aca="false">I31*K31</f>
        <v>162281600</v>
      </c>
      <c r="K31" s="136" t="n">
        <v>31208</v>
      </c>
      <c r="L31" s="129" t="n">
        <v>29</v>
      </c>
      <c r="M31" s="130" t="s">
        <v>347</v>
      </c>
      <c r="N31" s="130" t="s">
        <v>348</v>
      </c>
      <c r="O31" s="130" t="s">
        <v>327</v>
      </c>
      <c r="P31" s="132" t="n">
        <v>2000</v>
      </c>
      <c r="Q31" s="133" t="n">
        <v>36184</v>
      </c>
      <c r="R31" s="134" t="n">
        <v>72368000</v>
      </c>
    </row>
    <row r="32" customFormat="false" ht="13.8" hidden="false" customHeight="false" outlineLevel="0" collapsed="false">
      <c r="A32" s="68" t="s">
        <v>39</v>
      </c>
      <c r="B32" s="68" t="n">
        <v>12</v>
      </c>
      <c r="C32" s="69" t="n">
        <v>25915</v>
      </c>
      <c r="D32" s="69" t="n">
        <v>50321430</v>
      </c>
      <c r="E32" s="69" t="n">
        <v>1500</v>
      </c>
      <c r="F32" s="69" t="n">
        <v>54276000</v>
      </c>
      <c r="G32" s="69" t="n">
        <v>26863</v>
      </c>
      <c r="H32" s="69" t="n">
        <f aca="false">D32+F32-J32</f>
        <v>32229430</v>
      </c>
      <c r="I32" s="70" t="n">
        <v>2000</v>
      </c>
      <c r="J32" s="70" t="n">
        <f aca="false">I32*K32</f>
        <v>72368000</v>
      </c>
      <c r="K32" s="136" t="n">
        <v>36184</v>
      </c>
      <c r="L32" s="129" t="n">
        <v>30</v>
      </c>
      <c r="M32" s="130" t="s">
        <v>349</v>
      </c>
      <c r="N32" s="130" t="s">
        <v>42</v>
      </c>
      <c r="O32" s="130" t="s">
        <v>327</v>
      </c>
      <c r="P32" s="132" t="n">
        <v>130</v>
      </c>
      <c r="Q32" s="133" t="n">
        <v>52485</v>
      </c>
      <c r="R32" s="134" t="n">
        <v>6823050</v>
      </c>
    </row>
    <row r="33" customFormat="false" ht="13.8" hidden="false" customHeight="false" outlineLevel="0" collapsed="false">
      <c r="A33" s="68" t="s">
        <v>40</v>
      </c>
      <c r="B33" s="68" t="n">
        <v>12</v>
      </c>
      <c r="C33" s="69" t="n">
        <v>2430</v>
      </c>
      <c r="D33" s="69" t="n">
        <v>87927120</v>
      </c>
      <c r="E33" s="69" t="n">
        <v>0</v>
      </c>
      <c r="F33" s="69" t="n">
        <v>0</v>
      </c>
      <c r="G33" s="69" t="n">
        <v>0</v>
      </c>
      <c r="H33" s="69" t="n">
        <f aca="false">D33+F33-J33</f>
        <v>0</v>
      </c>
      <c r="I33" s="69" t="n">
        <v>2430</v>
      </c>
      <c r="J33" s="69" t="n">
        <v>87927120</v>
      </c>
      <c r="K33" s="139" t="n">
        <f aca="false">J33/I33</f>
        <v>36184</v>
      </c>
      <c r="L33" s="129" t="n">
        <v>31</v>
      </c>
      <c r="M33" s="130" t="s">
        <v>350</v>
      </c>
      <c r="N33" s="130" t="s">
        <v>351</v>
      </c>
      <c r="O33" s="130" t="s">
        <v>327</v>
      </c>
      <c r="P33" s="130"/>
      <c r="Q33" s="131"/>
      <c r="R33" s="71" t="n">
        <v>0</v>
      </c>
    </row>
    <row r="34" customFormat="false" ht="13.8" hidden="false" customHeight="false" outlineLevel="0" collapsed="false">
      <c r="A34" s="68" t="s">
        <v>41</v>
      </c>
      <c r="B34" s="68" t="n">
        <v>12</v>
      </c>
      <c r="C34" s="69" t="n">
        <v>0</v>
      </c>
      <c r="D34" s="69" t="n">
        <v>189538</v>
      </c>
      <c r="E34" s="69" t="n">
        <v>0</v>
      </c>
      <c r="F34" s="69" t="n">
        <v>0</v>
      </c>
      <c r="G34" s="69" t="n">
        <v>0</v>
      </c>
      <c r="H34" s="69" t="n">
        <f aca="false">D34+F34-J34</f>
        <v>0</v>
      </c>
      <c r="I34" s="69" t="n">
        <v>0</v>
      </c>
      <c r="J34" s="69" t="n">
        <v>189538</v>
      </c>
      <c r="K34" s="139"/>
      <c r="L34" s="129" t="n">
        <v>32</v>
      </c>
      <c r="M34" s="130" t="s">
        <v>352</v>
      </c>
      <c r="N34" s="130" t="s">
        <v>41</v>
      </c>
      <c r="O34" s="130" t="s">
        <v>303</v>
      </c>
      <c r="P34" s="130"/>
      <c r="Q34" s="131"/>
      <c r="R34" s="71" t="n">
        <v>0</v>
      </c>
    </row>
    <row r="35" customFormat="false" ht="13.8" hidden="false" customHeight="false" outlineLevel="0" collapsed="false">
      <c r="A35" s="68" t="s">
        <v>42</v>
      </c>
      <c r="B35" s="68" t="n">
        <v>12</v>
      </c>
      <c r="C35" s="69" t="n">
        <v>160</v>
      </c>
      <c r="D35" s="69" t="n">
        <v>8538638</v>
      </c>
      <c r="E35" s="69" t="n">
        <v>0</v>
      </c>
      <c r="F35" s="69" t="n">
        <v>0</v>
      </c>
      <c r="G35" s="69" t="n">
        <v>26</v>
      </c>
      <c r="H35" s="69" t="n">
        <f aca="false">D35+F35-J35</f>
        <v>1715588</v>
      </c>
      <c r="I35" s="69" t="n">
        <v>130</v>
      </c>
      <c r="J35" s="69" t="n">
        <f aca="false">I35*K35</f>
        <v>6823050</v>
      </c>
      <c r="K35" s="139" t="n">
        <v>52485</v>
      </c>
      <c r="L35" s="129" t="n">
        <v>33</v>
      </c>
      <c r="M35" s="130" t="s">
        <v>353</v>
      </c>
      <c r="N35" s="130" t="s">
        <v>354</v>
      </c>
      <c r="O35" s="130" t="s">
        <v>355</v>
      </c>
      <c r="P35" s="130"/>
      <c r="Q35" s="131"/>
      <c r="R35" s="71" t="n">
        <v>0</v>
      </c>
    </row>
    <row r="36" customFormat="false" ht="13.8" hidden="false" customHeight="false" outlineLevel="0" collapsed="false">
      <c r="A36" s="68" t="s">
        <v>43</v>
      </c>
      <c r="B36" s="68" t="n">
        <v>12</v>
      </c>
      <c r="C36" s="69" t="n">
        <v>0</v>
      </c>
      <c r="D36" s="69" t="n">
        <v>0</v>
      </c>
      <c r="E36" s="69" t="n">
        <v>0</v>
      </c>
      <c r="F36" s="69" t="n">
        <v>0</v>
      </c>
      <c r="G36" s="69" t="n">
        <v>0</v>
      </c>
      <c r="H36" s="69" t="n">
        <f aca="false">D36+F36-J36</f>
        <v>0</v>
      </c>
      <c r="I36" s="69" t="n">
        <v>0</v>
      </c>
      <c r="J36" s="69" t="n">
        <v>0</v>
      </c>
      <c r="K36" s="139"/>
      <c r="L36" s="129" t="n">
        <v>34</v>
      </c>
      <c r="M36" s="130" t="s">
        <v>356</v>
      </c>
      <c r="N36" s="130" t="s">
        <v>357</v>
      </c>
      <c r="O36" s="130" t="s">
        <v>327</v>
      </c>
      <c r="P36" s="140" t="n">
        <v>62</v>
      </c>
      <c r="Q36" s="141" t="n">
        <v>29119.92</v>
      </c>
      <c r="R36" s="142" t="n">
        <v>1805435.04</v>
      </c>
    </row>
    <row r="37" customFormat="false" ht="13.8" hidden="false" customHeight="false" outlineLevel="0" collapsed="false">
      <c r="A37" s="68" t="s">
        <v>44</v>
      </c>
      <c r="B37" s="68" t="n">
        <v>12</v>
      </c>
      <c r="C37" s="69" t="n">
        <v>9485</v>
      </c>
      <c r="D37" s="69" t="n">
        <v>33640650</v>
      </c>
      <c r="E37" s="69" t="n">
        <v>1050</v>
      </c>
      <c r="F37" s="69" t="n">
        <v>37993200</v>
      </c>
      <c r="G37" s="69" t="n">
        <v>9635</v>
      </c>
      <c r="H37" s="69" t="n">
        <f aca="false">D37+F37-J37</f>
        <v>39077621</v>
      </c>
      <c r="I37" s="69" t="n">
        <v>900</v>
      </c>
      <c r="J37" s="69" t="n">
        <v>32556229</v>
      </c>
      <c r="K37" s="139" t="n">
        <f aca="false">J37/I37</f>
        <v>36173.5877777778</v>
      </c>
      <c r="L37" s="129" t="n">
        <v>35</v>
      </c>
      <c r="M37" s="130" t="s">
        <v>358</v>
      </c>
      <c r="N37" s="130" t="s">
        <v>50</v>
      </c>
      <c r="O37" s="130" t="s">
        <v>327</v>
      </c>
      <c r="P37" s="132" t="n">
        <v>750</v>
      </c>
      <c r="Q37" s="133" t="n">
        <v>3463.24</v>
      </c>
      <c r="R37" s="134" t="n">
        <v>2597430</v>
      </c>
    </row>
    <row r="38" customFormat="false" ht="13.8" hidden="false" customHeight="false" outlineLevel="0" collapsed="false">
      <c r="A38" s="68" t="s">
        <v>45</v>
      </c>
      <c r="B38" s="68" t="n">
        <v>12</v>
      </c>
      <c r="C38" s="69" t="n">
        <v>320</v>
      </c>
      <c r="D38" s="69" t="n">
        <v>11571799</v>
      </c>
      <c r="E38" s="69" t="n">
        <v>405</v>
      </c>
      <c r="F38" s="69" t="n">
        <v>14654520</v>
      </c>
      <c r="G38" s="69" t="n">
        <v>630</v>
      </c>
      <c r="H38" s="69" t="n">
        <f aca="false">D38+F38-J38</f>
        <v>22789767</v>
      </c>
      <c r="I38" s="69" t="n">
        <v>95</v>
      </c>
      <c r="J38" s="69" t="n">
        <v>3436552</v>
      </c>
      <c r="K38" s="139" t="n">
        <f aca="false">J38/I38</f>
        <v>36174.2315789474</v>
      </c>
      <c r="L38" s="129" t="n">
        <v>36</v>
      </c>
      <c r="M38" s="130" t="s">
        <v>359</v>
      </c>
      <c r="N38" s="130" t="s">
        <v>360</v>
      </c>
      <c r="O38" s="130" t="s">
        <v>327</v>
      </c>
      <c r="P38" s="132" t="n">
        <v>995</v>
      </c>
      <c r="Q38" s="133" t="n">
        <v>4761.96</v>
      </c>
      <c r="R38" s="134" t="n">
        <v>4738150.2</v>
      </c>
    </row>
    <row r="39" customFormat="false" ht="13.8" hidden="false" customHeight="false" outlineLevel="0" collapsed="false">
      <c r="A39" s="68" t="s">
        <v>46</v>
      </c>
      <c r="B39" s="68" t="n">
        <v>12</v>
      </c>
      <c r="C39" s="69" t="n">
        <v>270</v>
      </c>
      <c r="D39" s="69" t="n">
        <v>9896208</v>
      </c>
      <c r="E39" s="69" t="n">
        <v>120</v>
      </c>
      <c r="F39" s="69" t="n">
        <v>4342080</v>
      </c>
      <c r="G39" s="69" t="n">
        <v>319</v>
      </c>
      <c r="H39" s="69" t="n">
        <f aca="false">D39+F39-J39</f>
        <v>11669303</v>
      </c>
      <c r="I39" s="69" t="n">
        <v>71</v>
      </c>
      <c r="J39" s="69" t="n">
        <v>2568985</v>
      </c>
      <c r="K39" s="139" t="n">
        <f aca="false">J39/I39</f>
        <v>36182.8873239437</v>
      </c>
      <c r="L39" s="129" t="n">
        <v>37</v>
      </c>
      <c r="M39" s="130" t="s">
        <v>361</v>
      </c>
      <c r="N39" s="130" t="s">
        <v>51</v>
      </c>
      <c r="O39" s="130" t="s">
        <v>327</v>
      </c>
      <c r="P39" s="132" t="n">
        <v>770</v>
      </c>
      <c r="Q39" s="133" t="n">
        <v>3896.14</v>
      </c>
      <c r="R39" s="134" t="n">
        <v>3000027.8</v>
      </c>
    </row>
    <row r="40" customFormat="false" ht="13.8" hidden="false" customHeight="false" outlineLevel="0" collapsed="false">
      <c r="A40" s="68" t="s">
        <v>47</v>
      </c>
      <c r="B40" s="68" t="n">
        <v>12</v>
      </c>
      <c r="C40" s="69" t="n">
        <v>1500</v>
      </c>
      <c r="D40" s="69" t="n">
        <v>7597338</v>
      </c>
      <c r="E40" s="69" t="n">
        <v>250</v>
      </c>
      <c r="F40" s="69" t="n">
        <v>1273250</v>
      </c>
      <c r="G40" s="69" t="n">
        <v>691</v>
      </c>
      <c r="H40" s="69" t="n">
        <f aca="false">D40+F40-J40</f>
        <v>4132398</v>
      </c>
      <c r="I40" s="70" t="n">
        <v>995</v>
      </c>
      <c r="J40" s="70" t="n">
        <f aca="false">I40*K40</f>
        <v>4738190</v>
      </c>
      <c r="K40" s="136" t="n">
        <v>4762</v>
      </c>
      <c r="L40" s="129" t="n">
        <v>38</v>
      </c>
      <c r="M40" s="130" t="s">
        <v>362</v>
      </c>
      <c r="N40" s="130" t="s">
        <v>52</v>
      </c>
      <c r="O40" s="130" t="s">
        <v>303</v>
      </c>
      <c r="P40" s="132" t="n">
        <v>1708</v>
      </c>
      <c r="Q40" s="133" t="n">
        <v>21643.38</v>
      </c>
      <c r="R40" s="134" t="n">
        <v>36966893.04</v>
      </c>
    </row>
    <row r="41" customFormat="false" ht="13.8" hidden="false" customHeight="false" outlineLevel="0" collapsed="false">
      <c r="A41" s="68" t="s">
        <v>48</v>
      </c>
      <c r="B41" s="68" t="n">
        <v>12</v>
      </c>
      <c r="C41" s="69" t="n">
        <v>192</v>
      </c>
      <c r="D41" s="69" t="n">
        <v>4111968</v>
      </c>
      <c r="E41" s="69" t="n">
        <v>48</v>
      </c>
      <c r="F41" s="69" t="n">
        <v>933312</v>
      </c>
      <c r="G41" s="69" t="n">
        <v>0</v>
      </c>
      <c r="H41" s="69" t="n">
        <f aca="false">D41+F41-J41</f>
        <v>0</v>
      </c>
      <c r="I41" s="69" t="n">
        <v>240</v>
      </c>
      <c r="J41" s="69" t="n">
        <v>5045280</v>
      </c>
      <c r="K41" s="139" t="n">
        <f aca="false">J41/I41</f>
        <v>21022</v>
      </c>
      <c r="L41" s="129" t="n">
        <v>39</v>
      </c>
      <c r="M41" s="130" t="s">
        <v>363</v>
      </c>
      <c r="N41" s="130" t="s">
        <v>364</v>
      </c>
      <c r="O41" s="130" t="s">
        <v>303</v>
      </c>
      <c r="P41" s="130"/>
      <c r="Q41" s="131"/>
      <c r="R41" s="71" t="n">
        <v>0</v>
      </c>
    </row>
    <row r="42" customFormat="false" ht="13.8" hidden="false" customHeight="false" outlineLevel="0" collapsed="false">
      <c r="A42" s="68" t="s">
        <v>49</v>
      </c>
      <c r="B42" s="68" t="n">
        <v>12</v>
      </c>
      <c r="C42" s="69" t="n">
        <v>4020</v>
      </c>
      <c r="D42" s="69" t="n">
        <v>19708744</v>
      </c>
      <c r="E42" s="69" t="n">
        <v>3360</v>
      </c>
      <c r="F42" s="69" t="n">
        <v>16487520</v>
      </c>
      <c r="G42" s="69" t="n">
        <v>5702</v>
      </c>
      <c r="H42" s="69" t="n">
        <f aca="false">D42+F42-J42</f>
        <v>28495976</v>
      </c>
      <c r="I42" s="69" t="n">
        <v>1678</v>
      </c>
      <c r="J42" s="69" t="n">
        <v>7700288</v>
      </c>
      <c r="K42" s="139" t="n">
        <f aca="false">J42/I42</f>
        <v>4588.96781883194</v>
      </c>
      <c r="L42" s="129" t="n">
        <v>40</v>
      </c>
      <c r="M42" s="130" t="s">
        <v>365</v>
      </c>
      <c r="N42" s="130" t="s">
        <v>366</v>
      </c>
      <c r="O42" s="130" t="s">
        <v>367</v>
      </c>
      <c r="P42" s="130"/>
      <c r="Q42" s="131"/>
      <c r="R42" s="71" t="n">
        <v>0</v>
      </c>
    </row>
    <row r="43" customFormat="false" ht="13.8" hidden="false" customHeight="false" outlineLevel="0" collapsed="false">
      <c r="A43" s="68" t="s">
        <v>50</v>
      </c>
      <c r="B43" s="68" t="n">
        <v>12</v>
      </c>
      <c r="C43" s="69" t="n">
        <v>750</v>
      </c>
      <c r="D43" s="69" t="n">
        <v>2517000</v>
      </c>
      <c r="E43" s="69" t="n">
        <v>0</v>
      </c>
      <c r="F43" s="69" t="n">
        <v>0</v>
      </c>
      <c r="G43" s="69" t="n">
        <v>23</v>
      </c>
      <c r="H43" s="69" t="n">
        <f aca="false">D43+F43-J43</f>
        <v>-80250</v>
      </c>
      <c r="I43" s="70" t="n">
        <v>750</v>
      </c>
      <c r="J43" s="70" t="n">
        <f aca="false">I43*K43</f>
        <v>2597250</v>
      </c>
      <c r="K43" s="136" t="n">
        <v>3463</v>
      </c>
      <c r="L43" s="129" t="n">
        <v>41</v>
      </c>
      <c r="M43" s="130" t="s">
        <v>368</v>
      </c>
      <c r="N43" s="130" t="s">
        <v>369</v>
      </c>
      <c r="O43" s="130" t="s">
        <v>367</v>
      </c>
      <c r="P43" s="130"/>
      <c r="Q43" s="131"/>
      <c r="R43" s="71" t="n">
        <v>0</v>
      </c>
    </row>
    <row r="44" customFormat="false" ht="13.8" hidden="false" customHeight="false" outlineLevel="0" collapsed="false">
      <c r="A44" s="68" t="s">
        <v>51</v>
      </c>
      <c r="B44" s="68" t="n">
        <v>12</v>
      </c>
      <c r="C44" s="69" t="n">
        <v>1350</v>
      </c>
      <c r="D44" s="69" t="n">
        <v>5561964</v>
      </c>
      <c r="E44" s="69" t="n">
        <v>200</v>
      </c>
      <c r="F44" s="69" t="n">
        <v>833400</v>
      </c>
      <c r="G44" s="69" t="n">
        <v>780</v>
      </c>
      <c r="H44" s="69" t="n">
        <f aca="false">D44+F44-J44</f>
        <v>3395336.2</v>
      </c>
      <c r="I44" s="70" t="n">
        <v>770</v>
      </c>
      <c r="J44" s="70" t="n">
        <f aca="false">I44*K44</f>
        <v>3000027.8</v>
      </c>
      <c r="K44" s="136" t="n">
        <v>3896.14</v>
      </c>
      <c r="L44" s="129" t="n">
        <v>42</v>
      </c>
      <c r="M44" s="130" t="s">
        <v>370</v>
      </c>
      <c r="N44" s="130" t="s">
        <v>371</v>
      </c>
      <c r="O44" s="130" t="s">
        <v>367</v>
      </c>
      <c r="P44" s="130"/>
      <c r="Q44" s="131"/>
      <c r="R44" s="71" t="n">
        <v>0</v>
      </c>
    </row>
    <row r="45" customFormat="false" ht="13.8" hidden="false" customHeight="false" outlineLevel="0" collapsed="false">
      <c r="A45" s="68" t="s">
        <v>52</v>
      </c>
      <c r="B45" s="68" t="n">
        <v>12</v>
      </c>
      <c r="C45" s="69" t="n">
        <v>1676</v>
      </c>
      <c r="D45" s="69" t="n">
        <v>38641471</v>
      </c>
      <c r="E45" s="69" t="n">
        <v>288</v>
      </c>
      <c r="F45" s="69" t="n">
        <v>6666624</v>
      </c>
      <c r="G45" s="69" t="n">
        <v>143</v>
      </c>
      <c r="H45" s="69" t="n">
        <f aca="false">D45+F45-J45</f>
        <v>8341167.8</v>
      </c>
      <c r="I45" s="70" t="n">
        <v>1708</v>
      </c>
      <c r="J45" s="70" t="n">
        <f aca="false">I45*K45</f>
        <v>36966927.2</v>
      </c>
      <c r="K45" s="136" t="n">
        <v>21643.4</v>
      </c>
      <c r="L45" s="129" t="n">
        <v>43</v>
      </c>
      <c r="M45" s="130" t="s">
        <v>372</v>
      </c>
      <c r="N45" s="130" t="s">
        <v>373</v>
      </c>
      <c r="O45" s="130" t="s">
        <v>303</v>
      </c>
      <c r="P45" s="140" t="n">
        <v>628</v>
      </c>
      <c r="Q45" s="141" t="n">
        <v>8657</v>
      </c>
      <c r="R45" s="142" t="n">
        <v>5436596</v>
      </c>
    </row>
    <row r="46" customFormat="false" ht="13.8" hidden="false" customHeight="false" outlineLevel="0" collapsed="false">
      <c r="A46" s="68" t="s">
        <v>890</v>
      </c>
      <c r="B46" s="68" t="n">
        <v>12</v>
      </c>
      <c r="C46" s="69" t="n">
        <v>0</v>
      </c>
      <c r="D46" s="69" t="n">
        <v>0</v>
      </c>
      <c r="E46" s="69" t="n">
        <v>3600</v>
      </c>
      <c r="F46" s="69" t="n">
        <v>38332800</v>
      </c>
      <c r="G46" s="69" t="n">
        <v>10</v>
      </c>
      <c r="H46" s="69" t="n">
        <f aca="false">D46+F46-J46</f>
        <v>2591119</v>
      </c>
      <c r="I46" s="70" t="n">
        <v>3590</v>
      </c>
      <c r="J46" s="70" t="n">
        <f aca="false">I46*K46</f>
        <v>35741681</v>
      </c>
      <c r="K46" s="136" t="n">
        <v>9955.9</v>
      </c>
      <c r="L46" s="129" t="n">
        <v>44</v>
      </c>
      <c r="M46" s="130" t="s">
        <v>374</v>
      </c>
      <c r="N46" s="130" t="s">
        <v>375</v>
      </c>
      <c r="O46" s="130" t="s">
        <v>303</v>
      </c>
      <c r="P46" s="140" t="n">
        <v>651</v>
      </c>
      <c r="Q46" s="141" t="n">
        <v>8657</v>
      </c>
      <c r="R46" s="142" t="n">
        <v>5635707</v>
      </c>
    </row>
    <row r="47" customFormat="false" ht="13.8" hidden="false" customHeight="false" outlineLevel="0" collapsed="false">
      <c r="A47" s="68" t="s">
        <v>54</v>
      </c>
      <c r="B47" s="68" t="n">
        <v>12</v>
      </c>
      <c r="C47" s="69" t="n">
        <v>4478</v>
      </c>
      <c r="D47" s="69" t="n">
        <v>65694476</v>
      </c>
      <c r="E47" s="69" t="n">
        <v>9176</v>
      </c>
      <c r="F47" s="69" t="n">
        <v>133335000</v>
      </c>
      <c r="G47" s="69" t="n">
        <v>7664</v>
      </c>
      <c r="H47" s="69" t="n">
        <f aca="false">D47+F47-J47</f>
        <v>116059227</v>
      </c>
      <c r="I47" s="69" t="n">
        <v>5990</v>
      </c>
      <c r="J47" s="69" t="n">
        <v>82970249</v>
      </c>
      <c r="K47" s="139" t="n">
        <f aca="false">J47/I47</f>
        <v>13851.4606010017</v>
      </c>
      <c r="L47" s="129" t="n">
        <v>45</v>
      </c>
      <c r="M47" s="130" t="s">
        <v>376</v>
      </c>
      <c r="N47" s="130" t="s">
        <v>377</v>
      </c>
      <c r="O47" s="130" t="s">
        <v>303</v>
      </c>
      <c r="P47" s="140" t="n">
        <v>18180</v>
      </c>
      <c r="Q47" s="141" t="n">
        <v>9090</v>
      </c>
      <c r="R47" s="142" t="n">
        <v>165256200</v>
      </c>
    </row>
    <row r="48" customFormat="false" ht="13.8" hidden="false" customHeight="false" outlineLevel="0" collapsed="false">
      <c r="A48" s="68" t="s">
        <v>55</v>
      </c>
      <c r="B48" s="68" t="n">
        <v>12</v>
      </c>
      <c r="C48" s="69" t="n">
        <v>162</v>
      </c>
      <c r="D48" s="69" t="n">
        <v>14271796</v>
      </c>
      <c r="E48" s="69" t="n">
        <v>119</v>
      </c>
      <c r="F48" s="69" t="n">
        <v>9838718.89</v>
      </c>
      <c r="G48" s="69" t="n">
        <v>6</v>
      </c>
      <c r="H48" s="69" t="n">
        <f aca="false">D48+F48-J48</f>
        <v>1348613.89</v>
      </c>
      <c r="I48" s="69" t="n">
        <v>275</v>
      </c>
      <c r="J48" s="69" t="n">
        <v>22761901</v>
      </c>
      <c r="K48" s="139" t="n">
        <f aca="false">J48/I48</f>
        <v>82770.5490909091</v>
      </c>
      <c r="L48" s="129" t="n">
        <v>46</v>
      </c>
      <c r="M48" s="130" t="s">
        <v>378</v>
      </c>
      <c r="N48" s="130" t="s">
        <v>53</v>
      </c>
      <c r="O48" s="130" t="s">
        <v>303</v>
      </c>
      <c r="P48" s="132" t="n">
        <v>3590</v>
      </c>
      <c r="Q48" s="133" t="n">
        <v>9955.88</v>
      </c>
      <c r="R48" s="134" t="n">
        <v>35741609.2</v>
      </c>
    </row>
    <row r="49" customFormat="false" ht="13.8" hidden="false" customHeight="false" outlineLevel="0" collapsed="false">
      <c r="A49" s="68" t="s">
        <v>56</v>
      </c>
      <c r="B49" s="68" t="n">
        <v>12</v>
      </c>
      <c r="C49" s="69" t="n">
        <v>864</v>
      </c>
      <c r="D49" s="69" t="n">
        <v>8294400</v>
      </c>
      <c r="E49" s="69" t="n">
        <v>263</v>
      </c>
      <c r="F49" s="69" t="n">
        <v>9207921359.29</v>
      </c>
      <c r="G49" s="69" t="n">
        <v>0</v>
      </c>
      <c r="H49" s="69" t="n">
        <f aca="false">D49+F49-J49</f>
        <v>9206072399.29</v>
      </c>
      <c r="I49" s="69" t="n">
        <v>1127</v>
      </c>
      <c r="J49" s="69" t="n">
        <v>10143360</v>
      </c>
      <c r="K49" s="139" t="n">
        <f aca="false">J49/I49</f>
        <v>9000.31943212067</v>
      </c>
      <c r="L49" s="129" t="n">
        <v>47</v>
      </c>
      <c r="M49" s="130" t="s">
        <v>379</v>
      </c>
      <c r="N49" s="130" t="s">
        <v>380</v>
      </c>
      <c r="O49" s="130" t="s">
        <v>327</v>
      </c>
      <c r="P49" s="132" t="n">
        <v>37</v>
      </c>
      <c r="Q49" s="133" t="n">
        <v>19698.8</v>
      </c>
      <c r="R49" s="134" t="n">
        <v>728855.6</v>
      </c>
    </row>
    <row r="50" customFormat="false" ht="13.8" hidden="false" customHeight="false" outlineLevel="0" collapsed="false">
      <c r="A50" s="68" t="s">
        <v>57</v>
      </c>
      <c r="B50" s="68" t="n">
        <v>12</v>
      </c>
      <c r="C50" s="69" t="n">
        <v>758</v>
      </c>
      <c r="D50" s="69" t="n">
        <v>13116517</v>
      </c>
      <c r="E50" s="69" t="n">
        <v>168</v>
      </c>
      <c r="F50" s="69" t="n">
        <v>2955624</v>
      </c>
      <c r="G50" s="69" t="n">
        <v>118</v>
      </c>
      <c r="H50" s="69" t="n">
        <f aca="false">D50+F50-J50</f>
        <v>15343285.4</v>
      </c>
      <c r="I50" s="69" t="n">
        <v>37</v>
      </c>
      <c r="J50" s="69" t="n">
        <f aca="false">I50*K50</f>
        <v>728855.6</v>
      </c>
      <c r="K50" s="139" t="n">
        <v>19698.8</v>
      </c>
      <c r="L50" s="129" t="n">
        <v>48</v>
      </c>
      <c r="M50" s="130" t="s">
        <v>381</v>
      </c>
      <c r="N50" s="140" t="s">
        <v>382</v>
      </c>
      <c r="O50" s="140" t="s">
        <v>327</v>
      </c>
      <c r="P50" s="140" t="n">
        <v>132</v>
      </c>
      <c r="Q50" s="141" t="n">
        <v>23981.55</v>
      </c>
      <c r="R50" s="142" t="n">
        <v>3165564.6</v>
      </c>
    </row>
    <row r="51" customFormat="false" ht="13.8" hidden="false" customHeight="false" outlineLevel="0" collapsed="false">
      <c r="A51" s="68" t="s">
        <v>58</v>
      </c>
      <c r="B51" s="68" t="n">
        <v>12</v>
      </c>
      <c r="C51" s="69" t="n">
        <v>3660</v>
      </c>
      <c r="D51" s="69" t="n">
        <v>31105758</v>
      </c>
      <c r="E51" s="69" t="n">
        <v>816</v>
      </c>
      <c r="F51" s="69" t="n">
        <v>7026576</v>
      </c>
      <c r="G51" s="69" t="n">
        <v>1416</v>
      </c>
      <c r="H51" s="69" t="n">
        <f aca="false">D51+F51-J51</f>
        <v>13494553</v>
      </c>
      <c r="I51" s="69" t="n">
        <v>3060</v>
      </c>
      <c r="J51" s="69" t="n">
        <v>24637781</v>
      </c>
      <c r="K51" s="139" t="n">
        <f aca="false">J51/I51</f>
        <v>8051.56241830065</v>
      </c>
      <c r="L51" s="129" t="n">
        <v>49</v>
      </c>
      <c r="M51" s="130" t="s">
        <v>383</v>
      </c>
      <c r="N51" s="130" t="s">
        <v>384</v>
      </c>
      <c r="O51" s="130" t="s">
        <v>327</v>
      </c>
      <c r="P51" s="140" t="n">
        <v>40</v>
      </c>
      <c r="Q51" s="141" t="n">
        <v>42045.88</v>
      </c>
      <c r="R51" s="142" t="n">
        <v>1681835.2</v>
      </c>
    </row>
    <row r="52" customFormat="false" ht="13.8" hidden="false" customHeight="false" outlineLevel="0" collapsed="false">
      <c r="A52" s="68" t="s">
        <v>59</v>
      </c>
      <c r="B52" s="68" t="n">
        <v>12</v>
      </c>
      <c r="C52" s="69" t="n">
        <v>4076</v>
      </c>
      <c r="D52" s="69" t="n">
        <v>66900098</v>
      </c>
      <c r="E52" s="69" t="n">
        <v>2466</v>
      </c>
      <c r="F52" s="69" t="n">
        <v>30000600</v>
      </c>
      <c r="G52" s="69" t="n">
        <v>3835</v>
      </c>
      <c r="H52" s="69" t="n">
        <f aca="false">D52+F52-J52</f>
        <v>54715863</v>
      </c>
      <c r="I52" s="69" t="n">
        <v>2707</v>
      </c>
      <c r="J52" s="69" t="n">
        <v>42184835</v>
      </c>
      <c r="K52" s="139" t="n">
        <f aca="false">J52/I52</f>
        <v>15583.6110084965</v>
      </c>
      <c r="L52" s="129" t="n">
        <v>50</v>
      </c>
      <c r="M52" s="130" t="s">
        <v>385</v>
      </c>
      <c r="N52" s="130" t="s">
        <v>129</v>
      </c>
      <c r="O52" s="130" t="s">
        <v>327</v>
      </c>
      <c r="P52" s="132" t="n">
        <v>15</v>
      </c>
      <c r="Q52" s="133" t="n">
        <v>31689.58</v>
      </c>
      <c r="R52" s="134" t="n">
        <v>475343.7</v>
      </c>
    </row>
    <row r="53" customFormat="false" ht="13.8" hidden="false" customHeight="false" outlineLevel="0" collapsed="false">
      <c r="A53" s="68" t="s">
        <v>60</v>
      </c>
      <c r="B53" s="68" t="n">
        <v>12</v>
      </c>
      <c r="C53" s="69" t="n">
        <v>3051</v>
      </c>
      <c r="D53" s="69" t="n">
        <v>99561656</v>
      </c>
      <c r="E53" s="69" t="n">
        <v>1476</v>
      </c>
      <c r="F53" s="69" t="n">
        <v>51966396</v>
      </c>
      <c r="G53" s="69" t="n">
        <v>2861</v>
      </c>
      <c r="H53" s="69" t="n">
        <f aca="false">D53+F53-J53</f>
        <v>96734277</v>
      </c>
      <c r="I53" s="69" t="n">
        <v>1666</v>
      </c>
      <c r="J53" s="69" t="n">
        <v>54793775</v>
      </c>
      <c r="K53" s="139" t="n">
        <f aca="false">J53/I53</f>
        <v>32889.4207683073</v>
      </c>
      <c r="L53" s="129" t="n">
        <v>51</v>
      </c>
      <c r="M53" s="130" t="s">
        <v>386</v>
      </c>
      <c r="N53" s="130" t="s">
        <v>130</v>
      </c>
      <c r="O53" s="130" t="s">
        <v>327</v>
      </c>
      <c r="P53" s="130" t="n">
        <v>86</v>
      </c>
      <c r="Q53" s="131" t="n">
        <v>44108.62</v>
      </c>
      <c r="R53" s="71" t="n">
        <v>3793341.32</v>
      </c>
    </row>
    <row r="54" customFormat="false" ht="13.8" hidden="false" customHeight="false" outlineLevel="0" collapsed="false">
      <c r="A54" s="68" t="s">
        <v>61</v>
      </c>
      <c r="B54" s="68" t="n">
        <v>12</v>
      </c>
      <c r="C54" s="69" t="n">
        <v>0</v>
      </c>
      <c r="D54" s="69" t="n">
        <v>0</v>
      </c>
      <c r="E54" s="69" t="n">
        <v>0</v>
      </c>
      <c r="F54" s="69" t="n">
        <v>0</v>
      </c>
      <c r="G54" s="69" t="n">
        <v>0</v>
      </c>
      <c r="H54" s="69" t="n">
        <f aca="false">D54+F54-J54</f>
        <v>0</v>
      </c>
      <c r="I54" s="69" t="n">
        <v>0</v>
      </c>
      <c r="J54" s="69" t="n">
        <v>0</v>
      </c>
      <c r="K54" s="139"/>
      <c r="L54" s="129" t="n">
        <v>52</v>
      </c>
      <c r="M54" s="130" t="s">
        <v>387</v>
      </c>
      <c r="N54" s="130" t="s">
        <v>131</v>
      </c>
      <c r="O54" s="130" t="s">
        <v>327</v>
      </c>
      <c r="P54" s="130" t="n">
        <v>36</v>
      </c>
      <c r="Q54" s="131" t="n">
        <v>46250</v>
      </c>
      <c r="R54" s="71" t="n">
        <v>1665000</v>
      </c>
    </row>
    <row r="55" customFormat="false" ht="13.8" hidden="false" customHeight="false" outlineLevel="0" collapsed="false">
      <c r="A55" s="68" t="s">
        <v>62</v>
      </c>
      <c r="B55" s="68" t="n">
        <v>12</v>
      </c>
      <c r="C55" s="69" t="n">
        <v>4034</v>
      </c>
      <c r="D55" s="69" t="n">
        <v>19765883</v>
      </c>
      <c r="E55" s="69" t="n">
        <v>4080</v>
      </c>
      <c r="F55" s="69" t="n">
        <v>20020560</v>
      </c>
      <c r="G55" s="69" t="n">
        <v>6143</v>
      </c>
      <c r="H55" s="69" t="n">
        <f aca="false">D55+F55-J55</f>
        <v>30744515</v>
      </c>
      <c r="I55" s="69" t="n">
        <v>1971</v>
      </c>
      <c r="J55" s="69" t="n">
        <v>9041928</v>
      </c>
      <c r="K55" s="139" t="n">
        <f aca="false">J55/I55</f>
        <v>4587.48249619483</v>
      </c>
      <c r="L55" s="129" t="n">
        <v>53</v>
      </c>
      <c r="M55" s="130" t="s">
        <v>388</v>
      </c>
      <c r="N55" s="130" t="s">
        <v>132</v>
      </c>
      <c r="O55" s="130" t="s">
        <v>327</v>
      </c>
      <c r="P55" s="130" t="n">
        <v>53</v>
      </c>
      <c r="Q55" s="131" t="n">
        <v>41110.7</v>
      </c>
      <c r="R55" s="71" t="n">
        <v>2178867.1</v>
      </c>
    </row>
    <row r="56" customFormat="false" ht="13.8" hidden="false" customHeight="false" outlineLevel="0" collapsed="false">
      <c r="A56" s="68" t="s">
        <v>63</v>
      </c>
      <c r="B56" s="68" t="n">
        <v>12</v>
      </c>
      <c r="C56" s="69" t="n">
        <v>0</v>
      </c>
      <c r="D56" s="69" t="n">
        <v>0</v>
      </c>
      <c r="E56" s="69" t="n">
        <v>0</v>
      </c>
      <c r="F56" s="69" t="n">
        <v>0</v>
      </c>
      <c r="G56" s="69" t="n">
        <v>0</v>
      </c>
      <c r="H56" s="69" t="n">
        <f aca="false">D56+F56-J56</f>
        <v>0</v>
      </c>
      <c r="I56" s="69" t="n">
        <v>0</v>
      </c>
      <c r="J56" s="69" t="n">
        <v>0</v>
      </c>
      <c r="K56" s="139"/>
      <c r="L56" s="129" t="n">
        <v>54</v>
      </c>
      <c r="M56" s="130" t="s">
        <v>389</v>
      </c>
      <c r="N56" s="130" t="s">
        <v>390</v>
      </c>
      <c r="O56" s="130" t="s">
        <v>327</v>
      </c>
      <c r="P56" s="130"/>
      <c r="Q56" s="131"/>
      <c r="R56" s="71" t="n">
        <v>0</v>
      </c>
    </row>
    <row r="57" customFormat="false" ht="13.8" hidden="false" customHeight="false" outlineLevel="0" collapsed="false">
      <c r="A57" s="68" t="s">
        <v>64</v>
      </c>
      <c r="B57" s="68" t="n">
        <v>12</v>
      </c>
      <c r="C57" s="69" t="n">
        <v>25</v>
      </c>
      <c r="D57" s="69" t="n">
        <v>4861100</v>
      </c>
      <c r="E57" s="69" t="n">
        <v>0</v>
      </c>
      <c r="F57" s="69" t="n">
        <v>0</v>
      </c>
      <c r="G57" s="69" t="n">
        <v>0</v>
      </c>
      <c r="H57" s="69" t="n">
        <f aca="false">D57+F57-J57</f>
        <v>0</v>
      </c>
      <c r="I57" s="69" t="n">
        <v>25</v>
      </c>
      <c r="J57" s="69" t="n">
        <v>4861100</v>
      </c>
      <c r="K57" s="139" t="n">
        <f aca="false">J57/I57</f>
        <v>194444</v>
      </c>
      <c r="L57" s="129" t="n">
        <v>55</v>
      </c>
      <c r="M57" s="130" t="s">
        <v>391</v>
      </c>
      <c r="N57" s="130" t="s">
        <v>133</v>
      </c>
      <c r="O57" s="130" t="s">
        <v>327</v>
      </c>
      <c r="P57" s="130" t="n">
        <v>35</v>
      </c>
      <c r="Q57" s="131" t="n">
        <v>35115.78</v>
      </c>
      <c r="R57" s="71" t="n">
        <v>1229052.3</v>
      </c>
    </row>
    <row r="58" customFormat="false" ht="13.8" hidden="false" customHeight="false" outlineLevel="0" collapsed="false">
      <c r="A58" s="68" t="s">
        <v>65</v>
      </c>
      <c r="B58" s="68" t="n">
        <v>12</v>
      </c>
      <c r="C58" s="69" t="n">
        <v>7</v>
      </c>
      <c r="D58" s="69" t="n">
        <v>1328705</v>
      </c>
      <c r="E58" s="69" t="n">
        <v>0</v>
      </c>
      <c r="F58" s="69" t="n">
        <v>0</v>
      </c>
      <c r="G58" s="69" t="n">
        <v>0</v>
      </c>
      <c r="H58" s="69" t="n">
        <f aca="false">D58+F58-J58</f>
        <v>0</v>
      </c>
      <c r="I58" s="69" t="n">
        <v>7</v>
      </c>
      <c r="J58" s="69" t="n">
        <v>1328705</v>
      </c>
      <c r="K58" s="139" t="n">
        <f aca="false">J58/I58</f>
        <v>189815</v>
      </c>
      <c r="L58" s="129" t="n">
        <v>56</v>
      </c>
      <c r="M58" s="130" t="s">
        <v>392</v>
      </c>
      <c r="N58" s="130" t="s">
        <v>54</v>
      </c>
      <c r="O58" s="130" t="s">
        <v>393</v>
      </c>
      <c r="P58" s="130" t="n">
        <v>5692</v>
      </c>
      <c r="Q58" s="131" t="n">
        <v>13852.02</v>
      </c>
      <c r="R58" s="71" t="n">
        <v>78845697.84</v>
      </c>
    </row>
    <row r="59" customFormat="false" ht="13.8" hidden="false" customHeight="false" outlineLevel="0" collapsed="false">
      <c r="A59" s="68" t="s">
        <v>66</v>
      </c>
      <c r="B59" s="68" t="n">
        <v>12</v>
      </c>
      <c r="C59" s="69" t="n">
        <v>3640</v>
      </c>
      <c r="D59" s="69" t="n">
        <v>56770482</v>
      </c>
      <c r="E59" s="69" t="n">
        <v>4421</v>
      </c>
      <c r="F59" s="69" t="n">
        <v>68567796</v>
      </c>
      <c r="G59" s="69" t="n">
        <v>6562</v>
      </c>
      <c r="H59" s="69" t="n">
        <f aca="false">D59+F59-J59</f>
        <v>103274636</v>
      </c>
      <c r="I59" s="69" t="n">
        <v>1499</v>
      </c>
      <c r="J59" s="69" t="n">
        <v>22063642</v>
      </c>
      <c r="K59" s="139" t="n">
        <f aca="false">J59/I59</f>
        <v>14718.9072715143</v>
      </c>
      <c r="L59" s="129" t="n">
        <v>57</v>
      </c>
      <c r="M59" s="130" t="s">
        <v>394</v>
      </c>
      <c r="N59" s="130" t="s">
        <v>55</v>
      </c>
      <c r="O59" s="130" t="s">
        <v>395</v>
      </c>
      <c r="P59" s="130" t="n">
        <v>258</v>
      </c>
      <c r="Q59" s="131" t="n">
        <v>82678.31</v>
      </c>
      <c r="R59" s="71" t="n">
        <v>21331003.98</v>
      </c>
    </row>
    <row r="60" customFormat="false" ht="13.8" hidden="false" customHeight="false" outlineLevel="0" collapsed="false">
      <c r="A60" s="68" t="s">
        <v>67</v>
      </c>
      <c r="B60" s="68" t="n">
        <v>12</v>
      </c>
      <c r="C60" s="69" t="n">
        <v>170</v>
      </c>
      <c r="D60" s="69" t="n">
        <v>1385264</v>
      </c>
      <c r="E60" s="69" t="n">
        <v>24</v>
      </c>
      <c r="F60" s="69" t="n">
        <v>400008</v>
      </c>
      <c r="G60" s="69" t="n">
        <v>81</v>
      </c>
      <c r="H60" s="69" t="n">
        <f aca="false">D60+F60-J60</f>
        <v>27607</v>
      </c>
      <c r="I60" s="69" t="n">
        <v>113</v>
      </c>
      <c r="J60" s="69" t="n">
        <v>1757665</v>
      </c>
      <c r="K60" s="139" t="n">
        <f aca="false">J60/I60</f>
        <v>15554.5575221239</v>
      </c>
      <c r="L60" s="129" t="n">
        <v>58</v>
      </c>
      <c r="M60" s="130" t="s">
        <v>396</v>
      </c>
      <c r="N60" s="130" t="s">
        <v>134</v>
      </c>
      <c r="O60" s="130" t="s">
        <v>327</v>
      </c>
      <c r="P60" s="130" t="n">
        <v>15</v>
      </c>
      <c r="Q60" s="131" t="n">
        <v>26979.48</v>
      </c>
      <c r="R60" s="71" t="n">
        <v>404692.2</v>
      </c>
    </row>
    <row r="61" customFormat="false" ht="13.8" hidden="false" customHeight="false" outlineLevel="0" collapsed="false">
      <c r="A61" s="68" t="s">
        <v>68</v>
      </c>
      <c r="B61" s="68" t="n">
        <v>12</v>
      </c>
      <c r="C61" s="69" t="n">
        <v>384</v>
      </c>
      <c r="D61" s="69" t="n">
        <v>17725913</v>
      </c>
      <c r="E61" s="69" t="n">
        <v>0</v>
      </c>
      <c r="F61" s="69" t="n">
        <v>0</v>
      </c>
      <c r="G61" s="69"/>
      <c r="H61" s="69" t="n">
        <f aca="false">D61+F61-J61</f>
        <v>923225</v>
      </c>
      <c r="I61" s="69" t="n">
        <v>384</v>
      </c>
      <c r="J61" s="69" t="n">
        <v>16802688</v>
      </c>
      <c r="K61" s="139" t="n">
        <f aca="false">J61/I61</f>
        <v>43757</v>
      </c>
      <c r="L61" s="129" t="n">
        <v>59</v>
      </c>
      <c r="M61" s="130" t="s">
        <v>397</v>
      </c>
      <c r="N61" s="130" t="s">
        <v>398</v>
      </c>
      <c r="O61" s="130" t="s">
        <v>327</v>
      </c>
      <c r="P61" s="130"/>
      <c r="Q61" s="131"/>
      <c r="R61" s="71" t="n">
        <v>0</v>
      </c>
    </row>
    <row r="62" customFormat="false" ht="13.8" hidden="false" customHeight="false" outlineLevel="0" collapsed="false">
      <c r="A62" s="68" t="s">
        <v>69</v>
      </c>
      <c r="B62" s="68" t="n">
        <v>12</v>
      </c>
      <c r="C62" s="69" t="n">
        <v>156</v>
      </c>
      <c r="D62" s="69" t="n">
        <v>16177824</v>
      </c>
      <c r="E62" s="69" t="n">
        <v>0</v>
      </c>
      <c r="F62" s="69" t="n">
        <v>0</v>
      </c>
      <c r="G62" s="69"/>
      <c r="H62" s="69" t="n">
        <f aca="false">D62+F62-J62</f>
        <v>622224</v>
      </c>
      <c r="I62" s="69" t="n">
        <v>156</v>
      </c>
      <c r="J62" s="69" t="n">
        <v>15555600</v>
      </c>
      <c r="K62" s="139" t="n">
        <f aca="false">J62/I62</f>
        <v>99715.3846153846</v>
      </c>
      <c r="L62" s="129" t="n">
        <v>60</v>
      </c>
      <c r="M62" s="130" t="s">
        <v>399</v>
      </c>
      <c r="N62" s="130" t="s">
        <v>56</v>
      </c>
      <c r="O62" s="130" t="s">
        <v>393</v>
      </c>
      <c r="P62" s="130" t="n">
        <v>1056</v>
      </c>
      <c r="Q62" s="131" t="n">
        <v>9004.05</v>
      </c>
      <c r="R62" s="71" t="n">
        <v>9508276.8</v>
      </c>
    </row>
    <row r="63" customFormat="false" ht="13.8" hidden="false" customHeight="false" outlineLevel="0" collapsed="false">
      <c r="A63" s="68" t="s">
        <v>70</v>
      </c>
      <c r="B63" s="68" t="n">
        <v>12</v>
      </c>
      <c r="C63" s="69" t="n">
        <v>84</v>
      </c>
      <c r="D63" s="69" t="n">
        <v>12133296</v>
      </c>
      <c r="E63" s="69"/>
      <c r="F63" s="69" t="n">
        <v>0</v>
      </c>
      <c r="G63" s="69"/>
      <c r="H63" s="69" t="n">
        <f aca="false">D63+F63-J63</f>
        <v>0</v>
      </c>
      <c r="I63" s="69" t="n">
        <v>84</v>
      </c>
      <c r="J63" s="69" t="n">
        <v>12133296</v>
      </c>
      <c r="K63" s="139" t="n">
        <f aca="false">J63/I63</f>
        <v>144444</v>
      </c>
      <c r="L63" s="129" t="n">
        <v>61</v>
      </c>
      <c r="M63" s="130" t="s">
        <v>400</v>
      </c>
      <c r="N63" s="130" t="s">
        <v>57</v>
      </c>
      <c r="O63" s="130" t="s">
        <v>393</v>
      </c>
      <c r="P63" s="130" t="n">
        <v>766</v>
      </c>
      <c r="Q63" s="131" t="n">
        <v>16449.46</v>
      </c>
      <c r="R63" s="71" t="n">
        <v>12600286.36</v>
      </c>
    </row>
    <row r="64" customFormat="false" ht="13.8" hidden="false" customHeight="false" outlineLevel="0" collapsed="false">
      <c r="A64" s="68" t="s">
        <v>71</v>
      </c>
      <c r="B64" s="68" t="n">
        <v>12</v>
      </c>
      <c r="C64" s="69" t="n">
        <v>1608</v>
      </c>
      <c r="D64" s="69" t="n">
        <v>25016122</v>
      </c>
      <c r="E64" s="69" t="n">
        <v>552</v>
      </c>
      <c r="F64" s="69" t="n">
        <v>8689032</v>
      </c>
      <c r="G64" s="69" t="n">
        <v>1294</v>
      </c>
      <c r="H64" s="69" t="n">
        <f aca="false">D64+F64-J64</f>
        <v>20956492</v>
      </c>
      <c r="I64" s="69" t="n">
        <v>866</v>
      </c>
      <c r="J64" s="69" t="n">
        <v>12748662</v>
      </c>
      <c r="K64" s="139" t="n">
        <f aca="false">J64/I64</f>
        <v>14721.3187066975</v>
      </c>
      <c r="L64" s="129" t="n">
        <v>62</v>
      </c>
      <c r="M64" s="130" t="s">
        <v>401</v>
      </c>
      <c r="N64" s="130" t="s">
        <v>402</v>
      </c>
      <c r="O64" s="130" t="s">
        <v>393</v>
      </c>
      <c r="P64" s="130"/>
      <c r="Q64" s="131"/>
      <c r="R64" s="71" t="n">
        <v>0</v>
      </c>
    </row>
    <row r="65" customFormat="false" ht="13.8" hidden="false" customHeight="false" outlineLevel="0" collapsed="false">
      <c r="A65" s="68" t="s">
        <v>72</v>
      </c>
      <c r="B65" s="68" t="n">
        <v>12</v>
      </c>
      <c r="C65" s="69" t="n">
        <v>3852</v>
      </c>
      <c r="D65" s="69" t="n">
        <v>90280472</v>
      </c>
      <c r="E65" s="69" t="n">
        <v>648</v>
      </c>
      <c r="F65" s="69" t="n">
        <v>15599952</v>
      </c>
      <c r="G65" s="69" t="n">
        <v>2687</v>
      </c>
      <c r="H65" s="69" t="n">
        <f aca="false">D65+F65-J65</f>
        <v>65081167</v>
      </c>
      <c r="I65" s="69" t="n">
        <v>1813</v>
      </c>
      <c r="J65" s="69" t="n">
        <v>40799257</v>
      </c>
      <c r="K65" s="139" t="n">
        <f aca="false">J65/I65</f>
        <v>22503.7269718698</v>
      </c>
      <c r="L65" s="129" t="n">
        <v>63</v>
      </c>
      <c r="M65" s="130" t="s">
        <v>403</v>
      </c>
      <c r="N65" s="130" t="s">
        <v>58</v>
      </c>
      <c r="O65" s="130" t="s">
        <v>393</v>
      </c>
      <c r="P65" s="130" t="n">
        <v>2892</v>
      </c>
      <c r="Q65" s="131" t="n">
        <v>8051.28</v>
      </c>
      <c r="R65" s="71" t="n">
        <v>23284301.76</v>
      </c>
    </row>
    <row r="66" customFormat="false" ht="13.8" hidden="false" customHeight="false" outlineLevel="0" collapsed="false">
      <c r="A66" s="68" t="s">
        <v>73</v>
      </c>
      <c r="B66" s="68" t="n">
        <v>12</v>
      </c>
      <c r="C66" s="69" t="n">
        <v>4218</v>
      </c>
      <c r="D66" s="69" t="n">
        <v>143970514</v>
      </c>
      <c r="E66" s="69" t="n">
        <v>1800</v>
      </c>
      <c r="F66" s="69" t="n">
        <v>61666200</v>
      </c>
      <c r="G66" s="69" t="n">
        <v>4874</v>
      </c>
      <c r="H66" s="69" t="n">
        <f aca="false">D66+F66-J66</f>
        <v>169006179</v>
      </c>
      <c r="I66" s="69" t="n">
        <v>1144</v>
      </c>
      <c r="J66" s="69" t="n">
        <v>36630535</v>
      </c>
      <c r="K66" s="139" t="n">
        <f aca="false">J66/I66</f>
        <v>32019.6984265734</v>
      </c>
      <c r="L66" s="129" t="n">
        <v>64</v>
      </c>
      <c r="M66" s="130" t="s">
        <v>404</v>
      </c>
      <c r="N66" s="130" t="s">
        <v>59</v>
      </c>
      <c r="O66" s="130" t="s">
        <v>393</v>
      </c>
      <c r="P66" s="130" t="n">
        <v>2848</v>
      </c>
      <c r="Q66" s="131" t="n">
        <v>15583.64</v>
      </c>
      <c r="R66" s="71" t="n">
        <v>44382206.72</v>
      </c>
    </row>
    <row r="67" customFormat="false" ht="13.8" hidden="false" customHeight="false" outlineLevel="0" collapsed="false">
      <c r="A67" s="68" t="s">
        <v>74</v>
      </c>
      <c r="B67" s="68" t="n">
        <v>12</v>
      </c>
      <c r="C67" s="69" t="n">
        <v>5136</v>
      </c>
      <c r="D67" s="69" t="n">
        <v>75745997</v>
      </c>
      <c r="E67" s="69" t="n">
        <v>1752</v>
      </c>
      <c r="F67" s="69" t="n">
        <v>25955880</v>
      </c>
      <c r="G67" s="69" t="n">
        <v>6059</v>
      </c>
      <c r="H67" s="69" t="n">
        <f aca="false">D67+F67-J67</f>
        <v>90214644</v>
      </c>
      <c r="I67" s="69" t="n">
        <v>829</v>
      </c>
      <c r="J67" s="69" t="n">
        <v>11487233</v>
      </c>
      <c r="K67" s="139" t="n">
        <f aca="false">J67/I67</f>
        <v>13856.7346200241</v>
      </c>
      <c r="L67" s="129" t="n">
        <v>65</v>
      </c>
      <c r="M67" s="130" t="s">
        <v>405</v>
      </c>
      <c r="N67" s="130" t="s">
        <v>60</v>
      </c>
      <c r="O67" s="130" t="s">
        <v>393</v>
      </c>
      <c r="P67" s="130" t="n">
        <v>1637</v>
      </c>
      <c r="Q67" s="131" t="n">
        <v>32897.98</v>
      </c>
      <c r="R67" s="71" t="n">
        <v>53853993.26</v>
      </c>
    </row>
    <row r="68" customFormat="false" ht="13.8" hidden="false" customHeight="false" outlineLevel="0" collapsed="false">
      <c r="A68" s="68" t="s">
        <v>75</v>
      </c>
      <c r="B68" s="68" t="n">
        <v>12</v>
      </c>
      <c r="C68" s="69" t="n">
        <v>10400</v>
      </c>
      <c r="D68" s="69" t="n">
        <v>3813333</v>
      </c>
      <c r="E68" s="69" t="n">
        <v>0</v>
      </c>
      <c r="F68" s="69" t="n">
        <v>0</v>
      </c>
      <c r="G68" s="69" t="n">
        <v>9600</v>
      </c>
      <c r="H68" s="69" t="n">
        <f aca="false">D68+F68-J68</f>
        <v>3520000</v>
      </c>
      <c r="I68" s="69" t="n">
        <v>800</v>
      </c>
      <c r="J68" s="69" t="n">
        <v>293333</v>
      </c>
      <c r="K68" s="139" t="n">
        <f aca="false">J68/I68</f>
        <v>366.66625</v>
      </c>
      <c r="L68" s="129" t="n">
        <v>66</v>
      </c>
      <c r="M68" s="130" t="s">
        <v>406</v>
      </c>
      <c r="N68" s="130" t="s">
        <v>407</v>
      </c>
      <c r="O68" s="130" t="s">
        <v>327</v>
      </c>
      <c r="P68" s="130"/>
      <c r="Q68" s="131"/>
      <c r="R68" s="71" t="n">
        <v>0</v>
      </c>
    </row>
    <row r="69" customFormat="false" ht="13.8" hidden="false" customHeight="false" outlineLevel="0" collapsed="false">
      <c r="A69" s="68" t="s">
        <v>76</v>
      </c>
      <c r="B69" s="68" t="n">
        <v>12</v>
      </c>
      <c r="C69" s="69" t="n">
        <v>168</v>
      </c>
      <c r="D69" s="69" t="n">
        <v>9544198</v>
      </c>
      <c r="E69" s="69" t="n">
        <v>279</v>
      </c>
      <c r="F69" s="69" t="n">
        <v>4275018</v>
      </c>
      <c r="G69" s="69" t="n">
        <v>171</v>
      </c>
      <c r="H69" s="69" t="n">
        <f aca="false">D69+F69-J69</f>
        <v>221995</v>
      </c>
      <c r="I69" s="69" t="n">
        <v>276</v>
      </c>
      <c r="J69" s="69" t="n">
        <v>13597221</v>
      </c>
      <c r="K69" s="139" t="n">
        <f aca="false">J69/I69</f>
        <v>49265.2934782609</v>
      </c>
      <c r="L69" s="129" t="n">
        <v>67</v>
      </c>
      <c r="M69" s="130" t="s">
        <v>408</v>
      </c>
      <c r="N69" s="130" t="s">
        <v>49</v>
      </c>
      <c r="O69" s="130" t="s">
        <v>327</v>
      </c>
      <c r="P69" s="130" t="n">
        <v>1570</v>
      </c>
      <c r="Q69" s="131" t="n">
        <v>4588.04</v>
      </c>
      <c r="R69" s="71" t="n">
        <v>7203222.8</v>
      </c>
    </row>
    <row r="70" customFormat="false" ht="13.8" hidden="false" customHeight="false" outlineLevel="0" collapsed="false">
      <c r="A70" s="68" t="s">
        <v>77</v>
      </c>
      <c r="B70" s="68" t="n">
        <v>12</v>
      </c>
      <c r="C70" s="69" t="n">
        <v>1092</v>
      </c>
      <c r="D70" s="69" t="n">
        <v>6735333</v>
      </c>
      <c r="E70" s="69" t="n">
        <v>0</v>
      </c>
      <c r="F70" s="69" t="n">
        <v>0</v>
      </c>
      <c r="G70" s="69" t="n">
        <v>206</v>
      </c>
      <c r="H70" s="69" t="n">
        <f aca="false">D70+F70-J70</f>
        <v>1517300</v>
      </c>
      <c r="I70" s="69" t="n">
        <v>886</v>
      </c>
      <c r="J70" s="69" t="n">
        <v>5218033</v>
      </c>
      <c r="K70" s="139" t="n">
        <f aca="false">J70/I70</f>
        <v>5889.42776523702</v>
      </c>
      <c r="L70" s="129" t="n">
        <v>68</v>
      </c>
      <c r="M70" s="130" t="s">
        <v>409</v>
      </c>
      <c r="N70" s="130" t="s">
        <v>410</v>
      </c>
      <c r="O70" s="130" t="s">
        <v>303</v>
      </c>
      <c r="P70" s="130"/>
      <c r="Q70" s="131"/>
      <c r="R70" s="71" t="n">
        <v>0</v>
      </c>
    </row>
    <row r="71" customFormat="false" ht="13.8" hidden="false" customHeight="false" outlineLevel="0" collapsed="false">
      <c r="A71" s="68" t="s">
        <v>78</v>
      </c>
      <c r="B71" s="68" t="n">
        <v>12</v>
      </c>
      <c r="C71" s="69" t="n">
        <v>7371</v>
      </c>
      <c r="D71" s="69" t="n">
        <v>66190155</v>
      </c>
      <c r="E71" s="69" t="n">
        <v>1920</v>
      </c>
      <c r="F71" s="69" t="n">
        <v>21333120</v>
      </c>
      <c r="G71" s="69" t="n">
        <v>4938</v>
      </c>
      <c r="H71" s="69" t="n">
        <f aca="false">D71+F71-J71</f>
        <v>42296793</v>
      </c>
      <c r="I71" s="69" t="n">
        <v>4353</v>
      </c>
      <c r="J71" s="69" t="n">
        <v>45226482</v>
      </c>
      <c r="K71" s="139" t="n">
        <f aca="false">J71/I71</f>
        <v>10389.7270847691</v>
      </c>
      <c r="L71" s="129" t="n">
        <v>69</v>
      </c>
      <c r="M71" s="130" t="s">
        <v>411</v>
      </c>
      <c r="N71" s="130" t="s">
        <v>62</v>
      </c>
      <c r="O71" s="130" t="s">
        <v>327</v>
      </c>
      <c r="P71" s="130" t="n">
        <v>1844</v>
      </c>
      <c r="Q71" s="131" t="n">
        <v>4588.04</v>
      </c>
      <c r="R71" s="71" t="n">
        <v>8460345.76</v>
      </c>
    </row>
    <row r="72" customFormat="false" ht="13.8" hidden="false" customHeight="false" outlineLevel="0" collapsed="false">
      <c r="A72" s="68" t="s">
        <v>79</v>
      </c>
      <c r="B72" s="68" t="n">
        <v>12</v>
      </c>
      <c r="C72" s="69" t="n">
        <v>1912</v>
      </c>
      <c r="D72" s="69" t="n">
        <v>38449684</v>
      </c>
      <c r="E72" s="69" t="n">
        <v>1560</v>
      </c>
      <c r="F72" s="69" t="n">
        <v>33221760</v>
      </c>
      <c r="G72" s="69" t="n">
        <v>3121</v>
      </c>
      <c r="H72" s="69" t="n">
        <f aca="false">D72+F72-J72</f>
        <v>64673570</v>
      </c>
      <c r="I72" s="69" t="n">
        <v>351</v>
      </c>
      <c r="J72" s="69" t="n">
        <v>6997874</v>
      </c>
      <c r="K72" s="139" t="n">
        <f aca="false">J72/I72</f>
        <v>19936.962962963</v>
      </c>
      <c r="L72" s="129" t="n">
        <v>70</v>
      </c>
      <c r="M72" s="130" t="s">
        <v>412</v>
      </c>
      <c r="N72" s="130" t="s">
        <v>413</v>
      </c>
      <c r="O72" s="130" t="s">
        <v>303</v>
      </c>
      <c r="P72" s="130"/>
      <c r="Q72" s="131"/>
      <c r="R72" s="71" t="n">
        <v>0</v>
      </c>
    </row>
    <row r="73" customFormat="false" ht="13.8" hidden="false" customHeight="false" outlineLevel="0" collapsed="false">
      <c r="A73" s="68" t="s">
        <v>80</v>
      </c>
      <c r="B73" s="68" t="n">
        <v>12</v>
      </c>
      <c r="C73" s="69" t="n">
        <v>180</v>
      </c>
      <c r="D73" s="69" t="n">
        <v>2602954</v>
      </c>
      <c r="E73" s="69" t="n">
        <v>85</v>
      </c>
      <c r="F73" s="69" t="n">
        <v>1177052.41509434</v>
      </c>
      <c r="G73" s="69" t="n">
        <v>0</v>
      </c>
      <c r="H73" s="69" t="n">
        <f aca="false">D73+F73-J73</f>
        <v>110372.41509434</v>
      </c>
      <c r="I73" s="69" t="n">
        <v>265</v>
      </c>
      <c r="J73" s="69" t="n">
        <v>3669634</v>
      </c>
      <c r="K73" s="139" t="n">
        <f aca="false">J73/I73</f>
        <v>13847.6754716981</v>
      </c>
      <c r="L73" s="129" t="n">
        <v>71</v>
      </c>
      <c r="M73" s="130" t="s">
        <v>414</v>
      </c>
      <c r="N73" s="130" t="s">
        <v>64</v>
      </c>
      <c r="O73" s="130" t="s">
        <v>303</v>
      </c>
      <c r="P73" s="130" t="n">
        <v>25</v>
      </c>
      <c r="Q73" s="131" t="n">
        <v>181805.14</v>
      </c>
      <c r="R73" s="71" t="n">
        <v>4545128.5</v>
      </c>
    </row>
    <row r="74" customFormat="false" ht="13.8" hidden="false" customHeight="false" outlineLevel="0" collapsed="false">
      <c r="A74" s="68" t="s">
        <v>81</v>
      </c>
      <c r="B74" s="68" t="n">
        <v>12</v>
      </c>
      <c r="C74" s="69" t="n">
        <v>2052</v>
      </c>
      <c r="D74" s="69" t="n">
        <v>31426776</v>
      </c>
      <c r="E74" s="69" t="n">
        <v>504</v>
      </c>
      <c r="F74" s="69" t="n">
        <v>7933464</v>
      </c>
      <c r="G74" s="69" t="n">
        <v>2016</v>
      </c>
      <c r="H74" s="69" t="n">
        <f aca="false">D74+F74-J74</f>
        <v>31414276</v>
      </c>
      <c r="I74" s="69" t="n">
        <v>540</v>
      </c>
      <c r="J74" s="69" t="n">
        <v>7945964</v>
      </c>
      <c r="K74" s="139" t="n">
        <f aca="false">J74/I74</f>
        <v>14714.7481481481</v>
      </c>
      <c r="L74" s="129" t="n">
        <v>72</v>
      </c>
      <c r="M74" s="130" t="s">
        <v>415</v>
      </c>
      <c r="N74" s="130" t="s">
        <v>65</v>
      </c>
      <c r="O74" s="130" t="s">
        <v>303</v>
      </c>
      <c r="P74" s="130" t="n">
        <v>7</v>
      </c>
      <c r="Q74" s="131" t="n">
        <v>177477.02</v>
      </c>
      <c r="R74" s="71" t="n">
        <v>1242339.14</v>
      </c>
    </row>
    <row r="75" customFormat="false" ht="13.8" hidden="false" customHeight="false" outlineLevel="0" collapsed="false">
      <c r="A75" s="68" t="s">
        <v>82</v>
      </c>
      <c r="B75" s="68" t="n">
        <v>12</v>
      </c>
      <c r="C75" s="69" t="n">
        <v>5760</v>
      </c>
      <c r="D75" s="69" t="n">
        <v>42106565</v>
      </c>
      <c r="E75" s="69" t="n">
        <v>1368</v>
      </c>
      <c r="F75" s="69" t="n">
        <v>10132776</v>
      </c>
      <c r="G75" s="69" t="n">
        <v>4986</v>
      </c>
      <c r="H75" s="69" t="n">
        <f aca="false">D75+F75-J75</f>
        <v>37405948</v>
      </c>
      <c r="I75" s="69" t="n">
        <v>2142</v>
      </c>
      <c r="J75" s="69" t="n">
        <v>14833393</v>
      </c>
      <c r="K75" s="139" t="n">
        <f aca="false">J75/I75</f>
        <v>6925.02007469655</v>
      </c>
      <c r="L75" s="129" t="n">
        <v>73</v>
      </c>
      <c r="M75" s="130" t="s">
        <v>416</v>
      </c>
      <c r="N75" s="130" t="s">
        <v>66</v>
      </c>
      <c r="O75" s="130" t="s">
        <v>393</v>
      </c>
      <c r="P75" s="130" t="n">
        <v>1419</v>
      </c>
      <c r="Q75" s="131" t="n">
        <v>14717.84</v>
      </c>
      <c r="R75" s="71" t="n">
        <v>20884614.96</v>
      </c>
    </row>
    <row r="76" customFormat="false" ht="13.8" hidden="false" customHeight="false" outlineLevel="0" collapsed="false">
      <c r="A76" s="68" t="s">
        <v>83</v>
      </c>
      <c r="B76" s="68" t="n">
        <v>12</v>
      </c>
      <c r="C76" s="69" t="n">
        <v>2646</v>
      </c>
      <c r="D76" s="69" t="n">
        <v>20061031</v>
      </c>
      <c r="E76" s="69" t="n">
        <v>720</v>
      </c>
      <c r="F76" s="69" t="n">
        <v>5235684.92307692</v>
      </c>
      <c r="G76" s="69" t="n">
        <v>2586</v>
      </c>
      <c r="H76" s="69" t="n">
        <f aca="false">D76+F76-J76</f>
        <v>19624723.9230769</v>
      </c>
      <c r="I76" s="69" t="n">
        <v>780</v>
      </c>
      <c r="J76" s="69" t="n">
        <v>5671992</v>
      </c>
      <c r="K76" s="139" t="n">
        <f aca="false">J76/I76</f>
        <v>7271.78461538462</v>
      </c>
      <c r="L76" s="129" t="n">
        <v>74</v>
      </c>
      <c r="M76" s="130" t="s">
        <v>417</v>
      </c>
      <c r="N76" s="130" t="s">
        <v>418</v>
      </c>
      <c r="O76" s="130" t="s">
        <v>393</v>
      </c>
      <c r="P76" s="130" t="n">
        <v>5123</v>
      </c>
      <c r="Q76" s="131" t="n">
        <v>14284.93</v>
      </c>
      <c r="R76" s="71" t="n">
        <v>73181696.39</v>
      </c>
    </row>
    <row r="77" customFormat="false" ht="13.8" hidden="false" customHeight="false" outlineLevel="0" collapsed="false">
      <c r="A77" s="68" t="s">
        <v>84</v>
      </c>
      <c r="B77" s="68" t="n">
        <v>12</v>
      </c>
      <c r="C77" s="69" t="n">
        <v>21344</v>
      </c>
      <c r="D77" s="69" t="n">
        <v>656441651</v>
      </c>
      <c r="E77" s="69" t="n">
        <v>13870</v>
      </c>
      <c r="F77" s="69" t="n">
        <v>423104640</v>
      </c>
      <c r="G77" s="69" t="n">
        <v>25509</v>
      </c>
      <c r="H77" s="69" t="n">
        <f aca="false">D77+F77-J77</f>
        <v>793886828</v>
      </c>
      <c r="I77" s="69" t="n">
        <v>9705</v>
      </c>
      <c r="J77" s="69" t="n">
        <v>285659463</v>
      </c>
      <c r="K77" s="139" t="n">
        <f aca="false">J77/I77</f>
        <v>29434.256877898</v>
      </c>
      <c r="L77" s="129" t="n">
        <v>75</v>
      </c>
      <c r="M77" s="130" t="s">
        <v>419</v>
      </c>
      <c r="N77" s="130" t="s">
        <v>420</v>
      </c>
      <c r="O77" s="130" t="s">
        <v>393</v>
      </c>
      <c r="P77" s="130"/>
      <c r="Q77" s="131"/>
      <c r="R77" s="71" t="n">
        <v>0</v>
      </c>
    </row>
    <row r="78" customFormat="false" ht="13.8" hidden="false" customHeight="false" outlineLevel="0" collapsed="false">
      <c r="A78" s="68" t="s">
        <v>85</v>
      </c>
      <c r="B78" s="68" t="n">
        <v>12</v>
      </c>
      <c r="C78" s="69" t="n">
        <v>22711</v>
      </c>
      <c r="D78" s="69" t="n">
        <v>206800382</v>
      </c>
      <c r="E78" s="69" t="n">
        <v>8744</v>
      </c>
      <c r="F78" s="69" t="n">
        <v>79997760</v>
      </c>
      <c r="G78" s="69" t="n">
        <v>15601</v>
      </c>
      <c r="H78" s="69" t="n">
        <f aca="false">D78+F78-J78</f>
        <v>149548979</v>
      </c>
      <c r="I78" s="69" t="n">
        <v>15854</v>
      </c>
      <c r="J78" s="69" t="n">
        <v>137249163</v>
      </c>
      <c r="K78" s="139" t="n">
        <f aca="false">J78/I78</f>
        <v>8657.06843698751</v>
      </c>
      <c r="L78" s="129" t="n">
        <v>76</v>
      </c>
      <c r="M78" s="130" t="s">
        <v>421</v>
      </c>
      <c r="N78" s="130" t="s">
        <v>422</v>
      </c>
      <c r="O78" s="130" t="s">
        <v>393</v>
      </c>
      <c r="P78" s="130"/>
      <c r="Q78" s="131"/>
      <c r="R78" s="71" t="n">
        <v>0</v>
      </c>
    </row>
    <row r="79" customFormat="false" ht="13.8" hidden="false" customHeight="false" outlineLevel="0" collapsed="false">
      <c r="A79" s="68" t="s">
        <v>86</v>
      </c>
      <c r="B79" s="68" t="n">
        <v>12</v>
      </c>
      <c r="C79" s="69" t="n">
        <v>51521</v>
      </c>
      <c r="D79" s="69" t="n">
        <v>363655744</v>
      </c>
      <c r="E79" s="69" t="n">
        <v>37214</v>
      </c>
      <c r="F79" s="69" t="n">
        <v>266652000</v>
      </c>
      <c r="G79" s="69" t="n">
        <v>41008</v>
      </c>
      <c r="H79" s="69" t="n">
        <f aca="false">D79+F79-J79</f>
        <v>295371958</v>
      </c>
      <c r="I79" s="69" t="n">
        <v>48362</v>
      </c>
      <c r="J79" s="69" t="n">
        <v>334935786</v>
      </c>
      <c r="K79" s="139" t="n">
        <f aca="false">J79/I79</f>
        <v>6925.59832099582</v>
      </c>
      <c r="L79" s="129" t="n">
        <v>77</v>
      </c>
      <c r="M79" s="130" t="s">
        <v>423</v>
      </c>
      <c r="N79" s="130" t="s">
        <v>424</v>
      </c>
      <c r="O79" s="130" t="s">
        <v>393</v>
      </c>
      <c r="P79" s="130"/>
      <c r="Q79" s="131"/>
      <c r="R79" s="71" t="n">
        <v>0</v>
      </c>
    </row>
    <row r="80" customFormat="false" ht="13.8" hidden="false" customHeight="false" outlineLevel="0" collapsed="false">
      <c r="A80" s="68" t="s">
        <v>87</v>
      </c>
      <c r="B80" s="68" t="n">
        <v>12</v>
      </c>
      <c r="C80" s="69" t="n">
        <v>3195</v>
      </c>
      <c r="D80" s="69" t="n">
        <v>57619421</v>
      </c>
      <c r="E80" s="69" t="n">
        <v>7471</v>
      </c>
      <c r="F80" s="69" t="n">
        <v>133253280</v>
      </c>
      <c r="G80" s="69" t="n">
        <v>7687</v>
      </c>
      <c r="H80" s="69" t="n">
        <f aca="false">D80+F80-J80</f>
        <v>140586531</v>
      </c>
      <c r="I80" s="69" t="n">
        <v>2979</v>
      </c>
      <c r="J80" s="69" t="n">
        <v>50286170</v>
      </c>
      <c r="K80" s="139" t="n">
        <f aca="false">J80/I80</f>
        <v>16880.2181940248</v>
      </c>
      <c r="L80" s="129" t="n">
        <v>78</v>
      </c>
      <c r="M80" s="130" t="s">
        <v>425</v>
      </c>
      <c r="N80" s="130" t="s">
        <v>426</v>
      </c>
      <c r="O80" s="130" t="s">
        <v>393</v>
      </c>
      <c r="P80" s="130" t="n">
        <v>720</v>
      </c>
      <c r="Q80" s="131" t="n">
        <v>36534.19</v>
      </c>
      <c r="R80" s="71" t="n">
        <v>26304616.8</v>
      </c>
    </row>
    <row r="81" customFormat="false" ht="13.8" hidden="false" customHeight="false" outlineLevel="0" collapsed="false">
      <c r="A81" s="68" t="s">
        <v>88</v>
      </c>
      <c r="B81" s="68" t="n">
        <v>12</v>
      </c>
      <c r="C81" s="69" t="n">
        <v>618</v>
      </c>
      <c r="D81" s="69" t="n">
        <v>12921762</v>
      </c>
      <c r="E81" s="69" t="n">
        <v>0</v>
      </c>
      <c r="F81" s="69" t="n">
        <v>0</v>
      </c>
      <c r="G81" s="69" t="n">
        <v>32</v>
      </c>
      <c r="H81" s="69" t="n">
        <f aca="false">D81+F81-J81</f>
        <v>1463630</v>
      </c>
      <c r="I81" s="69" t="n">
        <v>586</v>
      </c>
      <c r="J81" s="69" t="n">
        <v>11458132</v>
      </c>
      <c r="K81" s="139" t="n">
        <f aca="false">J81/I81</f>
        <v>19553.1262798635</v>
      </c>
      <c r="L81" s="129" t="n">
        <v>79</v>
      </c>
      <c r="M81" s="130" t="s">
        <v>427</v>
      </c>
      <c r="N81" s="130" t="s">
        <v>428</v>
      </c>
      <c r="O81" s="130" t="s">
        <v>393</v>
      </c>
      <c r="P81" s="130"/>
      <c r="Q81" s="131"/>
      <c r="R81" s="71" t="n">
        <v>0</v>
      </c>
    </row>
    <row r="82" customFormat="false" ht="13.8" hidden="false" customHeight="false" outlineLevel="0" collapsed="false">
      <c r="A82" s="68" t="s">
        <v>89</v>
      </c>
      <c r="B82" s="68" t="n">
        <v>12</v>
      </c>
      <c r="C82" s="69" t="n">
        <v>564</v>
      </c>
      <c r="D82" s="69" t="n">
        <v>13801691</v>
      </c>
      <c r="E82" s="69" t="n">
        <v>216</v>
      </c>
      <c r="F82" s="69" t="n">
        <v>5299992</v>
      </c>
      <c r="G82" s="69" t="n">
        <v>306</v>
      </c>
      <c r="H82" s="69" t="n">
        <f aca="false">D82+F82-J82</f>
        <v>8228417</v>
      </c>
      <c r="I82" s="69" t="n">
        <v>474</v>
      </c>
      <c r="J82" s="69" t="n">
        <v>10873266</v>
      </c>
      <c r="K82" s="139" t="n">
        <f aca="false">J82/I82</f>
        <v>22939.3797468354</v>
      </c>
      <c r="L82" s="129" t="n">
        <v>80</v>
      </c>
      <c r="M82" s="130" t="s">
        <v>429</v>
      </c>
      <c r="N82" s="130" t="s">
        <v>67</v>
      </c>
      <c r="O82" s="130" t="s">
        <v>393</v>
      </c>
      <c r="P82" s="130" t="n">
        <v>191</v>
      </c>
      <c r="Q82" s="131" t="n">
        <v>15583.64</v>
      </c>
      <c r="R82" s="71" t="n">
        <v>2976475.24</v>
      </c>
    </row>
    <row r="83" customFormat="false" ht="13.8" hidden="false" customHeight="false" outlineLevel="0" collapsed="false">
      <c r="A83" s="68" t="s">
        <v>90</v>
      </c>
      <c r="B83" s="68" t="n">
        <v>12</v>
      </c>
      <c r="C83" s="69" t="n">
        <v>1045</v>
      </c>
      <c r="D83" s="69" t="n">
        <v>55627273</v>
      </c>
      <c r="E83" s="69" t="n">
        <v>2820</v>
      </c>
      <c r="F83" s="69" t="n">
        <v>150139620</v>
      </c>
      <c r="G83" s="69" t="n">
        <v>3289</v>
      </c>
      <c r="H83" s="69" t="n">
        <f aca="false">D83+F83-J83</f>
        <v>177071330</v>
      </c>
      <c r="I83" s="69" t="n">
        <v>576</v>
      </c>
      <c r="J83" s="69" t="n">
        <v>28695563</v>
      </c>
      <c r="K83" s="139" t="n">
        <f aca="false">J83/I83</f>
        <v>49818.6857638889</v>
      </c>
      <c r="L83" s="129" t="n">
        <v>81</v>
      </c>
      <c r="M83" s="130" t="s">
        <v>430</v>
      </c>
      <c r="N83" s="130" t="s">
        <v>68</v>
      </c>
      <c r="O83" s="130" t="s">
        <v>393</v>
      </c>
      <c r="P83" s="130" t="n">
        <v>364</v>
      </c>
      <c r="Q83" s="131" t="n">
        <v>43633.64</v>
      </c>
      <c r="R83" s="71" t="n">
        <v>15882644.96</v>
      </c>
    </row>
    <row r="84" customFormat="false" ht="13.8" hidden="false" customHeight="false" outlineLevel="0" collapsed="false">
      <c r="A84" s="68" t="s">
        <v>91</v>
      </c>
      <c r="B84" s="68" t="n">
        <v>12</v>
      </c>
      <c r="C84" s="69" t="n">
        <v>6789</v>
      </c>
      <c r="D84" s="69" t="n">
        <v>63245985</v>
      </c>
      <c r="E84" s="69" t="n">
        <v>4920</v>
      </c>
      <c r="F84" s="69" t="n">
        <v>44332320</v>
      </c>
      <c r="G84" s="69" t="n">
        <v>5799</v>
      </c>
      <c r="H84" s="69" t="n">
        <f aca="false">D84+F84-J84</f>
        <v>53858060</v>
      </c>
      <c r="I84" s="69" t="n">
        <v>5910</v>
      </c>
      <c r="J84" s="69" t="n">
        <v>53720245</v>
      </c>
      <c r="K84" s="139" t="n">
        <f aca="false">J84/I84</f>
        <v>9089.71996615905</v>
      </c>
      <c r="L84" s="129" t="n">
        <v>82</v>
      </c>
      <c r="M84" s="130" t="s">
        <v>431</v>
      </c>
      <c r="N84" s="130" t="s">
        <v>69</v>
      </c>
      <c r="O84" s="130" t="s">
        <v>303</v>
      </c>
      <c r="P84" s="130" t="n">
        <v>150</v>
      </c>
      <c r="Q84" s="131" t="n">
        <v>96963.24</v>
      </c>
      <c r="R84" s="71" t="n">
        <v>14544486</v>
      </c>
    </row>
    <row r="85" customFormat="false" ht="13.8" hidden="false" customHeight="false" outlineLevel="0" collapsed="false">
      <c r="A85" s="68" t="s">
        <v>92</v>
      </c>
      <c r="B85" s="68" t="n">
        <v>12</v>
      </c>
      <c r="C85" s="69" t="n">
        <v>50800</v>
      </c>
      <c r="D85" s="69" t="n">
        <v>24895116</v>
      </c>
      <c r="E85" s="69" t="n">
        <v>23200</v>
      </c>
      <c r="F85" s="69" t="n">
        <v>11391200</v>
      </c>
      <c r="G85" s="69" t="n">
        <v>33411</v>
      </c>
      <c r="H85" s="69" t="n">
        <f aca="false">D85+F85-J85</f>
        <v>17652802</v>
      </c>
      <c r="I85" s="69" t="n">
        <v>40589</v>
      </c>
      <c r="J85" s="69" t="n">
        <v>18633514</v>
      </c>
      <c r="K85" s="139" t="n">
        <f aca="false">J85/I85</f>
        <v>459.077927517308</v>
      </c>
      <c r="L85" s="129" t="n">
        <v>83</v>
      </c>
      <c r="M85" s="130" t="s">
        <v>432</v>
      </c>
      <c r="N85" s="130" t="s">
        <v>70</v>
      </c>
      <c r="O85" s="130" t="s">
        <v>303</v>
      </c>
      <c r="P85" s="130" t="n">
        <v>79</v>
      </c>
      <c r="Q85" s="131" t="n">
        <v>135055.14</v>
      </c>
      <c r="R85" s="71" t="n">
        <v>10669356.06</v>
      </c>
    </row>
    <row r="86" customFormat="false" ht="13.8" hidden="false" customHeight="false" outlineLevel="0" collapsed="false">
      <c r="A86" s="68" t="s">
        <v>93</v>
      </c>
      <c r="B86" s="68" t="n">
        <v>12</v>
      </c>
      <c r="C86" s="69" t="n">
        <v>444</v>
      </c>
      <c r="D86" s="69" t="n">
        <v>23449263</v>
      </c>
      <c r="E86" s="69" t="n">
        <v>96</v>
      </c>
      <c r="F86" s="69" t="n">
        <v>5111136</v>
      </c>
      <c r="G86" s="69" t="n">
        <v>502</v>
      </c>
      <c r="H86" s="69" t="n">
        <f aca="false">D86+F86-J86</f>
        <v>26656372</v>
      </c>
      <c r="I86" s="69" t="n">
        <v>38</v>
      </c>
      <c r="J86" s="69" t="n">
        <v>1904027</v>
      </c>
      <c r="K86" s="139" t="n">
        <f aca="false">J86/I86</f>
        <v>50105.9736842105</v>
      </c>
      <c r="L86" s="129" t="n">
        <v>84</v>
      </c>
      <c r="M86" s="130" t="s">
        <v>433</v>
      </c>
      <c r="N86" s="130" t="s">
        <v>71</v>
      </c>
      <c r="O86" s="130" t="s">
        <v>393</v>
      </c>
      <c r="P86" s="130" t="n">
        <v>817</v>
      </c>
      <c r="Q86" s="131" t="n">
        <v>14717.84</v>
      </c>
      <c r="R86" s="71" t="n">
        <v>12024475.28</v>
      </c>
    </row>
    <row r="87" customFormat="false" ht="13.8" hidden="false" customHeight="false" outlineLevel="0" collapsed="false">
      <c r="A87" s="68" t="s">
        <v>94</v>
      </c>
      <c r="B87" s="68" t="n">
        <v>12</v>
      </c>
      <c r="C87" s="69" t="n">
        <v>408</v>
      </c>
      <c r="D87" s="69" t="n">
        <v>3857098</v>
      </c>
      <c r="E87" s="69" t="n">
        <v>0</v>
      </c>
      <c r="F87" s="69" t="n">
        <v>0</v>
      </c>
      <c r="G87" s="69" t="n">
        <v>233</v>
      </c>
      <c r="H87" s="69" t="n">
        <f aca="false">D87+F87-J87</f>
        <v>2268881</v>
      </c>
      <c r="I87" s="69" t="n">
        <v>175</v>
      </c>
      <c r="J87" s="69" t="n">
        <v>1588217</v>
      </c>
      <c r="K87" s="139" t="n">
        <f aca="false">J87/I87</f>
        <v>9075.52571428571</v>
      </c>
      <c r="L87" s="129" t="n">
        <v>85</v>
      </c>
      <c r="M87" s="130" t="s">
        <v>434</v>
      </c>
      <c r="N87" s="130" t="s">
        <v>435</v>
      </c>
      <c r="O87" s="130" t="s">
        <v>395</v>
      </c>
      <c r="P87" s="130" t="n">
        <v>245</v>
      </c>
      <c r="Q87" s="131" t="n">
        <v>49347.43</v>
      </c>
      <c r="R87" s="71" t="n">
        <v>12090120.35</v>
      </c>
    </row>
    <row r="88" customFormat="false" ht="13.8" hidden="false" customHeight="false" outlineLevel="0" collapsed="false">
      <c r="A88" s="68" t="s">
        <v>95</v>
      </c>
      <c r="B88" s="68" t="n">
        <v>12</v>
      </c>
      <c r="C88" s="69" t="n">
        <v>900</v>
      </c>
      <c r="D88" s="69" t="n">
        <v>7404657</v>
      </c>
      <c r="E88" s="69" t="n">
        <v>468</v>
      </c>
      <c r="F88" s="69" t="n">
        <v>3899844</v>
      </c>
      <c r="G88" s="69" t="n">
        <v>1325</v>
      </c>
      <c r="H88" s="69" t="n">
        <f aca="false">D88+F88-J88</f>
        <v>10653008</v>
      </c>
      <c r="I88" s="69" t="n">
        <v>43</v>
      </c>
      <c r="J88" s="69" t="n">
        <v>651493</v>
      </c>
      <c r="K88" s="139" t="n">
        <f aca="false">J88/I88</f>
        <v>15151</v>
      </c>
      <c r="L88" s="135" t="n">
        <v>86</v>
      </c>
      <c r="M88" s="130" t="s">
        <v>436</v>
      </c>
      <c r="N88" s="130" t="s">
        <v>72</v>
      </c>
      <c r="O88" s="130" t="s">
        <v>393</v>
      </c>
      <c r="P88" s="130" t="n">
        <v>1734</v>
      </c>
      <c r="Q88" s="131" t="n">
        <v>22509.19</v>
      </c>
      <c r="R88" s="71" t="n">
        <v>39030935.46</v>
      </c>
    </row>
    <row r="89" customFormat="false" ht="13.8" hidden="false" customHeight="false" outlineLevel="0" collapsed="false">
      <c r="A89" s="68" t="s">
        <v>96</v>
      </c>
      <c r="B89" s="68" t="n">
        <v>12</v>
      </c>
      <c r="C89" s="69" t="n">
        <v>225</v>
      </c>
      <c r="D89" s="69" t="n">
        <v>25942946</v>
      </c>
      <c r="E89" s="69" t="n">
        <v>147</v>
      </c>
      <c r="F89" s="69" t="n">
        <v>15968530.4088398</v>
      </c>
      <c r="G89" s="69" t="n">
        <v>10</v>
      </c>
      <c r="H89" s="69" t="n">
        <f aca="false">D89+F89-J89</f>
        <v>2587612.40883978</v>
      </c>
      <c r="I89" s="69" t="n">
        <v>362</v>
      </c>
      <c r="J89" s="69" t="n">
        <v>39323864</v>
      </c>
      <c r="K89" s="139" t="n">
        <f aca="false">J89/I89</f>
        <v>108629.458563536</v>
      </c>
      <c r="L89" s="129" t="n">
        <v>87</v>
      </c>
      <c r="M89" s="130" t="s">
        <v>437</v>
      </c>
      <c r="N89" s="130" t="s">
        <v>438</v>
      </c>
      <c r="O89" s="130" t="s">
        <v>393</v>
      </c>
      <c r="P89" s="130"/>
      <c r="Q89" s="131"/>
      <c r="R89" s="71" t="n">
        <v>0</v>
      </c>
    </row>
    <row r="90" customFormat="false" ht="13.8" hidden="false" customHeight="false" outlineLevel="0" collapsed="false">
      <c r="A90" s="68" t="s">
        <v>97</v>
      </c>
      <c r="B90" s="68" t="n">
        <v>12</v>
      </c>
      <c r="C90" s="69" t="n">
        <v>57200</v>
      </c>
      <c r="D90" s="69" t="n">
        <v>28035599</v>
      </c>
      <c r="E90" s="69" t="n">
        <v>24800</v>
      </c>
      <c r="F90" s="69" t="n">
        <v>12176800</v>
      </c>
      <c r="G90" s="69" t="n">
        <v>36280</v>
      </c>
      <c r="H90" s="69" t="n">
        <f aca="false">D90+F90-J90</f>
        <v>19223488</v>
      </c>
      <c r="I90" s="69" t="n">
        <v>45720</v>
      </c>
      <c r="J90" s="69" t="n">
        <v>20988911</v>
      </c>
      <c r="K90" s="139" t="n">
        <f aca="false">J90/I90</f>
        <v>459.075043744532</v>
      </c>
      <c r="L90" s="129" t="n">
        <v>88</v>
      </c>
      <c r="M90" s="130" t="s">
        <v>439</v>
      </c>
      <c r="N90" s="130" t="s">
        <v>73</v>
      </c>
      <c r="O90" s="130" t="s">
        <v>393</v>
      </c>
      <c r="P90" s="130" t="n">
        <v>1072</v>
      </c>
      <c r="Q90" s="131" t="n">
        <v>32032.16</v>
      </c>
      <c r="R90" s="71" t="n">
        <v>34338475.52</v>
      </c>
    </row>
    <row r="91" customFormat="false" ht="13.8" hidden="false" customHeight="false" outlineLevel="0" collapsed="false">
      <c r="A91" s="68" t="s">
        <v>98</v>
      </c>
      <c r="B91" s="68" t="n">
        <v>12</v>
      </c>
      <c r="C91" s="69" t="n">
        <v>1920</v>
      </c>
      <c r="D91" s="69" t="n">
        <v>19627720</v>
      </c>
      <c r="E91" s="69" t="n">
        <v>192</v>
      </c>
      <c r="F91" s="69" t="n">
        <v>2026752</v>
      </c>
      <c r="G91" s="69" t="n">
        <v>1345</v>
      </c>
      <c r="H91" s="69" t="n">
        <f aca="false">D91+F91-J91</f>
        <v>14087710</v>
      </c>
      <c r="I91" s="69" t="n">
        <v>767</v>
      </c>
      <c r="J91" s="69" t="n">
        <v>7566762</v>
      </c>
      <c r="K91" s="139" t="n">
        <f aca="false">J91/I91</f>
        <v>9865.40026075619</v>
      </c>
      <c r="L91" s="129" t="n">
        <v>89</v>
      </c>
      <c r="M91" s="130" t="s">
        <v>440</v>
      </c>
      <c r="N91" s="130" t="s">
        <v>77</v>
      </c>
      <c r="O91" s="130" t="s">
        <v>393</v>
      </c>
      <c r="P91" s="130" t="n">
        <v>846</v>
      </c>
      <c r="Q91" s="131" t="n">
        <v>5886.76</v>
      </c>
      <c r="R91" s="71" t="n">
        <v>4980198.96</v>
      </c>
    </row>
    <row r="92" customFormat="false" ht="13.8" hidden="false" customHeight="false" outlineLevel="0" collapsed="false">
      <c r="A92" s="68" t="s">
        <v>99</v>
      </c>
      <c r="B92" s="68" t="n">
        <v>12</v>
      </c>
      <c r="C92" s="69" t="n">
        <v>96</v>
      </c>
      <c r="D92" s="69" t="n">
        <v>595584</v>
      </c>
      <c r="E92" s="69" t="n">
        <v>96</v>
      </c>
      <c r="F92" s="69" t="n">
        <v>595584</v>
      </c>
      <c r="G92" s="69" t="n">
        <v>8</v>
      </c>
      <c r="H92" s="69" t="n">
        <f aca="false">D92+F92-J92</f>
        <v>124080</v>
      </c>
      <c r="I92" s="69" t="n">
        <v>184</v>
      </c>
      <c r="J92" s="69" t="n">
        <v>1067088</v>
      </c>
      <c r="K92" s="139" t="n">
        <f aca="false">J92/I92</f>
        <v>5799.39130434783</v>
      </c>
      <c r="L92" s="129" t="n">
        <v>90</v>
      </c>
      <c r="M92" s="130" t="s">
        <v>441</v>
      </c>
      <c r="N92" s="130" t="s">
        <v>78</v>
      </c>
      <c r="O92" s="130" t="s">
        <v>393</v>
      </c>
      <c r="P92" s="130" t="n">
        <v>4801</v>
      </c>
      <c r="Q92" s="131" t="n">
        <v>10388.78</v>
      </c>
      <c r="R92" s="71" t="n">
        <v>49876532.78</v>
      </c>
    </row>
    <row r="93" customFormat="false" ht="13.8" hidden="false" customHeight="false" outlineLevel="0" collapsed="false">
      <c r="A93" s="68" t="s">
        <v>100</v>
      </c>
      <c r="B93" s="68" t="n">
        <v>12</v>
      </c>
      <c r="C93" s="69" t="n">
        <v>2105</v>
      </c>
      <c r="D93" s="69" t="n">
        <v>108155379</v>
      </c>
      <c r="E93" s="69" t="n">
        <v>3340</v>
      </c>
      <c r="F93" s="69" t="n">
        <v>162917460</v>
      </c>
      <c r="G93" s="69" t="n">
        <v>3522</v>
      </c>
      <c r="H93" s="69" t="n">
        <f aca="false">D93+F93-J93</f>
        <v>175338575</v>
      </c>
      <c r="I93" s="69" t="n">
        <v>1923</v>
      </c>
      <c r="J93" s="69" t="n">
        <v>95734264</v>
      </c>
      <c r="K93" s="139" t="n">
        <f aca="false">J93/I93</f>
        <v>49783.8086323453</v>
      </c>
      <c r="L93" s="129" t="n">
        <v>91</v>
      </c>
      <c r="M93" s="130" t="s">
        <v>442</v>
      </c>
      <c r="N93" s="130" t="s">
        <v>79</v>
      </c>
      <c r="O93" s="130" t="s">
        <v>393</v>
      </c>
      <c r="P93" s="130" t="n">
        <v>339</v>
      </c>
      <c r="Q93" s="131" t="n">
        <v>19911.76</v>
      </c>
      <c r="R93" s="71" t="n">
        <v>6750086.64</v>
      </c>
    </row>
    <row r="94" customFormat="false" ht="13.8" hidden="false" customHeight="false" outlineLevel="0" collapsed="false">
      <c r="A94" s="68" t="s">
        <v>101</v>
      </c>
      <c r="B94" s="68" t="n">
        <v>12</v>
      </c>
      <c r="C94" s="69" t="n">
        <v>21454</v>
      </c>
      <c r="D94" s="69" t="n">
        <v>153225770</v>
      </c>
      <c r="E94" s="69" t="n">
        <v>9132</v>
      </c>
      <c r="F94" s="69" t="n">
        <v>39665760</v>
      </c>
      <c r="G94" s="69" t="n">
        <v>12151</v>
      </c>
      <c r="H94" s="69" t="n">
        <f aca="false">D94+F94-J94</f>
        <v>25314412</v>
      </c>
      <c r="I94" s="69" t="n">
        <v>18435</v>
      </c>
      <c r="J94" s="69" t="n">
        <v>167577118</v>
      </c>
      <c r="K94" s="139" t="n">
        <f aca="false">J94/I94</f>
        <v>9090.16099810144</v>
      </c>
      <c r="L94" s="129" t="n">
        <v>92</v>
      </c>
      <c r="M94" s="130" t="s">
        <v>443</v>
      </c>
      <c r="N94" s="130" t="s">
        <v>76</v>
      </c>
      <c r="O94" s="130" t="s">
        <v>395</v>
      </c>
      <c r="P94" s="130"/>
      <c r="Q94" s="131"/>
      <c r="R94" s="71" t="n">
        <v>0</v>
      </c>
    </row>
    <row r="95" customFormat="false" ht="13.8" hidden="false" customHeight="false" outlineLevel="0" collapsed="false">
      <c r="A95" s="68" t="s">
        <v>102</v>
      </c>
      <c r="B95" s="68" t="n">
        <v>12</v>
      </c>
      <c r="C95" s="69" t="n">
        <v>540</v>
      </c>
      <c r="D95" s="69" t="n">
        <v>13238841</v>
      </c>
      <c r="E95" s="69" t="n">
        <v>588</v>
      </c>
      <c r="F95" s="69" t="n">
        <v>14427756</v>
      </c>
      <c r="G95" s="69" t="n">
        <v>605</v>
      </c>
      <c r="H95" s="69" t="n">
        <f aca="false">D95+F95-J95</f>
        <v>15672834</v>
      </c>
      <c r="I95" s="69" t="n">
        <v>523</v>
      </c>
      <c r="J95" s="69" t="n">
        <v>11993763</v>
      </c>
      <c r="K95" s="139" t="n">
        <f aca="false">J95/I95</f>
        <v>22932.6252390057</v>
      </c>
      <c r="L95" s="129" t="n">
        <v>93</v>
      </c>
      <c r="M95" s="130" t="s">
        <v>444</v>
      </c>
      <c r="N95" s="130" t="s">
        <v>445</v>
      </c>
      <c r="O95" s="130" t="s">
        <v>393</v>
      </c>
      <c r="P95" s="130" t="n">
        <v>778</v>
      </c>
      <c r="Q95" s="131" t="n">
        <v>13852.02</v>
      </c>
      <c r="R95" s="71" t="n">
        <v>10776871.56</v>
      </c>
    </row>
    <row r="96" customFormat="false" ht="13.8" hidden="false" customHeight="false" outlineLevel="0" collapsed="false">
      <c r="A96" s="68" t="s">
        <v>103</v>
      </c>
      <c r="B96" s="68" t="n">
        <v>12</v>
      </c>
      <c r="C96" s="69" t="n">
        <v>2454</v>
      </c>
      <c r="D96" s="69" t="n">
        <v>27075398</v>
      </c>
      <c r="E96" s="69" t="n">
        <v>342</v>
      </c>
      <c r="F96" s="69" t="n">
        <v>1333344</v>
      </c>
      <c r="G96" s="69" t="n">
        <v>1829</v>
      </c>
      <c r="H96" s="69" t="n">
        <f aca="false">D96+F96-J96</f>
        <v>15850371</v>
      </c>
      <c r="I96" s="69" t="n">
        <v>967</v>
      </c>
      <c r="J96" s="69" t="n">
        <v>12558371</v>
      </c>
      <c r="K96" s="139" t="n">
        <f aca="false">J96/I96</f>
        <v>12986.9400206825</v>
      </c>
      <c r="L96" s="129" t="n">
        <v>94</v>
      </c>
      <c r="M96" s="130" t="s">
        <v>446</v>
      </c>
      <c r="N96" s="130" t="s">
        <v>75</v>
      </c>
      <c r="O96" s="130" t="s">
        <v>327</v>
      </c>
      <c r="P96" s="130" t="n">
        <v>800</v>
      </c>
      <c r="Q96" s="131" t="n">
        <v>345.95</v>
      </c>
      <c r="R96" s="71" t="n">
        <v>276760</v>
      </c>
    </row>
    <row r="97" customFormat="false" ht="13.8" hidden="false" customHeight="false" outlineLevel="0" collapsed="false">
      <c r="A97" s="68" t="s">
        <v>104</v>
      </c>
      <c r="B97" s="68" t="n">
        <v>12</v>
      </c>
      <c r="C97" s="69" t="n">
        <v>192</v>
      </c>
      <c r="D97" s="69" t="n">
        <v>3657528</v>
      </c>
      <c r="E97" s="69" t="n">
        <v>109</v>
      </c>
      <c r="F97" s="69" t="n">
        <v>1809081</v>
      </c>
      <c r="G97" s="69" t="n">
        <v>0</v>
      </c>
      <c r="H97" s="69" t="n">
        <f aca="false">D97+F97-J97</f>
        <v>0</v>
      </c>
      <c r="I97" s="69" t="n">
        <v>301</v>
      </c>
      <c r="J97" s="69" t="n">
        <v>5466609</v>
      </c>
      <c r="K97" s="139" t="n">
        <f aca="false">J97/I97</f>
        <v>18161.4916943522</v>
      </c>
      <c r="L97" s="129" t="n">
        <v>95</v>
      </c>
      <c r="M97" s="130" t="s">
        <v>447</v>
      </c>
      <c r="N97" s="130" t="s">
        <v>448</v>
      </c>
      <c r="O97" s="130" t="s">
        <v>393</v>
      </c>
      <c r="P97" s="130" t="n">
        <v>26074</v>
      </c>
      <c r="Q97" s="131" t="n">
        <v>5194.86</v>
      </c>
      <c r="R97" s="71" t="n">
        <v>135450779.64</v>
      </c>
    </row>
    <row r="98" customFormat="false" ht="13.8" hidden="false" customHeight="false" outlineLevel="0" collapsed="false">
      <c r="A98" s="68" t="s">
        <v>105</v>
      </c>
      <c r="B98" s="68" t="n">
        <v>12</v>
      </c>
      <c r="C98" s="69" t="n">
        <v>258</v>
      </c>
      <c r="D98" s="69" t="n">
        <v>13370216</v>
      </c>
      <c r="E98" s="69" t="n">
        <v>174</v>
      </c>
      <c r="F98" s="69" t="n">
        <v>9263934</v>
      </c>
      <c r="G98" s="69" t="n">
        <v>400</v>
      </c>
      <c r="H98" s="69" t="n">
        <f aca="false">D98+F98-J98</f>
        <v>21062334</v>
      </c>
      <c r="I98" s="69" t="n">
        <v>32</v>
      </c>
      <c r="J98" s="69" t="n">
        <v>1571816</v>
      </c>
      <c r="K98" s="139" t="n">
        <f aca="false">J98/I98</f>
        <v>49119.25</v>
      </c>
      <c r="L98" s="129" t="n">
        <v>96</v>
      </c>
      <c r="M98" s="130" t="s">
        <v>449</v>
      </c>
      <c r="N98" s="130" t="s">
        <v>80</v>
      </c>
      <c r="O98" s="130" t="s">
        <v>393</v>
      </c>
      <c r="P98" s="130" t="n">
        <v>252</v>
      </c>
      <c r="Q98" s="131" t="n">
        <v>13852.02</v>
      </c>
      <c r="R98" s="71" t="n">
        <v>3490709.04</v>
      </c>
    </row>
    <row r="99" customFormat="false" ht="13.8" hidden="false" customHeight="false" outlineLevel="0" collapsed="false">
      <c r="A99" s="68" t="s">
        <v>106</v>
      </c>
      <c r="B99" s="68" t="n">
        <v>12</v>
      </c>
      <c r="C99" s="69" t="n">
        <v>1512</v>
      </c>
      <c r="D99" s="69" t="n">
        <v>14292784</v>
      </c>
      <c r="E99" s="69" t="n">
        <v>192</v>
      </c>
      <c r="F99" s="69" t="n">
        <v>1866624</v>
      </c>
      <c r="G99" s="69" t="n">
        <v>923</v>
      </c>
      <c r="H99" s="69" t="n">
        <f aca="false">D99+F99-J99</f>
        <v>9056476</v>
      </c>
      <c r="I99" s="69" t="n">
        <v>781</v>
      </c>
      <c r="J99" s="69" t="n">
        <v>7102932</v>
      </c>
      <c r="K99" s="139" t="n">
        <f aca="false">J99/I99</f>
        <v>9094.66325224072</v>
      </c>
      <c r="L99" s="129" t="n">
        <v>97</v>
      </c>
      <c r="M99" s="130" t="s">
        <v>450</v>
      </c>
      <c r="N99" s="130" t="s">
        <v>81</v>
      </c>
      <c r="O99" s="130" t="s">
        <v>451</v>
      </c>
      <c r="P99" s="130" t="n">
        <v>516</v>
      </c>
      <c r="Q99" s="131" t="n">
        <v>14717.84</v>
      </c>
      <c r="R99" s="71" t="n">
        <v>7594405.44</v>
      </c>
    </row>
    <row r="100" customFormat="false" ht="13.8" hidden="false" customHeight="false" outlineLevel="0" collapsed="false">
      <c r="A100" s="68" t="s">
        <v>107</v>
      </c>
      <c r="B100" s="68" t="n">
        <v>12</v>
      </c>
      <c r="C100" s="69" t="n">
        <v>1190</v>
      </c>
      <c r="D100" s="69" t="n">
        <v>4560276</v>
      </c>
      <c r="E100" s="69" t="n">
        <v>3832.16470588235</v>
      </c>
      <c r="F100" s="69" t="n">
        <v>0</v>
      </c>
      <c r="G100" s="69" t="n">
        <v>532</v>
      </c>
      <c r="H100" s="69" t="n">
        <f aca="false">D100+F100-J100</f>
        <v>0</v>
      </c>
      <c r="I100" s="69" t="n">
        <v>658</v>
      </c>
      <c r="J100" s="69" t="n">
        <v>4560276</v>
      </c>
      <c r="K100" s="139" t="n">
        <f aca="false">J100/I100</f>
        <v>6930.51063829787</v>
      </c>
      <c r="L100" s="129" t="n">
        <v>98</v>
      </c>
      <c r="M100" s="130" t="s">
        <v>452</v>
      </c>
      <c r="N100" s="130" t="s">
        <v>453</v>
      </c>
      <c r="O100" s="130" t="s">
        <v>367</v>
      </c>
      <c r="P100" s="130"/>
      <c r="Q100" s="131"/>
      <c r="R100" s="71" t="n">
        <v>0</v>
      </c>
    </row>
    <row r="101" customFormat="false" ht="13.8" hidden="false" customHeight="false" outlineLevel="0" collapsed="false">
      <c r="A101" s="68" t="s">
        <v>108</v>
      </c>
      <c r="B101" s="68" t="n">
        <v>12</v>
      </c>
      <c r="C101" s="69" t="n">
        <v>46476</v>
      </c>
      <c r="D101" s="69" t="n">
        <v>335124139</v>
      </c>
      <c r="E101" s="69" t="n">
        <v>977</v>
      </c>
      <c r="F101" s="69" t="n">
        <v>44416164.7112745</v>
      </c>
      <c r="G101" s="69" t="n">
        <v>45413</v>
      </c>
      <c r="H101" s="69" t="n">
        <f aca="false">D101+F101-J101</f>
        <v>286798260.711275</v>
      </c>
      <c r="I101" s="69" t="n">
        <v>2040</v>
      </c>
      <c r="J101" s="69" t="n">
        <v>92742043</v>
      </c>
      <c r="K101" s="139" t="n">
        <f aca="false">J101/I101</f>
        <v>45461.7857843137</v>
      </c>
      <c r="L101" s="129" t="n">
        <v>99</v>
      </c>
      <c r="M101" s="130" t="s">
        <v>454</v>
      </c>
      <c r="N101" s="130" t="s">
        <v>455</v>
      </c>
      <c r="O101" s="130" t="s">
        <v>367</v>
      </c>
      <c r="P101" s="130"/>
      <c r="Q101" s="131"/>
      <c r="R101" s="71" t="n">
        <v>0</v>
      </c>
    </row>
    <row r="102" customFormat="false" ht="13.8" hidden="false" customHeight="false" outlineLevel="0" collapsed="false">
      <c r="A102" s="68" t="s">
        <v>109</v>
      </c>
      <c r="B102" s="68" t="n">
        <v>12</v>
      </c>
      <c r="C102" s="69" t="n">
        <v>48</v>
      </c>
      <c r="D102" s="69" t="n">
        <v>2333328</v>
      </c>
      <c r="E102" s="69" t="n">
        <v>202</v>
      </c>
      <c r="F102" s="69" t="n">
        <v>1458330</v>
      </c>
      <c r="G102" s="69"/>
      <c r="H102" s="69" t="n">
        <f aca="false">D102+F102-J102</f>
        <v>0</v>
      </c>
      <c r="I102" s="69" t="n">
        <v>250</v>
      </c>
      <c r="J102" s="69" t="n">
        <v>3791658</v>
      </c>
      <c r="K102" s="139" t="n">
        <f aca="false">J102/I102</f>
        <v>15166.632</v>
      </c>
      <c r="L102" s="129" t="n">
        <v>100</v>
      </c>
      <c r="M102" s="130" t="s">
        <v>456</v>
      </c>
      <c r="N102" s="130" t="s">
        <v>457</v>
      </c>
      <c r="O102" s="130" t="s">
        <v>458</v>
      </c>
      <c r="P102" s="130"/>
      <c r="Q102" s="131"/>
      <c r="R102" s="71" t="n">
        <v>0</v>
      </c>
    </row>
    <row r="103" customFormat="false" ht="13.8" hidden="false" customHeight="false" outlineLevel="0" collapsed="false">
      <c r="A103" s="68" t="s">
        <v>110</v>
      </c>
      <c r="B103" s="68" t="n">
        <v>12</v>
      </c>
      <c r="C103" s="69" t="n">
        <v>864</v>
      </c>
      <c r="D103" s="69" t="n">
        <v>15351650</v>
      </c>
      <c r="E103" s="69" t="n">
        <v>684</v>
      </c>
      <c r="F103" s="69" t="n">
        <v>12350304</v>
      </c>
      <c r="G103" s="69" t="n">
        <v>1103</v>
      </c>
      <c r="H103" s="69" t="n">
        <f aca="false">D103+F103-J103</f>
        <v>20185920</v>
      </c>
      <c r="I103" s="69" t="n">
        <v>445</v>
      </c>
      <c r="J103" s="69" t="n">
        <v>7516034</v>
      </c>
      <c r="K103" s="139" t="n">
        <f aca="false">J103/I103</f>
        <v>16889.9640449438</v>
      </c>
      <c r="L103" s="129" t="n">
        <v>101</v>
      </c>
      <c r="M103" s="130" t="s">
        <v>459</v>
      </c>
      <c r="N103" s="130" t="s">
        <v>82</v>
      </c>
      <c r="O103" s="130" t="s">
        <v>451</v>
      </c>
      <c r="P103" s="130" t="n">
        <v>2024</v>
      </c>
      <c r="Q103" s="131" t="n">
        <v>6925.54</v>
      </c>
      <c r="R103" s="71" t="n">
        <v>14017292.96</v>
      </c>
    </row>
    <row r="104" customFormat="false" ht="13.8" hidden="false" customHeight="false" outlineLevel="0" collapsed="false">
      <c r="A104" s="68" t="s">
        <v>111</v>
      </c>
      <c r="B104" s="68" t="n">
        <v>12</v>
      </c>
      <c r="C104" s="69" t="n">
        <v>7094</v>
      </c>
      <c r="D104" s="69" t="n">
        <v>57800393</v>
      </c>
      <c r="E104" s="69" t="n">
        <v>7800</v>
      </c>
      <c r="F104" s="69" t="n">
        <v>63554400</v>
      </c>
      <c r="G104" s="69" t="n">
        <v>13333</v>
      </c>
      <c r="H104" s="69" t="n">
        <f aca="false">D104+F104-J104</f>
        <v>109458862</v>
      </c>
      <c r="I104" s="69" t="n">
        <v>1561</v>
      </c>
      <c r="J104" s="69" t="n">
        <v>11895931</v>
      </c>
      <c r="K104" s="139" t="n">
        <f aca="false">J104/I104</f>
        <v>7620.71172325432</v>
      </c>
      <c r="L104" s="129" t="n">
        <v>102</v>
      </c>
      <c r="M104" s="130" t="s">
        <v>460</v>
      </c>
      <c r="N104" s="130" t="s">
        <v>83</v>
      </c>
      <c r="O104" s="130" t="s">
        <v>393</v>
      </c>
      <c r="P104" s="130" t="n">
        <v>744</v>
      </c>
      <c r="Q104" s="131" t="n">
        <v>7272.43</v>
      </c>
      <c r="R104" s="71" t="n">
        <v>5410687.92</v>
      </c>
    </row>
    <row r="105" customFormat="false" ht="13.8" hidden="false" customHeight="false" outlineLevel="0" collapsed="false">
      <c r="A105" s="68" t="s">
        <v>112</v>
      </c>
      <c r="B105" s="68" t="n">
        <v>12</v>
      </c>
      <c r="C105" s="69" t="n">
        <v>2500</v>
      </c>
      <c r="D105" s="69" t="n">
        <v>20355350</v>
      </c>
      <c r="E105" s="69" t="n">
        <v>1320</v>
      </c>
      <c r="F105" s="69" t="n">
        <v>10755360</v>
      </c>
      <c r="G105" s="69" t="n">
        <v>2890</v>
      </c>
      <c r="H105" s="69" t="n">
        <f aca="false">D105+F105-J105</f>
        <v>24025287</v>
      </c>
      <c r="I105" s="69" t="n">
        <v>930</v>
      </c>
      <c r="J105" s="69" t="n">
        <v>7085423</v>
      </c>
      <c r="K105" s="139" t="n">
        <f aca="false">J105/I105</f>
        <v>7618.73440860215</v>
      </c>
      <c r="L105" s="129" t="n">
        <v>103</v>
      </c>
      <c r="M105" s="130" t="s">
        <v>461</v>
      </c>
      <c r="N105" s="130" t="s">
        <v>84</v>
      </c>
      <c r="O105" s="130" t="s">
        <v>451</v>
      </c>
      <c r="P105" s="130" t="n">
        <v>9318</v>
      </c>
      <c r="Q105" s="131" t="n">
        <v>29434.74</v>
      </c>
      <c r="R105" s="71" t="n">
        <v>274272907.32</v>
      </c>
    </row>
    <row r="106" customFormat="false" ht="13.8" hidden="false" customHeight="false" outlineLevel="0" collapsed="false">
      <c r="A106" s="68" t="s">
        <v>113</v>
      </c>
      <c r="B106" s="68" t="n">
        <v>12</v>
      </c>
      <c r="C106" s="69" t="n">
        <v>240</v>
      </c>
      <c r="D106" s="69" t="n">
        <v>3935440</v>
      </c>
      <c r="E106" s="69" t="n">
        <v>90</v>
      </c>
      <c r="F106" s="69" t="n">
        <v>1200024</v>
      </c>
      <c r="G106" s="69"/>
      <c r="H106" s="69" t="n">
        <f aca="false">D106+F106-J106</f>
        <v>0</v>
      </c>
      <c r="I106" s="69" t="n">
        <v>330</v>
      </c>
      <c r="J106" s="69" t="n">
        <v>5135464</v>
      </c>
      <c r="K106" s="139" t="n">
        <f aca="false">J106/I106</f>
        <v>15562.0121212121</v>
      </c>
      <c r="L106" s="129" t="n">
        <v>104</v>
      </c>
      <c r="M106" s="130" t="s">
        <v>462</v>
      </c>
      <c r="N106" s="130" t="s">
        <v>85</v>
      </c>
      <c r="O106" s="130" t="s">
        <v>393</v>
      </c>
      <c r="P106" s="130" t="n">
        <v>15053</v>
      </c>
      <c r="Q106" s="131" t="n">
        <v>8657.17</v>
      </c>
      <c r="R106" s="71" t="n">
        <v>130316380.01</v>
      </c>
    </row>
    <row r="107" customFormat="false" ht="13.8" hidden="false" customHeight="false" outlineLevel="0" collapsed="false">
      <c r="A107" s="68" t="s">
        <v>114</v>
      </c>
      <c r="B107" s="68" t="n">
        <v>12</v>
      </c>
      <c r="C107" s="69" t="n">
        <v>192</v>
      </c>
      <c r="D107" s="69" t="n">
        <v>3650221</v>
      </c>
      <c r="E107" s="69" t="n">
        <v>83</v>
      </c>
      <c r="F107" s="69" t="n">
        <v>1342579</v>
      </c>
      <c r="G107" s="69" t="n">
        <v>0</v>
      </c>
      <c r="H107" s="69" t="n">
        <f aca="false">D107+F107-J107</f>
        <v>0</v>
      </c>
      <c r="I107" s="69" t="n">
        <v>275</v>
      </c>
      <c r="J107" s="69" t="n">
        <v>4992800</v>
      </c>
      <c r="K107" s="139" t="n">
        <f aca="false">J107/I107</f>
        <v>18155.6363636364</v>
      </c>
      <c r="L107" s="129" t="n">
        <v>105</v>
      </c>
      <c r="M107" s="130" t="s">
        <v>463</v>
      </c>
      <c r="N107" s="130" t="s">
        <v>86</v>
      </c>
      <c r="O107" s="130" t="s">
        <v>451</v>
      </c>
      <c r="P107" s="130" t="n">
        <v>14400</v>
      </c>
      <c r="Q107" s="131" t="n">
        <v>6925.54</v>
      </c>
      <c r="R107" s="71" t="n">
        <v>99727776</v>
      </c>
    </row>
    <row r="108" customFormat="false" ht="13.8" hidden="false" customHeight="false" outlineLevel="0" collapsed="false">
      <c r="A108" s="68" t="s">
        <v>115</v>
      </c>
      <c r="B108" s="68" t="n">
        <v>12</v>
      </c>
      <c r="C108" s="69" t="n">
        <v>4325</v>
      </c>
      <c r="D108" s="69" t="n">
        <v>27997920</v>
      </c>
      <c r="E108" s="69" t="n">
        <v>2412</v>
      </c>
      <c r="F108" s="69" t="n">
        <v>15554400</v>
      </c>
      <c r="G108" s="69" t="n">
        <v>4660</v>
      </c>
      <c r="H108" s="69" t="n">
        <f aca="false">D108+F108-J108</f>
        <v>30965654</v>
      </c>
      <c r="I108" s="69" t="n">
        <v>2077</v>
      </c>
      <c r="J108" s="69" t="n">
        <v>12586666</v>
      </c>
      <c r="K108" s="139" t="n">
        <f aca="false">J108/I108</f>
        <v>6060.02214732788</v>
      </c>
      <c r="L108" s="129" t="n">
        <v>106</v>
      </c>
      <c r="M108" s="130" t="s">
        <v>464</v>
      </c>
      <c r="N108" s="130" t="s">
        <v>465</v>
      </c>
      <c r="O108" s="130" t="s">
        <v>451</v>
      </c>
      <c r="P108" s="130" t="n">
        <v>2810</v>
      </c>
      <c r="Q108" s="131" t="n">
        <v>16882.36</v>
      </c>
      <c r="R108" s="71" t="n">
        <v>47439431.6</v>
      </c>
    </row>
    <row r="109" customFormat="false" ht="13.8" hidden="false" customHeight="false" outlineLevel="0" collapsed="false">
      <c r="A109" s="68" t="s">
        <v>116</v>
      </c>
      <c r="B109" s="68" t="n">
        <v>12</v>
      </c>
      <c r="C109" s="69" t="n">
        <v>4565</v>
      </c>
      <c r="D109" s="69" t="n">
        <v>92887200</v>
      </c>
      <c r="E109" s="69" t="n">
        <v>0</v>
      </c>
      <c r="F109" s="69" t="n">
        <v>0</v>
      </c>
      <c r="G109" s="69" t="n">
        <v>2461</v>
      </c>
      <c r="H109" s="69" t="n">
        <f aca="false">D109+F109-J109</f>
        <v>52822600</v>
      </c>
      <c r="I109" s="69" t="n">
        <v>2104</v>
      </c>
      <c r="J109" s="69" t="n">
        <v>40064600</v>
      </c>
      <c r="K109" s="139" t="n">
        <f aca="false">J109/I109</f>
        <v>19042.1102661597</v>
      </c>
      <c r="L109" s="129" t="n">
        <v>107</v>
      </c>
      <c r="M109" s="130" t="s">
        <v>466</v>
      </c>
      <c r="N109" s="130" t="s">
        <v>125</v>
      </c>
      <c r="O109" s="130" t="s">
        <v>451</v>
      </c>
      <c r="P109" s="130" t="n">
        <v>644</v>
      </c>
      <c r="Q109" s="131" t="n">
        <v>41988.04</v>
      </c>
      <c r="R109" s="71" t="n">
        <v>27040297.76</v>
      </c>
    </row>
    <row r="110" customFormat="false" ht="13.8" hidden="false" customHeight="false" outlineLevel="0" collapsed="false">
      <c r="A110" s="68" t="s">
        <v>117</v>
      </c>
      <c r="B110" s="68" t="n">
        <v>12</v>
      </c>
      <c r="C110" s="69" t="n">
        <v>336</v>
      </c>
      <c r="D110" s="69" t="n">
        <v>5841722</v>
      </c>
      <c r="E110" s="69" t="n">
        <v>312</v>
      </c>
      <c r="F110" s="69" t="n">
        <v>5489016</v>
      </c>
      <c r="G110" s="69" t="n">
        <v>148</v>
      </c>
      <c r="H110" s="69" t="n">
        <f aca="false">D110+F110-J110</f>
        <v>3112456</v>
      </c>
      <c r="I110" s="69" t="n">
        <v>500</v>
      </c>
      <c r="J110" s="69" t="n">
        <v>8218282</v>
      </c>
      <c r="K110" s="139" t="n">
        <f aca="false">J110/I110</f>
        <v>16436.564</v>
      </c>
      <c r="L110" s="129" t="n">
        <v>108</v>
      </c>
      <c r="M110" s="130" t="s">
        <v>467</v>
      </c>
      <c r="N110" s="130" t="s">
        <v>110</v>
      </c>
      <c r="O110" s="130" t="s">
        <v>451</v>
      </c>
      <c r="P110" s="130" t="n">
        <v>420</v>
      </c>
      <c r="Q110" s="131" t="n">
        <v>16882.36</v>
      </c>
      <c r="R110" s="71" t="n">
        <v>7090591.2</v>
      </c>
    </row>
    <row r="111" customFormat="false" ht="13.8" hidden="false" customHeight="false" outlineLevel="0" collapsed="false">
      <c r="A111" s="68" t="s">
        <v>118</v>
      </c>
      <c r="B111" s="68" t="n">
        <v>12</v>
      </c>
      <c r="C111" s="69" t="n">
        <v>612</v>
      </c>
      <c r="D111" s="69" t="n">
        <v>25119032</v>
      </c>
      <c r="E111" s="69" t="n">
        <v>829</v>
      </c>
      <c r="F111" s="69" t="n">
        <v>3500028</v>
      </c>
      <c r="G111" s="69" t="n">
        <v>612</v>
      </c>
      <c r="H111" s="69" t="n">
        <f aca="false">D111+F111-J111</f>
        <v>16776690</v>
      </c>
      <c r="I111" s="69" t="n">
        <v>829</v>
      </c>
      <c r="J111" s="69" t="n">
        <v>11842370</v>
      </c>
      <c r="K111" s="139" t="n">
        <f aca="false">J111/I111</f>
        <v>14285.1266586249</v>
      </c>
      <c r="L111" s="129" t="n">
        <v>109</v>
      </c>
      <c r="M111" s="130" t="s">
        <v>468</v>
      </c>
      <c r="N111" s="130" t="s">
        <v>89</v>
      </c>
      <c r="O111" s="130" t="s">
        <v>393</v>
      </c>
      <c r="P111" s="130" t="n">
        <v>444</v>
      </c>
      <c r="Q111" s="131" t="n">
        <v>22942.1</v>
      </c>
      <c r="R111" s="71" t="n">
        <v>10186292.4</v>
      </c>
    </row>
    <row r="112" customFormat="false" ht="13.8" hidden="false" customHeight="false" outlineLevel="0" collapsed="false">
      <c r="A112" s="68" t="s">
        <v>119</v>
      </c>
      <c r="B112" s="68" t="n">
        <v>12</v>
      </c>
      <c r="C112" s="69" t="n">
        <v>320</v>
      </c>
      <c r="D112" s="69" t="n">
        <v>7371274</v>
      </c>
      <c r="E112" s="69" t="n">
        <v>160</v>
      </c>
      <c r="F112" s="69" t="n">
        <v>3703680</v>
      </c>
      <c r="G112" s="69" t="n">
        <v>203</v>
      </c>
      <c r="H112" s="69" t="n">
        <f aca="false">D112+F112-J112</f>
        <v>5076021</v>
      </c>
      <c r="I112" s="69" t="n">
        <v>277</v>
      </c>
      <c r="J112" s="69" t="n">
        <v>5998933</v>
      </c>
      <c r="K112" s="139" t="n">
        <f aca="false">J112/I112</f>
        <v>21656.797833935</v>
      </c>
      <c r="L112" s="129" t="n">
        <v>110</v>
      </c>
      <c r="M112" s="130" t="s">
        <v>469</v>
      </c>
      <c r="N112" s="130" t="s">
        <v>90</v>
      </c>
      <c r="O112" s="130" t="s">
        <v>393</v>
      </c>
      <c r="P112" s="130" t="n">
        <v>539</v>
      </c>
      <c r="Q112" s="131" t="n">
        <v>49780.34</v>
      </c>
      <c r="R112" s="71" t="n">
        <v>26831603.26</v>
      </c>
    </row>
    <row r="113" customFormat="false" ht="13.8" hidden="false" customHeight="false" outlineLevel="0" collapsed="false">
      <c r="A113" s="68" t="s">
        <v>120</v>
      </c>
      <c r="B113" s="68" t="n">
        <v>12</v>
      </c>
      <c r="C113" s="69" t="n">
        <v>120</v>
      </c>
      <c r="D113" s="69" t="n">
        <v>2654520</v>
      </c>
      <c r="E113" s="69" t="n">
        <v>80</v>
      </c>
      <c r="F113" s="69" t="n">
        <v>1777760</v>
      </c>
      <c r="G113" s="69" t="n">
        <v>115</v>
      </c>
      <c r="H113" s="69" t="n">
        <f aca="false">D113+F113-J113</f>
        <v>2659368</v>
      </c>
      <c r="I113" s="69" t="n">
        <v>85</v>
      </c>
      <c r="J113" s="69" t="n">
        <v>1772912</v>
      </c>
      <c r="K113" s="139" t="n">
        <f aca="false">J113/I113</f>
        <v>20857.7882352941</v>
      </c>
      <c r="L113" s="129" t="n">
        <v>111</v>
      </c>
      <c r="M113" s="130" t="s">
        <v>470</v>
      </c>
      <c r="N113" s="130" t="s">
        <v>91</v>
      </c>
      <c r="O113" s="130" t="s">
        <v>393</v>
      </c>
      <c r="P113" s="130" t="n">
        <v>5847</v>
      </c>
      <c r="Q113" s="131" t="n">
        <v>9090.07</v>
      </c>
      <c r="R113" s="71" t="n">
        <v>53149639.29</v>
      </c>
    </row>
    <row r="114" customFormat="false" ht="13.8" hidden="false" customHeight="false" outlineLevel="0" collapsed="false">
      <c r="A114" s="68" t="s">
        <v>121</v>
      </c>
      <c r="B114" s="68" t="n">
        <v>12</v>
      </c>
      <c r="C114" s="69" t="n">
        <v>2652</v>
      </c>
      <c r="D114" s="69" t="n">
        <v>31770271</v>
      </c>
      <c r="E114" s="69" t="n">
        <v>3648</v>
      </c>
      <c r="F114" s="69" t="n">
        <v>43333200</v>
      </c>
      <c r="G114" s="69" t="n">
        <v>3192</v>
      </c>
      <c r="H114" s="69" t="n">
        <f aca="false">D114+F114-J114</f>
        <v>40126712</v>
      </c>
      <c r="I114" s="69" t="n">
        <v>3108</v>
      </c>
      <c r="J114" s="69" t="n">
        <v>34976759</v>
      </c>
      <c r="K114" s="139" t="n">
        <f aca="false">J114/I114</f>
        <v>11253.7834620335</v>
      </c>
      <c r="L114" s="129" t="n">
        <v>112</v>
      </c>
      <c r="M114" s="130" t="s">
        <v>471</v>
      </c>
      <c r="N114" s="130" t="s">
        <v>92</v>
      </c>
      <c r="O114" s="130" t="s">
        <v>327</v>
      </c>
      <c r="P114" s="130" t="n">
        <v>38000</v>
      </c>
      <c r="Q114" s="131" t="n">
        <v>459.08</v>
      </c>
      <c r="R114" s="71" t="n">
        <v>17445040</v>
      </c>
    </row>
    <row r="115" customFormat="false" ht="13.8" hidden="false" customHeight="false" outlineLevel="0" collapsed="false">
      <c r="A115" s="68" t="s">
        <v>122</v>
      </c>
      <c r="B115" s="68" t="n">
        <v>12</v>
      </c>
      <c r="C115" s="69" t="n">
        <v>4685</v>
      </c>
      <c r="D115" s="69" t="n">
        <v>40734720</v>
      </c>
      <c r="E115" s="69" t="n">
        <v>2400</v>
      </c>
      <c r="F115" s="69" t="n">
        <v>20889600</v>
      </c>
      <c r="G115" s="69" t="n">
        <v>6911</v>
      </c>
      <c r="H115" s="69" t="n">
        <f aca="false">D115+F115-J115</f>
        <v>60206569</v>
      </c>
      <c r="I115" s="69" t="n">
        <v>174</v>
      </c>
      <c r="J115" s="69" t="n">
        <v>1417751</v>
      </c>
      <c r="K115" s="139" t="n">
        <f aca="false">J115/I115</f>
        <v>8147.99425287356</v>
      </c>
      <c r="L115" s="129" t="n">
        <v>113</v>
      </c>
      <c r="M115" s="130" t="s">
        <v>472</v>
      </c>
      <c r="N115" s="130" t="s">
        <v>94</v>
      </c>
      <c r="O115" s="130" t="s">
        <v>393</v>
      </c>
      <c r="P115" s="130" t="n">
        <v>168</v>
      </c>
      <c r="Q115" s="131" t="n">
        <v>9090.07</v>
      </c>
      <c r="R115" s="71" t="n">
        <v>1527131.76</v>
      </c>
    </row>
    <row r="116" customFormat="false" ht="13.8" hidden="false" customHeight="false" outlineLevel="0" collapsed="false">
      <c r="A116" s="68" t="s">
        <v>123</v>
      </c>
      <c r="B116" s="68" t="n">
        <v>12</v>
      </c>
      <c r="C116" s="69" t="n">
        <v>216</v>
      </c>
      <c r="D116" s="69" t="n">
        <v>3755160</v>
      </c>
      <c r="E116" s="69" t="n">
        <v>36</v>
      </c>
      <c r="F116" s="69" t="n">
        <v>666684</v>
      </c>
      <c r="G116" s="69" t="n">
        <v>120</v>
      </c>
      <c r="H116" s="69" t="n">
        <f aca="false">D116+F116-J116</f>
        <v>2105640</v>
      </c>
      <c r="I116" s="69" t="n">
        <v>132</v>
      </c>
      <c r="J116" s="69" t="n">
        <v>2316204</v>
      </c>
      <c r="K116" s="139" t="n">
        <f aca="false">J116/I116</f>
        <v>17547</v>
      </c>
      <c r="L116" s="129" t="n">
        <v>114</v>
      </c>
      <c r="M116" s="130" t="s">
        <v>473</v>
      </c>
      <c r="N116" s="130" t="s">
        <v>93</v>
      </c>
      <c r="O116" s="130" t="s">
        <v>393</v>
      </c>
      <c r="P116" s="130" t="n">
        <v>36</v>
      </c>
      <c r="Q116" s="131" t="n">
        <v>49780.34</v>
      </c>
      <c r="R116" s="71" t="n">
        <v>1792092.24</v>
      </c>
    </row>
    <row r="117" customFormat="false" ht="13.8" hidden="false" customHeight="false" outlineLevel="0" collapsed="false">
      <c r="A117" s="68" t="s">
        <v>124</v>
      </c>
      <c r="B117" s="68" t="n">
        <v>12</v>
      </c>
      <c r="C117" s="69" t="n">
        <v>72</v>
      </c>
      <c r="D117" s="69" t="n">
        <v>1333368</v>
      </c>
      <c r="E117" s="69" t="n">
        <v>36</v>
      </c>
      <c r="F117" s="69" t="n">
        <v>666684</v>
      </c>
      <c r="G117" s="69" t="n">
        <v>100</v>
      </c>
      <c r="H117" s="69" t="n">
        <f aca="false">D117+F117-J117</f>
        <v>1851900</v>
      </c>
      <c r="I117" s="69" t="n">
        <v>8</v>
      </c>
      <c r="J117" s="69" t="n">
        <v>148152</v>
      </c>
      <c r="K117" s="139" t="n">
        <f aca="false">J117/I117</f>
        <v>18519</v>
      </c>
      <c r="L117" s="129" t="n">
        <v>115</v>
      </c>
      <c r="M117" s="130" t="s">
        <v>474</v>
      </c>
      <c r="N117" s="130" t="s">
        <v>475</v>
      </c>
      <c r="O117" s="130" t="s">
        <v>393</v>
      </c>
      <c r="P117" s="130" t="n">
        <v>48</v>
      </c>
      <c r="Q117" s="131" t="n">
        <v>22942</v>
      </c>
      <c r="R117" s="71" t="n">
        <v>1101216</v>
      </c>
    </row>
    <row r="118" customFormat="false" ht="13.8" hidden="false" customHeight="false" outlineLevel="0" collapsed="false">
      <c r="A118" s="68" t="s">
        <v>125</v>
      </c>
      <c r="B118" s="68" t="n">
        <v>12</v>
      </c>
      <c r="C118" s="69" t="n">
        <v>944</v>
      </c>
      <c r="D118" s="69" t="n">
        <v>42152428</v>
      </c>
      <c r="E118" s="69" t="n">
        <v>840</v>
      </c>
      <c r="F118" s="69" t="n">
        <v>37721880</v>
      </c>
      <c r="G118" s="69" t="n">
        <v>1097</v>
      </c>
      <c r="H118" s="69" t="n">
        <f aca="false">D118+F118-J118</f>
        <v>51040757</v>
      </c>
      <c r="I118" s="69" t="n">
        <v>687</v>
      </c>
      <c r="J118" s="69" t="n">
        <v>28833551</v>
      </c>
      <c r="K118" s="139" t="n">
        <f aca="false">J118/I118</f>
        <v>41970.2343522562</v>
      </c>
      <c r="L118" s="143" t="n">
        <v>116</v>
      </c>
      <c r="M118" s="130" t="s">
        <v>476</v>
      </c>
      <c r="N118" s="130" t="s">
        <v>107</v>
      </c>
      <c r="O118" s="130" t="s">
        <v>393</v>
      </c>
      <c r="P118" s="130"/>
      <c r="Q118" s="131"/>
      <c r="R118" s="71" t="n">
        <v>0</v>
      </c>
    </row>
    <row r="119" customFormat="false" ht="13.8" hidden="false" customHeight="false" outlineLevel="0" collapsed="false">
      <c r="A119" s="68" t="s">
        <v>126</v>
      </c>
      <c r="B119" s="68" t="n">
        <v>12</v>
      </c>
      <c r="C119" s="69" t="n">
        <v>33073</v>
      </c>
      <c r="D119" s="69" t="n">
        <v>182697004</v>
      </c>
      <c r="E119" s="69" t="n">
        <v>44511</v>
      </c>
      <c r="F119" s="69" t="n">
        <v>248485800</v>
      </c>
      <c r="G119" s="69" t="n">
        <v>45992</v>
      </c>
      <c r="H119" s="69" t="n">
        <f aca="false">D119+F119-J119</f>
        <v>258882160</v>
      </c>
      <c r="I119" s="69" t="n">
        <v>31592</v>
      </c>
      <c r="J119" s="69" t="n">
        <v>172300644</v>
      </c>
      <c r="K119" s="139" t="n">
        <f aca="false">J119/I119</f>
        <v>5453.93276778931</v>
      </c>
      <c r="L119" s="129" t="n">
        <v>117</v>
      </c>
      <c r="M119" s="130" t="s">
        <v>477</v>
      </c>
      <c r="N119" s="130" t="s">
        <v>478</v>
      </c>
      <c r="O119" s="130" t="s">
        <v>393</v>
      </c>
      <c r="P119" s="130"/>
      <c r="Q119" s="131"/>
      <c r="R119" s="71" t="n">
        <v>0</v>
      </c>
    </row>
    <row r="120" customFormat="false" ht="13.8" hidden="false" customHeight="false" outlineLevel="0" collapsed="false">
      <c r="A120" s="68" t="s">
        <v>127</v>
      </c>
      <c r="B120" s="68" t="n">
        <v>12</v>
      </c>
      <c r="C120" s="69" t="n">
        <v>6123</v>
      </c>
      <c r="D120" s="69" t="n">
        <v>34229824</v>
      </c>
      <c r="E120" s="69" t="n">
        <v>2760</v>
      </c>
      <c r="F120" s="69" t="n">
        <v>16099080</v>
      </c>
      <c r="G120" s="69" t="n">
        <v>6324</v>
      </c>
      <c r="H120" s="69" t="n">
        <f aca="false">D120+F120-J120</f>
        <v>36374149</v>
      </c>
      <c r="I120" s="69" t="n">
        <v>2559</v>
      </c>
      <c r="J120" s="69" t="n">
        <v>13954755</v>
      </c>
      <c r="K120" s="139" t="n">
        <f aca="false">J120/I120</f>
        <v>5453.20633059789</v>
      </c>
      <c r="L120" s="129" t="n">
        <v>118</v>
      </c>
      <c r="M120" s="130" t="s">
        <v>479</v>
      </c>
      <c r="N120" s="130" t="s">
        <v>108</v>
      </c>
      <c r="O120" s="130" t="s">
        <v>393</v>
      </c>
      <c r="P120" s="130" t="n">
        <v>14488</v>
      </c>
      <c r="Q120" s="131" t="n">
        <v>6925.54</v>
      </c>
      <c r="R120" s="71" t="n">
        <v>100337223.52</v>
      </c>
    </row>
    <row r="121" customFormat="false" ht="13.8" hidden="false" customHeight="false" outlineLevel="0" collapsed="false">
      <c r="A121" s="68" t="s">
        <v>128</v>
      </c>
      <c r="B121" s="68" t="n">
        <v>12</v>
      </c>
      <c r="C121" s="69" t="n">
        <v>374</v>
      </c>
      <c r="D121" s="69" t="n">
        <v>5702198</v>
      </c>
      <c r="E121" s="69" t="n">
        <v>200</v>
      </c>
      <c r="F121" s="69" t="n">
        <v>3055600</v>
      </c>
      <c r="G121" s="69" t="n">
        <v>89</v>
      </c>
      <c r="H121" s="69" t="n">
        <f aca="false">D121+F121-J121</f>
        <v>1830899</v>
      </c>
      <c r="I121" s="69" t="n">
        <v>485</v>
      </c>
      <c r="J121" s="69" t="n">
        <v>6926899</v>
      </c>
      <c r="K121" s="139" t="n">
        <f aca="false">J121/I121</f>
        <v>14282.2659793814</v>
      </c>
      <c r="L121" s="129" t="n">
        <v>119</v>
      </c>
      <c r="M121" s="130" t="s">
        <v>480</v>
      </c>
      <c r="N121" s="130" t="s">
        <v>481</v>
      </c>
      <c r="O121" s="130" t="s">
        <v>393</v>
      </c>
      <c r="P121" s="130" t="n">
        <v>60</v>
      </c>
      <c r="Q121" s="131" t="n">
        <v>45451.28</v>
      </c>
      <c r="R121" s="71" t="n">
        <v>2727076.8</v>
      </c>
    </row>
    <row r="122" customFormat="false" ht="13.8" hidden="false" customHeight="false" outlineLevel="0" collapsed="false">
      <c r="A122" s="68" t="s">
        <v>129</v>
      </c>
      <c r="B122" s="68" t="n">
        <v>12</v>
      </c>
      <c r="C122" s="69" t="n">
        <v>20</v>
      </c>
      <c r="D122" s="69" t="n">
        <v>685180</v>
      </c>
      <c r="E122" s="69" t="n">
        <v>0</v>
      </c>
      <c r="F122" s="69" t="n">
        <v>0</v>
      </c>
      <c r="G122" s="69" t="n">
        <v>5</v>
      </c>
      <c r="H122" s="69" t="n">
        <f aca="false">D122+F122-J122</f>
        <v>209836</v>
      </c>
      <c r="I122" s="70" t="n">
        <v>15</v>
      </c>
      <c r="J122" s="70" t="n">
        <f aca="false">I122*K122</f>
        <v>475344</v>
      </c>
      <c r="K122" s="136" t="n">
        <v>31689.6</v>
      </c>
      <c r="L122" s="129" t="n">
        <v>120</v>
      </c>
      <c r="M122" s="130" t="s">
        <v>482</v>
      </c>
      <c r="N122" s="130" t="s">
        <v>483</v>
      </c>
      <c r="O122" s="130" t="s">
        <v>393</v>
      </c>
      <c r="P122" s="130" t="n">
        <v>78</v>
      </c>
      <c r="Q122" s="131" t="n">
        <v>15150.74</v>
      </c>
      <c r="R122" s="71" t="n">
        <v>1181757.72</v>
      </c>
    </row>
    <row r="123" customFormat="false" ht="13.8" hidden="false" customHeight="false" outlineLevel="0" collapsed="false">
      <c r="A123" s="68" t="s">
        <v>130</v>
      </c>
      <c r="B123" s="68" t="n">
        <v>12</v>
      </c>
      <c r="C123" s="69" t="n">
        <v>85</v>
      </c>
      <c r="D123" s="69" t="n">
        <v>4046541</v>
      </c>
      <c r="E123" s="69" t="n">
        <v>41</v>
      </c>
      <c r="F123" s="69" t="n">
        <v>1955085</v>
      </c>
      <c r="G123" s="69" t="n">
        <v>33</v>
      </c>
      <c r="H123" s="69" t="n">
        <f aca="false">D123+F123-J123</f>
        <v>1905278</v>
      </c>
      <c r="I123" s="69" t="n">
        <v>93</v>
      </c>
      <c r="J123" s="69" t="n">
        <v>4096348</v>
      </c>
      <c r="K123" s="139" t="n">
        <f aca="false">J123/I123</f>
        <v>44046.752688172</v>
      </c>
      <c r="L123" s="129" t="n">
        <v>121</v>
      </c>
      <c r="M123" s="130" t="s">
        <v>484</v>
      </c>
      <c r="N123" s="130" t="s">
        <v>95</v>
      </c>
      <c r="O123" s="130" t="s">
        <v>451</v>
      </c>
      <c r="P123" s="130" t="n">
        <v>78</v>
      </c>
      <c r="Q123" s="131" t="n">
        <v>7791.36</v>
      </c>
      <c r="R123" s="71" t="n">
        <v>607726.08</v>
      </c>
    </row>
    <row r="124" customFormat="false" ht="13.8" hidden="false" customHeight="false" outlineLevel="0" collapsed="false">
      <c r="A124" s="68" t="s">
        <v>131</v>
      </c>
      <c r="B124" s="68" t="n">
        <v>12</v>
      </c>
      <c r="C124" s="69" t="n">
        <v>70</v>
      </c>
      <c r="D124" s="69" t="n">
        <v>3488402</v>
      </c>
      <c r="E124" s="69" t="n">
        <v>16</v>
      </c>
      <c r="F124" s="69" t="n">
        <v>800000</v>
      </c>
      <c r="G124" s="69" t="n">
        <v>47</v>
      </c>
      <c r="H124" s="69" t="n">
        <f aca="false">D124+F124-J124</f>
        <v>2493257</v>
      </c>
      <c r="I124" s="69" t="n">
        <v>39</v>
      </c>
      <c r="J124" s="69" t="n">
        <v>1795145</v>
      </c>
      <c r="K124" s="139" t="n">
        <f aca="false">J124/I124</f>
        <v>46029.358974359</v>
      </c>
      <c r="L124" s="129" t="n">
        <v>122</v>
      </c>
      <c r="M124" s="130" t="s">
        <v>485</v>
      </c>
      <c r="N124" s="130" t="s">
        <v>88</v>
      </c>
      <c r="O124" s="130" t="s">
        <v>311</v>
      </c>
      <c r="P124" s="130" t="n">
        <v>548</v>
      </c>
      <c r="Q124" s="131" t="n">
        <v>19549.92</v>
      </c>
      <c r="R124" s="71" t="n">
        <v>10713356.16</v>
      </c>
    </row>
    <row r="125" customFormat="false" ht="13.8" hidden="false" customHeight="false" outlineLevel="0" collapsed="false">
      <c r="A125" s="68" t="s">
        <v>132</v>
      </c>
      <c r="B125" s="68" t="n">
        <v>12</v>
      </c>
      <c r="C125" s="69" t="n">
        <v>98</v>
      </c>
      <c r="D125" s="69" t="n">
        <v>4356568</v>
      </c>
      <c r="E125" s="69" t="n">
        <v>255</v>
      </c>
      <c r="F125" s="69" t="n">
        <v>11333220</v>
      </c>
      <c r="G125" s="69" t="n">
        <v>296</v>
      </c>
      <c r="H125" s="69" t="n">
        <f aca="false">D125+F125-J125</f>
        <v>13333180</v>
      </c>
      <c r="I125" s="69" t="n">
        <v>57</v>
      </c>
      <c r="J125" s="69" t="n">
        <v>2356608</v>
      </c>
      <c r="K125" s="139" t="n">
        <f aca="false">J125/I125</f>
        <v>41344</v>
      </c>
      <c r="L125" s="129" t="n">
        <v>123</v>
      </c>
      <c r="M125" s="130" t="s">
        <v>486</v>
      </c>
      <c r="N125" s="130" t="s">
        <v>487</v>
      </c>
      <c r="O125" s="130" t="s">
        <v>311</v>
      </c>
      <c r="P125" s="130"/>
      <c r="Q125" s="131"/>
      <c r="R125" s="71" t="n">
        <v>0</v>
      </c>
    </row>
    <row r="126" customFormat="false" ht="13.8" hidden="false" customHeight="false" outlineLevel="0" collapsed="false">
      <c r="A126" s="68" t="s">
        <v>133</v>
      </c>
      <c r="B126" s="68" t="n">
        <v>12</v>
      </c>
      <c r="C126" s="69" t="n">
        <v>119</v>
      </c>
      <c r="D126" s="69" t="n">
        <v>4585298</v>
      </c>
      <c r="E126" s="69" t="n">
        <v>66</v>
      </c>
      <c r="F126" s="69" t="n">
        <v>2609254</v>
      </c>
      <c r="G126" s="69" t="n">
        <v>146</v>
      </c>
      <c r="H126" s="69" t="n">
        <f aca="false">D126+F126-J126</f>
        <v>5833421</v>
      </c>
      <c r="I126" s="69" t="n">
        <v>39</v>
      </c>
      <c r="J126" s="69" t="n">
        <v>1361131</v>
      </c>
      <c r="K126" s="139" t="n">
        <f aca="false">J126/I126</f>
        <v>34900.7948717949</v>
      </c>
      <c r="L126" s="129" t="n">
        <v>124</v>
      </c>
      <c r="M126" s="130" t="s">
        <v>488</v>
      </c>
      <c r="N126" s="130" t="s">
        <v>96</v>
      </c>
      <c r="O126" s="130" t="s">
        <v>395</v>
      </c>
      <c r="P126" s="130" t="n">
        <v>30</v>
      </c>
      <c r="Q126" s="131" t="n">
        <v>108650.74</v>
      </c>
      <c r="R126" s="71" t="n">
        <v>3259522.2</v>
      </c>
    </row>
    <row r="127" customFormat="false" ht="13.8" hidden="false" customHeight="false" outlineLevel="0" collapsed="false">
      <c r="A127" s="68" t="s">
        <v>134</v>
      </c>
      <c r="B127" s="68" t="n">
        <v>12</v>
      </c>
      <c r="C127" s="69" t="n">
        <v>15</v>
      </c>
      <c r="D127" s="69" t="n">
        <v>431794</v>
      </c>
      <c r="E127" s="69" t="n">
        <v>0</v>
      </c>
      <c r="F127" s="69" t="n">
        <v>0</v>
      </c>
      <c r="G127" s="69" t="n">
        <v>0</v>
      </c>
      <c r="H127" s="69" t="n">
        <f aca="false">D127+F127-J127</f>
        <v>0</v>
      </c>
      <c r="I127" s="69" t="n">
        <v>15</v>
      </c>
      <c r="J127" s="69" t="n">
        <v>431794</v>
      </c>
      <c r="K127" s="139" t="n">
        <f aca="false">J127/I127</f>
        <v>28786.2666666667</v>
      </c>
      <c r="L127" s="129" t="n">
        <v>125</v>
      </c>
      <c r="M127" s="130" t="s">
        <v>489</v>
      </c>
      <c r="N127" s="130" t="s">
        <v>490</v>
      </c>
      <c r="O127" s="130" t="s">
        <v>393</v>
      </c>
      <c r="P127" s="130"/>
      <c r="Q127" s="131"/>
      <c r="R127" s="71" t="n">
        <v>0</v>
      </c>
    </row>
    <row r="128" customFormat="false" ht="13.8" hidden="false" customHeight="false" outlineLevel="0" collapsed="false">
      <c r="A128" s="68" t="s">
        <v>135</v>
      </c>
      <c r="B128" s="68" t="n">
        <v>12</v>
      </c>
      <c r="C128" s="69" t="n">
        <v>155</v>
      </c>
      <c r="D128" s="69" t="n">
        <v>28475986</v>
      </c>
      <c r="E128" s="69" t="n">
        <v>770</v>
      </c>
      <c r="F128" s="69" t="n">
        <v>137740260</v>
      </c>
      <c r="G128" s="69" t="n">
        <v>15</v>
      </c>
      <c r="H128" s="69" t="n">
        <f aca="false">D128+F128-J128</f>
        <v>2695399</v>
      </c>
      <c r="I128" s="69" t="n">
        <v>910</v>
      </c>
      <c r="J128" s="69" t="n">
        <v>163520847</v>
      </c>
      <c r="K128" s="139" t="n">
        <f aca="false">J128/I128</f>
        <v>179693.238461538</v>
      </c>
      <c r="L128" s="129" t="n">
        <v>126</v>
      </c>
      <c r="M128" s="130" t="s">
        <v>491</v>
      </c>
      <c r="N128" s="130" t="s">
        <v>97</v>
      </c>
      <c r="O128" s="130" t="s">
        <v>327</v>
      </c>
      <c r="P128" s="130" t="n">
        <v>42800</v>
      </c>
      <c r="Q128" s="131" t="n">
        <v>459.08</v>
      </c>
      <c r="R128" s="71" t="n">
        <v>19648624</v>
      </c>
    </row>
    <row r="129" customFormat="false" ht="13.8" hidden="false" customHeight="false" outlineLevel="0" collapsed="false">
      <c r="A129" s="68" t="s">
        <v>136</v>
      </c>
      <c r="B129" s="68" t="n">
        <v>12</v>
      </c>
      <c r="C129" s="69" t="n">
        <v>4853</v>
      </c>
      <c r="D129" s="69" t="n">
        <v>73565457</v>
      </c>
      <c r="E129" s="69" t="n">
        <v>5768</v>
      </c>
      <c r="F129" s="69" t="n">
        <v>86167920</v>
      </c>
      <c r="G129" s="69" t="n">
        <v>5227</v>
      </c>
      <c r="H129" s="69" t="n">
        <f aca="false">D129+F129-J129</f>
        <v>82686574</v>
      </c>
      <c r="I129" s="69" t="n">
        <v>5394</v>
      </c>
      <c r="J129" s="69" t="n">
        <v>77046803</v>
      </c>
      <c r="K129" s="139" t="n">
        <f aca="false">J129/I129</f>
        <v>14283.7973674453</v>
      </c>
      <c r="L129" s="129" t="n">
        <v>127</v>
      </c>
      <c r="M129" s="130" t="s">
        <v>492</v>
      </c>
      <c r="N129" s="130" t="s">
        <v>98</v>
      </c>
      <c r="O129" s="130" t="s">
        <v>393</v>
      </c>
      <c r="P129" s="130" t="n">
        <v>738</v>
      </c>
      <c r="Q129" s="131" t="n">
        <v>9869.86</v>
      </c>
      <c r="R129" s="71" t="n">
        <v>7283956.68</v>
      </c>
    </row>
    <row r="130" customFormat="false" ht="13.8" hidden="false" customHeight="false" outlineLevel="0" collapsed="false">
      <c r="A130" s="68" t="s">
        <v>137</v>
      </c>
      <c r="B130" s="68" t="n">
        <v>12</v>
      </c>
      <c r="C130" s="69" t="n">
        <v>144</v>
      </c>
      <c r="D130" s="69" t="n">
        <v>22621104</v>
      </c>
      <c r="E130" s="69" t="n">
        <v>0</v>
      </c>
      <c r="F130" s="69" t="n">
        <v>0</v>
      </c>
      <c r="G130" s="69" t="n">
        <v>0</v>
      </c>
      <c r="H130" s="69" t="n">
        <f aca="false">D130+F130-J130</f>
        <v>0</v>
      </c>
      <c r="I130" s="69" t="n">
        <v>144</v>
      </c>
      <c r="J130" s="69" t="n">
        <v>22621104</v>
      </c>
      <c r="K130" s="139" t="n">
        <f aca="false">J130/I130</f>
        <v>157091</v>
      </c>
      <c r="L130" s="129" t="n">
        <v>128</v>
      </c>
      <c r="M130" s="130" t="s">
        <v>493</v>
      </c>
      <c r="N130" s="130" t="s">
        <v>99</v>
      </c>
      <c r="O130" s="130" t="s">
        <v>393</v>
      </c>
      <c r="P130" s="130" t="n">
        <v>172</v>
      </c>
      <c r="Q130" s="131" t="n">
        <v>5800.74</v>
      </c>
      <c r="R130" s="71" t="n">
        <v>997727.28</v>
      </c>
    </row>
    <row r="131" customFormat="false" ht="13.8" hidden="false" customHeight="false" outlineLevel="0" collapsed="false">
      <c r="A131" s="68" t="s">
        <v>138</v>
      </c>
      <c r="B131" s="68" t="n">
        <v>12</v>
      </c>
      <c r="C131" s="69" t="n">
        <v>149</v>
      </c>
      <c r="D131" s="69" t="n">
        <v>22621104</v>
      </c>
      <c r="E131" s="69" t="n">
        <v>0</v>
      </c>
      <c r="F131" s="69" t="n">
        <v>0</v>
      </c>
      <c r="G131" s="69" t="n">
        <v>0</v>
      </c>
      <c r="H131" s="69" t="n">
        <f aca="false">D131+F131-J131</f>
        <v>0</v>
      </c>
      <c r="I131" s="69" t="n">
        <v>149</v>
      </c>
      <c r="J131" s="69" t="n">
        <v>22621104</v>
      </c>
      <c r="K131" s="139" t="n">
        <f aca="false">J131/I131</f>
        <v>151819.489932886</v>
      </c>
      <c r="L131" s="129" t="n">
        <v>129</v>
      </c>
      <c r="M131" s="130" t="s">
        <v>494</v>
      </c>
      <c r="N131" s="130" t="s">
        <v>100</v>
      </c>
      <c r="O131" s="130" t="s">
        <v>393</v>
      </c>
      <c r="P131" s="130" t="n">
        <v>1923</v>
      </c>
      <c r="Q131" s="131" t="n">
        <v>49780.34</v>
      </c>
      <c r="R131" s="71" t="n">
        <v>95727593.82</v>
      </c>
    </row>
    <row r="132" customFormat="false" ht="13.8" hidden="false" customHeight="false" outlineLevel="0" collapsed="false">
      <c r="A132" s="68" t="s">
        <v>139</v>
      </c>
      <c r="B132" s="68" t="n">
        <v>12</v>
      </c>
      <c r="C132" s="69" t="n">
        <v>188</v>
      </c>
      <c r="D132" s="69" t="n">
        <v>34137846</v>
      </c>
      <c r="E132" s="69" t="n">
        <v>0</v>
      </c>
      <c r="F132" s="69" t="n">
        <v>0</v>
      </c>
      <c r="G132" s="69" t="n">
        <v>0</v>
      </c>
      <c r="H132" s="69" t="n">
        <f aca="false">D132+F132-J132</f>
        <v>0</v>
      </c>
      <c r="I132" s="69" t="n">
        <v>188</v>
      </c>
      <c r="J132" s="69" t="n">
        <v>34137846</v>
      </c>
      <c r="K132" s="139" t="n">
        <f aca="false">J132/I132</f>
        <v>181584.287234043</v>
      </c>
      <c r="L132" s="129" t="n">
        <v>130</v>
      </c>
      <c r="M132" s="130" t="s">
        <v>495</v>
      </c>
      <c r="N132" s="130" t="s">
        <v>496</v>
      </c>
      <c r="O132" s="130" t="s">
        <v>393</v>
      </c>
      <c r="P132" s="130" t="n">
        <v>144</v>
      </c>
      <c r="Q132" s="131" t="n">
        <v>6925.54</v>
      </c>
      <c r="R132" s="71" t="n">
        <v>997277.76</v>
      </c>
    </row>
    <row r="133" customFormat="false" ht="13.8" hidden="false" customHeight="false" outlineLevel="0" collapsed="false">
      <c r="A133" s="68" t="s">
        <v>140</v>
      </c>
      <c r="B133" s="68" t="n">
        <v>12</v>
      </c>
      <c r="C133" s="69" t="n">
        <v>1326</v>
      </c>
      <c r="D133" s="69" t="n">
        <v>245672490</v>
      </c>
      <c r="E133" s="69" t="n">
        <v>1500</v>
      </c>
      <c r="F133" s="69" t="n">
        <v>279622500</v>
      </c>
      <c r="G133" s="69" t="n">
        <v>1498</v>
      </c>
      <c r="H133" s="69" t="n">
        <f aca="false">D133+F133-J133</f>
        <v>278447238</v>
      </c>
      <c r="I133" s="69" t="n">
        <v>1328</v>
      </c>
      <c r="J133" s="69" t="n">
        <v>246847752</v>
      </c>
      <c r="K133" s="139" t="n">
        <f aca="false">J133/I133</f>
        <v>185879.331325301</v>
      </c>
      <c r="L133" s="129" t="n">
        <v>131</v>
      </c>
      <c r="M133" s="130" t="s">
        <v>497</v>
      </c>
      <c r="N133" s="130" t="s">
        <v>101</v>
      </c>
      <c r="O133" s="130" t="s">
        <v>393</v>
      </c>
      <c r="P133" s="130" t="n">
        <v>4800</v>
      </c>
      <c r="Q133" s="131" t="n">
        <v>9090.07</v>
      </c>
      <c r="R133" s="71" t="n">
        <v>43632336</v>
      </c>
    </row>
    <row r="134" customFormat="false" ht="13.8" hidden="false" customHeight="false" outlineLevel="0" collapsed="false">
      <c r="A134" s="68" t="s">
        <v>141</v>
      </c>
      <c r="B134" s="68" t="n">
        <v>12</v>
      </c>
      <c r="C134" s="69" t="n">
        <v>2712</v>
      </c>
      <c r="D134" s="69" t="n">
        <v>404819278</v>
      </c>
      <c r="E134" s="69" t="n">
        <v>2350</v>
      </c>
      <c r="F134" s="69" t="n">
        <v>438075250</v>
      </c>
      <c r="G134" s="69" t="n">
        <v>3044</v>
      </c>
      <c r="H134" s="69" t="n">
        <f aca="false">D134+F134-J134</f>
        <v>466755000</v>
      </c>
      <c r="I134" s="69" t="n">
        <v>2018</v>
      </c>
      <c r="J134" s="69" t="n">
        <v>376139528</v>
      </c>
      <c r="K134" s="139" t="n">
        <f aca="false">J134/I134</f>
        <v>186392.233894946</v>
      </c>
      <c r="L134" s="129" t="n">
        <v>132</v>
      </c>
      <c r="M134" s="130" t="s">
        <v>498</v>
      </c>
      <c r="N134" s="130" t="s">
        <v>102</v>
      </c>
      <c r="O134" s="130" t="s">
        <v>393</v>
      </c>
      <c r="P134" s="130" t="n">
        <v>489</v>
      </c>
      <c r="Q134" s="131" t="n">
        <v>22942.1</v>
      </c>
      <c r="R134" s="71" t="n">
        <v>11218686.9</v>
      </c>
    </row>
    <row r="135" customFormat="false" ht="13.8" hidden="false" customHeight="false" outlineLevel="0" collapsed="false">
      <c r="A135" s="68" t="s">
        <v>142</v>
      </c>
      <c r="B135" s="68" t="n">
        <v>12</v>
      </c>
      <c r="C135" s="69" t="n">
        <v>1150</v>
      </c>
      <c r="D135" s="69" t="n">
        <v>211217050</v>
      </c>
      <c r="E135" s="69" t="n">
        <v>0</v>
      </c>
      <c r="F135" s="69" t="n">
        <v>0</v>
      </c>
      <c r="G135" s="69" t="n">
        <v>0</v>
      </c>
      <c r="H135" s="69" t="n">
        <f aca="false">D135+F135-J135</f>
        <v>0</v>
      </c>
      <c r="I135" s="69" t="n">
        <v>1150</v>
      </c>
      <c r="J135" s="69" t="n">
        <v>211217050</v>
      </c>
      <c r="K135" s="139" t="n">
        <f aca="false">J135/I135</f>
        <v>183667</v>
      </c>
      <c r="L135" s="129" t="n">
        <v>133</v>
      </c>
      <c r="M135" s="130" t="s">
        <v>499</v>
      </c>
      <c r="N135" s="130" t="s">
        <v>103</v>
      </c>
      <c r="O135" s="130" t="s">
        <v>393</v>
      </c>
      <c r="P135" s="130" t="n">
        <v>1236</v>
      </c>
      <c r="Q135" s="131" t="n">
        <v>12986.22</v>
      </c>
      <c r="R135" s="71" t="n">
        <v>16050967.92</v>
      </c>
    </row>
    <row r="136" customFormat="false" ht="13.8" hidden="false" customHeight="false" outlineLevel="0" collapsed="false">
      <c r="A136" s="68" t="s">
        <v>143</v>
      </c>
      <c r="B136" s="68" t="n">
        <v>12</v>
      </c>
      <c r="C136" s="69" t="n">
        <v>0</v>
      </c>
      <c r="D136" s="69" t="n">
        <v>0</v>
      </c>
      <c r="E136" s="69" t="n">
        <v>0</v>
      </c>
      <c r="F136" s="69" t="n">
        <v>0</v>
      </c>
      <c r="G136" s="69" t="n">
        <v>0</v>
      </c>
      <c r="H136" s="69" t="n">
        <f aca="false">D136+F136-J136</f>
        <v>0</v>
      </c>
      <c r="I136" s="69" t="n">
        <v>0</v>
      </c>
      <c r="J136" s="69" t="n">
        <v>0</v>
      </c>
      <c r="K136" s="139"/>
      <c r="L136" s="129" t="n">
        <v>134</v>
      </c>
      <c r="M136" s="130" t="s">
        <v>500</v>
      </c>
      <c r="N136" s="130" t="s">
        <v>104</v>
      </c>
      <c r="O136" s="130" t="s">
        <v>393</v>
      </c>
      <c r="P136" s="130" t="n">
        <v>285</v>
      </c>
      <c r="Q136" s="131" t="n">
        <v>18180.14</v>
      </c>
      <c r="R136" s="71" t="n">
        <v>5181339.9</v>
      </c>
    </row>
    <row r="137" customFormat="false" ht="13.8" hidden="false" customHeight="false" outlineLevel="0" collapsed="false">
      <c r="A137" s="68" t="s">
        <v>144</v>
      </c>
      <c r="B137" s="68" t="n">
        <v>12</v>
      </c>
      <c r="C137" s="69" t="n">
        <v>898</v>
      </c>
      <c r="D137" s="69" t="n">
        <v>164227145</v>
      </c>
      <c r="E137" s="69" t="n">
        <v>455</v>
      </c>
      <c r="F137" s="69" t="n">
        <v>83865600</v>
      </c>
      <c r="G137" s="69" t="n">
        <v>770</v>
      </c>
      <c r="H137" s="69" t="n">
        <f aca="false">D137+F137-J137</f>
        <v>141190993</v>
      </c>
      <c r="I137" s="69" t="n">
        <v>583</v>
      </c>
      <c r="J137" s="69" t="n">
        <v>106901752</v>
      </c>
      <c r="K137" s="139" t="n">
        <f aca="false">J137/I137</f>
        <v>183364.926243568</v>
      </c>
      <c r="L137" s="129" t="n">
        <v>135</v>
      </c>
      <c r="M137" s="130" t="s">
        <v>501</v>
      </c>
      <c r="N137" s="130" t="s">
        <v>105</v>
      </c>
      <c r="O137" s="130" t="s">
        <v>393</v>
      </c>
      <c r="P137" s="130" t="n">
        <v>30</v>
      </c>
      <c r="Q137" s="131" t="n">
        <v>49780.34</v>
      </c>
      <c r="R137" s="71" t="n">
        <v>1493410.2</v>
      </c>
    </row>
    <row r="138" customFormat="false" ht="13.8" hidden="false" customHeight="false" outlineLevel="0" collapsed="false">
      <c r="A138" s="68" t="s">
        <v>145</v>
      </c>
      <c r="B138" s="68" t="n">
        <v>12</v>
      </c>
      <c r="C138" s="69" t="n">
        <v>13</v>
      </c>
      <c r="D138" s="69" t="n">
        <v>2323520</v>
      </c>
      <c r="E138" s="69" t="n">
        <v>67</v>
      </c>
      <c r="F138" s="69" t="n">
        <v>11975065</v>
      </c>
      <c r="G138" s="69" t="n">
        <v>80</v>
      </c>
      <c r="H138" s="69" t="n">
        <f aca="false">D138+F138-J138</f>
        <v>14298585</v>
      </c>
      <c r="I138" s="69" t="n">
        <v>0</v>
      </c>
      <c r="J138" s="69" t="n">
        <v>0</v>
      </c>
      <c r="K138" s="139"/>
      <c r="L138" s="129" t="n">
        <v>136</v>
      </c>
      <c r="M138" s="130" t="s">
        <v>502</v>
      </c>
      <c r="N138" s="130" t="s">
        <v>106</v>
      </c>
      <c r="O138" s="130" t="s">
        <v>393</v>
      </c>
      <c r="P138" s="130" t="n">
        <v>749</v>
      </c>
      <c r="Q138" s="131" t="n">
        <v>9090.07</v>
      </c>
      <c r="R138" s="71" t="n">
        <v>6808462.43</v>
      </c>
    </row>
    <row r="139" customFormat="false" ht="13.8" hidden="false" customHeight="false" outlineLevel="0" collapsed="false">
      <c r="A139" s="68" t="s">
        <v>146</v>
      </c>
      <c r="B139" s="68" t="n">
        <v>12</v>
      </c>
      <c r="C139" s="69" t="n">
        <v>427</v>
      </c>
      <c r="D139" s="69" t="n">
        <v>83128984</v>
      </c>
      <c r="E139" s="69" t="n">
        <v>690</v>
      </c>
      <c r="F139" s="69" t="n">
        <v>132239190</v>
      </c>
      <c r="G139" s="69" t="n">
        <v>991</v>
      </c>
      <c r="H139" s="69" t="n">
        <f aca="false">D139+F139-J139</f>
        <v>191147067</v>
      </c>
      <c r="I139" s="69" t="n">
        <v>126</v>
      </c>
      <c r="J139" s="69" t="n">
        <v>24221107</v>
      </c>
      <c r="K139" s="139" t="n">
        <f aca="false">J139/I139</f>
        <v>192231.007936508</v>
      </c>
      <c r="L139" s="129" t="n">
        <v>137</v>
      </c>
      <c r="M139" s="130" t="s">
        <v>503</v>
      </c>
      <c r="N139" s="130" t="s">
        <v>112</v>
      </c>
      <c r="O139" s="130" t="s">
        <v>327</v>
      </c>
      <c r="P139" s="130" t="n">
        <v>870</v>
      </c>
      <c r="Q139" s="131" t="n">
        <v>7618.38</v>
      </c>
      <c r="R139" s="71" t="n">
        <v>6627990.6</v>
      </c>
    </row>
    <row r="140" customFormat="false" ht="13.8" hidden="false" customHeight="false" outlineLevel="0" collapsed="false">
      <c r="A140" s="68" t="s">
        <v>147</v>
      </c>
      <c r="B140" s="68" t="n">
        <v>12</v>
      </c>
      <c r="C140" s="69" t="n">
        <v>888</v>
      </c>
      <c r="D140" s="69" t="n">
        <v>82354219</v>
      </c>
      <c r="E140" s="69" t="n">
        <v>7974</v>
      </c>
      <c r="F140" s="69" t="n">
        <v>36748469.6449073</v>
      </c>
      <c r="G140" s="69" t="n">
        <v>988</v>
      </c>
      <c r="H140" s="69" t="n">
        <f aca="false">D140+F140-J140</f>
        <v>82815072.6449073</v>
      </c>
      <c r="I140" s="69" t="n">
        <v>7874</v>
      </c>
      <c r="J140" s="69" t="n">
        <v>36287616</v>
      </c>
      <c r="K140" s="139" t="n">
        <f aca="false">J140/I140</f>
        <v>4608.5364490729</v>
      </c>
      <c r="L140" s="129" t="n">
        <v>138</v>
      </c>
      <c r="M140" s="130" t="s">
        <v>504</v>
      </c>
      <c r="N140" s="130" t="s">
        <v>111</v>
      </c>
      <c r="O140" s="130" t="s">
        <v>327</v>
      </c>
      <c r="P140" s="130" t="n">
        <v>1460</v>
      </c>
      <c r="Q140" s="131" t="n">
        <v>7618.38</v>
      </c>
      <c r="R140" s="71" t="n">
        <v>11122834.8</v>
      </c>
    </row>
    <row r="141" customFormat="false" ht="13.8" hidden="false" customHeight="false" outlineLevel="0" collapsed="false">
      <c r="A141" s="68" t="s">
        <v>148</v>
      </c>
      <c r="B141" s="68" t="n">
        <v>12</v>
      </c>
      <c r="C141" s="69" t="n">
        <v>0</v>
      </c>
      <c r="D141" s="69" t="n">
        <v>190478.489557226</v>
      </c>
      <c r="E141" s="69"/>
      <c r="F141" s="69" t="n">
        <v>7004.26142104035</v>
      </c>
      <c r="G141" s="69" t="n">
        <v>0</v>
      </c>
      <c r="H141" s="69" t="n">
        <f aca="false">D141+F141-J141</f>
        <v>197482.750978267</v>
      </c>
      <c r="I141" s="69" t="n">
        <v>0</v>
      </c>
      <c r="J141" s="69" t="n">
        <v>0</v>
      </c>
      <c r="K141" s="139"/>
      <c r="L141" s="129" t="n">
        <v>139</v>
      </c>
      <c r="M141" s="130" t="s">
        <v>505</v>
      </c>
      <c r="N141" s="130" t="s">
        <v>114</v>
      </c>
      <c r="O141" s="130" t="s">
        <v>393</v>
      </c>
      <c r="P141" s="130" t="n">
        <v>261</v>
      </c>
      <c r="Q141" s="131" t="n">
        <v>18180.14</v>
      </c>
      <c r="R141" s="71" t="n">
        <v>4745016.54</v>
      </c>
    </row>
    <row r="142" customFormat="false" ht="13.8" hidden="false" customHeight="false" outlineLevel="0" collapsed="false">
      <c r="A142" s="68" t="s">
        <v>149</v>
      </c>
      <c r="B142" s="68" t="n">
        <v>12</v>
      </c>
      <c r="C142" s="69" t="n">
        <v>1197</v>
      </c>
      <c r="D142" s="69" t="n">
        <v>228002752</v>
      </c>
      <c r="E142" s="69" t="n">
        <v>13544.2181976568</v>
      </c>
      <c r="F142" s="69" t="n">
        <v>94867245</v>
      </c>
      <c r="G142" s="69" t="n">
        <v>0.218197656777193</v>
      </c>
      <c r="H142" s="69" t="n">
        <f aca="false">D142+F142-J142</f>
        <v>87014609</v>
      </c>
      <c r="I142" s="69" t="n">
        <v>14741</v>
      </c>
      <c r="J142" s="69" t="n">
        <v>235855388</v>
      </c>
      <c r="K142" s="139" t="n">
        <f aca="false">J142/I142</f>
        <v>15999.9584831423</v>
      </c>
      <c r="L142" s="129" t="n">
        <v>140</v>
      </c>
      <c r="M142" s="130" t="s">
        <v>506</v>
      </c>
      <c r="N142" s="130" t="s">
        <v>113</v>
      </c>
      <c r="O142" s="130" t="s">
        <v>393</v>
      </c>
      <c r="P142" s="130" t="n">
        <v>312</v>
      </c>
      <c r="Q142" s="131" t="n">
        <v>15583.64</v>
      </c>
      <c r="R142" s="71" t="n">
        <v>4862095.68</v>
      </c>
    </row>
    <row r="143" customFormat="false" ht="13.8" hidden="false" customHeight="false" outlineLevel="0" collapsed="false">
      <c r="A143" s="68" t="s">
        <v>150</v>
      </c>
      <c r="B143" s="68" t="n">
        <v>12</v>
      </c>
      <c r="C143" s="69" t="n">
        <v>0</v>
      </c>
      <c r="D143" s="69" t="n">
        <v>0</v>
      </c>
      <c r="E143" s="69" t="n">
        <v>0</v>
      </c>
      <c r="F143" s="69" t="n">
        <v>0</v>
      </c>
      <c r="G143" s="69" t="n">
        <v>0</v>
      </c>
      <c r="H143" s="69" t="n">
        <f aca="false">D143+F143-J143</f>
        <v>0</v>
      </c>
      <c r="I143" s="69" t="n">
        <v>0</v>
      </c>
      <c r="J143" s="69" t="n">
        <v>0</v>
      </c>
      <c r="K143" s="139"/>
      <c r="L143" s="129" t="n">
        <v>141</v>
      </c>
      <c r="M143" s="130" t="s">
        <v>507</v>
      </c>
      <c r="N143" s="130" t="s">
        <v>115</v>
      </c>
      <c r="O143" s="130" t="s">
        <v>327</v>
      </c>
      <c r="P143" s="130" t="n">
        <v>1947</v>
      </c>
      <c r="Q143" s="131" t="n">
        <v>6059.74</v>
      </c>
      <c r="R143" s="71" t="n">
        <v>11798313.78</v>
      </c>
    </row>
    <row r="144" customFormat="false" ht="13.8" hidden="false" customHeight="false" outlineLevel="0" collapsed="false">
      <c r="A144" s="68" t="s">
        <v>151</v>
      </c>
      <c r="B144" s="68" t="n">
        <v>12</v>
      </c>
      <c r="C144" s="69" t="n">
        <v>319</v>
      </c>
      <c r="D144" s="69" t="n">
        <v>60576489</v>
      </c>
      <c r="E144" s="69" t="n">
        <v>0</v>
      </c>
      <c r="F144" s="69" t="n">
        <v>0</v>
      </c>
      <c r="G144" s="69" t="n">
        <v>0</v>
      </c>
      <c r="H144" s="69" t="n">
        <f aca="false">D144+F144-J144</f>
        <v>0</v>
      </c>
      <c r="I144" s="69" t="n">
        <v>319</v>
      </c>
      <c r="J144" s="69" t="n">
        <v>60576489</v>
      </c>
      <c r="K144" s="139" t="n">
        <f aca="false">J144/I144</f>
        <v>189894.94984326</v>
      </c>
      <c r="L144" s="129" t="n">
        <v>142</v>
      </c>
      <c r="M144" s="130" t="s">
        <v>508</v>
      </c>
      <c r="N144" s="130" t="s">
        <v>116</v>
      </c>
      <c r="O144" s="130" t="s">
        <v>393</v>
      </c>
      <c r="P144" s="130" t="n">
        <v>1969</v>
      </c>
      <c r="Q144" s="131" t="n">
        <v>19045.95</v>
      </c>
      <c r="R144" s="71" t="n">
        <v>37501475.55</v>
      </c>
    </row>
    <row r="145" customFormat="false" ht="13.8" hidden="false" customHeight="false" outlineLevel="0" collapsed="false">
      <c r="A145" s="68" t="s">
        <v>152</v>
      </c>
      <c r="B145" s="68" t="n">
        <v>12</v>
      </c>
      <c r="C145" s="69" t="n">
        <v>0</v>
      </c>
      <c r="D145" s="69" t="n">
        <v>0</v>
      </c>
      <c r="E145" s="69" t="n">
        <v>0</v>
      </c>
      <c r="F145" s="69" t="n">
        <v>0</v>
      </c>
      <c r="G145" s="69" t="n">
        <v>0</v>
      </c>
      <c r="H145" s="69" t="n">
        <f aca="false">D145+F145-J145</f>
        <v>0</v>
      </c>
      <c r="I145" s="69" t="n">
        <v>0</v>
      </c>
      <c r="J145" s="69" t="n">
        <v>0</v>
      </c>
      <c r="K145" s="139"/>
      <c r="L145" s="129" t="n">
        <v>143</v>
      </c>
      <c r="M145" s="130" t="s">
        <v>509</v>
      </c>
      <c r="N145" s="130" t="s">
        <v>117</v>
      </c>
      <c r="O145" s="130" t="s">
        <v>393</v>
      </c>
      <c r="P145" s="130" t="n">
        <v>470</v>
      </c>
      <c r="Q145" s="131" t="n">
        <v>16449.46</v>
      </c>
      <c r="R145" s="71" t="n">
        <v>7731246.2</v>
      </c>
    </row>
    <row r="146" customFormat="false" ht="13.8" hidden="false" customHeight="false" outlineLevel="0" collapsed="false">
      <c r="A146" s="68" t="s">
        <v>153</v>
      </c>
      <c r="B146" s="68" t="n">
        <v>12</v>
      </c>
      <c r="C146" s="69" t="n">
        <v>0</v>
      </c>
      <c r="D146" s="69" t="n">
        <v>0</v>
      </c>
      <c r="E146" s="69" t="n">
        <v>0</v>
      </c>
      <c r="F146" s="69" t="n">
        <v>0</v>
      </c>
      <c r="G146" s="69" t="n">
        <v>0</v>
      </c>
      <c r="H146" s="69" t="n">
        <f aca="false">D146+F146-J146</f>
        <v>0</v>
      </c>
      <c r="I146" s="69" t="n">
        <v>0</v>
      </c>
      <c r="J146" s="69" t="n">
        <v>0</v>
      </c>
      <c r="K146" s="139"/>
      <c r="L146" s="129" t="n">
        <v>144</v>
      </c>
      <c r="M146" s="130" t="s">
        <v>510</v>
      </c>
      <c r="N146" s="130" t="s">
        <v>118</v>
      </c>
      <c r="O146" s="130" t="s">
        <v>395</v>
      </c>
      <c r="P146" s="130" t="n">
        <v>288</v>
      </c>
      <c r="Q146" s="131" t="n">
        <v>14284.93</v>
      </c>
      <c r="R146" s="71" t="n">
        <v>4114059.84</v>
      </c>
    </row>
    <row r="147" customFormat="false" ht="13.8" hidden="false" customHeight="false" outlineLevel="0" collapsed="false">
      <c r="A147" s="68" t="s">
        <v>154</v>
      </c>
      <c r="B147" s="68" t="n">
        <v>12</v>
      </c>
      <c r="C147" s="69" t="n">
        <v>50</v>
      </c>
      <c r="D147" s="69" t="n">
        <v>11656130</v>
      </c>
      <c r="E147" s="69" t="n">
        <v>45</v>
      </c>
      <c r="F147" s="69" t="n">
        <v>10556505</v>
      </c>
      <c r="G147" s="69" t="n">
        <v>25</v>
      </c>
      <c r="H147" s="69" t="n">
        <f aca="false">D147+F147-J147</f>
        <v>5845430</v>
      </c>
      <c r="I147" s="69" t="n">
        <v>70</v>
      </c>
      <c r="J147" s="69" t="n">
        <v>16367205</v>
      </c>
      <c r="K147" s="139" t="n">
        <f aca="false">J147/I147</f>
        <v>233817.214285714</v>
      </c>
      <c r="L147" s="129" t="n">
        <v>145</v>
      </c>
      <c r="M147" s="130" t="s">
        <v>511</v>
      </c>
      <c r="N147" s="130" t="s">
        <v>119</v>
      </c>
      <c r="O147" s="130" t="s">
        <v>327</v>
      </c>
      <c r="P147" s="130" t="n">
        <v>260</v>
      </c>
      <c r="Q147" s="131" t="n">
        <v>21643.38</v>
      </c>
      <c r="R147" s="71" t="n">
        <v>5627278.8</v>
      </c>
    </row>
    <row r="148" customFormat="false" ht="13.8" hidden="false" customHeight="false" outlineLevel="0" collapsed="false">
      <c r="A148" s="68" t="s">
        <v>155</v>
      </c>
      <c r="B148" s="68" t="n">
        <v>12</v>
      </c>
      <c r="C148" s="69" t="n">
        <v>0</v>
      </c>
      <c r="D148" s="69" t="n">
        <v>0</v>
      </c>
      <c r="E148" s="69" t="n">
        <v>24</v>
      </c>
      <c r="F148" s="69" t="n">
        <v>6959131</v>
      </c>
      <c r="G148" s="69" t="n">
        <v>24</v>
      </c>
      <c r="H148" s="69" t="n">
        <f aca="false">D148+F148-J148</f>
        <v>6959131</v>
      </c>
      <c r="I148" s="69" t="n">
        <v>0</v>
      </c>
      <c r="J148" s="69" t="n">
        <v>0</v>
      </c>
      <c r="K148" s="139"/>
      <c r="L148" s="129" t="n">
        <v>146</v>
      </c>
      <c r="M148" s="130" t="s">
        <v>512</v>
      </c>
      <c r="N148" s="130" t="s">
        <v>120</v>
      </c>
      <c r="O148" s="130" t="s">
        <v>327</v>
      </c>
      <c r="P148" s="130" t="n">
        <v>80</v>
      </c>
      <c r="Q148" s="131" t="n">
        <v>20777.57</v>
      </c>
      <c r="R148" s="71" t="n">
        <v>1662205.6</v>
      </c>
    </row>
    <row r="149" customFormat="false" ht="13.8" hidden="false" customHeight="false" outlineLevel="0" collapsed="false">
      <c r="A149" s="68" t="s">
        <v>156</v>
      </c>
      <c r="B149" s="68" t="n">
        <v>12</v>
      </c>
      <c r="C149" s="69" t="n">
        <v>265</v>
      </c>
      <c r="D149" s="69" t="n">
        <v>51536190</v>
      </c>
      <c r="E149" s="69" t="n">
        <v>20</v>
      </c>
      <c r="F149" s="69" t="n">
        <v>4691780</v>
      </c>
      <c r="G149" s="69" t="n">
        <v>170</v>
      </c>
      <c r="H149" s="69" t="n">
        <f aca="false">D149+F149-J149</f>
        <v>29199086</v>
      </c>
      <c r="I149" s="69" t="n">
        <v>115</v>
      </c>
      <c r="J149" s="69" t="n">
        <v>27028884</v>
      </c>
      <c r="K149" s="139" t="n">
        <f aca="false">J149/I149</f>
        <v>235033.773913043</v>
      </c>
      <c r="L149" s="129" t="n">
        <v>147</v>
      </c>
      <c r="M149" s="130" t="s">
        <v>513</v>
      </c>
      <c r="N149" s="130" t="s">
        <v>121</v>
      </c>
      <c r="O149" s="130" t="s">
        <v>393</v>
      </c>
      <c r="P149" s="130" t="n">
        <v>2934</v>
      </c>
      <c r="Q149" s="131" t="n">
        <v>11254.6</v>
      </c>
      <c r="R149" s="71" t="n">
        <v>33020996.4</v>
      </c>
    </row>
    <row r="150" customFormat="false" ht="13.8" hidden="false" customHeight="false" outlineLevel="0" collapsed="false">
      <c r="A150" s="68" t="s">
        <v>157</v>
      </c>
      <c r="B150" s="68" t="n">
        <v>12</v>
      </c>
      <c r="C150" s="69" t="n">
        <v>100</v>
      </c>
      <c r="D150" s="69" t="n">
        <v>23336700</v>
      </c>
      <c r="E150" s="69" t="n">
        <v>45</v>
      </c>
      <c r="F150" s="69" t="n">
        <v>10556505</v>
      </c>
      <c r="G150" s="69" t="n">
        <v>45</v>
      </c>
      <c r="H150" s="69" t="n">
        <f aca="false">D150+F150-J150</f>
        <v>10518581</v>
      </c>
      <c r="I150" s="69" t="n">
        <v>100</v>
      </c>
      <c r="J150" s="69" t="n">
        <v>23374624</v>
      </c>
      <c r="K150" s="139" t="n">
        <f aca="false">J150/I150</f>
        <v>233746.24</v>
      </c>
      <c r="L150" s="129" t="n">
        <v>148</v>
      </c>
      <c r="M150" s="130" t="s">
        <v>514</v>
      </c>
      <c r="N150" s="130" t="s">
        <v>122</v>
      </c>
      <c r="O150" s="130" t="s">
        <v>327</v>
      </c>
      <c r="P150" s="130" t="n">
        <v>163</v>
      </c>
      <c r="Q150" s="131" t="n">
        <v>8138.24</v>
      </c>
      <c r="R150" s="71" t="n">
        <v>1326533.12</v>
      </c>
    </row>
    <row r="151" customFormat="false" ht="13.8" hidden="false" customHeight="false" outlineLevel="0" collapsed="false">
      <c r="A151" s="68" t="s">
        <v>158</v>
      </c>
      <c r="B151" s="68" t="n">
        <v>12</v>
      </c>
      <c r="C151" s="69" t="n">
        <v>0</v>
      </c>
      <c r="D151" s="69" t="n">
        <v>0</v>
      </c>
      <c r="E151" s="69" t="n">
        <v>0</v>
      </c>
      <c r="F151" s="69" t="n">
        <v>0</v>
      </c>
      <c r="G151" s="69" t="n">
        <v>0</v>
      </c>
      <c r="H151" s="69" t="n">
        <f aca="false">D151+F151-J151</f>
        <v>0</v>
      </c>
      <c r="I151" s="69" t="n">
        <v>0</v>
      </c>
      <c r="J151" s="69" t="n">
        <v>0</v>
      </c>
      <c r="K151" s="139"/>
      <c r="L151" s="129" t="n">
        <v>149</v>
      </c>
      <c r="M151" s="130" t="s">
        <v>515</v>
      </c>
      <c r="N151" s="130" t="s">
        <v>516</v>
      </c>
      <c r="O151" s="130" t="s">
        <v>451</v>
      </c>
      <c r="P151" s="130" t="n">
        <v>72</v>
      </c>
      <c r="Q151" s="131" t="n">
        <v>22509.19</v>
      </c>
      <c r="R151" s="71" t="n">
        <v>1620661.68</v>
      </c>
    </row>
    <row r="152" customFormat="false" ht="13.8" hidden="false" customHeight="false" outlineLevel="0" collapsed="false">
      <c r="A152" s="68" t="s">
        <v>159</v>
      </c>
      <c r="B152" s="68" t="n">
        <v>12</v>
      </c>
      <c r="C152" s="69" t="n">
        <v>81</v>
      </c>
      <c r="D152" s="69" t="n">
        <v>17829621</v>
      </c>
      <c r="E152" s="69" t="n">
        <v>0</v>
      </c>
      <c r="F152" s="69" t="n">
        <v>0</v>
      </c>
      <c r="G152" s="69" t="n">
        <v>32</v>
      </c>
      <c r="H152" s="69" t="n">
        <f aca="false">D152+F152-J152</f>
        <v>4842658</v>
      </c>
      <c r="I152" s="69" t="n">
        <v>49</v>
      </c>
      <c r="J152" s="69" t="n">
        <v>12986963</v>
      </c>
      <c r="K152" s="139" t="n">
        <f aca="false">J152/I152</f>
        <v>265040.06122449</v>
      </c>
      <c r="L152" s="129" t="n">
        <v>150</v>
      </c>
      <c r="M152" s="130" t="s">
        <v>517</v>
      </c>
      <c r="N152" s="130" t="s">
        <v>123</v>
      </c>
      <c r="O152" s="130" t="s">
        <v>393</v>
      </c>
      <c r="P152" s="130" t="n">
        <v>132</v>
      </c>
      <c r="Q152" s="131" t="n">
        <v>17315.26</v>
      </c>
      <c r="R152" s="71" t="n">
        <v>2285614.32</v>
      </c>
    </row>
    <row r="153" customFormat="false" ht="13.8" hidden="false" customHeight="false" outlineLevel="0" collapsed="false">
      <c r="A153" s="68" t="s">
        <v>160</v>
      </c>
      <c r="B153" s="68" t="n">
        <v>12</v>
      </c>
      <c r="C153" s="69" t="n">
        <v>46</v>
      </c>
      <c r="D153" s="69" t="n">
        <v>12161583</v>
      </c>
      <c r="E153" s="69" t="n">
        <v>0</v>
      </c>
      <c r="F153" s="69" t="n">
        <v>0</v>
      </c>
      <c r="G153" s="69" t="n">
        <v>42</v>
      </c>
      <c r="H153" s="69" t="n">
        <f aca="false">D153+F153-J153</f>
        <v>11093015</v>
      </c>
      <c r="I153" s="69" t="n">
        <v>4</v>
      </c>
      <c r="J153" s="69" t="n">
        <v>1068568</v>
      </c>
      <c r="K153" s="139" t="n">
        <f aca="false">J153/I153</f>
        <v>267142</v>
      </c>
      <c r="L153" s="129" t="n">
        <v>151</v>
      </c>
      <c r="M153" s="130" t="s">
        <v>518</v>
      </c>
      <c r="N153" s="130" t="s">
        <v>519</v>
      </c>
      <c r="O153" s="130" t="s">
        <v>327</v>
      </c>
      <c r="P153" s="130"/>
      <c r="Q153" s="131"/>
      <c r="R153" s="71" t="n">
        <v>0</v>
      </c>
    </row>
    <row r="154" customFormat="false" ht="13.8" hidden="false" customHeight="false" outlineLevel="0" collapsed="false">
      <c r="A154" s="68" t="s">
        <v>161</v>
      </c>
      <c r="B154" s="68" t="n">
        <v>12</v>
      </c>
      <c r="C154" s="69" t="n">
        <v>110</v>
      </c>
      <c r="D154" s="69" t="n">
        <v>25633710</v>
      </c>
      <c r="E154" s="69" t="n">
        <v>50</v>
      </c>
      <c r="F154" s="69" t="n">
        <v>11729450</v>
      </c>
      <c r="G154" s="69" t="n">
        <v>49</v>
      </c>
      <c r="H154" s="69" t="n">
        <f aca="false">D154+F154-J154</f>
        <v>11432029</v>
      </c>
      <c r="I154" s="69" t="n">
        <v>111</v>
      </c>
      <c r="J154" s="69" t="n">
        <v>25931131</v>
      </c>
      <c r="K154" s="139" t="n">
        <f aca="false">J154/I154</f>
        <v>233613.792792793</v>
      </c>
      <c r="L154" s="129" t="n">
        <v>152</v>
      </c>
      <c r="M154" s="130" t="s">
        <v>520</v>
      </c>
      <c r="N154" s="130" t="s">
        <v>124</v>
      </c>
      <c r="O154" s="130" t="s">
        <v>393</v>
      </c>
      <c r="P154" s="130" t="n">
        <v>8</v>
      </c>
      <c r="Q154" s="131" t="n">
        <v>17315.26</v>
      </c>
      <c r="R154" s="71" t="n">
        <v>138522.08</v>
      </c>
    </row>
    <row r="155" customFormat="false" ht="13.8" hidden="false" customHeight="false" outlineLevel="0" collapsed="false">
      <c r="A155" s="68" t="s">
        <v>162</v>
      </c>
      <c r="B155" s="68" t="n">
        <v>12</v>
      </c>
      <c r="C155" s="69" t="n">
        <v>0</v>
      </c>
      <c r="D155" s="69" t="n">
        <v>0</v>
      </c>
      <c r="E155" s="69" t="n">
        <v>4</v>
      </c>
      <c r="F155" s="69" t="n">
        <v>1264364</v>
      </c>
      <c r="G155" s="69" t="n">
        <v>4</v>
      </c>
      <c r="H155" s="69" t="n">
        <f aca="false">D155+F155-J155</f>
        <v>1264364</v>
      </c>
      <c r="I155" s="69" t="n">
        <v>0</v>
      </c>
      <c r="J155" s="69" t="n">
        <v>0</v>
      </c>
      <c r="K155" s="139"/>
      <c r="L155" s="129" t="n">
        <v>153</v>
      </c>
      <c r="M155" s="130" t="s">
        <v>521</v>
      </c>
      <c r="N155" s="130" t="s">
        <v>522</v>
      </c>
      <c r="O155" s="130" t="s">
        <v>327</v>
      </c>
      <c r="P155" s="130" t="n">
        <v>5934</v>
      </c>
      <c r="Q155" s="131" t="n">
        <v>8224.26</v>
      </c>
      <c r="R155" s="71" t="n">
        <v>48802758.84</v>
      </c>
    </row>
    <row r="156" customFormat="false" ht="13.8" hidden="false" customHeight="false" outlineLevel="0" collapsed="false">
      <c r="A156" s="68" t="s">
        <v>163</v>
      </c>
      <c r="B156" s="68" t="n">
        <v>12</v>
      </c>
      <c r="C156" s="69" t="n">
        <v>986</v>
      </c>
      <c r="D156" s="69" t="n">
        <v>312560997</v>
      </c>
      <c r="E156" s="69" t="n">
        <v>300</v>
      </c>
      <c r="F156" s="69" t="n">
        <v>95825400</v>
      </c>
      <c r="G156" s="69" t="n">
        <v>0</v>
      </c>
      <c r="H156" s="69" t="n">
        <f aca="false">D156+F156-J156</f>
        <v>0</v>
      </c>
      <c r="I156" s="69" t="n">
        <v>1286</v>
      </c>
      <c r="J156" s="69" t="n">
        <v>408386397</v>
      </c>
      <c r="K156" s="139" t="n">
        <f aca="false">J156/I156</f>
        <v>317563.294712286</v>
      </c>
      <c r="L156" s="129" t="n">
        <v>154</v>
      </c>
      <c r="M156" s="130" t="s">
        <v>523</v>
      </c>
      <c r="N156" s="130" t="s">
        <v>126</v>
      </c>
      <c r="O156" s="130" t="s">
        <v>327</v>
      </c>
      <c r="P156" s="130" t="n">
        <v>34074</v>
      </c>
      <c r="Q156" s="131" t="n">
        <v>5453.86</v>
      </c>
      <c r="R156" s="71" t="n">
        <v>185834825.64</v>
      </c>
    </row>
    <row r="157" customFormat="false" ht="13.8" hidden="false" customHeight="false" outlineLevel="0" collapsed="false">
      <c r="A157" s="68" t="s">
        <v>164</v>
      </c>
      <c r="B157" s="68" t="n">
        <v>12</v>
      </c>
      <c r="C157" s="69" t="n">
        <v>0</v>
      </c>
      <c r="D157" s="69" t="n">
        <v>0</v>
      </c>
      <c r="E157" s="69" t="n">
        <v>92</v>
      </c>
      <c r="F157" s="69" t="n">
        <v>13264312</v>
      </c>
      <c r="G157" s="69" t="n">
        <v>92</v>
      </c>
      <c r="H157" s="69" t="n">
        <f aca="false">D157+F157-J157</f>
        <v>13264312</v>
      </c>
      <c r="I157" s="69" t="n">
        <v>0</v>
      </c>
      <c r="J157" s="69" t="n">
        <v>0</v>
      </c>
      <c r="K157" s="139"/>
      <c r="L157" s="129" t="n">
        <v>155</v>
      </c>
      <c r="M157" s="130" t="s">
        <v>524</v>
      </c>
      <c r="N157" s="130" t="s">
        <v>127</v>
      </c>
      <c r="O157" s="130" t="s">
        <v>327</v>
      </c>
      <c r="P157" s="130" t="n">
        <v>2463</v>
      </c>
      <c r="Q157" s="131" t="n">
        <v>5453.86</v>
      </c>
      <c r="R157" s="71" t="n">
        <v>13432857.18</v>
      </c>
    </row>
    <row r="158" customFormat="false" ht="13.8" hidden="false" customHeight="false" outlineLevel="0" collapsed="false">
      <c r="A158" s="68" t="s">
        <v>165</v>
      </c>
      <c r="B158" s="68" t="n">
        <v>12</v>
      </c>
      <c r="C158" s="69" t="n">
        <v>100</v>
      </c>
      <c r="D158" s="69" t="n">
        <v>15396441</v>
      </c>
      <c r="E158" s="69" t="n">
        <v>0</v>
      </c>
      <c r="F158" s="69" t="n">
        <v>0</v>
      </c>
      <c r="G158" s="69" t="n">
        <v>6</v>
      </c>
      <c r="H158" s="69" t="n">
        <f aca="false">D158+F158-J158</f>
        <v>923786</v>
      </c>
      <c r="I158" s="69" t="n">
        <v>94</v>
      </c>
      <c r="J158" s="69" t="n">
        <v>14472655</v>
      </c>
      <c r="K158" s="139" t="n">
        <f aca="false">J158/I158</f>
        <v>153964.414893617</v>
      </c>
      <c r="L158" s="129" t="n">
        <v>156</v>
      </c>
      <c r="M158" s="130" t="s">
        <v>525</v>
      </c>
      <c r="N158" s="130" t="s">
        <v>128</v>
      </c>
      <c r="O158" s="130" t="s">
        <v>327</v>
      </c>
      <c r="P158" s="130" t="n">
        <v>454</v>
      </c>
      <c r="Q158" s="131" t="n">
        <v>14284.93</v>
      </c>
      <c r="R158" s="71" t="n">
        <v>6485358.22</v>
      </c>
    </row>
    <row r="159" customFormat="false" ht="13.8" hidden="false" customHeight="false" outlineLevel="0" collapsed="false">
      <c r="A159" s="68" t="s">
        <v>166</v>
      </c>
      <c r="B159" s="68" t="n">
        <v>12</v>
      </c>
      <c r="C159" s="69" t="n">
        <v>0</v>
      </c>
      <c r="D159" s="69" t="n">
        <v>0</v>
      </c>
      <c r="E159" s="69" t="n">
        <v>0</v>
      </c>
      <c r="F159" s="69" t="n">
        <v>0</v>
      </c>
      <c r="G159" s="69" t="n">
        <v>0</v>
      </c>
      <c r="H159" s="69" t="n">
        <f aca="false">D159+F159-J159</f>
        <v>0</v>
      </c>
      <c r="I159" s="69" t="n">
        <v>0</v>
      </c>
      <c r="J159" s="69" t="n">
        <v>0</v>
      </c>
      <c r="K159" s="139"/>
      <c r="L159" s="129" t="n">
        <v>157</v>
      </c>
      <c r="M159" s="130" t="s">
        <v>526</v>
      </c>
      <c r="N159" s="130" t="s">
        <v>527</v>
      </c>
      <c r="O159" s="130" t="s">
        <v>528</v>
      </c>
      <c r="P159" s="130"/>
      <c r="Q159" s="131"/>
      <c r="R159" s="71" t="n">
        <v>0</v>
      </c>
    </row>
    <row r="160" customFormat="false" ht="13.8" hidden="false" customHeight="false" outlineLevel="0" collapsed="false">
      <c r="A160" s="68" t="s">
        <v>167</v>
      </c>
      <c r="B160" s="68" t="n">
        <v>12</v>
      </c>
      <c r="C160" s="69" t="n">
        <v>0</v>
      </c>
      <c r="D160" s="69" t="n">
        <v>0</v>
      </c>
      <c r="E160" s="69" t="n">
        <v>0</v>
      </c>
      <c r="F160" s="69" t="n">
        <v>184320</v>
      </c>
      <c r="G160" s="69" t="n">
        <v>0</v>
      </c>
      <c r="H160" s="69" t="n">
        <f aca="false">D160+F160-J160</f>
        <v>184320</v>
      </c>
      <c r="I160" s="69" t="n">
        <v>0</v>
      </c>
      <c r="J160" s="69" t="n">
        <v>0</v>
      </c>
      <c r="K160" s="139"/>
      <c r="L160" s="129" t="n">
        <v>158</v>
      </c>
      <c r="M160" s="130" t="s">
        <v>529</v>
      </c>
      <c r="N160" s="130" t="s">
        <v>168</v>
      </c>
      <c r="O160" s="130" t="s">
        <v>303</v>
      </c>
      <c r="P160" s="130" t="n">
        <v>83</v>
      </c>
      <c r="Q160" s="131" t="n">
        <v>30500</v>
      </c>
      <c r="R160" s="71" t="n">
        <v>2531500</v>
      </c>
    </row>
    <row r="161" customFormat="false" ht="13.8" hidden="false" customHeight="false" outlineLevel="0" collapsed="false">
      <c r="A161" s="68" t="s">
        <v>168</v>
      </c>
      <c r="B161" s="68" t="n">
        <v>12</v>
      </c>
      <c r="C161" s="69" t="n">
        <v>436</v>
      </c>
      <c r="D161" s="69" t="n">
        <v>79778379</v>
      </c>
      <c r="E161" s="69" t="n">
        <v>150</v>
      </c>
      <c r="F161" s="69" t="n">
        <v>27648000</v>
      </c>
      <c r="G161" s="69" t="n">
        <v>87</v>
      </c>
      <c r="H161" s="69" t="n">
        <f aca="false">D161+F161-J161</f>
        <v>92210697</v>
      </c>
      <c r="I161" s="69" t="n">
        <v>499</v>
      </c>
      <c r="J161" s="69" t="n">
        <v>15215682</v>
      </c>
      <c r="K161" s="139" t="n">
        <f aca="false">J161/I161</f>
        <v>30492.3486973948</v>
      </c>
      <c r="L161" s="129" t="n">
        <v>159</v>
      </c>
      <c r="M161" s="130" t="s">
        <v>530</v>
      </c>
      <c r="N161" s="130" t="s">
        <v>147</v>
      </c>
      <c r="O161" s="130" t="s">
        <v>327</v>
      </c>
      <c r="P161" s="130" t="n">
        <v>344</v>
      </c>
      <c r="Q161" s="131" t="n">
        <v>4608.33</v>
      </c>
      <c r="R161" s="71" t="n">
        <v>1585265.52</v>
      </c>
    </row>
    <row r="162" customFormat="false" ht="13.8" hidden="false" customHeight="false" outlineLevel="0" collapsed="false">
      <c r="A162" s="68" t="s">
        <v>169</v>
      </c>
      <c r="B162" s="68" t="n">
        <v>12</v>
      </c>
      <c r="C162" s="69" t="n">
        <v>856</v>
      </c>
      <c r="D162" s="69" t="n">
        <v>151588068</v>
      </c>
      <c r="E162" s="69" t="n">
        <v>0</v>
      </c>
      <c r="F162" s="69" t="n">
        <v>0</v>
      </c>
      <c r="G162" s="69" t="n">
        <v>204</v>
      </c>
      <c r="H162" s="69" t="n">
        <f aca="false">D162+F162-J162</f>
        <v>32938529</v>
      </c>
      <c r="I162" s="69" t="n">
        <v>652</v>
      </c>
      <c r="J162" s="69" t="n">
        <v>118649539</v>
      </c>
      <c r="K162" s="139" t="n">
        <f aca="false">J162/I162</f>
        <v>181977.820552147</v>
      </c>
      <c r="L162" s="129" t="n">
        <v>160</v>
      </c>
      <c r="M162" s="130" t="s">
        <v>531</v>
      </c>
      <c r="N162" s="130" t="s">
        <v>532</v>
      </c>
      <c r="O162" s="130" t="s">
        <v>528</v>
      </c>
      <c r="P162" s="130"/>
      <c r="Q162" s="131"/>
      <c r="R162" s="71" t="n">
        <v>0</v>
      </c>
    </row>
    <row r="163" customFormat="false" ht="13.8" hidden="false" customHeight="false" outlineLevel="0" collapsed="false">
      <c r="A163" s="68" t="s">
        <v>170</v>
      </c>
      <c r="B163" s="68" t="n">
        <v>12</v>
      </c>
      <c r="C163" s="69" t="n">
        <v>164</v>
      </c>
      <c r="D163" s="69" t="n">
        <v>44675744</v>
      </c>
      <c r="E163" s="69" t="n">
        <v>175</v>
      </c>
      <c r="F163" s="69" t="n">
        <v>49157166</v>
      </c>
      <c r="G163" s="69" t="n">
        <v>339</v>
      </c>
      <c r="H163" s="69" t="n">
        <f aca="false">D163+F163-J163</f>
        <v>93832910</v>
      </c>
      <c r="I163" s="69" t="n">
        <v>0</v>
      </c>
      <c r="J163" s="69" t="n">
        <v>0</v>
      </c>
      <c r="K163" s="139"/>
      <c r="L163" s="129" t="n">
        <v>161</v>
      </c>
      <c r="M163" s="130" t="s">
        <v>533</v>
      </c>
      <c r="N163" s="130" t="s">
        <v>140</v>
      </c>
      <c r="O163" s="130" t="s">
        <v>528</v>
      </c>
      <c r="P163" s="130" t="n">
        <v>1328</v>
      </c>
      <c r="Q163" s="131" t="n">
        <v>186415</v>
      </c>
      <c r="R163" s="71" t="n">
        <v>247559120</v>
      </c>
    </row>
    <row r="164" customFormat="false" ht="13.8" hidden="false" customHeight="false" outlineLevel="0" collapsed="false">
      <c r="A164" s="68" t="s">
        <v>171</v>
      </c>
      <c r="B164" s="68" t="n">
        <v>12</v>
      </c>
      <c r="C164" s="69" t="n">
        <v>0</v>
      </c>
      <c r="D164" s="69" t="n">
        <v>0</v>
      </c>
      <c r="E164" s="69" t="n">
        <v>30</v>
      </c>
      <c r="F164" s="69" t="n">
        <v>8280000</v>
      </c>
      <c r="G164" s="69" t="n">
        <v>30</v>
      </c>
      <c r="H164" s="69" t="n">
        <f aca="false">D164+F164-J164</f>
        <v>8280000</v>
      </c>
      <c r="I164" s="69" t="n">
        <v>0</v>
      </c>
      <c r="J164" s="69" t="n">
        <v>0</v>
      </c>
      <c r="K164" s="139"/>
      <c r="L164" s="129" t="n">
        <v>162</v>
      </c>
      <c r="M164" s="130" t="s">
        <v>534</v>
      </c>
      <c r="N164" s="130" t="s">
        <v>142</v>
      </c>
      <c r="O164" s="130" t="s">
        <v>528</v>
      </c>
      <c r="P164" s="130" t="n">
        <v>1150</v>
      </c>
      <c r="Q164" s="131" t="n">
        <v>183667</v>
      </c>
      <c r="R164" s="71" t="n">
        <v>211217050</v>
      </c>
    </row>
    <row r="165" customFormat="false" ht="13.8" hidden="false" customHeight="false" outlineLevel="0" collapsed="false">
      <c r="A165" s="68" t="s">
        <v>172</v>
      </c>
      <c r="B165" s="68" t="n">
        <v>12</v>
      </c>
      <c r="C165" s="69" t="n">
        <v>459</v>
      </c>
      <c r="D165" s="69" t="n">
        <v>85500524</v>
      </c>
      <c r="E165" s="69" t="n">
        <v>30</v>
      </c>
      <c r="F165" s="69" t="n">
        <v>5655270</v>
      </c>
      <c r="G165" s="69" t="n">
        <v>0</v>
      </c>
      <c r="H165" s="69" t="n">
        <f aca="false">D165+F165-J165</f>
        <v>0</v>
      </c>
      <c r="I165" s="69" t="n">
        <v>489</v>
      </c>
      <c r="J165" s="69" t="n">
        <v>91155794</v>
      </c>
      <c r="K165" s="139" t="n">
        <f aca="false">J165/I165</f>
        <v>186412.666666667</v>
      </c>
      <c r="L165" s="129" t="n">
        <v>163</v>
      </c>
      <c r="M165" s="130" t="s">
        <v>535</v>
      </c>
      <c r="N165" s="130" t="s">
        <v>141</v>
      </c>
      <c r="O165" s="130" t="s">
        <v>528</v>
      </c>
      <c r="P165" s="130" t="n">
        <v>1000</v>
      </c>
      <c r="Q165" s="131" t="n">
        <v>186415</v>
      </c>
      <c r="R165" s="71" t="n">
        <v>186415000</v>
      </c>
    </row>
    <row r="166" customFormat="false" ht="13.8" hidden="false" customHeight="false" outlineLevel="0" collapsed="false">
      <c r="A166" s="68" t="s">
        <v>173</v>
      </c>
      <c r="B166" s="68" t="n">
        <v>12</v>
      </c>
      <c r="C166" s="69" t="n">
        <v>484</v>
      </c>
      <c r="D166" s="69" t="n">
        <v>88893600</v>
      </c>
      <c r="E166" s="69" t="n">
        <v>13</v>
      </c>
      <c r="F166" s="69" t="n">
        <v>4712725</v>
      </c>
      <c r="G166" s="69" t="n">
        <v>0</v>
      </c>
      <c r="H166" s="69" t="n">
        <f aca="false">D166+F166-J166</f>
        <v>0</v>
      </c>
      <c r="I166" s="69" t="n">
        <v>497</v>
      </c>
      <c r="J166" s="69" t="n">
        <v>93606325</v>
      </c>
      <c r="K166" s="139" t="n">
        <f aca="false">J166/I166</f>
        <v>188342.706237425</v>
      </c>
      <c r="L166" s="129" t="n">
        <v>164</v>
      </c>
      <c r="M166" s="130" t="s">
        <v>536</v>
      </c>
      <c r="N166" s="130" t="s">
        <v>149</v>
      </c>
      <c r="O166" s="130" t="s">
        <v>528</v>
      </c>
      <c r="P166" s="130"/>
      <c r="Q166" s="131"/>
      <c r="R166" s="71" t="n">
        <v>0</v>
      </c>
    </row>
    <row r="167" customFormat="false" ht="13.8" hidden="false" customHeight="false" outlineLevel="0" collapsed="false">
      <c r="A167" s="68" t="s">
        <v>174</v>
      </c>
      <c r="B167" s="68" t="n">
        <v>12</v>
      </c>
      <c r="C167" s="69" t="n">
        <v>5</v>
      </c>
      <c r="D167" s="69" t="n">
        <v>1372892</v>
      </c>
      <c r="E167" s="69" t="n">
        <v>0</v>
      </c>
      <c r="F167" s="69" t="n">
        <v>0</v>
      </c>
      <c r="G167" s="69" t="n">
        <v>0</v>
      </c>
      <c r="H167" s="69" t="n">
        <f aca="false">D167+F167-J167</f>
        <v>0</v>
      </c>
      <c r="I167" s="69" t="n">
        <v>5</v>
      </c>
      <c r="J167" s="69" t="n">
        <v>1372892</v>
      </c>
      <c r="K167" s="139" t="n">
        <f aca="false">J167/I167</f>
        <v>274578.4</v>
      </c>
      <c r="L167" s="129" t="n">
        <v>165</v>
      </c>
      <c r="M167" s="130" t="s">
        <v>537</v>
      </c>
      <c r="N167" s="130" t="s">
        <v>143</v>
      </c>
      <c r="O167" s="130" t="s">
        <v>528</v>
      </c>
      <c r="P167" s="130"/>
      <c r="Q167" s="131"/>
      <c r="R167" s="71" t="n">
        <v>0</v>
      </c>
    </row>
    <row r="168" customFormat="false" ht="13.8" hidden="false" customHeight="false" outlineLevel="0" collapsed="false">
      <c r="A168" s="68" t="s">
        <v>175</v>
      </c>
      <c r="B168" s="68" t="n">
        <v>12</v>
      </c>
      <c r="C168" s="69" t="n">
        <v>0</v>
      </c>
      <c r="D168" s="69" t="n">
        <v>0</v>
      </c>
      <c r="E168" s="69" t="n">
        <v>0</v>
      </c>
      <c r="F168" s="69" t="n">
        <v>0</v>
      </c>
      <c r="G168" s="69" t="n">
        <v>0</v>
      </c>
      <c r="H168" s="69" t="n">
        <f aca="false">D168+F168-J168</f>
        <v>0</v>
      </c>
      <c r="I168" s="69" t="n">
        <v>0</v>
      </c>
      <c r="J168" s="69" t="n">
        <v>0</v>
      </c>
      <c r="K168" s="139"/>
      <c r="L168" s="129" t="n">
        <v>166</v>
      </c>
      <c r="M168" s="130" t="s">
        <v>538</v>
      </c>
      <c r="N168" s="130" t="s">
        <v>144</v>
      </c>
      <c r="O168" s="130" t="s">
        <v>528</v>
      </c>
      <c r="P168" s="130" t="n">
        <v>583</v>
      </c>
      <c r="Q168" s="131" t="n">
        <v>184320</v>
      </c>
      <c r="R168" s="71" t="n">
        <v>107458560</v>
      </c>
    </row>
    <row r="169" customFormat="false" ht="13.8" hidden="false" customHeight="false" outlineLevel="0" collapsed="false">
      <c r="A169" s="68" t="s">
        <v>176</v>
      </c>
      <c r="B169" s="68" t="n">
        <v>12</v>
      </c>
      <c r="C169" s="69" t="n">
        <v>0</v>
      </c>
      <c r="D169" s="69" t="n">
        <v>0</v>
      </c>
      <c r="E169" s="69" t="n">
        <v>0</v>
      </c>
      <c r="F169" s="69" t="n">
        <v>0</v>
      </c>
      <c r="G169" s="69" t="n">
        <v>0</v>
      </c>
      <c r="H169" s="69" t="n">
        <f aca="false">D169+F169-J169</f>
        <v>0</v>
      </c>
      <c r="I169" s="69" t="n">
        <v>0</v>
      </c>
      <c r="J169" s="69" t="n">
        <v>0</v>
      </c>
      <c r="K169" s="139"/>
      <c r="L169" s="129" t="n">
        <v>167</v>
      </c>
      <c r="M169" s="130" t="s">
        <v>539</v>
      </c>
      <c r="N169" s="130" t="s">
        <v>146</v>
      </c>
      <c r="O169" s="130" t="s">
        <v>528</v>
      </c>
      <c r="P169" s="130" t="n">
        <v>115</v>
      </c>
      <c r="Q169" s="131" t="n">
        <v>191651</v>
      </c>
      <c r="R169" s="71" t="n">
        <v>22039865</v>
      </c>
    </row>
    <row r="170" customFormat="false" ht="13.8" hidden="false" customHeight="false" outlineLevel="0" collapsed="false">
      <c r="A170" s="68" t="s">
        <v>177</v>
      </c>
      <c r="B170" s="68" t="n">
        <v>12</v>
      </c>
      <c r="C170" s="69" t="n">
        <v>1</v>
      </c>
      <c r="D170" s="69" t="n">
        <v>537037</v>
      </c>
      <c r="E170" s="69" t="n">
        <v>0</v>
      </c>
      <c r="F170" s="69" t="n">
        <v>0</v>
      </c>
      <c r="G170" s="69" t="n">
        <v>0</v>
      </c>
      <c r="H170" s="69" t="n">
        <f aca="false">D170+F170-J170</f>
        <v>0</v>
      </c>
      <c r="I170" s="69" t="n">
        <v>1</v>
      </c>
      <c r="J170" s="69" t="n">
        <v>537037</v>
      </c>
      <c r="K170" s="139" t="n">
        <f aca="false">J170/I170</f>
        <v>537037</v>
      </c>
      <c r="L170" s="129" t="n">
        <v>168</v>
      </c>
      <c r="M170" s="130" t="s">
        <v>540</v>
      </c>
      <c r="N170" s="130" t="s">
        <v>149</v>
      </c>
      <c r="O170" s="130" t="s">
        <v>327</v>
      </c>
      <c r="P170" s="130" t="n">
        <v>1236</v>
      </c>
      <c r="Q170" s="131" t="n">
        <v>16000</v>
      </c>
      <c r="R170" s="71" t="n">
        <v>19776000</v>
      </c>
    </row>
    <row r="171" customFormat="false" ht="13.8" hidden="false" customHeight="false" outlineLevel="0" collapsed="false">
      <c r="A171" s="68" t="s">
        <v>178</v>
      </c>
      <c r="B171" s="68" t="n">
        <v>12</v>
      </c>
      <c r="C171" s="69" t="n">
        <v>144</v>
      </c>
      <c r="D171" s="69" t="n">
        <v>8408880</v>
      </c>
      <c r="E171" s="69" t="n">
        <v>874</v>
      </c>
      <c r="F171" s="69" t="n">
        <v>31937917.4852652</v>
      </c>
      <c r="G171" s="69" t="n">
        <v>0</v>
      </c>
      <c r="H171" s="69" t="n">
        <f aca="false">D171+F171-J171</f>
        <v>3146797.48526523</v>
      </c>
      <c r="I171" s="69" t="n">
        <v>1018</v>
      </c>
      <c r="J171" s="69" t="n">
        <v>37200000</v>
      </c>
      <c r="K171" s="139" t="n">
        <f aca="false">J171/I171</f>
        <v>36542.2396856582</v>
      </c>
      <c r="L171" s="129" t="n">
        <v>169</v>
      </c>
      <c r="M171" s="130" t="s">
        <v>541</v>
      </c>
      <c r="N171" s="130" t="s">
        <v>542</v>
      </c>
      <c r="O171" s="130" t="s">
        <v>528</v>
      </c>
      <c r="P171" s="130"/>
      <c r="Q171" s="131"/>
      <c r="R171" s="71" t="n">
        <v>0</v>
      </c>
    </row>
    <row r="172" customFormat="false" ht="13.8" hidden="false" customHeight="false" outlineLevel="0" collapsed="false">
      <c r="A172" s="68" t="s">
        <v>179</v>
      </c>
      <c r="B172" s="68" t="n">
        <v>12</v>
      </c>
      <c r="C172" s="69" t="n">
        <v>24797</v>
      </c>
      <c r="D172" s="69" t="n">
        <v>127113973</v>
      </c>
      <c r="E172" s="69" t="n">
        <v>15719</v>
      </c>
      <c r="F172" s="69" t="n">
        <v>82006560</v>
      </c>
      <c r="G172" s="69" t="n">
        <v>14610</v>
      </c>
      <c r="H172" s="69" t="n">
        <f aca="false">D172+F172-J172</f>
        <v>74541385</v>
      </c>
      <c r="I172" s="69" t="n">
        <v>25906</v>
      </c>
      <c r="J172" s="69" t="n">
        <v>134579148</v>
      </c>
      <c r="K172" s="139" t="n">
        <f aca="false">J172/I172</f>
        <v>5194.9026480352</v>
      </c>
      <c r="L172" s="129" t="n">
        <v>170</v>
      </c>
      <c r="M172" s="130" t="s">
        <v>543</v>
      </c>
      <c r="N172" s="130" t="s">
        <v>148</v>
      </c>
      <c r="O172" s="130" t="s">
        <v>303</v>
      </c>
      <c r="P172" s="130"/>
      <c r="Q172" s="131"/>
      <c r="R172" s="71" t="n">
        <v>0</v>
      </c>
    </row>
    <row r="173" customFormat="false" ht="13.8" hidden="false" customHeight="false" outlineLevel="0" collapsed="false">
      <c r="A173" s="68" t="s">
        <v>180</v>
      </c>
      <c r="B173" s="68" t="n">
        <v>12</v>
      </c>
      <c r="C173" s="69" t="n">
        <v>1056</v>
      </c>
      <c r="D173" s="69" t="n">
        <v>82980480</v>
      </c>
      <c r="E173" s="69" t="n">
        <v>360</v>
      </c>
      <c r="F173" s="69" t="n">
        <v>27106680</v>
      </c>
      <c r="G173" s="69" t="n">
        <v>1416</v>
      </c>
      <c r="H173" s="69" t="n">
        <f aca="false">D173+F173-J173</f>
        <v>110087160</v>
      </c>
      <c r="I173" s="69" t="n">
        <v>0</v>
      </c>
      <c r="J173" s="69" t="n">
        <v>0</v>
      </c>
      <c r="K173" s="139"/>
      <c r="L173" s="129" t="n">
        <v>171</v>
      </c>
      <c r="M173" s="130" t="s">
        <v>544</v>
      </c>
      <c r="N173" s="130" t="s">
        <v>146</v>
      </c>
      <c r="O173" s="130" t="s">
        <v>327</v>
      </c>
      <c r="P173" s="130"/>
      <c r="Q173" s="131"/>
      <c r="R173" s="71" t="n">
        <v>0</v>
      </c>
    </row>
    <row r="174" customFormat="false" ht="13.8" hidden="false" customHeight="false" outlineLevel="0" collapsed="false">
      <c r="A174" s="68" t="s">
        <v>181</v>
      </c>
      <c r="B174" s="68" t="n">
        <v>12</v>
      </c>
      <c r="C174" s="69" t="n">
        <v>432</v>
      </c>
      <c r="D174" s="69" t="n">
        <v>22188108</v>
      </c>
      <c r="E174" s="69" t="n">
        <v>375</v>
      </c>
      <c r="F174" s="69" t="n">
        <v>19270875</v>
      </c>
      <c r="G174" s="69" t="n">
        <v>501</v>
      </c>
      <c r="H174" s="69" t="n">
        <f aca="false">D174+F174-J174</f>
        <v>25738476</v>
      </c>
      <c r="I174" s="69" t="n">
        <v>306</v>
      </c>
      <c r="J174" s="69" t="n">
        <v>15720507</v>
      </c>
      <c r="K174" s="139" t="n">
        <f aca="false">J174/I174</f>
        <v>51374.2058823529</v>
      </c>
      <c r="L174" s="129" t="n">
        <v>172</v>
      </c>
      <c r="M174" s="130" t="s">
        <v>545</v>
      </c>
      <c r="N174" s="130" t="s">
        <v>546</v>
      </c>
      <c r="O174" s="130" t="s">
        <v>528</v>
      </c>
      <c r="P174" s="130"/>
      <c r="Q174" s="131"/>
      <c r="R174" s="71" t="n">
        <v>0</v>
      </c>
    </row>
    <row r="175" customFormat="false" ht="13.8" hidden="false" customHeight="false" outlineLevel="0" collapsed="false">
      <c r="A175" s="68" t="s">
        <v>182</v>
      </c>
      <c r="B175" s="68" t="n">
        <v>12</v>
      </c>
      <c r="C175" s="69" t="n">
        <v>0</v>
      </c>
      <c r="D175" s="69" t="n">
        <v>0</v>
      </c>
      <c r="E175" s="69" t="n">
        <v>180</v>
      </c>
      <c r="F175" s="69" t="n">
        <v>11127420</v>
      </c>
      <c r="G175" s="69" t="n">
        <v>180</v>
      </c>
      <c r="H175" s="69" t="n">
        <f aca="false">D175+F175-J175</f>
        <v>11127420</v>
      </c>
      <c r="I175" s="69" t="n">
        <v>0</v>
      </c>
      <c r="J175" s="69" t="n">
        <v>0</v>
      </c>
      <c r="K175" s="139"/>
      <c r="L175" s="129" t="n">
        <v>173</v>
      </c>
      <c r="M175" s="130" t="s">
        <v>547</v>
      </c>
      <c r="N175" s="130" t="s">
        <v>548</v>
      </c>
      <c r="O175" s="130" t="s">
        <v>528</v>
      </c>
      <c r="P175" s="130" t="n">
        <v>810</v>
      </c>
      <c r="Q175" s="131" t="n">
        <v>115200</v>
      </c>
      <c r="R175" s="71" t="n">
        <v>93312000</v>
      </c>
    </row>
    <row r="176" customFormat="false" ht="13.8" hidden="false" customHeight="false" outlineLevel="0" collapsed="false">
      <c r="A176" s="68" t="s">
        <v>183</v>
      </c>
      <c r="B176" s="68" t="n">
        <v>12</v>
      </c>
      <c r="C176" s="69" t="n">
        <v>2751</v>
      </c>
      <c r="D176" s="69" t="n">
        <v>148297433</v>
      </c>
      <c r="E176" s="69" t="n">
        <v>306</v>
      </c>
      <c r="F176" s="69" t="n">
        <v>16321556</v>
      </c>
      <c r="G176" s="69" t="n">
        <v>284</v>
      </c>
      <c r="H176" s="69" t="n">
        <f aca="false">D176+F176-J176</f>
        <v>13731712</v>
      </c>
      <c r="I176" s="69" t="n">
        <v>2773</v>
      </c>
      <c r="J176" s="69" t="n">
        <v>150887277</v>
      </c>
      <c r="K176" s="139" t="n">
        <f aca="false">J176/I176</f>
        <v>54413.0100973675</v>
      </c>
      <c r="L176" s="129" t="n">
        <v>174</v>
      </c>
      <c r="M176" s="130" t="s">
        <v>549</v>
      </c>
      <c r="N176" s="130" t="s">
        <v>550</v>
      </c>
      <c r="O176" s="130" t="s">
        <v>528</v>
      </c>
      <c r="P176" s="130" t="n">
        <v>280</v>
      </c>
      <c r="Q176" s="131" t="n">
        <v>267055</v>
      </c>
      <c r="R176" s="71" t="n">
        <v>74775400</v>
      </c>
    </row>
    <row r="177" customFormat="false" ht="13.8" hidden="false" customHeight="false" outlineLevel="0" collapsed="false">
      <c r="A177" s="68" t="s">
        <v>184</v>
      </c>
      <c r="B177" s="68" t="n">
        <v>12</v>
      </c>
      <c r="C177" s="69" t="n">
        <v>2074</v>
      </c>
      <c r="D177" s="69" t="n">
        <v>111994520</v>
      </c>
      <c r="E177" s="69" t="n">
        <v>408</v>
      </c>
      <c r="F177" s="69" t="n">
        <v>21762074</v>
      </c>
      <c r="G177" s="69" t="n">
        <v>900</v>
      </c>
      <c r="H177" s="69" t="n">
        <f aca="false">D177+F177-J177</f>
        <v>47693225</v>
      </c>
      <c r="I177" s="69" t="n">
        <v>1582</v>
      </c>
      <c r="J177" s="69" t="n">
        <v>86063369</v>
      </c>
      <c r="K177" s="139" t="n">
        <f aca="false">J177/I177</f>
        <v>54401.6238938053</v>
      </c>
      <c r="L177" s="129" t="n">
        <v>175</v>
      </c>
      <c r="M177" s="130" t="s">
        <v>551</v>
      </c>
      <c r="N177" s="130" t="s">
        <v>139</v>
      </c>
      <c r="O177" s="130" t="s">
        <v>528</v>
      </c>
      <c r="P177" s="130" t="n">
        <v>188</v>
      </c>
      <c r="Q177" s="131" t="n">
        <v>183667</v>
      </c>
      <c r="R177" s="71" t="n">
        <v>34529396</v>
      </c>
    </row>
    <row r="178" customFormat="false" ht="13.8" hidden="false" customHeight="false" outlineLevel="0" collapsed="false">
      <c r="A178" s="68" t="s">
        <v>185</v>
      </c>
      <c r="B178" s="68" t="n">
        <v>12</v>
      </c>
      <c r="C178" s="69" t="n">
        <v>770</v>
      </c>
      <c r="D178" s="69" t="n">
        <v>141860096</v>
      </c>
      <c r="E178" s="69" t="n">
        <v>400</v>
      </c>
      <c r="F178" s="69" t="n">
        <v>72675000</v>
      </c>
      <c r="G178" s="69" t="n">
        <v>229</v>
      </c>
      <c r="H178" s="69" t="n">
        <f aca="false">D178+F178-J178</f>
        <v>44862468</v>
      </c>
      <c r="I178" s="69" t="n">
        <v>941</v>
      </c>
      <c r="J178" s="69" t="n">
        <v>169672628</v>
      </c>
      <c r="K178" s="139" t="n">
        <f aca="false">J178/I178</f>
        <v>180310.975557917</v>
      </c>
      <c r="L178" s="129" t="n">
        <v>176</v>
      </c>
      <c r="M178" s="130" t="s">
        <v>552</v>
      </c>
      <c r="N178" s="130" t="s">
        <v>553</v>
      </c>
      <c r="O178" s="130" t="s">
        <v>528</v>
      </c>
      <c r="P178" s="130"/>
      <c r="Q178" s="131"/>
      <c r="R178" s="71" t="n">
        <v>0</v>
      </c>
    </row>
    <row r="179" customFormat="false" ht="13.8" hidden="false" customHeight="false" outlineLevel="0" collapsed="false">
      <c r="A179" s="68" t="s">
        <v>186</v>
      </c>
      <c r="B179" s="68" t="n">
        <v>12</v>
      </c>
      <c r="C179" s="69" t="n">
        <v>1555</v>
      </c>
      <c r="D179" s="69" t="n">
        <v>69495853</v>
      </c>
      <c r="E179" s="69" t="n">
        <v>7668</v>
      </c>
      <c r="F179" s="69" t="n">
        <v>332611379.81491</v>
      </c>
      <c r="G179" s="69" t="n">
        <v>4555</v>
      </c>
      <c r="H179" s="69" t="n">
        <f aca="false">D179+F179-J179</f>
        <v>199625500.81491</v>
      </c>
      <c r="I179" s="69" t="n">
        <v>4668</v>
      </c>
      <c r="J179" s="69" t="n">
        <v>202481732</v>
      </c>
      <c r="K179" s="139" t="n">
        <f aca="false">J179/I179</f>
        <v>43376.5492716367</v>
      </c>
      <c r="L179" s="129" t="n">
        <v>177</v>
      </c>
      <c r="M179" s="130" t="s">
        <v>554</v>
      </c>
      <c r="N179" s="130" t="s">
        <v>553</v>
      </c>
      <c r="O179" s="130" t="s">
        <v>303</v>
      </c>
      <c r="P179" s="130"/>
      <c r="Q179" s="131"/>
      <c r="R179" s="71" t="n">
        <v>0</v>
      </c>
    </row>
    <row r="180" customFormat="false" ht="13.8" hidden="false" customHeight="false" outlineLevel="0" collapsed="false">
      <c r="A180" s="68" t="s">
        <v>187</v>
      </c>
      <c r="B180" s="68" t="n">
        <v>12</v>
      </c>
      <c r="C180" s="69" t="n">
        <v>973</v>
      </c>
      <c r="D180" s="69" t="n">
        <v>34563746</v>
      </c>
      <c r="E180" s="69" t="n">
        <v>0</v>
      </c>
      <c r="F180" s="69" t="n">
        <v>43376.5492716367</v>
      </c>
      <c r="G180" s="69" t="n">
        <v>130</v>
      </c>
      <c r="H180" s="69" t="n">
        <f aca="false">D180+F180-J180</f>
        <v>4733268.54927164</v>
      </c>
      <c r="I180" s="69" t="n">
        <v>843</v>
      </c>
      <c r="J180" s="69" t="n">
        <v>29873854</v>
      </c>
      <c r="K180" s="139" t="n">
        <f aca="false">J180/I180</f>
        <v>35437.5492289443</v>
      </c>
      <c r="L180" s="129" t="n">
        <v>178</v>
      </c>
      <c r="M180" s="130" t="s">
        <v>555</v>
      </c>
      <c r="N180" s="130" t="s">
        <v>556</v>
      </c>
      <c r="O180" s="130" t="s">
        <v>528</v>
      </c>
      <c r="P180" s="130" t="n">
        <v>2</v>
      </c>
      <c r="Q180" s="131" t="n">
        <v>184473</v>
      </c>
      <c r="R180" s="71" t="n">
        <v>368946</v>
      </c>
    </row>
    <row r="181" customFormat="false" ht="13.8" hidden="false" customHeight="false" outlineLevel="0" collapsed="false">
      <c r="A181" s="68" t="s">
        <v>188</v>
      </c>
      <c r="B181" s="68" t="n">
        <v>12</v>
      </c>
      <c r="C181" s="69" t="n">
        <v>7616</v>
      </c>
      <c r="D181" s="69" t="n">
        <v>1284172909</v>
      </c>
      <c r="E181" s="69" t="n">
        <v>4500</v>
      </c>
      <c r="F181" s="69" t="n">
        <v>816216250</v>
      </c>
      <c r="G181" s="69" t="n">
        <v>4573</v>
      </c>
      <c r="H181" s="69" t="n">
        <f aca="false">D181+F181-J181</f>
        <v>754127000</v>
      </c>
      <c r="I181" s="69" t="n">
        <v>7543</v>
      </c>
      <c r="J181" s="69" t="n">
        <v>1346262159</v>
      </c>
      <c r="K181" s="139" t="n">
        <f aca="false">J181/I181</f>
        <v>178478.345353308</v>
      </c>
      <c r="L181" s="129" t="n">
        <v>179</v>
      </c>
      <c r="M181" s="130" t="s">
        <v>557</v>
      </c>
      <c r="N181" s="130" t="s">
        <v>151</v>
      </c>
      <c r="O181" s="130" t="s">
        <v>528</v>
      </c>
      <c r="P181" s="130" t="n">
        <v>319</v>
      </c>
      <c r="Q181" s="131" t="n">
        <v>189655</v>
      </c>
      <c r="R181" s="71" t="n">
        <v>60499945</v>
      </c>
    </row>
    <row r="182" customFormat="false" ht="13.8" hidden="false" customHeight="false" outlineLevel="0" collapsed="false">
      <c r="A182" s="68" t="s">
        <v>189</v>
      </c>
      <c r="B182" s="68" t="n">
        <v>12</v>
      </c>
      <c r="C182" s="69" t="n">
        <v>690</v>
      </c>
      <c r="D182" s="69" t="n">
        <v>30148907</v>
      </c>
      <c r="E182" s="69" t="n">
        <v>0</v>
      </c>
      <c r="F182" s="69" t="n">
        <v>0</v>
      </c>
      <c r="G182" s="69" t="n">
        <v>144</v>
      </c>
      <c r="H182" s="69" t="n">
        <f aca="false">D182+F182-J182</f>
        <v>5958168</v>
      </c>
      <c r="I182" s="69" t="n">
        <v>546</v>
      </c>
      <c r="J182" s="69" t="n">
        <v>24190739</v>
      </c>
      <c r="K182" s="139" t="n">
        <f aca="false">J182/I182</f>
        <v>44305.3827838828</v>
      </c>
      <c r="L182" s="129" t="n">
        <v>180</v>
      </c>
      <c r="M182" s="130" t="s">
        <v>558</v>
      </c>
      <c r="N182" s="130" t="s">
        <v>559</v>
      </c>
      <c r="O182" s="130" t="s">
        <v>528</v>
      </c>
      <c r="P182" s="130" t="n">
        <v>50</v>
      </c>
      <c r="Q182" s="131" t="n">
        <v>170182</v>
      </c>
      <c r="R182" s="71" t="n">
        <v>8509100</v>
      </c>
    </row>
    <row r="183" customFormat="false" ht="13.8" hidden="false" customHeight="false" outlineLevel="0" collapsed="false">
      <c r="A183" s="68" t="s">
        <v>190</v>
      </c>
      <c r="B183" s="68" t="n">
        <v>12</v>
      </c>
      <c r="C183" s="69" t="n">
        <v>11502</v>
      </c>
      <c r="D183" s="69" t="n">
        <v>332240556</v>
      </c>
      <c r="E183" s="69" t="n">
        <v>3150</v>
      </c>
      <c r="F183" s="69" t="n">
        <v>90972000</v>
      </c>
      <c r="G183" s="69" t="n">
        <v>9809</v>
      </c>
      <c r="H183" s="69" t="n">
        <f aca="false">D183+F183-J183</f>
        <v>286291540</v>
      </c>
      <c r="I183" s="69" t="n">
        <v>4843</v>
      </c>
      <c r="J183" s="69" t="n">
        <v>136921016</v>
      </c>
      <c r="K183" s="139" t="n">
        <f aca="false">J183/I183</f>
        <v>28271.9421845963</v>
      </c>
      <c r="L183" s="129" t="n">
        <v>181</v>
      </c>
      <c r="M183" s="130" t="s">
        <v>560</v>
      </c>
      <c r="N183" s="130" t="s">
        <v>561</v>
      </c>
      <c r="O183" s="130" t="s">
        <v>528</v>
      </c>
      <c r="P183" s="130"/>
      <c r="Q183" s="131"/>
      <c r="R183" s="71" t="n">
        <v>0</v>
      </c>
    </row>
    <row r="184" customFormat="false" ht="13.8" hidden="false" customHeight="false" outlineLevel="0" collapsed="false">
      <c r="A184" s="68" t="s">
        <v>191</v>
      </c>
      <c r="B184" s="68" t="n">
        <v>12</v>
      </c>
      <c r="C184" s="69" t="n">
        <v>15969</v>
      </c>
      <c r="D184" s="69" t="n">
        <v>459112502</v>
      </c>
      <c r="E184" s="69" t="n">
        <v>65615</v>
      </c>
      <c r="F184" s="69" t="n">
        <v>1833319500</v>
      </c>
      <c r="G184" s="69" t="n">
        <v>40229</v>
      </c>
      <c r="H184" s="69" t="n">
        <f aca="false">D184+F184-J184</f>
        <v>1123236500</v>
      </c>
      <c r="I184" s="69" t="n">
        <v>41355</v>
      </c>
      <c r="J184" s="69" t="n">
        <v>1169195502</v>
      </c>
      <c r="K184" s="139" t="n">
        <f aca="false">J184/I184</f>
        <v>28272.1678636199</v>
      </c>
      <c r="L184" s="129" t="n">
        <v>182</v>
      </c>
      <c r="M184" s="130" t="s">
        <v>562</v>
      </c>
      <c r="N184" s="130" t="s">
        <v>563</v>
      </c>
      <c r="O184" s="130" t="s">
        <v>327</v>
      </c>
      <c r="P184" s="130"/>
      <c r="Q184" s="131"/>
      <c r="R184" s="71" t="n">
        <v>0</v>
      </c>
    </row>
    <row r="185" customFormat="false" ht="13.8" hidden="false" customHeight="false" outlineLevel="0" collapsed="false">
      <c r="A185" s="68" t="s">
        <v>192</v>
      </c>
      <c r="B185" s="68" t="n">
        <v>12</v>
      </c>
      <c r="C185" s="69" t="n">
        <v>10975</v>
      </c>
      <c r="D185" s="69" t="n">
        <v>79007874</v>
      </c>
      <c r="E185" s="69" t="n">
        <v>0</v>
      </c>
      <c r="F185" s="69" t="n">
        <v>0</v>
      </c>
      <c r="G185" s="69" t="n">
        <v>4660</v>
      </c>
      <c r="H185" s="69" t="n">
        <f aca="false">D185+F185-J185</f>
        <v>33402873</v>
      </c>
      <c r="I185" s="69" t="n">
        <v>6315</v>
      </c>
      <c r="J185" s="69" t="n">
        <v>45605001</v>
      </c>
      <c r="K185" s="139" t="n">
        <f aca="false">J185/I185</f>
        <v>7221.6945368171</v>
      </c>
      <c r="L185" s="129" t="n">
        <v>183</v>
      </c>
      <c r="M185" s="130" t="s">
        <v>564</v>
      </c>
      <c r="N185" s="130" t="s">
        <v>40</v>
      </c>
      <c r="O185" s="130" t="s">
        <v>327</v>
      </c>
      <c r="P185" s="130" t="n">
        <v>2430</v>
      </c>
      <c r="Q185" s="131" t="n">
        <v>40050</v>
      </c>
      <c r="R185" s="71" t="n">
        <v>97321500</v>
      </c>
    </row>
    <row r="186" customFormat="false" ht="13.8" hidden="false" customHeight="false" outlineLevel="0" collapsed="false">
      <c r="A186" s="68" t="s">
        <v>193</v>
      </c>
      <c r="B186" s="68" t="n">
        <v>12</v>
      </c>
      <c r="C186" s="69" t="n">
        <v>0</v>
      </c>
      <c r="D186" s="69" t="n">
        <v>0</v>
      </c>
      <c r="E186" s="69" t="n">
        <v>250</v>
      </c>
      <c r="F186" s="69" t="n">
        <v>53642625</v>
      </c>
      <c r="G186" s="69" t="n">
        <v>0</v>
      </c>
      <c r="H186" s="69" t="n">
        <f aca="false">D186+F186-J186</f>
        <v>0</v>
      </c>
      <c r="I186" s="69" t="n">
        <v>250</v>
      </c>
      <c r="J186" s="69" t="n">
        <v>53642625</v>
      </c>
      <c r="K186" s="139" t="n">
        <f aca="false">J186/I186</f>
        <v>214570.5</v>
      </c>
      <c r="L186" s="144" t="n">
        <v>184</v>
      </c>
      <c r="M186" s="130" t="s">
        <v>565</v>
      </c>
      <c r="N186" s="130" t="s">
        <v>43</v>
      </c>
      <c r="O186" s="130" t="s">
        <v>303</v>
      </c>
      <c r="P186" s="130"/>
      <c r="Q186" s="131"/>
      <c r="R186" s="71" t="n">
        <v>0</v>
      </c>
    </row>
    <row r="187" customFormat="false" ht="13.8" hidden="false" customHeight="false" outlineLevel="0" collapsed="false">
      <c r="A187" s="68" t="s">
        <v>194</v>
      </c>
      <c r="B187" s="68" t="n">
        <v>12</v>
      </c>
      <c r="C187" s="69" t="n">
        <v>131535</v>
      </c>
      <c r="D187" s="69" t="n">
        <v>626836099</v>
      </c>
      <c r="E187" s="69" t="n">
        <v>273861</v>
      </c>
      <c r="F187" s="69" t="n">
        <v>1931160000</v>
      </c>
      <c r="G187" s="69" t="n">
        <v>227875</v>
      </c>
      <c r="H187" s="69" t="n">
        <f aca="false">D187+F187-J187</f>
        <v>1303281000</v>
      </c>
      <c r="I187" s="69" t="n">
        <v>177521</v>
      </c>
      <c r="J187" s="69" t="n">
        <v>1254715099</v>
      </c>
      <c r="K187" s="139" t="n">
        <f aca="false">J187/I187</f>
        <v>7067.98124728905</v>
      </c>
      <c r="L187" s="129" t="n">
        <v>185</v>
      </c>
      <c r="M187" s="130" t="s">
        <v>566</v>
      </c>
      <c r="N187" s="130" t="s">
        <v>44</v>
      </c>
      <c r="O187" s="130" t="s">
        <v>327</v>
      </c>
      <c r="P187" s="130" t="n">
        <v>300</v>
      </c>
      <c r="Q187" s="131" t="n">
        <v>36184</v>
      </c>
      <c r="R187" s="71" t="n">
        <v>10855200</v>
      </c>
    </row>
    <row r="188" customFormat="false" ht="13.8" hidden="false" customHeight="false" outlineLevel="0" collapsed="false">
      <c r="A188" s="68" t="s">
        <v>195</v>
      </c>
      <c r="B188" s="68" t="n">
        <v>12</v>
      </c>
      <c r="C188" s="69" t="n">
        <v>0</v>
      </c>
      <c r="D188" s="69" t="n">
        <v>0</v>
      </c>
      <c r="E188" s="69" t="n">
        <v>11200</v>
      </c>
      <c r="F188" s="69" t="n">
        <v>2411276207</v>
      </c>
      <c r="G188" s="69" t="n">
        <v>1333</v>
      </c>
      <c r="H188" s="69" t="n">
        <f aca="false">D188+F188-J188</f>
        <v>303268263</v>
      </c>
      <c r="I188" s="69" t="n">
        <v>9867</v>
      </c>
      <c r="J188" s="69" t="n">
        <v>2108007944</v>
      </c>
      <c r="K188" s="139" t="n">
        <f aca="false">J188/I188</f>
        <v>213642.236140671</v>
      </c>
      <c r="L188" s="129" t="n">
        <v>186</v>
      </c>
      <c r="M188" s="130" t="s">
        <v>567</v>
      </c>
      <c r="N188" s="130" t="s">
        <v>45</v>
      </c>
      <c r="O188" s="130" t="s">
        <v>327</v>
      </c>
      <c r="P188" s="130" t="n">
        <v>150</v>
      </c>
      <c r="Q188" s="131" t="n">
        <v>36184</v>
      </c>
      <c r="R188" s="71" t="n">
        <v>5427600</v>
      </c>
    </row>
    <row r="189" customFormat="false" ht="13.8" hidden="false" customHeight="false" outlineLevel="0" collapsed="false">
      <c r="A189" s="68" t="s">
        <v>196</v>
      </c>
      <c r="B189" s="68" t="n">
        <v>12</v>
      </c>
      <c r="C189" s="69" t="n">
        <v>0</v>
      </c>
      <c r="D189" s="69" t="n">
        <v>0</v>
      </c>
      <c r="E189" s="69" t="n">
        <v>0</v>
      </c>
      <c r="F189" s="69" t="n">
        <v>0</v>
      </c>
      <c r="G189" s="69" t="n">
        <v>0</v>
      </c>
      <c r="H189" s="69" t="n">
        <f aca="false">D189+F189-J189</f>
        <v>0</v>
      </c>
      <c r="I189" s="69" t="n">
        <v>0</v>
      </c>
      <c r="J189" s="69" t="n">
        <v>0</v>
      </c>
      <c r="K189" s="139"/>
      <c r="L189" s="129" t="n">
        <v>187</v>
      </c>
      <c r="M189" s="130" t="s">
        <v>568</v>
      </c>
      <c r="N189" s="130" t="s">
        <v>46</v>
      </c>
      <c r="O189" s="130" t="s">
        <v>327</v>
      </c>
      <c r="P189" s="130" t="n">
        <v>65</v>
      </c>
      <c r="Q189" s="131" t="n">
        <v>36184</v>
      </c>
      <c r="R189" s="71" t="n">
        <v>2351960</v>
      </c>
    </row>
    <row r="190" customFormat="false" ht="13.8" hidden="false" customHeight="false" outlineLevel="0" collapsed="false">
      <c r="A190" s="68" t="s">
        <v>197</v>
      </c>
      <c r="B190" s="68" t="n">
        <v>12</v>
      </c>
      <c r="C190" s="69" t="n">
        <v>1170</v>
      </c>
      <c r="D190" s="69" t="n">
        <v>8433374</v>
      </c>
      <c r="E190" s="69" t="n">
        <v>0</v>
      </c>
      <c r="F190" s="69" t="n">
        <v>0</v>
      </c>
      <c r="G190" s="69" t="n">
        <v>20</v>
      </c>
      <c r="H190" s="69" t="n">
        <f aca="false">D190+F190-J190</f>
        <v>144160</v>
      </c>
      <c r="I190" s="69" t="n">
        <v>1150</v>
      </c>
      <c r="J190" s="69" t="n">
        <v>8289214</v>
      </c>
      <c r="K190" s="139" t="n">
        <f aca="false">J190/I190</f>
        <v>7208.01217391304</v>
      </c>
      <c r="L190" s="129" t="n">
        <v>188</v>
      </c>
      <c r="M190" s="130" t="s">
        <v>569</v>
      </c>
      <c r="N190" s="130" t="s">
        <v>570</v>
      </c>
      <c r="O190" s="130" t="s">
        <v>327</v>
      </c>
      <c r="P190" s="130"/>
      <c r="Q190" s="131"/>
      <c r="R190" s="71" t="n">
        <v>0</v>
      </c>
    </row>
    <row r="191" customFormat="false" ht="13.8" hidden="false" customHeight="false" outlineLevel="0" collapsed="false">
      <c r="A191" s="68" t="s">
        <v>198</v>
      </c>
      <c r="B191" s="68" t="n">
        <v>12</v>
      </c>
      <c r="C191" s="69" t="n">
        <v>0</v>
      </c>
      <c r="D191" s="69" t="n">
        <v>0</v>
      </c>
      <c r="E191" s="69" t="n">
        <v>0</v>
      </c>
      <c r="F191" s="69" t="n">
        <v>0</v>
      </c>
      <c r="G191" s="69" t="n">
        <v>0</v>
      </c>
      <c r="H191" s="69" t="n">
        <f aca="false">D191+F191-J191</f>
        <v>0</v>
      </c>
      <c r="I191" s="69" t="n">
        <v>0</v>
      </c>
      <c r="J191" s="69" t="n">
        <v>0</v>
      </c>
      <c r="K191" s="139"/>
      <c r="L191" s="129" t="n">
        <v>189</v>
      </c>
      <c r="M191" s="130" t="s">
        <v>571</v>
      </c>
      <c r="N191" s="130" t="s">
        <v>572</v>
      </c>
      <c r="O191" s="130" t="s">
        <v>528</v>
      </c>
      <c r="P191" s="130" t="n">
        <v>123</v>
      </c>
      <c r="Q191" s="131" t="n">
        <v>234589</v>
      </c>
      <c r="R191" s="71" t="n">
        <v>28854447</v>
      </c>
    </row>
    <row r="192" customFormat="false" ht="13.8" hidden="false" customHeight="false" outlineLevel="0" collapsed="false">
      <c r="A192" s="68" t="s">
        <v>199</v>
      </c>
      <c r="B192" s="68" t="n">
        <v>12</v>
      </c>
      <c r="C192" s="69" t="n">
        <v>77684</v>
      </c>
      <c r="D192" s="69" t="n">
        <v>588888</v>
      </c>
      <c r="E192" s="69" t="n">
        <v>24</v>
      </c>
      <c r="F192" s="69" t="n">
        <v>588888</v>
      </c>
      <c r="G192" s="69" t="n">
        <v>0</v>
      </c>
      <c r="H192" s="69" t="n">
        <f aca="false">D192+F192-J192</f>
        <v>0</v>
      </c>
      <c r="I192" s="69" t="n">
        <v>77708</v>
      </c>
      <c r="J192" s="69" t="n">
        <v>1177776</v>
      </c>
      <c r="K192" s="139" t="n">
        <f aca="false">J192/I192</f>
        <v>15.1564317702167</v>
      </c>
      <c r="L192" s="129" t="n">
        <v>190</v>
      </c>
      <c r="M192" s="130" t="s">
        <v>573</v>
      </c>
      <c r="N192" s="130" t="s">
        <v>574</v>
      </c>
      <c r="O192" s="130" t="s">
        <v>528</v>
      </c>
      <c r="P192" s="130" t="n">
        <v>117</v>
      </c>
      <c r="Q192" s="131" t="n">
        <v>167564</v>
      </c>
      <c r="R192" s="71" t="n">
        <v>19604988</v>
      </c>
    </row>
    <row r="193" customFormat="false" ht="13.8" hidden="false" customHeight="false" outlineLevel="0" collapsed="false">
      <c r="A193" s="68" t="s">
        <v>200</v>
      </c>
      <c r="B193" s="68" t="n">
        <v>12</v>
      </c>
      <c r="C193" s="69" t="n">
        <v>144</v>
      </c>
      <c r="D193" s="69" t="n">
        <v>1037304</v>
      </c>
      <c r="E193" s="69" t="n">
        <v>0</v>
      </c>
      <c r="F193" s="69" t="n">
        <v>0</v>
      </c>
      <c r="G193" s="69" t="n">
        <v>0</v>
      </c>
      <c r="H193" s="69" t="n">
        <f aca="false">D193+F193-J193</f>
        <v>0</v>
      </c>
      <c r="I193" s="69" t="n">
        <v>144</v>
      </c>
      <c r="J193" s="69" t="n">
        <v>1037304</v>
      </c>
      <c r="K193" s="139" t="n">
        <f aca="false">J193/I193</f>
        <v>7203.5</v>
      </c>
      <c r="L193" s="129" t="n">
        <v>191</v>
      </c>
      <c r="M193" s="130" t="s">
        <v>575</v>
      </c>
      <c r="N193" s="130" t="s">
        <v>155</v>
      </c>
      <c r="O193" s="130" t="s">
        <v>528</v>
      </c>
      <c r="P193" s="130"/>
      <c r="Q193" s="131"/>
      <c r="R193" s="71" t="n">
        <v>0</v>
      </c>
    </row>
    <row r="194" customFormat="false" ht="13.8" hidden="false" customHeight="false" outlineLevel="0" collapsed="false">
      <c r="A194" s="68" t="s">
        <v>201</v>
      </c>
      <c r="B194" s="68" t="n">
        <v>12</v>
      </c>
      <c r="C194" s="69" t="n">
        <v>1032</v>
      </c>
      <c r="D194" s="69" t="n">
        <v>16267839</v>
      </c>
      <c r="E194" s="69" t="n">
        <v>180</v>
      </c>
      <c r="F194" s="69" t="n">
        <v>2916720</v>
      </c>
      <c r="G194" s="69" t="n">
        <v>720</v>
      </c>
      <c r="H194" s="69" t="n">
        <f aca="false">D194+F194-J194</f>
        <v>11396768</v>
      </c>
      <c r="I194" s="69" t="n">
        <v>492</v>
      </c>
      <c r="J194" s="69" t="n">
        <v>7787791</v>
      </c>
      <c r="K194" s="139" t="n">
        <f aca="false">J194/I194</f>
        <v>15828.843495935</v>
      </c>
      <c r="L194" s="129" t="n">
        <v>192</v>
      </c>
      <c r="M194" s="130" t="s">
        <v>576</v>
      </c>
      <c r="N194" s="130" t="s">
        <v>577</v>
      </c>
      <c r="O194" s="130" t="s">
        <v>528</v>
      </c>
      <c r="P194" s="130" t="n">
        <v>70</v>
      </c>
      <c r="Q194" s="131" t="n">
        <v>234589</v>
      </c>
      <c r="R194" s="71" t="n">
        <v>16421230</v>
      </c>
    </row>
    <row r="195" customFormat="false" ht="13.8" hidden="false" customHeight="false" outlineLevel="0" collapsed="false">
      <c r="A195" s="68" t="s">
        <v>202</v>
      </c>
      <c r="B195" s="68" t="n">
        <v>12</v>
      </c>
      <c r="C195" s="69" t="n">
        <v>0</v>
      </c>
      <c r="D195" s="69" t="n">
        <v>0</v>
      </c>
      <c r="E195" s="69" t="n">
        <v>72</v>
      </c>
      <c r="F195" s="69" t="n">
        <v>1857744</v>
      </c>
      <c r="G195" s="69" t="n">
        <v>0</v>
      </c>
      <c r="H195" s="69" t="n">
        <f aca="false">D195+F195-J195</f>
        <v>0</v>
      </c>
      <c r="I195" s="69" t="n">
        <v>72</v>
      </c>
      <c r="J195" s="69" t="n">
        <v>1857744</v>
      </c>
      <c r="K195" s="139" t="n">
        <f aca="false">J195/I195</f>
        <v>25802</v>
      </c>
      <c r="L195" s="129" t="n">
        <v>193</v>
      </c>
      <c r="M195" s="130" t="s">
        <v>578</v>
      </c>
      <c r="N195" s="130" t="s">
        <v>161</v>
      </c>
      <c r="O195" s="130" t="s">
        <v>528</v>
      </c>
      <c r="P195" s="130" t="n">
        <v>92</v>
      </c>
      <c r="Q195" s="131" t="n">
        <v>234589</v>
      </c>
      <c r="R195" s="71" t="n">
        <v>21582188</v>
      </c>
    </row>
    <row r="196" customFormat="false" ht="13.8" hidden="false" customHeight="false" outlineLevel="0" collapsed="false">
      <c r="A196" s="68" t="s">
        <v>203</v>
      </c>
      <c r="B196" s="68" t="n">
        <v>12</v>
      </c>
      <c r="C196" s="69" t="n">
        <v>5208</v>
      </c>
      <c r="D196" s="69" t="n">
        <v>58948499</v>
      </c>
      <c r="E196" s="69" t="n">
        <v>360</v>
      </c>
      <c r="F196" s="69" t="n">
        <v>4225320</v>
      </c>
      <c r="G196" s="69" t="n">
        <v>4681</v>
      </c>
      <c r="H196" s="69" t="n">
        <f aca="false">D196+F196-J196</f>
        <v>52758308</v>
      </c>
      <c r="I196" s="69" t="n">
        <v>887</v>
      </c>
      <c r="J196" s="69" t="n">
        <v>10415511</v>
      </c>
      <c r="K196" s="139" t="n">
        <f aca="false">J196/I196</f>
        <v>11742.4024802706</v>
      </c>
      <c r="L196" s="129" t="n">
        <v>194</v>
      </c>
      <c r="M196" s="130" t="s">
        <v>579</v>
      </c>
      <c r="N196" s="130" t="s">
        <v>580</v>
      </c>
      <c r="O196" s="130" t="s">
        <v>528</v>
      </c>
      <c r="P196" s="130"/>
      <c r="Q196" s="131"/>
      <c r="R196" s="71" t="n">
        <v>0</v>
      </c>
    </row>
    <row r="197" customFormat="false" ht="13.8" hidden="false" customHeight="false" outlineLevel="0" collapsed="false">
      <c r="A197" s="68" t="s">
        <v>204</v>
      </c>
      <c r="B197" s="68" t="n">
        <v>12</v>
      </c>
      <c r="C197" s="69" t="n">
        <v>12491</v>
      </c>
      <c r="D197" s="69" t="n">
        <v>384147850</v>
      </c>
      <c r="E197" s="69"/>
      <c r="F197" s="69" t="n">
        <v>0</v>
      </c>
      <c r="G197" s="69" t="n">
        <v>5514</v>
      </c>
      <c r="H197" s="69" t="n">
        <f aca="false">D197+F197-J197</f>
        <v>160810000</v>
      </c>
      <c r="I197" s="69" t="n">
        <v>6977</v>
      </c>
      <c r="J197" s="69" t="n">
        <v>223337850</v>
      </c>
      <c r="K197" s="139" t="n">
        <f aca="false">J197/I197</f>
        <v>32010.5847785581</v>
      </c>
      <c r="L197" s="129" t="n">
        <v>195</v>
      </c>
      <c r="M197" s="130" t="s">
        <v>581</v>
      </c>
      <c r="N197" s="130" t="s">
        <v>582</v>
      </c>
      <c r="O197" s="130" t="s">
        <v>528</v>
      </c>
      <c r="P197" s="130" t="n">
        <v>84</v>
      </c>
      <c r="Q197" s="131" t="n">
        <v>234589</v>
      </c>
      <c r="R197" s="71" t="n">
        <v>19705476</v>
      </c>
    </row>
    <row r="198" customFormat="false" ht="13.8" hidden="false" customHeight="false" outlineLevel="0" collapsed="false">
      <c r="A198" s="68" t="s">
        <v>205</v>
      </c>
      <c r="B198" s="68" t="n">
        <v>12</v>
      </c>
      <c r="C198" s="69" t="n">
        <v>820</v>
      </c>
      <c r="D198" s="69" t="n">
        <v>49022428</v>
      </c>
      <c r="E198" s="69" t="n">
        <v>0</v>
      </c>
      <c r="F198" s="69" t="n">
        <v>0</v>
      </c>
      <c r="G198" s="69" t="n">
        <v>651</v>
      </c>
      <c r="H198" s="69" t="n">
        <f aca="false">D198+F198-J198</f>
        <v>37663574</v>
      </c>
      <c r="I198" s="69" t="n">
        <v>169</v>
      </c>
      <c r="J198" s="69" t="n">
        <v>11358854</v>
      </c>
      <c r="K198" s="139" t="n">
        <f aca="false">J198/I198</f>
        <v>67212.1538461538</v>
      </c>
      <c r="L198" s="129" t="n">
        <v>196</v>
      </c>
      <c r="M198" s="130" t="s">
        <v>583</v>
      </c>
      <c r="N198" s="130" t="s">
        <v>156</v>
      </c>
      <c r="O198" s="130" t="s">
        <v>528</v>
      </c>
      <c r="P198" s="130" t="n">
        <v>137</v>
      </c>
      <c r="Q198" s="131" t="n">
        <v>234589</v>
      </c>
      <c r="R198" s="71" t="n">
        <v>32138693</v>
      </c>
    </row>
    <row r="199" customFormat="false" ht="13.8" hidden="false" customHeight="false" outlineLevel="0" collapsed="false">
      <c r="A199" s="68" t="s">
        <v>206</v>
      </c>
      <c r="B199" s="68" t="n">
        <v>12</v>
      </c>
      <c r="C199" s="69" t="n">
        <v>814</v>
      </c>
      <c r="D199" s="69" t="n">
        <v>26110276</v>
      </c>
      <c r="E199" s="69" t="n">
        <v>192</v>
      </c>
      <c r="F199" s="69" t="n">
        <v>6309812</v>
      </c>
      <c r="G199" s="69" t="n">
        <v>646</v>
      </c>
      <c r="H199" s="69" t="n">
        <f aca="false">D199+F199-J199</f>
        <v>20818466</v>
      </c>
      <c r="I199" s="69" t="n">
        <v>360</v>
      </c>
      <c r="J199" s="69" t="n">
        <v>11601622</v>
      </c>
      <c r="K199" s="139" t="n">
        <f aca="false">J199/I199</f>
        <v>32226.7277777778</v>
      </c>
      <c r="L199" s="129" t="n">
        <v>197</v>
      </c>
      <c r="M199" s="130" t="s">
        <v>584</v>
      </c>
      <c r="N199" s="130" t="s">
        <v>157</v>
      </c>
      <c r="O199" s="130" t="s">
        <v>528</v>
      </c>
      <c r="P199" s="130" t="n">
        <v>100</v>
      </c>
      <c r="Q199" s="131" t="n">
        <v>234589</v>
      </c>
      <c r="R199" s="71" t="n">
        <v>23458900</v>
      </c>
    </row>
    <row r="200" customFormat="false" ht="13.8" hidden="false" customHeight="false" outlineLevel="0" collapsed="false">
      <c r="A200" s="68" t="s">
        <v>207</v>
      </c>
      <c r="B200" s="68" t="n">
        <v>12</v>
      </c>
      <c r="C200" s="69" t="n">
        <v>1728</v>
      </c>
      <c r="D200" s="69" t="n">
        <v>3454644</v>
      </c>
      <c r="E200" s="69"/>
      <c r="F200" s="69" t="n">
        <v>0</v>
      </c>
      <c r="G200" s="69" t="n">
        <v>1461</v>
      </c>
      <c r="H200" s="69" t="n">
        <f aca="false">D200+F200-J200</f>
        <v>38904</v>
      </c>
      <c r="I200" s="69" t="n">
        <v>267</v>
      </c>
      <c r="J200" s="69" t="n">
        <v>3415740</v>
      </c>
      <c r="K200" s="139" t="n">
        <f aca="false">J200/I200</f>
        <v>12793.0337078652</v>
      </c>
      <c r="L200" s="129" t="n">
        <v>198</v>
      </c>
      <c r="M200" s="130" t="s">
        <v>585</v>
      </c>
      <c r="N200" s="130" t="s">
        <v>586</v>
      </c>
      <c r="O200" s="130" t="s">
        <v>528</v>
      </c>
      <c r="P200" s="130" t="n">
        <v>351</v>
      </c>
      <c r="Q200" s="131" t="n">
        <v>115200</v>
      </c>
      <c r="R200" s="71" t="n">
        <v>40435200</v>
      </c>
    </row>
    <row r="201" customFormat="false" ht="13.8" hidden="false" customHeight="false" outlineLevel="0" collapsed="false">
      <c r="A201" s="68" t="s">
        <v>208</v>
      </c>
      <c r="B201" s="68" t="n">
        <v>12</v>
      </c>
      <c r="C201" s="69" t="n">
        <v>13</v>
      </c>
      <c r="D201" s="69" t="n">
        <v>107765</v>
      </c>
      <c r="E201" s="69" t="n">
        <v>432</v>
      </c>
      <c r="F201" s="69" t="n">
        <v>4525632</v>
      </c>
      <c r="G201" s="69" t="n">
        <v>240</v>
      </c>
      <c r="H201" s="69" t="n">
        <f aca="false">D201+F201-J201</f>
        <v>2498911</v>
      </c>
      <c r="I201" s="69" t="n">
        <v>205</v>
      </c>
      <c r="J201" s="69" t="n">
        <v>2134486</v>
      </c>
      <c r="K201" s="139" t="n">
        <f aca="false">J201/I201</f>
        <v>10412.1268292683</v>
      </c>
      <c r="L201" s="129" t="n">
        <v>199</v>
      </c>
      <c r="M201" s="130" t="s">
        <v>587</v>
      </c>
      <c r="N201" s="130" t="s">
        <v>163</v>
      </c>
      <c r="O201" s="130" t="s">
        <v>528</v>
      </c>
      <c r="P201" s="130" t="n">
        <v>700</v>
      </c>
      <c r="Q201" s="131" t="n">
        <v>319418</v>
      </c>
      <c r="R201" s="71" t="n">
        <v>223592600</v>
      </c>
    </row>
    <row r="202" customFormat="false" ht="13.8" hidden="false" customHeight="false" outlineLevel="0" collapsed="false">
      <c r="A202" s="68" t="s">
        <v>209</v>
      </c>
      <c r="B202" s="68" t="n">
        <v>12</v>
      </c>
      <c r="C202" s="69" t="n">
        <v>60</v>
      </c>
      <c r="D202" s="69" t="n">
        <v>3504600</v>
      </c>
      <c r="E202" s="69" t="n">
        <v>36</v>
      </c>
      <c r="F202" s="69" t="n">
        <v>2102760</v>
      </c>
      <c r="G202" s="69" t="n">
        <v>20</v>
      </c>
      <c r="H202" s="69" t="n">
        <f aca="false">D202+F202-J202</f>
        <v>1168200</v>
      </c>
      <c r="I202" s="69" t="n">
        <v>76</v>
      </c>
      <c r="J202" s="69" t="n">
        <v>4439160</v>
      </c>
      <c r="K202" s="139" t="n">
        <f aca="false">J202/I202</f>
        <v>58410</v>
      </c>
      <c r="L202" s="129" t="n">
        <v>200</v>
      </c>
      <c r="M202" s="130" t="s">
        <v>588</v>
      </c>
      <c r="N202" s="130" t="s">
        <v>167</v>
      </c>
      <c r="O202" s="130" t="s">
        <v>528</v>
      </c>
      <c r="P202" s="130"/>
      <c r="Q202" s="131"/>
      <c r="R202" s="71" t="n">
        <v>0</v>
      </c>
    </row>
    <row r="203" customFormat="false" ht="13.8" hidden="false" customHeight="false" outlineLevel="0" collapsed="false">
      <c r="A203" s="68" t="s">
        <v>210</v>
      </c>
      <c r="B203" s="68" t="n">
        <v>12</v>
      </c>
      <c r="C203" s="69" t="n">
        <v>625</v>
      </c>
      <c r="D203" s="69" t="n">
        <v>6930861</v>
      </c>
      <c r="E203" s="69" t="n">
        <v>0</v>
      </c>
      <c r="F203" s="69" t="n">
        <v>0</v>
      </c>
      <c r="G203" s="69" t="n">
        <v>0</v>
      </c>
      <c r="H203" s="69" t="n">
        <f aca="false">D203+F203-J203</f>
        <v>0</v>
      </c>
      <c r="I203" s="69" t="n">
        <v>625</v>
      </c>
      <c r="J203" s="69" t="n">
        <v>6930861</v>
      </c>
      <c r="K203" s="139" t="n">
        <f aca="false">J203/I203</f>
        <v>11089.3776</v>
      </c>
      <c r="L203" s="129" t="n">
        <v>201</v>
      </c>
      <c r="M203" s="130" t="s">
        <v>589</v>
      </c>
      <c r="N203" s="130" t="s">
        <v>168</v>
      </c>
      <c r="O203" s="130" t="s">
        <v>528</v>
      </c>
      <c r="P203" s="130"/>
      <c r="Q203" s="131"/>
      <c r="R203" s="71" t="n">
        <v>0</v>
      </c>
    </row>
    <row r="204" customFormat="false" ht="13.8" hidden="false" customHeight="false" outlineLevel="0" collapsed="false">
      <c r="A204" s="68" t="s">
        <v>211</v>
      </c>
      <c r="B204" s="68" t="n">
        <v>12</v>
      </c>
      <c r="C204" s="69" t="n">
        <v>0</v>
      </c>
      <c r="D204" s="69" t="n">
        <v>0</v>
      </c>
      <c r="E204" s="69" t="n">
        <v>115</v>
      </c>
      <c r="F204" s="69" t="n">
        <v>2133360</v>
      </c>
      <c r="G204" s="69" t="n">
        <v>0</v>
      </c>
      <c r="H204" s="69" t="n">
        <f aca="false">D204+F204-J204</f>
        <v>0</v>
      </c>
      <c r="I204" s="69" t="n">
        <v>115</v>
      </c>
      <c r="J204" s="69" t="n">
        <v>2133360</v>
      </c>
      <c r="K204" s="139" t="n">
        <f aca="false">J204/I204</f>
        <v>18550.9565217391</v>
      </c>
      <c r="L204" s="129" t="n">
        <v>202</v>
      </c>
      <c r="M204" s="130" t="s">
        <v>590</v>
      </c>
      <c r="N204" s="130" t="s">
        <v>164</v>
      </c>
      <c r="O204" s="130" t="s">
        <v>528</v>
      </c>
      <c r="P204" s="130"/>
      <c r="Q204" s="131"/>
      <c r="R204" s="71" t="n">
        <v>0</v>
      </c>
    </row>
    <row r="205" customFormat="false" ht="13.8" hidden="false" customHeight="false" outlineLevel="0" collapsed="false">
      <c r="A205" s="68" t="s">
        <v>212</v>
      </c>
      <c r="B205" s="68" t="n">
        <v>12</v>
      </c>
      <c r="C205" s="69" t="n">
        <v>33249</v>
      </c>
      <c r="D205" s="69" t="n">
        <v>411726334</v>
      </c>
      <c r="E205" s="69" t="n">
        <v>6084</v>
      </c>
      <c r="F205" s="69" t="n">
        <v>40227840</v>
      </c>
      <c r="G205" s="69" t="n">
        <v>21793</v>
      </c>
      <c r="H205" s="69" t="n">
        <f aca="false">D205+F205-J205</f>
        <v>234183600</v>
      </c>
      <c r="I205" s="69" t="n">
        <v>17540</v>
      </c>
      <c r="J205" s="69" t="n">
        <v>217770574</v>
      </c>
      <c r="K205" s="139" t="n">
        <f aca="false">J205/I205</f>
        <v>12415.6541619156</v>
      </c>
      <c r="L205" s="129" t="n">
        <v>203</v>
      </c>
      <c r="M205" s="130" t="s">
        <v>591</v>
      </c>
      <c r="N205" s="130" t="s">
        <v>165</v>
      </c>
      <c r="O205" s="130" t="s">
        <v>528</v>
      </c>
      <c r="P205" s="130"/>
      <c r="Q205" s="131" t="n">
        <v>0</v>
      </c>
      <c r="R205" s="71" t="n">
        <v>0</v>
      </c>
    </row>
    <row r="206" customFormat="false" ht="13.8" hidden="false" customHeight="false" outlineLevel="0" collapsed="false">
      <c r="A206" s="68" t="s">
        <v>213</v>
      </c>
      <c r="B206" s="68" t="n">
        <v>12</v>
      </c>
      <c r="C206" s="69" t="n">
        <v>3820</v>
      </c>
      <c r="D206" s="69" t="n">
        <v>76529330</v>
      </c>
      <c r="E206" s="69" t="n">
        <v>0</v>
      </c>
      <c r="F206" s="69" t="n">
        <v>0</v>
      </c>
      <c r="G206" s="69" t="n">
        <v>2430</v>
      </c>
      <c r="H206" s="69" t="n">
        <f aca="false">D206+F206-J206</f>
        <v>46999426</v>
      </c>
      <c r="I206" s="69" t="n">
        <v>1390</v>
      </c>
      <c r="J206" s="69" t="n">
        <v>29529904</v>
      </c>
      <c r="K206" s="139" t="n">
        <f aca="false">J206/I206</f>
        <v>21244.5352517986</v>
      </c>
      <c r="L206" s="129" t="n">
        <v>204</v>
      </c>
      <c r="M206" s="130" t="s">
        <v>592</v>
      </c>
      <c r="N206" s="130" t="s">
        <v>166</v>
      </c>
      <c r="O206" s="130" t="s">
        <v>528</v>
      </c>
      <c r="P206" s="130"/>
      <c r="Q206" s="131"/>
      <c r="R206" s="71" t="n">
        <v>0</v>
      </c>
    </row>
    <row r="207" customFormat="false" ht="13.8" hidden="false" customHeight="false" outlineLevel="0" collapsed="false">
      <c r="A207" s="68" t="s">
        <v>214</v>
      </c>
      <c r="B207" s="68" t="n">
        <v>12</v>
      </c>
      <c r="C207" s="69" t="n">
        <v>9946</v>
      </c>
      <c r="D207" s="69" t="n">
        <v>217056384</v>
      </c>
      <c r="E207" s="69" t="n">
        <v>11664</v>
      </c>
      <c r="F207" s="69" t="n">
        <v>287377632</v>
      </c>
      <c r="G207" s="69" t="n">
        <v>11949</v>
      </c>
      <c r="H207" s="69" t="n">
        <f aca="false">D207+F207-J207</f>
        <v>266401600</v>
      </c>
      <c r="I207" s="69" t="n">
        <v>9661</v>
      </c>
      <c r="J207" s="69" t="n">
        <v>238032416</v>
      </c>
      <c r="K207" s="139" t="n">
        <f aca="false">J207/I207</f>
        <v>24638.4862850637</v>
      </c>
      <c r="L207" s="129" t="n">
        <v>205</v>
      </c>
      <c r="M207" s="130" t="s">
        <v>593</v>
      </c>
      <c r="N207" s="130" t="s">
        <v>171</v>
      </c>
      <c r="O207" s="130" t="s">
        <v>528</v>
      </c>
      <c r="P207" s="130"/>
      <c r="Q207" s="131"/>
      <c r="R207" s="71" t="n">
        <v>0</v>
      </c>
    </row>
    <row r="208" customFormat="false" ht="13.8" hidden="false" customHeight="false" outlineLevel="0" collapsed="false">
      <c r="A208" s="68" t="s">
        <v>215</v>
      </c>
      <c r="B208" s="68" t="n">
        <v>12</v>
      </c>
      <c r="C208" s="69" t="n">
        <v>2800</v>
      </c>
      <c r="D208" s="69" t="n">
        <v>111956379</v>
      </c>
      <c r="E208" s="69" t="n">
        <v>0</v>
      </c>
      <c r="F208" s="69" t="n">
        <v>0</v>
      </c>
      <c r="G208" s="69" t="n">
        <v>2241</v>
      </c>
      <c r="H208" s="69" t="n">
        <f aca="false">D208+F208-J208</f>
        <v>88085680</v>
      </c>
      <c r="I208" s="69" t="n">
        <v>559</v>
      </c>
      <c r="J208" s="69" t="n">
        <v>23870699</v>
      </c>
      <c r="K208" s="139" t="n">
        <f aca="false">J208/I208</f>
        <v>42702.5026833632</v>
      </c>
      <c r="L208" s="129" t="n">
        <v>206</v>
      </c>
      <c r="M208" s="130" t="s">
        <v>594</v>
      </c>
      <c r="N208" s="130" t="s">
        <v>172</v>
      </c>
      <c r="O208" s="130" t="s">
        <v>528</v>
      </c>
      <c r="P208" s="130" t="n">
        <v>489</v>
      </c>
      <c r="Q208" s="131" t="n">
        <v>188509</v>
      </c>
      <c r="R208" s="71" t="n">
        <v>92180901</v>
      </c>
    </row>
    <row r="209" customFormat="false" ht="13.8" hidden="false" customHeight="false" outlineLevel="0" collapsed="false">
      <c r="A209" s="68" t="s">
        <v>216</v>
      </c>
      <c r="B209" s="68" t="n">
        <v>12</v>
      </c>
      <c r="C209" s="69" t="n">
        <v>0</v>
      </c>
      <c r="D209" s="69" t="n">
        <v>0</v>
      </c>
      <c r="E209" s="69" t="n">
        <v>160</v>
      </c>
      <c r="F209" s="69" t="n">
        <v>2778080</v>
      </c>
      <c r="G209" s="69" t="n">
        <v>160</v>
      </c>
      <c r="H209" s="69" t="n">
        <f aca="false">D209+F209-J209</f>
        <v>2778080</v>
      </c>
      <c r="I209" s="69" t="n">
        <v>0</v>
      </c>
      <c r="J209" s="69" t="n">
        <v>0</v>
      </c>
      <c r="K209" s="139"/>
      <c r="L209" s="129" t="n">
        <v>207</v>
      </c>
      <c r="M209" s="130" t="s">
        <v>595</v>
      </c>
      <c r="N209" s="130" t="s">
        <v>173</v>
      </c>
      <c r="O209" s="130" t="s">
        <v>528</v>
      </c>
      <c r="P209" s="130" t="n">
        <v>509</v>
      </c>
      <c r="Q209" s="131" t="n">
        <v>188509</v>
      </c>
      <c r="R209" s="71" t="n">
        <v>95951081</v>
      </c>
    </row>
    <row r="210" customFormat="false" ht="13.8" hidden="false" customHeight="false" outlineLevel="0" collapsed="false">
      <c r="A210" s="68" t="s">
        <v>217</v>
      </c>
      <c r="B210" s="68" t="n">
        <v>12</v>
      </c>
      <c r="C210" s="69" t="n">
        <v>10</v>
      </c>
      <c r="D210" s="69" t="n">
        <v>1775003</v>
      </c>
      <c r="E210" s="69" t="n">
        <v>80</v>
      </c>
      <c r="F210" s="69" t="n">
        <v>14456000</v>
      </c>
      <c r="G210" s="69" t="n">
        <v>0</v>
      </c>
      <c r="H210" s="69" t="n">
        <f aca="false">D210+F210-J210</f>
        <v>0</v>
      </c>
      <c r="I210" s="69" t="n">
        <v>90</v>
      </c>
      <c r="J210" s="69" t="n">
        <v>16231003</v>
      </c>
      <c r="K210" s="139" t="n">
        <f aca="false">J210/I210</f>
        <v>180344.477777778</v>
      </c>
      <c r="L210" s="129" t="n">
        <v>208</v>
      </c>
      <c r="M210" s="130" t="s">
        <v>596</v>
      </c>
      <c r="N210" s="130" t="s">
        <v>145</v>
      </c>
      <c r="O210" s="130" t="s">
        <v>528</v>
      </c>
      <c r="P210" s="130"/>
      <c r="Q210" s="131"/>
      <c r="R210" s="71" t="n">
        <v>0</v>
      </c>
    </row>
    <row r="211" customFormat="false" ht="13.8" hidden="false" customHeight="false" outlineLevel="0" collapsed="false">
      <c r="A211" s="68" t="s">
        <v>218</v>
      </c>
      <c r="B211" s="68" t="n">
        <v>12</v>
      </c>
      <c r="C211" s="69" t="n">
        <v>0</v>
      </c>
      <c r="D211" s="69" t="n">
        <v>0</v>
      </c>
      <c r="E211" s="69" t="n">
        <v>50</v>
      </c>
      <c r="F211" s="69" t="n">
        <v>11800000</v>
      </c>
      <c r="G211" s="69" t="n">
        <v>0</v>
      </c>
      <c r="H211" s="69" t="n">
        <f aca="false">D211+F211-J211</f>
        <v>0</v>
      </c>
      <c r="I211" s="69" t="n">
        <v>50</v>
      </c>
      <c r="J211" s="69" t="n">
        <v>11800000</v>
      </c>
      <c r="K211" s="139" t="n">
        <f aca="false">J211/I211</f>
        <v>236000</v>
      </c>
      <c r="L211" s="129" t="n">
        <v>209</v>
      </c>
      <c r="M211" s="130" t="s">
        <v>597</v>
      </c>
      <c r="N211" s="130" t="s">
        <v>598</v>
      </c>
      <c r="O211" s="130" t="s">
        <v>528</v>
      </c>
      <c r="P211" s="130"/>
      <c r="Q211" s="131"/>
      <c r="R211" s="71" t="n">
        <v>0</v>
      </c>
    </row>
    <row r="212" customFormat="false" ht="13.8" hidden="false" customHeight="false" outlineLevel="0" collapsed="false">
      <c r="A212" s="68" t="s">
        <v>219</v>
      </c>
      <c r="B212" s="68" t="n">
        <v>12</v>
      </c>
      <c r="C212" s="69" t="n">
        <v>0</v>
      </c>
      <c r="D212" s="69" t="n">
        <v>0</v>
      </c>
      <c r="E212" s="69" t="n">
        <v>30</v>
      </c>
      <c r="F212" s="69" t="n">
        <v>7080000</v>
      </c>
      <c r="G212" s="69" t="n">
        <v>0</v>
      </c>
      <c r="H212" s="69" t="n">
        <f aca="false">D212+F212-J212</f>
        <v>0</v>
      </c>
      <c r="I212" s="69" t="n">
        <v>30</v>
      </c>
      <c r="J212" s="69" t="n">
        <v>7080000</v>
      </c>
      <c r="K212" s="139" t="n">
        <f aca="false">J212/I212</f>
        <v>236000</v>
      </c>
      <c r="L212" s="129" t="n">
        <v>210</v>
      </c>
      <c r="M212" s="130" t="s">
        <v>599</v>
      </c>
      <c r="N212" s="130" t="s">
        <v>600</v>
      </c>
      <c r="O212" s="130" t="s">
        <v>528</v>
      </c>
      <c r="P212" s="130" t="n">
        <v>144</v>
      </c>
      <c r="Q212" s="131" t="n">
        <v>157091</v>
      </c>
      <c r="R212" s="71" t="n">
        <v>22621104</v>
      </c>
    </row>
    <row r="213" customFormat="false" ht="13.8" hidden="false" customHeight="false" outlineLevel="0" collapsed="false">
      <c r="A213" s="68" t="s">
        <v>220</v>
      </c>
      <c r="B213" s="68" t="n">
        <v>12</v>
      </c>
      <c r="C213" s="69" t="n">
        <v>0</v>
      </c>
      <c r="D213" s="69" t="n">
        <v>0</v>
      </c>
      <c r="E213" s="69" t="n">
        <v>72</v>
      </c>
      <c r="F213" s="69" t="n">
        <v>1847966</v>
      </c>
      <c r="G213" s="69" t="n">
        <v>0</v>
      </c>
      <c r="H213" s="69" t="n">
        <f aca="false">D213+F213-J213</f>
        <v>0</v>
      </c>
      <c r="I213" s="69" t="n">
        <v>72</v>
      </c>
      <c r="J213" s="69" t="n">
        <v>1847966</v>
      </c>
      <c r="K213" s="139" t="n">
        <f aca="false">J213/I213</f>
        <v>25666.1944444444</v>
      </c>
      <c r="L213" s="129" t="n">
        <v>211</v>
      </c>
      <c r="M213" s="130" t="s">
        <v>601</v>
      </c>
      <c r="N213" s="130" t="s">
        <v>602</v>
      </c>
      <c r="O213" s="130" t="s">
        <v>528</v>
      </c>
      <c r="P213" s="130" t="n">
        <v>149</v>
      </c>
      <c r="Q213" s="131" t="n">
        <v>157091</v>
      </c>
      <c r="R213" s="71" t="n">
        <v>23406559</v>
      </c>
    </row>
    <row r="214" customFormat="false" ht="13.8" hidden="false" customHeight="false" outlineLevel="0" collapsed="false">
      <c r="A214" s="68" t="s">
        <v>221</v>
      </c>
      <c r="B214" s="68" t="n">
        <v>12</v>
      </c>
      <c r="C214" s="69" t="n">
        <v>4178</v>
      </c>
      <c r="D214" s="69" t="n">
        <v>81823781</v>
      </c>
      <c r="E214" s="69" t="n">
        <v>1656</v>
      </c>
      <c r="F214" s="69" t="n">
        <v>32608296</v>
      </c>
      <c r="G214" s="69" t="n">
        <v>1904</v>
      </c>
      <c r="H214" s="69" t="n">
        <f aca="false">D214+F214-J214</f>
        <v>37346362</v>
      </c>
      <c r="I214" s="69" t="n">
        <v>3930</v>
      </c>
      <c r="J214" s="69" t="n">
        <v>77085715</v>
      </c>
      <c r="K214" s="139" t="n">
        <f aca="false">J214/I214</f>
        <v>19614.6857506361</v>
      </c>
      <c r="L214" s="129" t="n">
        <v>212</v>
      </c>
      <c r="M214" s="130" t="s">
        <v>603</v>
      </c>
      <c r="N214" s="130" t="s">
        <v>604</v>
      </c>
      <c r="O214" s="130" t="s">
        <v>528</v>
      </c>
      <c r="P214" s="130"/>
      <c r="Q214" s="131"/>
      <c r="R214" s="71" t="n">
        <v>0</v>
      </c>
    </row>
    <row r="215" customFormat="false" ht="13.8" hidden="false" customHeight="false" outlineLevel="0" collapsed="false">
      <c r="A215" s="68" t="s">
        <v>222</v>
      </c>
      <c r="B215" s="68" t="n">
        <v>12</v>
      </c>
      <c r="C215" s="69" t="n">
        <v>1066</v>
      </c>
      <c r="D215" s="69" t="n">
        <v>22876165</v>
      </c>
      <c r="E215" s="69" t="n">
        <v>0</v>
      </c>
      <c r="F215" s="69" t="n">
        <v>0</v>
      </c>
      <c r="G215" s="69" t="n">
        <v>304</v>
      </c>
      <c r="H215" s="69" t="n">
        <f aca="false">D215+F215-J215</f>
        <v>3734008</v>
      </c>
      <c r="I215" s="69" t="n">
        <v>762</v>
      </c>
      <c r="J215" s="69" t="n">
        <v>19142157</v>
      </c>
      <c r="K215" s="139" t="n">
        <f aca="false">J215/I215</f>
        <v>25120.9409448819</v>
      </c>
      <c r="L215" s="129" t="n">
        <v>213</v>
      </c>
      <c r="M215" s="130" t="s">
        <v>605</v>
      </c>
      <c r="N215" s="130" t="s">
        <v>606</v>
      </c>
      <c r="O215" s="130" t="s">
        <v>528</v>
      </c>
      <c r="P215" s="130"/>
      <c r="Q215" s="131"/>
      <c r="R215" s="71" t="n">
        <v>0</v>
      </c>
    </row>
    <row r="216" customFormat="false" ht="13.8" hidden="false" customHeight="false" outlineLevel="0" collapsed="false">
      <c r="A216" s="68" t="s">
        <v>223</v>
      </c>
      <c r="B216" s="68" t="n">
        <v>12</v>
      </c>
      <c r="C216" s="69" t="n">
        <v>337</v>
      </c>
      <c r="D216" s="69" t="n">
        <v>14575142</v>
      </c>
      <c r="E216" s="69" t="n">
        <v>0</v>
      </c>
      <c r="F216" s="69" t="n">
        <v>0</v>
      </c>
      <c r="G216" s="69" t="n">
        <v>90</v>
      </c>
      <c r="H216" s="69" t="n">
        <f aca="false">D216+F216-J216</f>
        <v>3892471</v>
      </c>
      <c r="I216" s="69" t="n">
        <v>247</v>
      </c>
      <c r="J216" s="69" t="n">
        <v>10682671</v>
      </c>
      <c r="K216" s="139" t="n">
        <f aca="false">J216/I216</f>
        <v>43249.6801619433</v>
      </c>
      <c r="L216" s="129" t="n">
        <v>214</v>
      </c>
      <c r="M216" s="130" t="s">
        <v>607</v>
      </c>
      <c r="N216" s="130" t="s">
        <v>608</v>
      </c>
      <c r="O216" s="130" t="s">
        <v>528</v>
      </c>
      <c r="P216" s="130"/>
      <c r="Q216" s="131"/>
      <c r="R216" s="71" t="n">
        <v>0</v>
      </c>
    </row>
    <row r="217" customFormat="false" ht="13.8" hidden="false" customHeight="false" outlineLevel="0" collapsed="false">
      <c r="A217" s="68" t="s">
        <v>224</v>
      </c>
      <c r="B217" s="68" t="n">
        <v>12</v>
      </c>
      <c r="C217" s="69" t="n">
        <v>0</v>
      </c>
      <c r="D217" s="69" t="n">
        <v>0</v>
      </c>
      <c r="E217" s="69" t="n">
        <v>0</v>
      </c>
      <c r="F217" s="69" t="n">
        <v>0</v>
      </c>
      <c r="G217" s="69" t="n">
        <v>0</v>
      </c>
      <c r="H217" s="69" t="n">
        <f aca="false">D217+F217-J217</f>
        <v>0</v>
      </c>
      <c r="I217" s="69" t="n">
        <v>0</v>
      </c>
      <c r="J217" s="69" t="n">
        <v>0</v>
      </c>
      <c r="K217" s="139"/>
      <c r="L217" s="129" t="n">
        <v>215</v>
      </c>
      <c r="M217" s="130" t="s">
        <v>609</v>
      </c>
      <c r="N217" s="130" t="s">
        <v>610</v>
      </c>
      <c r="O217" s="130" t="s">
        <v>528</v>
      </c>
      <c r="P217" s="130"/>
      <c r="Q217" s="131"/>
      <c r="R217" s="71" t="n">
        <v>0</v>
      </c>
    </row>
    <row r="218" customFormat="false" ht="13.8" hidden="false" customHeight="false" outlineLevel="0" collapsed="false">
      <c r="A218" s="68" t="s">
        <v>225</v>
      </c>
      <c r="B218" s="68" t="n">
        <v>12</v>
      </c>
      <c r="C218" s="69" t="n">
        <v>268</v>
      </c>
      <c r="D218" s="69" t="n">
        <v>5622934</v>
      </c>
      <c r="E218" s="69" t="n">
        <v>144</v>
      </c>
      <c r="F218" s="69" t="n">
        <v>3021278</v>
      </c>
      <c r="G218" s="69" t="n">
        <v>180</v>
      </c>
      <c r="H218" s="69" t="n">
        <f aca="false">D218+F218-J218</f>
        <v>3776597</v>
      </c>
      <c r="I218" s="69" t="n">
        <v>232</v>
      </c>
      <c r="J218" s="69" t="n">
        <v>4867615</v>
      </c>
      <c r="K218" s="139" t="n">
        <f aca="false">J218/I218</f>
        <v>20981.099137931</v>
      </c>
      <c r="L218" s="129" t="n">
        <v>216</v>
      </c>
      <c r="M218" s="130" t="s">
        <v>611</v>
      </c>
      <c r="N218" s="130" t="s">
        <v>147</v>
      </c>
      <c r="O218" s="130" t="s">
        <v>528</v>
      </c>
      <c r="P218" s="130"/>
      <c r="Q218" s="131"/>
      <c r="R218" s="71" t="n">
        <v>0</v>
      </c>
    </row>
    <row r="219" customFormat="false" ht="13.8" hidden="false" customHeight="false" outlineLevel="0" collapsed="false">
      <c r="A219" s="68" t="s">
        <v>226</v>
      </c>
      <c r="B219" s="68" t="n">
        <v>12</v>
      </c>
      <c r="C219" s="69" t="n">
        <v>0</v>
      </c>
      <c r="D219" s="69" t="n">
        <v>0</v>
      </c>
      <c r="E219" s="69" t="n">
        <v>0</v>
      </c>
      <c r="F219" s="69" t="n">
        <v>0</v>
      </c>
      <c r="G219" s="69" t="n">
        <v>0</v>
      </c>
      <c r="H219" s="69" t="n">
        <f aca="false">D219+F219-J219</f>
        <v>0</v>
      </c>
      <c r="I219" s="69" t="n">
        <v>0</v>
      </c>
      <c r="J219" s="69" t="n">
        <v>0</v>
      </c>
      <c r="K219" s="139"/>
      <c r="L219" s="129" t="n">
        <v>217</v>
      </c>
      <c r="M219" s="130" t="s">
        <v>612</v>
      </c>
      <c r="N219" s="130" t="s">
        <v>613</v>
      </c>
      <c r="O219" s="130" t="s">
        <v>528</v>
      </c>
      <c r="P219" s="130"/>
      <c r="Q219" s="131"/>
      <c r="R219" s="71" t="n">
        <v>0</v>
      </c>
    </row>
    <row r="220" customFormat="false" ht="13.8" hidden="false" customHeight="false" outlineLevel="0" collapsed="false">
      <c r="A220" s="68" t="s">
        <v>227</v>
      </c>
      <c r="B220" s="68" t="n">
        <v>12</v>
      </c>
      <c r="C220" s="69" t="n">
        <v>470</v>
      </c>
      <c r="D220" s="69" t="n">
        <v>0</v>
      </c>
      <c r="E220" s="69"/>
      <c r="F220" s="69" t="n">
        <v>0</v>
      </c>
      <c r="G220" s="69" t="n">
        <v>0</v>
      </c>
      <c r="H220" s="69" t="n">
        <f aca="false">D220+F220-J220</f>
        <v>0</v>
      </c>
      <c r="I220" s="69"/>
      <c r="J220" s="69" t="n">
        <v>0</v>
      </c>
      <c r="K220" s="139"/>
      <c r="L220" s="129" t="n">
        <v>218</v>
      </c>
      <c r="M220" s="130" t="s">
        <v>614</v>
      </c>
      <c r="N220" s="130" t="s">
        <v>148</v>
      </c>
      <c r="O220" s="130" t="s">
        <v>528</v>
      </c>
      <c r="P220" s="130"/>
      <c r="Q220" s="131"/>
      <c r="R220" s="71" t="n">
        <v>0</v>
      </c>
    </row>
    <row r="221" customFormat="false" ht="13.8" hidden="false" customHeight="false" outlineLevel="0" collapsed="false">
      <c r="A221" s="68" t="s">
        <v>228</v>
      </c>
      <c r="B221" s="68" t="n">
        <v>12</v>
      </c>
      <c r="C221" s="69" t="n">
        <v>67</v>
      </c>
      <c r="D221" s="69" t="n">
        <v>5925955</v>
      </c>
      <c r="E221" s="69" t="n">
        <v>56</v>
      </c>
      <c r="F221" s="69" t="n">
        <v>4917248</v>
      </c>
      <c r="G221" s="69" t="n">
        <v>0</v>
      </c>
      <c r="H221" s="69" t="n">
        <f aca="false">D221+F221-J221</f>
        <v>0</v>
      </c>
      <c r="I221" s="69" t="n">
        <v>123</v>
      </c>
      <c r="J221" s="69" t="n">
        <v>10843203</v>
      </c>
      <c r="K221" s="139" t="n">
        <f aca="false">J221/I221</f>
        <v>88156.1219512195</v>
      </c>
      <c r="L221" s="129" t="n">
        <v>219</v>
      </c>
      <c r="M221" s="130" t="s">
        <v>615</v>
      </c>
      <c r="N221" s="130" t="s">
        <v>616</v>
      </c>
      <c r="O221" s="130" t="s">
        <v>528</v>
      </c>
      <c r="P221" s="130"/>
      <c r="Q221" s="131"/>
      <c r="R221" s="71" t="n">
        <v>0</v>
      </c>
    </row>
    <row r="222" customFormat="false" ht="13.8" hidden="false" customHeight="false" outlineLevel="0" collapsed="false">
      <c r="A222" s="68" t="s">
        <v>229</v>
      </c>
      <c r="B222" s="68" t="n">
        <v>12</v>
      </c>
      <c r="C222" s="69" t="n">
        <v>2747</v>
      </c>
      <c r="D222" s="69" t="n">
        <v>247783362</v>
      </c>
      <c r="E222" s="69" t="n">
        <v>412</v>
      </c>
      <c r="F222" s="69" t="n">
        <v>36610448</v>
      </c>
      <c r="G222" s="69" t="n">
        <v>2933</v>
      </c>
      <c r="H222" s="69" t="n">
        <f aca="false">D222+F222-J222</f>
        <v>263286766</v>
      </c>
      <c r="I222" s="69" t="n">
        <v>226</v>
      </c>
      <c r="J222" s="69" t="n">
        <v>21107044</v>
      </c>
      <c r="K222" s="139" t="n">
        <f aca="false">J222/I222</f>
        <v>93394</v>
      </c>
      <c r="L222" s="129" t="n">
        <v>220</v>
      </c>
      <c r="M222" s="130" t="s">
        <v>617</v>
      </c>
      <c r="N222" s="130" t="s">
        <v>618</v>
      </c>
      <c r="O222" s="130" t="s">
        <v>528</v>
      </c>
      <c r="P222" s="130"/>
      <c r="Q222" s="131"/>
      <c r="R222" s="71" t="n">
        <v>0</v>
      </c>
    </row>
    <row r="223" customFormat="false" ht="13.8" hidden="false" customHeight="false" outlineLevel="0" collapsed="false">
      <c r="A223" s="68" t="s">
        <v>230</v>
      </c>
      <c r="B223" s="68" t="n">
        <v>12</v>
      </c>
      <c r="C223" s="69" t="n">
        <v>1429</v>
      </c>
      <c r="D223" s="69" t="n">
        <v>91033464</v>
      </c>
      <c r="E223" s="69" t="n">
        <v>924</v>
      </c>
      <c r="F223" s="69" t="n">
        <v>52136000</v>
      </c>
      <c r="G223" s="69" t="n">
        <v>2107</v>
      </c>
      <c r="H223" s="69" t="n">
        <f aca="false">D223+F223-J223</f>
        <v>127167097</v>
      </c>
      <c r="I223" s="69" t="n">
        <v>246</v>
      </c>
      <c r="J223" s="69" t="n">
        <v>16002367</v>
      </c>
      <c r="K223" s="139" t="n">
        <f aca="false">J223/I223</f>
        <v>65050.2723577236</v>
      </c>
      <c r="L223" s="129" t="n">
        <v>221</v>
      </c>
      <c r="M223" s="130" t="s">
        <v>619</v>
      </c>
      <c r="N223" s="130" t="s">
        <v>150</v>
      </c>
      <c r="O223" s="130" t="s">
        <v>528</v>
      </c>
      <c r="P223" s="130"/>
      <c r="Q223" s="131"/>
      <c r="R223" s="71" t="n">
        <v>0</v>
      </c>
    </row>
    <row r="224" customFormat="false" ht="13.8" hidden="false" customHeight="false" outlineLevel="0" collapsed="false">
      <c r="A224" s="68" t="s">
        <v>231</v>
      </c>
      <c r="B224" s="68" t="n">
        <v>12</v>
      </c>
      <c r="C224" s="69" t="n">
        <v>0</v>
      </c>
      <c r="D224" s="69" t="n">
        <v>0</v>
      </c>
      <c r="E224" s="69" t="n">
        <v>0</v>
      </c>
      <c r="F224" s="69" t="n">
        <v>0</v>
      </c>
      <c r="G224" s="69" t="n">
        <v>0</v>
      </c>
      <c r="H224" s="69" t="n">
        <f aca="false">D224+F224-J224</f>
        <v>0</v>
      </c>
      <c r="I224" s="69" t="n">
        <v>0</v>
      </c>
      <c r="J224" s="69" t="n">
        <v>0</v>
      </c>
      <c r="K224" s="139" t="e">
        <f aca="false">J224/I224</f>
        <v>#DIV/0!</v>
      </c>
      <c r="L224" s="129" t="n">
        <v>222</v>
      </c>
      <c r="M224" s="130" t="s">
        <v>620</v>
      </c>
      <c r="N224" s="130" t="s">
        <v>153</v>
      </c>
      <c r="O224" s="130" t="s">
        <v>528</v>
      </c>
      <c r="P224" s="130"/>
      <c r="Q224" s="131"/>
      <c r="R224" s="71" t="n">
        <v>0</v>
      </c>
    </row>
    <row r="225" customFormat="false" ht="13.8" hidden="false" customHeight="false" outlineLevel="0" collapsed="false">
      <c r="A225" s="68" t="s">
        <v>232</v>
      </c>
      <c r="B225" s="68" t="n">
        <v>12</v>
      </c>
      <c r="C225" s="69" t="n">
        <v>897</v>
      </c>
      <c r="D225" s="69" t="n">
        <v>54866918</v>
      </c>
      <c r="E225" s="69" t="n">
        <v>389</v>
      </c>
      <c r="F225" s="69" t="n">
        <v>22866732</v>
      </c>
      <c r="G225" s="69" t="n">
        <v>665</v>
      </c>
      <c r="H225" s="69" t="n">
        <f aca="false">D225+F225-J225</f>
        <v>40196639</v>
      </c>
      <c r="I225" s="69" t="n">
        <v>621</v>
      </c>
      <c r="J225" s="69" t="n">
        <v>37537011</v>
      </c>
      <c r="K225" s="139" t="n">
        <f aca="false">J225/I225</f>
        <v>60446.0724637681</v>
      </c>
      <c r="L225" s="129" t="n">
        <v>223</v>
      </c>
      <c r="M225" s="130" t="s">
        <v>621</v>
      </c>
      <c r="N225" s="130" t="s">
        <v>159</v>
      </c>
      <c r="O225" s="130" t="s">
        <v>528</v>
      </c>
      <c r="P225" s="130" t="n">
        <v>59</v>
      </c>
      <c r="Q225" s="131" t="n">
        <v>264273</v>
      </c>
      <c r="R225" s="71" t="n">
        <v>15592107</v>
      </c>
    </row>
    <row r="226" customFormat="false" ht="13.8" hidden="false" customHeight="false" outlineLevel="0" collapsed="false">
      <c r="A226" s="68" t="s">
        <v>233</v>
      </c>
      <c r="B226" s="68" t="n">
        <v>12</v>
      </c>
      <c r="C226" s="69" t="n">
        <v>5775</v>
      </c>
      <c r="D226" s="69" t="n">
        <v>348275500</v>
      </c>
      <c r="E226" s="69" t="n">
        <v>2032</v>
      </c>
      <c r="F226" s="69" t="n">
        <v>100352000</v>
      </c>
      <c r="G226" s="69" t="n">
        <v>5082</v>
      </c>
      <c r="H226" s="69" t="n">
        <f aca="false">D226+F226-J226</f>
        <v>277727259</v>
      </c>
      <c r="I226" s="69" t="n">
        <v>2725</v>
      </c>
      <c r="J226" s="69" t="n">
        <v>170900241</v>
      </c>
      <c r="K226" s="139" t="n">
        <f aca="false">J226/I226</f>
        <v>62715.6847706422</v>
      </c>
      <c r="L226" s="129" t="n">
        <v>224</v>
      </c>
      <c r="M226" s="130" t="s">
        <v>622</v>
      </c>
      <c r="N226" s="130" t="s">
        <v>160</v>
      </c>
      <c r="O226" s="130" t="s">
        <v>528</v>
      </c>
      <c r="P226" s="130" t="n">
        <v>4</v>
      </c>
      <c r="Q226" s="131" t="n">
        <v>264273</v>
      </c>
      <c r="R226" s="71" t="n">
        <v>1057092</v>
      </c>
    </row>
    <row r="227" customFormat="false" ht="13.8" hidden="false" customHeight="false" outlineLevel="0" collapsed="false">
      <c r="A227" s="68" t="s">
        <v>234</v>
      </c>
      <c r="B227" s="68" t="n">
        <v>12</v>
      </c>
      <c r="C227" s="69" t="n">
        <v>22923</v>
      </c>
      <c r="D227" s="69" t="n">
        <v>1293167657</v>
      </c>
      <c r="E227" s="69" t="n">
        <v>17433</v>
      </c>
      <c r="F227" s="69" t="n">
        <v>905972760</v>
      </c>
      <c r="G227" s="69" t="n">
        <v>25056</v>
      </c>
      <c r="H227" s="69" t="n">
        <f aca="false">D227+F227-J227</f>
        <v>1286033703</v>
      </c>
      <c r="I227" s="69" t="n">
        <v>15300</v>
      </c>
      <c r="J227" s="69" t="n">
        <v>913106714</v>
      </c>
      <c r="K227" s="139" t="n">
        <f aca="false">J227/I227</f>
        <v>59680.1773856209</v>
      </c>
      <c r="L227" s="129" t="n">
        <v>225</v>
      </c>
      <c r="M227" s="130" t="s">
        <v>623</v>
      </c>
      <c r="N227" s="130" t="s">
        <v>158</v>
      </c>
      <c r="O227" s="130" t="s">
        <v>528</v>
      </c>
      <c r="P227" s="130"/>
      <c r="Q227" s="131"/>
      <c r="R227" s="71" t="n">
        <v>0</v>
      </c>
    </row>
    <row r="228" customFormat="false" ht="13.8" hidden="false" customHeight="false" outlineLevel="0" collapsed="false">
      <c r="A228" s="68" t="s">
        <v>235</v>
      </c>
      <c r="B228" s="68" t="n">
        <v>12</v>
      </c>
      <c r="C228" s="69" t="n">
        <v>322</v>
      </c>
      <c r="D228" s="69" t="n">
        <v>22632087</v>
      </c>
      <c r="E228" s="69" t="n">
        <v>120</v>
      </c>
      <c r="F228" s="69" t="n">
        <v>8467200</v>
      </c>
      <c r="G228" s="69" t="n">
        <v>298</v>
      </c>
      <c r="H228" s="69" t="n">
        <f aca="false">D228+F228-J228</f>
        <v>20967393</v>
      </c>
      <c r="I228" s="69" t="n">
        <v>144</v>
      </c>
      <c r="J228" s="69" t="n">
        <v>10131894</v>
      </c>
      <c r="K228" s="139" t="n">
        <f aca="false">J228/I228</f>
        <v>70360.375</v>
      </c>
      <c r="L228" s="129" t="n">
        <v>226</v>
      </c>
      <c r="M228" s="130" t="s">
        <v>624</v>
      </c>
      <c r="N228" s="130" t="s">
        <v>625</v>
      </c>
      <c r="O228" s="130" t="s">
        <v>528</v>
      </c>
      <c r="P228" s="130"/>
      <c r="Q228" s="131"/>
      <c r="R228" s="71" t="n">
        <v>0</v>
      </c>
    </row>
    <row r="229" customFormat="false" ht="13.8" hidden="false" customHeight="false" outlineLevel="0" collapsed="false">
      <c r="A229" s="68" t="s">
        <v>236</v>
      </c>
      <c r="B229" s="68" t="n">
        <v>12</v>
      </c>
      <c r="C229" s="69" t="n">
        <v>252</v>
      </c>
      <c r="D229" s="69" t="n">
        <v>16163532</v>
      </c>
      <c r="E229" s="69" t="n">
        <v>612</v>
      </c>
      <c r="F229" s="69" t="n">
        <v>37714908</v>
      </c>
      <c r="G229" s="69" t="n">
        <v>463</v>
      </c>
      <c r="H229" s="69" t="n">
        <f aca="false">D229+F229-J229</f>
        <v>28186406</v>
      </c>
      <c r="I229" s="69" t="n">
        <v>401</v>
      </c>
      <c r="J229" s="69" t="n">
        <v>25692034</v>
      </c>
      <c r="K229" s="139" t="n">
        <f aca="false">J229/I229</f>
        <v>64069.9102244389</v>
      </c>
      <c r="L229" s="129" t="n">
        <v>227</v>
      </c>
      <c r="M229" s="130" t="s">
        <v>626</v>
      </c>
      <c r="N229" s="130" t="s">
        <v>627</v>
      </c>
      <c r="O229" s="130" t="s">
        <v>528</v>
      </c>
      <c r="P229" s="130"/>
      <c r="Q229" s="131"/>
      <c r="R229" s="71" t="n">
        <v>0</v>
      </c>
    </row>
    <row r="230" customFormat="false" ht="13.8" hidden="false" customHeight="false" outlineLevel="0" collapsed="false">
      <c r="A230" s="68" t="s">
        <v>237</v>
      </c>
      <c r="B230" s="68" t="n">
        <v>12</v>
      </c>
      <c r="C230" s="69" t="n">
        <v>235</v>
      </c>
      <c r="D230" s="69" t="n">
        <v>1918332</v>
      </c>
      <c r="E230" s="69" t="n">
        <v>235</v>
      </c>
      <c r="F230" s="69" t="n">
        <v>13933150</v>
      </c>
      <c r="G230" s="69" t="n">
        <v>235</v>
      </c>
      <c r="H230" s="69" t="n">
        <f aca="false">D230+F230-J230</f>
        <v>1918332</v>
      </c>
      <c r="I230" s="69" t="n">
        <v>235</v>
      </c>
      <c r="J230" s="69" t="n">
        <v>13933150</v>
      </c>
      <c r="K230" s="139" t="n">
        <f aca="false">J230/I230</f>
        <v>59290</v>
      </c>
      <c r="L230" s="129" t="n">
        <v>228</v>
      </c>
      <c r="M230" s="130" t="s">
        <v>628</v>
      </c>
      <c r="N230" s="130" t="s">
        <v>629</v>
      </c>
      <c r="O230" s="130" t="s">
        <v>528</v>
      </c>
      <c r="P230" s="130"/>
      <c r="Q230" s="131"/>
      <c r="R230" s="71" t="n">
        <v>0</v>
      </c>
    </row>
    <row r="231" customFormat="false" ht="13.8" hidden="false" customHeight="false" outlineLevel="0" collapsed="false">
      <c r="A231" s="68" t="s">
        <v>238</v>
      </c>
      <c r="B231" s="68" t="n">
        <v>12</v>
      </c>
      <c r="C231" s="69" t="n">
        <v>942</v>
      </c>
      <c r="D231" s="69" t="n">
        <v>53507694</v>
      </c>
      <c r="E231" s="69" t="n">
        <v>0</v>
      </c>
      <c r="F231" s="69" t="n">
        <v>0</v>
      </c>
      <c r="G231" s="69" t="n">
        <v>543</v>
      </c>
      <c r="H231" s="69" t="n">
        <f aca="false">D231+F231-J231</f>
        <v>7497893</v>
      </c>
      <c r="I231" s="69" t="n">
        <v>399</v>
      </c>
      <c r="J231" s="69" t="n">
        <v>46009801</v>
      </c>
      <c r="K231" s="139" t="n">
        <f aca="false">J231/I231</f>
        <v>115312.784461153</v>
      </c>
      <c r="L231" s="129" t="n">
        <v>229</v>
      </c>
      <c r="M231" s="130" t="s">
        <v>630</v>
      </c>
      <c r="N231" s="130" t="s">
        <v>631</v>
      </c>
      <c r="O231" s="130" t="s">
        <v>528</v>
      </c>
      <c r="P231" s="130"/>
      <c r="Q231" s="131"/>
      <c r="R231" s="71" t="n">
        <v>0</v>
      </c>
    </row>
    <row r="232" customFormat="false" ht="13.8" hidden="false" customHeight="false" outlineLevel="0" collapsed="false">
      <c r="A232" s="68" t="s">
        <v>239</v>
      </c>
      <c r="B232" s="68" t="n">
        <v>12</v>
      </c>
      <c r="C232" s="69" t="n">
        <v>0</v>
      </c>
      <c r="D232" s="69" t="n">
        <v>0</v>
      </c>
      <c r="E232" s="69" t="n">
        <v>0</v>
      </c>
      <c r="F232" s="69" t="n">
        <v>0</v>
      </c>
      <c r="G232" s="69" t="n">
        <v>0</v>
      </c>
      <c r="H232" s="69" t="n">
        <f aca="false">D232+F232-J232</f>
        <v>0</v>
      </c>
      <c r="I232" s="69" t="n">
        <v>0</v>
      </c>
      <c r="J232" s="69" t="n">
        <v>0</v>
      </c>
      <c r="K232" s="139"/>
      <c r="L232" s="129" t="n">
        <v>230</v>
      </c>
      <c r="M232" s="130" t="s">
        <v>632</v>
      </c>
      <c r="N232" s="130" t="s">
        <v>633</v>
      </c>
      <c r="O232" s="130" t="s">
        <v>528</v>
      </c>
      <c r="P232" s="130"/>
      <c r="Q232" s="131"/>
      <c r="R232" s="71" t="n">
        <v>0</v>
      </c>
    </row>
    <row r="233" customFormat="false" ht="13.8" hidden="false" customHeight="false" outlineLevel="0" collapsed="false">
      <c r="A233" s="68" t="s">
        <v>240</v>
      </c>
      <c r="B233" s="68" t="n">
        <v>12</v>
      </c>
      <c r="C233" s="69" t="n">
        <v>25</v>
      </c>
      <c r="D233" s="69" t="n">
        <v>2337348</v>
      </c>
      <c r="E233" s="69" t="n">
        <v>2030</v>
      </c>
      <c r="F233" s="69" t="n">
        <v>189788760</v>
      </c>
      <c r="G233" s="69" t="n">
        <v>1506</v>
      </c>
      <c r="H233" s="69" t="n">
        <f aca="false">D233+F233-J233</f>
        <v>140798987</v>
      </c>
      <c r="I233" s="69" t="n">
        <v>549</v>
      </c>
      <c r="J233" s="69" t="n">
        <v>51327121</v>
      </c>
      <c r="K233" s="139" t="n">
        <f aca="false">J233/I233</f>
        <v>93492.0236794171</v>
      </c>
      <c r="L233" s="129" t="n">
        <v>231</v>
      </c>
      <c r="M233" s="130" t="s">
        <v>634</v>
      </c>
      <c r="N233" s="130" t="s">
        <v>174</v>
      </c>
      <c r="O233" s="130" t="s">
        <v>528</v>
      </c>
      <c r="P233" s="130" t="n">
        <v>5</v>
      </c>
      <c r="Q233" s="131" t="n">
        <v>274636</v>
      </c>
      <c r="R233" s="71" t="n">
        <v>1373180</v>
      </c>
    </row>
    <row r="234" customFormat="false" ht="13.8" hidden="false" customHeight="false" outlineLevel="0" collapsed="false">
      <c r="A234" s="68" t="s">
        <v>241</v>
      </c>
      <c r="B234" s="68" t="n">
        <v>12</v>
      </c>
      <c r="C234" s="69" t="n">
        <v>1186</v>
      </c>
      <c r="D234" s="69" t="n">
        <v>91489935</v>
      </c>
      <c r="E234" s="69" t="n">
        <v>464</v>
      </c>
      <c r="F234" s="69" t="n">
        <v>32792760</v>
      </c>
      <c r="G234" s="69" t="n">
        <v>769</v>
      </c>
      <c r="H234" s="69" t="n">
        <f aca="false">D234+F234-J234</f>
        <v>51294858</v>
      </c>
      <c r="I234" s="69" t="n">
        <v>881</v>
      </c>
      <c r="J234" s="69" t="n">
        <v>72987837</v>
      </c>
      <c r="K234" s="139" t="n">
        <f aca="false">J234/I234</f>
        <v>82846.5800227015</v>
      </c>
      <c r="L234" s="129" t="n">
        <v>232</v>
      </c>
      <c r="M234" s="130" t="s">
        <v>635</v>
      </c>
      <c r="N234" s="130" t="s">
        <v>162</v>
      </c>
      <c r="O234" s="130" t="s">
        <v>528</v>
      </c>
      <c r="P234" s="130"/>
      <c r="Q234" s="131"/>
      <c r="R234" s="71" t="n">
        <v>0</v>
      </c>
    </row>
    <row r="235" customFormat="false" ht="13.8" hidden="false" customHeight="false" outlineLevel="0" collapsed="false">
      <c r="A235" s="68" t="s">
        <v>242</v>
      </c>
      <c r="B235" s="68" t="n">
        <v>12</v>
      </c>
      <c r="C235" s="69" t="n">
        <v>137</v>
      </c>
      <c r="D235" s="69" t="n">
        <v>9584186</v>
      </c>
      <c r="E235" s="69" t="n">
        <v>54</v>
      </c>
      <c r="F235" s="69" t="n">
        <v>3797010</v>
      </c>
      <c r="G235" s="69" t="n">
        <v>38</v>
      </c>
      <c r="H235" s="69" t="n">
        <f aca="false">D235+F235-J235</f>
        <v>2311934</v>
      </c>
      <c r="I235" s="69" t="n">
        <v>153</v>
      </c>
      <c r="J235" s="69" t="n">
        <v>11069262</v>
      </c>
      <c r="K235" s="139" t="n">
        <f aca="false">J235/I235</f>
        <v>72348.1176470588</v>
      </c>
      <c r="L235" s="129" t="n">
        <v>233</v>
      </c>
      <c r="M235" s="130" t="s">
        <v>636</v>
      </c>
      <c r="N235" s="130" t="s">
        <v>637</v>
      </c>
      <c r="O235" s="130" t="s">
        <v>528</v>
      </c>
      <c r="P235" s="130"/>
      <c r="Q235" s="131"/>
      <c r="R235" s="71" t="n">
        <v>0</v>
      </c>
    </row>
    <row r="236" customFormat="false" ht="13.8" hidden="false" customHeight="false" outlineLevel="0" collapsed="false">
      <c r="A236" s="68" t="s">
        <v>243</v>
      </c>
      <c r="B236" s="68" t="n">
        <v>12</v>
      </c>
      <c r="C236" s="69" t="n">
        <v>1575</v>
      </c>
      <c r="D236" s="69" t="n">
        <v>144885570</v>
      </c>
      <c r="E236" s="69" t="n">
        <v>171</v>
      </c>
      <c r="F236" s="69" t="n">
        <v>15690192</v>
      </c>
      <c r="G236" s="69" t="n">
        <v>1617</v>
      </c>
      <c r="H236" s="69" t="n">
        <f aca="false">D236+F236-J236</f>
        <v>148711917</v>
      </c>
      <c r="I236" s="69" t="n">
        <v>129</v>
      </c>
      <c r="J236" s="69" t="n">
        <v>11863845</v>
      </c>
      <c r="K236" s="139" t="n">
        <f aca="false">J236/I236</f>
        <v>91967.7906976744</v>
      </c>
      <c r="L236" s="129" t="n">
        <v>234</v>
      </c>
      <c r="M236" s="130" t="s">
        <v>638</v>
      </c>
      <c r="N236" s="130" t="s">
        <v>169</v>
      </c>
      <c r="O236" s="130" t="s">
        <v>528</v>
      </c>
      <c r="P236" s="130" t="n">
        <v>670</v>
      </c>
      <c r="Q236" s="131" t="n">
        <v>182083</v>
      </c>
      <c r="R236" s="71" t="n">
        <v>121995610</v>
      </c>
    </row>
    <row r="237" customFormat="false" ht="13.8" hidden="false" customHeight="false" outlineLevel="0" collapsed="false">
      <c r="A237" s="68" t="s">
        <v>244</v>
      </c>
      <c r="B237" s="68" t="n">
        <v>12</v>
      </c>
      <c r="C237" s="69" t="n">
        <v>4</v>
      </c>
      <c r="D237" s="69" t="n">
        <v>351232</v>
      </c>
      <c r="E237" s="69" t="n">
        <v>48</v>
      </c>
      <c r="F237" s="69" t="n">
        <v>4214784</v>
      </c>
      <c r="G237" s="69" t="n">
        <v>52</v>
      </c>
      <c r="H237" s="69" t="n">
        <f aca="false">D237+F237-J237</f>
        <v>4566016</v>
      </c>
      <c r="I237" s="69" t="n">
        <v>0</v>
      </c>
      <c r="J237" s="69" t="n">
        <v>0</v>
      </c>
      <c r="K237" s="139"/>
      <c r="L237" s="129" t="n">
        <v>235</v>
      </c>
      <c r="M237" s="130" t="s">
        <v>639</v>
      </c>
      <c r="N237" s="130" t="s">
        <v>152</v>
      </c>
      <c r="O237" s="130" t="s">
        <v>528</v>
      </c>
      <c r="P237" s="130"/>
      <c r="Q237" s="131"/>
      <c r="R237" s="71" t="n">
        <v>0</v>
      </c>
    </row>
    <row r="238" customFormat="false" ht="13.8" hidden="false" customHeight="false" outlineLevel="0" collapsed="false">
      <c r="A238" s="68" t="s">
        <v>245</v>
      </c>
      <c r="B238" s="68" t="n">
        <v>12</v>
      </c>
      <c r="C238" s="69" t="n">
        <v>0</v>
      </c>
      <c r="D238" s="69" t="n">
        <v>0</v>
      </c>
      <c r="E238" s="69" t="n">
        <v>0</v>
      </c>
      <c r="F238" s="69" t="n">
        <v>0</v>
      </c>
      <c r="G238" s="69" t="n">
        <v>0</v>
      </c>
      <c r="H238" s="69" t="n">
        <f aca="false">D238+F238-J238</f>
        <v>0</v>
      </c>
      <c r="I238" s="69" t="n">
        <v>0</v>
      </c>
      <c r="J238" s="69" t="n">
        <v>0</v>
      </c>
      <c r="K238" s="139"/>
      <c r="L238" s="129" t="n">
        <v>236</v>
      </c>
      <c r="M238" s="130" t="s">
        <v>640</v>
      </c>
      <c r="N238" s="130" t="s">
        <v>641</v>
      </c>
      <c r="O238" s="130" t="s">
        <v>311</v>
      </c>
      <c r="P238" s="130"/>
      <c r="Q238" s="131"/>
      <c r="R238" s="71" t="n">
        <v>0</v>
      </c>
    </row>
    <row r="239" customFormat="false" ht="13.8" hidden="false" customHeight="false" outlineLevel="0" collapsed="false">
      <c r="A239" s="68" t="s">
        <v>246</v>
      </c>
      <c r="B239" s="68" t="n">
        <v>12</v>
      </c>
      <c r="C239" s="69" t="n">
        <v>8756</v>
      </c>
      <c r="D239" s="69" t="n">
        <v>62408741</v>
      </c>
      <c r="E239" s="69" t="n">
        <v>1920</v>
      </c>
      <c r="F239" s="69" t="n">
        <v>13684878</v>
      </c>
      <c r="G239" s="69" t="n">
        <v>135</v>
      </c>
      <c r="H239" s="69" t="n">
        <f aca="false">D239+F239-J239</f>
        <v>962218</v>
      </c>
      <c r="I239" s="69" t="n">
        <v>10541</v>
      </c>
      <c r="J239" s="69" t="n">
        <v>75131401</v>
      </c>
      <c r="K239" s="139" t="n">
        <f aca="false">J239/I239</f>
        <v>7127.54017645385</v>
      </c>
      <c r="L239" s="129" t="n">
        <v>237</v>
      </c>
      <c r="M239" s="130" t="s">
        <v>642</v>
      </c>
      <c r="N239" s="130" t="s">
        <v>643</v>
      </c>
      <c r="O239" s="130" t="s">
        <v>303</v>
      </c>
      <c r="P239" s="130"/>
      <c r="Q239" s="131"/>
      <c r="R239" s="71" t="n">
        <v>0</v>
      </c>
    </row>
    <row r="240" customFormat="false" ht="13.8" hidden="false" customHeight="false" outlineLevel="0" collapsed="false">
      <c r="A240" s="68" t="s">
        <v>247</v>
      </c>
      <c r="B240" s="68" t="n">
        <v>12</v>
      </c>
      <c r="C240" s="69" t="n">
        <v>43404</v>
      </c>
      <c r="D240" s="69" t="n">
        <v>288267066</v>
      </c>
      <c r="E240" s="69" t="n">
        <v>2880</v>
      </c>
      <c r="F240" s="69" t="n">
        <v>20527315</v>
      </c>
      <c r="G240" s="69" t="n">
        <v>3104</v>
      </c>
      <c r="H240" s="69" t="n">
        <f aca="false">D240+F240-J240</f>
        <v>1027447</v>
      </c>
      <c r="I240" s="69" t="n">
        <v>43180</v>
      </c>
      <c r="J240" s="69" t="n">
        <v>307766934</v>
      </c>
      <c r="K240" s="139" t="n">
        <f aca="false">J240/I240</f>
        <v>7127.53436776285</v>
      </c>
      <c r="L240" s="129" t="n">
        <v>238</v>
      </c>
      <c r="M240" s="130" t="s">
        <v>644</v>
      </c>
      <c r="N240" s="130" t="s">
        <v>645</v>
      </c>
      <c r="O240" s="130" t="s">
        <v>303</v>
      </c>
      <c r="P240" s="130"/>
      <c r="Q240" s="131"/>
      <c r="R240" s="71" t="n">
        <v>0</v>
      </c>
    </row>
    <row r="241" customFormat="false" ht="13.8" hidden="false" customHeight="false" outlineLevel="0" collapsed="false">
      <c r="A241" s="68" t="s">
        <v>248</v>
      </c>
      <c r="B241" s="68" t="n">
        <v>12</v>
      </c>
      <c r="C241" s="69" t="n">
        <v>384</v>
      </c>
      <c r="D241" s="69" t="n">
        <v>1852721</v>
      </c>
      <c r="E241" s="69" t="n">
        <v>0</v>
      </c>
      <c r="F241" s="69" t="n">
        <v>0</v>
      </c>
      <c r="G241" s="69" t="n">
        <v>0</v>
      </c>
      <c r="H241" s="69" t="n">
        <f aca="false">D241+F241-J241</f>
        <v>0</v>
      </c>
      <c r="I241" s="69" t="n">
        <v>384</v>
      </c>
      <c r="J241" s="69" t="n">
        <v>1852721</v>
      </c>
      <c r="K241" s="139" t="n">
        <f aca="false">J241/I241</f>
        <v>4824.79427083333</v>
      </c>
      <c r="L241" s="129" t="n">
        <v>239</v>
      </c>
      <c r="M241" s="130" t="s">
        <v>646</v>
      </c>
      <c r="N241" s="130" t="s">
        <v>193</v>
      </c>
      <c r="O241" s="130" t="s">
        <v>528</v>
      </c>
      <c r="P241" s="130" t="n">
        <v>250</v>
      </c>
      <c r="Q241" s="131" t="n">
        <v>213651.57</v>
      </c>
      <c r="R241" s="71" t="n">
        <v>53412892.5</v>
      </c>
    </row>
    <row r="242" customFormat="false" ht="13.8" hidden="false" customHeight="false" outlineLevel="0" collapsed="false">
      <c r="A242" s="68" t="s">
        <v>249</v>
      </c>
      <c r="B242" s="68" t="n">
        <v>12</v>
      </c>
      <c r="C242" s="69" t="n">
        <v>420</v>
      </c>
      <c r="D242" s="69" t="n">
        <v>1974630</v>
      </c>
      <c r="E242" s="69" t="n">
        <v>271</v>
      </c>
      <c r="F242" s="69" t="n">
        <v>0</v>
      </c>
      <c r="G242" s="69" t="n">
        <v>0</v>
      </c>
      <c r="H242" s="69" t="n">
        <f aca="false">D242+F242-J242</f>
        <v>0</v>
      </c>
      <c r="I242" s="69" t="n">
        <v>691</v>
      </c>
      <c r="J242" s="69" t="n">
        <v>1974630</v>
      </c>
      <c r="K242" s="139" t="n">
        <f aca="false">J242/I242</f>
        <v>2857.64109985528</v>
      </c>
      <c r="L242" s="129" t="n">
        <v>240</v>
      </c>
      <c r="M242" s="130" t="s">
        <v>647</v>
      </c>
      <c r="N242" s="130" t="s">
        <v>195</v>
      </c>
      <c r="O242" s="130" t="s">
        <v>528</v>
      </c>
      <c r="P242" s="130" t="n">
        <v>9805</v>
      </c>
      <c r="Q242" s="131" t="n">
        <v>213651.57</v>
      </c>
      <c r="R242" s="71" t="n">
        <v>2094853643.85</v>
      </c>
    </row>
    <row r="243" customFormat="false" ht="13.8" hidden="false" customHeight="false" outlineLevel="0" collapsed="false">
      <c r="A243" s="68" t="s">
        <v>250</v>
      </c>
      <c r="B243" s="68" t="n">
        <v>12</v>
      </c>
      <c r="C243" s="69" t="n">
        <v>16561</v>
      </c>
      <c r="D243" s="69" t="n">
        <v>169801355</v>
      </c>
      <c r="E243" s="69" t="n">
        <v>20781</v>
      </c>
      <c r="F243" s="69" t="n">
        <v>199603082</v>
      </c>
      <c r="G243" s="69" t="n">
        <v>11497</v>
      </c>
      <c r="H243" s="69" t="n">
        <f aca="false">D243+F243-J243</f>
        <v>185196842</v>
      </c>
      <c r="I243" s="69" t="n">
        <v>25845</v>
      </c>
      <c r="J243" s="69" t="n">
        <v>184207595</v>
      </c>
      <c r="K243" s="139" t="n">
        <f aca="false">J243/I243</f>
        <v>7127.3977558522</v>
      </c>
      <c r="L243" s="129" t="n">
        <v>241</v>
      </c>
      <c r="M243" s="130" t="s">
        <v>648</v>
      </c>
      <c r="N243" s="130" t="s">
        <v>649</v>
      </c>
      <c r="O243" s="130" t="s">
        <v>303</v>
      </c>
      <c r="P243" s="130"/>
      <c r="Q243" s="131"/>
      <c r="R243" s="71" t="n">
        <v>0</v>
      </c>
    </row>
    <row r="244" customFormat="false" ht="13.8" hidden="false" customHeight="false" outlineLevel="0" collapsed="false">
      <c r="A244" s="68" t="s">
        <v>251</v>
      </c>
      <c r="B244" s="68" t="n">
        <v>12</v>
      </c>
      <c r="C244" s="69" t="n">
        <v>0</v>
      </c>
      <c r="D244" s="69"/>
      <c r="E244" s="69"/>
      <c r="F244" s="69"/>
      <c r="G244" s="69"/>
      <c r="H244" s="69" t="n">
        <f aca="false">D244+F244-J244</f>
        <v>0</v>
      </c>
      <c r="I244" s="69"/>
      <c r="J244" s="69"/>
      <c r="K244" s="139"/>
      <c r="L244" s="129" t="n">
        <v>242</v>
      </c>
      <c r="M244" s="130" t="s">
        <v>650</v>
      </c>
      <c r="N244" s="130" t="s">
        <v>651</v>
      </c>
      <c r="O244" s="130" t="s">
        <v>303</v>
      </c>
      <c r="P244" s="130"/>
      <c r="Q244" s="131"/>
      <c r="R244" s="71" t="n">
        <v>0</v>
      </c>
    </row>
    <row r="245" customFormat="false" ht="13.8" hidden="false" customHeight="false" outlineLevel="0" collapsed="false">
      <c r="A245" s="68" t="s">
        <v>252</v>
      </c>
      <c r="B245" s="68" t="n">
        <v>12</v>
      </c>
      <c r="C245" s="69" t="n">
        <v>0</v>
      </c>
      <c r="D245" s="69" t="n">
        <v>0</v>
      </c>
      <c r="E245" s="69" t="n">
        <v>0</v>
      </c>
      <c r="F245" s="69" t="n">
        <v>0</v>
      </c>
      <c r="G245" s="69" t="n">
        <v>0</v>
      </c>
      <c r="H245" s="69" t="n">
        <f aca="false">D245+F245-J245</f>
        <v>0</v>
      </c>
      <c r="I245" s="69" t="n">
        <v>0</v>
      </c>
      <c r="J245" s="69" t="n">
        <v>0</v>
      </c>
      <c r="K245" s="139"/>
      <c r="L245" s="129" t="n">
        <v>243</v>
      </c>
      <c r="M245" s="130" t="s">
        <v>652</v>
      </c>
      <c r="N245" s="130" t="s">
        <v>653</v>
      </c>
      <c r="O245" s="130" t="s">
        <v>654</v>
      </c>
      <c r="P245" s="130"/>
      <c r="Q245" s="131"/>
      <c r="R245" s="71" t="n">
        <v>0</v>
      </c>
    </row>
    <row r="246" customFormat="false" ht="13.8" hidden="false" customHeight="false" outlineLevel="0" collapsed="false">
      <c r="A246" s="68" t="s">
        <v>253</v>
      </c>
      <c r="B246" s="68" t="n">
        <v>12</v>
      </c>
      <c r="C246" s="69" t="n">
        <v>0</v>
      </c>
      <c r="D246" s="69" t="n">
        <v>0</v>
      </c>
      <c r="E246" s="69" t="n">
        <v>0</v>
      </c>
      <c r="F246" s="69" t="n">
        <v>0</v>
      </c>
      <c r="G246" s="69" t="n">
        <v>0</v>
      </c>
      <c r="H246" s="69" t="n">
        <f aca="false">D246+F246-J246</f>
        <v>0</v>
      </c>
      <c r="I246" s="69" t="n">
        <v>0</v>
      </c>
      <c r="J246" s="69" t="n">
        <v>0</v>
      </c>
      <c r="K246" s="139"/>
      <c r="L246" s="129" t="n">
        <v>244</v>
      </c>
      <c r="M246" s="130" t="s">
        <v>655</v>
      </c>
      <c r="N246" s="130" t="s">
        <v>251</v>
      </c>
      <c r="O246" s="130" t="s">
        <v>327</v>
      </c>
      <c r="P246" s="130"/>
      <c r="Q246" s="131"/>
      <c r="R246" s="71" t="n">
        <v>0</v>
      </c>
    </row>
    <row r="247" customFormat="false" ht="13.8" hidden="false" customHeight="false" outlineLevel="0" collapsed="false">
      <c r="A247" s="68" t="s">
        <v>254</v>
      </c>
      <c r="B247" s="68" t="n">
        <v>12</v>
      </c>
      <c r="C247" s="69" t="n">
        <v>178</v>
      </c>
      <c r="D247" s="69" t="n">
        <v>6117278</v>
      </c>
      <c r="E247" s="69" t="n">
        <v>62</v>
      </c>
      <c r="F247" s="69" t="n">
        <v>2130804</v>
      </c>
      <c r="G247" s="69" t="n">
        <v>240</v>
      </c>
      <c r="H247" s="69" t="n">
        <f aca="false">D247+F247-J247</f>
        <v>8248082</v>
      </c>
      <c r="I247" s="69" t="n">
        <v>0</v>
      </c>
      <c r="J247" s="69" t="n">
        <v>0</v>
      </c>
      <c r="K247" s="139"/>
      <c r="L247" s="129" t="n">
        <v>245</v>
      </c>
      <c r="M247" s="130" t="s">
        <v>656</v>
      </c>
      <c r="N247" s="130" t="s">
        <v>252</v>
      </c>
      <c r="O247" s="130" t="s">
        <v>327</v>
      </c>
      <c r="P247" s="130"/>
      <c r="Q247" s="131"/>
      <c r="R247" s="71" t="n">
        <v>0</v>
      </c>
    </row>
    <row r="248" customFormat="false" ht="13.8" hidden="false" customHeight="false" outlineLevel="0" collapsed="false">
      <c r="A248" s="68" t="s">
        <v>255</v>
      </c>
      <c r="B248" s="68" t="n">
        <v>12</v>
      </c>
      <c r="C248" s="69" t="n">
        <v>0</v>
      </c>
      <c r="D248" s="69" t="n">
        <v>884858</v>
      </c>
      <c r="E248" s="69" t="n">
        <v>40</v>
      </c>
      <c r="F248" s="69" t="n">
        <v>3487564</v>
      </c>
      <c r="G248" s="69" t="n">
        <v>40</v>
      </c>
      <c r="H248" s="69" t="n">
        <f aca="false">D248+F248-J248</f>
        <v>4372422</v>
      </c>
      <c r="I248" s="69" t="n">
        <v>0</v>
      </c>
      <c r="J248" s="69" t="n">
        <v>0</v>
      </c>
      <c r="K248" s="139"/>
      <c r="L248" s="129" t="n">
        <v>246</v>
      </c>
      <c r="M248" s="130" t="s">
        <v>657</v>
      </c>
      <c r="N248" s="130" t="s">
        <v>253</v>
      </c>
      <c r="O248" s="130" t="s">
        <v>327</v>
      </c>
      <c r="P248" s="130"/>
      <c r="Q248" s="131"/>
      <c r="R248" s="71" t="n">
        <v>0</v>
      </c>
    </row>
    <row r="249" customFormat="false" ht="13.8" hidden="false" customHeight="false" outlineLevel="0" collapsed="false">
      <c r="A249" s="68" t="s">
        <v>256</v>
      </c>
      <c r="B249" s="68" t="n">
        <v>12</v>
      </c>
      <c r="C249" s="69" t="n">
        <v>0</v>
      </c>
      <c r="D249" s="69" t="n">
        <v>0</v>
      </c>
      <c r="E249" s="69" t="n">
        <v>110</v>
      </c>
      <c r="F249" s="69" t="n">
        <v>4786700</v>
      </c>
      <c r="G249" s="69" t="n">
        <v>110</v>
      </c>
      <c r="H249" s="69" t="n">
        <f aca="false">D249+F249-J249</f>
        <v>4786700</v>
      </c>
      <c r="I249" s="69" t="n">
        <v>0</v>
      </c>
      <c r="J249" s="69" t="n">
        <v>0</v>
      </c>
      <c r="K249" s="139"/>
      <c r="L249" s="129" t="n">
        <v>247</v>
      </c>
      <c r="M249" s="130" t="s">
        <v>658</v>
      </c>
      <c r="N249" s="130" t="s">
        <v>659</v>
      </c>
      <c r="O249" s="130" t="s">
        <v>327</v>
      </c>
      <c r="P249" s="130"/>
      <c r="Q249" s="131"/>
      <c r="R249" s="71" t="n">
        <v>0</v>
      </c>
    </row>
    <row r="250" customFormat="false" ht="13.8" hidden="false" customHeight="false" outlineLevel="0" collapsed="false">
      <c r="A250" s="68" t="s">
        <v>257</v>
      </c>
      <c r="B250" s="68" t="n">
        <v>12</v>
      </c>
      <c r="C250" s="69" t="n">
        <v>26</v>
      </c>
      <c r="D250" s="69" t="n">
        <v>1423200</v>
      </c>
      <c r="E250" s="69" t="n">
        <v>24</v>
      </c>
      <c r="F250" s="69" t="n">
        <v>1313723</v>
      </c>
      <c r="G250" s="69" t="n">
        <v>50</v>
      </c>
      <c r="H250" s="69" t="n">
        <f aca="false">D250+F250-J250</f>
        <v>2736923</v>
      </c>
      <c r="I250" s="69" t="n">
        <v>0</v>
      </c>
      <c r="J250" s="69" t="n">
        <v>0</v>
      </c>
      <c r="K250" s="139"/>
      <c r="L250" s="129" t="n">
        <v>248</v>
      </c>
      <c r="M250" s="130" t="s">
        <v>660</v>
      </c>
      <c r="N250" s="130" t="s">
        <v>254</v>
      </c>
      <c r="O250" s="130" t="s">
        <v>327</v>
      </c>
      <c r="P250" s="130"/>
      <c r="Q250" s="131"/>
      <c r="R250" s="71" t="n">
        <v>0</v>
      </c>
    </row>
    <row r="251" customFormat="false" ht="13.8" hidden="false" customHeight="false" outlineLevel="0" collapsed="false">
      <c r="A251" s="68" t="s">
        <v>258</v>
      </c>
      <c r="B251" s="68" t="n">
        <v>12</v>
      </c>
      <c r="C251" s="69" t="n">
        <v>1315</v>
      </c>
      <c r="D251" s="69" t="n">
        <v>5870462</v>
      </c>
      <c r="E251" s="69" t="n">
        <v>150</v>
      </c>
      <c r="F251" s="69" t="n">
        <v>2298240</v>
      </c>
      <c r="G251" s="69" t="n">
        <v>1126</v>
      </c>
      <c r="H251" s="69" t="n">
        <f aca="false">D251+F251-J251</f>
        <v>3829633</v>
      </c>
      <c r="I251" s="69" t="n">
        <v>339</v>
      </c>
      <c r="J251" s="69" t="n">
        <v>4339069</v>
      </c>
      <c r="K251" s="139" t="n">
        <f aca="false">J251/I251</f>
        <v>12799.6135693215</v>
      </c>
      <c r="L251" s="129" t="n">
        <v>249</v>
      </c>
      <c r="M251" s="130" t="s">
        <v>661</v>
      </c>
      <c r="N251" s="130" t="s">
        <v>662</v>
      </c>
      <c r="O251" s="130" t="s">
        <v>303</v>
      </c>
      <c r="P251" s="130"/>
      <c r="Q251" s="131"/>
      <c r="R251" s="71" t="n">
        <v>0</v>
      </c>
    </row>
    <row r="252" customFormat="false" ht="13.8" hidden="false" customHeight="false" outlineLevel="0" collapsed="false">
      <c r="A252" s="68" t="s">
        <v>259</v>
      </c>
      <c r="B252" s="68" t="n">
        <v>12</v>
      </c>
      <c r="C252" s="69" t="n">
        <v>90</v>
      </c>
      <c r="D252" s="69" t="n">
        <v>1980663</v>
      </c>
      <c r="E252" s="69" t="n">
        <v>0</v>
      </c>
      <c r="F252" s="69" t="n">
        <v>0</v>
      </c>
      <c r="G252" s="69" t="n">
        <v>0</v>
      </c>
      <c r="H252" s="69" t="n">
        <f aca="false">D252+F252-J252</f>
        <v>0</v>
      </c>
      <c r="I252" s="69" t="n">
        <v>90</v>
      </c>
      <c r="J252" s="69" t="n">
        <v>1980663</v>
      </c>
      <c r="K252" s="139" t="n">
        <f aca="false">J252/I252</f>
        <v>22007.3666666667</v>
      </c>
      <c r="L252" s="129" t="n">
        <v>250</v>
      </c>
      <c r="M252" s="130" t="s">
        <v>663</v>
      </c>
      <c r="N252" s="130" t="s">
        <v>260</v>
      </c>
      <c r="O252" s="130" t="s">
        <v>327</v>
      </c>
      <c r="P252" s="130" t="n">
        <v>7</v>
      </c>
      <c r="Q252" s="131" t="n">
        <v>35040</v>
      </c>
      <c r="R252" s="71" t="n">
        <v>245280</v>
      </c>
    </row>
    <row r="253" customFormat="false" ht="13.8" hidden="false" customHeight="false" outlineLevel="0" collapsed="false">
      <c r="A253" s="68" t="s">
        <v>260</v>
      </c>
      <c r="B253" s="68" t="n">
        <v>12</v>
      </c>
      <c r="C253" s="69" t="n">
        <v>7</v>
      </c>
      <c r="D253" s="69" t="n">
        <v>460192</v>
      </c>
      <c r="E253" s="69" t="n">
        <v>0</v>
      </c>
      <c r="F253" s="69" t="n">
        <v>0</v>
      </c>
      <c r="G253" s="69" t="n">
        <v>0</v>
      </c>
      <c r="H253" s="69" t="n">
        <f aca="false">D253+F253-J253</f>
        <v>0</v>
      </c>
      <c r="I253" s="69" t="n">
        <v>7</v>
      </c>
      <c r="J253" s="69" t="n">
        <v>460192</v>
      </c>
      <c r="K253" s="139" t="n">
        <f aca="false">J253/I253</f>
        <v>65741.7142857143</v>
      </c>
      <c r="L253" s="129" t="n">
        <v>251</v>
      </c>
      <c r="M253" s="130" t="s">
        <v>664</v>
      </c>
      <c r="N253" s="130" t="s">
        <v>261</v>
      </c>
      <c r="O253" s="130" t="s">
        <v>327</v>
      </c>
      <c r="P253" s="130"/>
      <c r="Q253" s="131"/>
      <c r="R253" s="71" t="n">
        <v>0</v>
      </c>
    </row>
    <row r="254" customFormat="false" ht="13.8" hidden="false" customHeight="false" outlineLevel="0" collapsed="false">
      <c r="A254" s="68" t="s">
        <v>261</v>
      </c>
      <c r="B254" s="68" t="n">
        <v>12</v>
      </c>
      <c r="C254" s="69" t="n">
        <v>0</v>
      </c>
      <c r="D254" s="69" t="n">
        <v>0</v>
      </c>
      <c r="E254" s="69" t="n">
        <v>0</v>
      </c>
      <c r="F254" s="69" t="n">
        <v>0</v>
      </c>
      <c r="G254" s="69" t="n">
        <v>0</v>
      </c>
      <c r="H254" s="69" t="n">
        <f aca="false">D254+F254-J254</f>
        <v>0</v>
      </c>
      <c r="I254" s="69" t="n">
        <v>0</v>
      </c>
      <c r="J254" s="69" t="n">
        <v>0</v>
      </c>
      <c r="K254" s="139"/>
      <c r="L254" s="129" t="n">
        <v>252</v>
      </c>
      <c r="M254" s="130" t="s">
        <v>665</v>
      </c>
      <c r="N254" s="130" t="s">
        <v>262</v>
      </c>
      <c r="O254" s="130" t="s">
        <v>327</v>
      </c>
      <c r="P254" s="130" t="n">
        <v>4</v>
      </c>
      <c r="Q254" s="131" t="n">
        <v>33060.37</v>
      </c>
      <c r="R254" s="71" t="n">
        <v>132241.48</v>
      </c>
    </row>
    <row r="255" customFormat="false" ht="13.8" hidden="false" customHeight="false" outlineLevel="0" collapsed="false">
      <c r="A255" s="68" t="s">
        <v>262</v>
      </c>
      <c r="B255" s="68" t="n">
        <v>12</v>
      </c>
      <c r="C255" s="69" t="n">
        <v>4</v>
      </c>
      <c r="D255" s="69" t="n">
        <v>330624</v>
      </c>
      <c r="E255" s="69" t="n">
        <v>0</v>
      </c>
      <c r="F255" s="69" t="n">
        <v>0</v>
      </c>
      <c r="G255" s="69" t="n">
        <v>0</v>
      </c>
      <c r="H255" s="69" t="n">
        <f aca="false">D255+F255-J255</f>
        <v>0</v>
      </c>
      <c r="I255" s="69" t="n">
        <v>4</v>
      </c>
      <c r="J255" s="69" t="n">
        <v>330624</v>
      </c>
      <c r="K255" s="139" t="n">
        <f aca="false">J255/I255</f>
        <v>82656</v>
      </c>
      <c r="L255" s="129" t="n">
        <v>253</v>
      </c>
      <c r="M255" s="130" t="s">
        <v>666</v>
      </c>
      <c r="N255" s="130" t="s">
        <v>263</v>
      </c>
      <c r="O255" s="130" t="s">
        <v>327</v>
      </c>
      <c r="P255" s="130"/>
      <c r="Q255" s="131"/>
      <c r="R255" s="71" t="n">
        <v>0</v>
      </c>
    </row>
    <row r="256" customFormat="false" ht="13.8" hidden="false" customHeight="false" outlineLevel="0" collapsed="false">
      <c r="A256" s="68" t="s">
        <v>263</v>
      </c>
      <c r="B256" s="68" t="n">
        <v>12</v>
      </c>
      <c r="C256" s="69" t="n">
        <v>0</v>
      </c>
      <c r="D256" s="69" t="n">
        <v>0</v>
      </c>
      <c r="E256" s="69" t="n">
        <v>0</v>
      </c>
      <c r="F256" s="69" t="n">
        <v>0</v>
      </c>
      <c r="G256" s="69" t="n">
        <v>0</v>
      </c>
      <c r="H256" s="69" t="n">
        <f aca="false">D256+F256-J256</f>
        <v>0</v>
      </c>
      <c r="I256" s="69" t="n">
        <v>0</v>
      </c>
      <c r="J256" s="69" t="n">
        <v>0</v>
      </c>
      <c r="K256" s="139"/>
      <c r="L256" s="129" t="n">
        <v>254</v>
      </c>
      <c r="M256" s="130" t="s">
        <v>667</v>
      </c>
      <c r="N256" s="130" t="s">
        <v>668</v>
      </c>
      <c r="O256" s="130" t="s">
        <v>327</v>
      </c>
      <c r="P256" s="130"/>
      <c r="Q256" s="131"/>
      <c r="R256" s="71" t="n">
        <v>0</v>
      </c>
    </row>
    <row r="257" customFormat="false" ht="13.8" hidden="false" customHeight="false" outlineLevel="0" collapsed="false">
      <c r="A257" s="68" t="s">
        <v>264</v>
      </c>
      <c r="B257" s="68" t="n">
        <v>12</v>
      </c>
      <c r="C257" s="69" t="n">
        <v>0</v>
      </c>
      <c r="D257" s="69" t="n">
        <v>0</v>
      </c>
      <c r="E257" s="69" t="n">
        <v>0</v>
      </c>
      <c r="F257" s="69" t="n">
        <v>0</v>
      </c>
      <c r="G257" s="69" t="n">
        <v>0</v>
      </c>
      <c r="H257" s="69" t="n">
        <f aca="false">D257+F257-J257</f>
        <v>0</v>
      </c>
      <c r="I257" s="69" t="n">
        <v>0</v>
      </c>
      <c r="J257" s="69" t="n">
        <v>0</v>
      </c>
      <c r="K257" s="139"/>
      <c r="L257" s="129" t="n">
        <v>255</v>
      </c>
      <c r="M257" s="130" t="s">
        <v>669</v>
      </c>
      <c r="N257" s="130" t="s">
        <v>670</v>
      </c>
      <c r="O257" s="130" t="s">
        <v>327</v>
      </c>
      <c r="P257" s="130"/>
      <c r="Q257" s="131"/>
      <c r="R257" s="71" t="n">
        <v>0</v>
      </c>
    </row>
    <row r="258" customFormat="false" ht="13.8" hidden="false" customHeight="false" outlineLevel="0" collapsed="false">
      <c r="A258" s="68" t="s">
        <v>265</v>
      </c>
      <c r="B258" s="68" t="n">
        <v>12</v>
      </c>
      <c r="C258" s="69" t="n">
        <v>5</v>
      </c>
      <c r="D258" s="69" t="n">
        <v>412800</v>
      </c>
      <c r="E258" s="69" t="n">
        <v>0</v>
      </c>
      <c r="F258" s="69" t="n">
        <v>0</v>
      </c>
      <c r="G258" s="69" t="n">
        <v>0</v>
      </c>
      <c r="H258" s="69" t="n">
        <f aca="false">D258+F258-J258</f>
        <v>0</v>
      </c>
      <c r="I258" s="69" t="n">
        <v>5</v>
      </c>
      <c r="J258" s="69" t="n">
        <v>412800</v>
      </c>
      <c r="K258" s="139" t="n">
        <f aca="false">J258/I258</f>
        <v>82560</v>
      </c>
      <c r="L258" s="129" t="n">
        <v>256</v>
      </c>
      <c r="M258" s="130" t="s">
        <v>671</v>
      </c>
      <c r="N258" s="130" t="s">
        <v>672</v>
      </c>
      <c r="O258" s="130" t="s">
        <v>327</v>
      </c>
      <c r="P258" s="130"/>
      <c r="Q258" s="131"/>
      <c r="R258" s="71" t="n">
        <v>0</v>
      </c>
    </row>
    <row r="259" customFormat="false" ht="13.8" hidden="false" customHeight="false" outlineLevel="0" collapsed="false">
      <c r="A259" s="68" t="s">
        <v>266</v>
      </c>
      <c r="B259" s="68" t="n">
        <v>12</v>
      </c>
      <c r="C259" s="69" t="n">
        <v>5</v>
      </c>
      <c r="D259" s="69" t="n">
        <v>441600</v>
      </c>
      <c r="E259" s="69" t="n">
        <v>0</v>
      </c>
      <c r="F259" s="69" t="n">
        <v>0</v>
      </c>
      <c r="G259" s="69" t="n">
        <v>0</v>
      </c>
      <c r="H259" s="69" t="n">
        <f aca="false">D259+F259-J259</f>
        <v>0</v>
      </c>
      <c r="I259" s="69" t="n">
        <v>5</v>
      </c>
      <c r="J259" s="69" t="n">
        <v>441600</v>
      </c>
      <c r="K259" s="139" t="n">
        <f aca="false">J259/I259</f>
        <v>88320</v>
      </c>
      <c r="L259" s="129" t="n">
        <v>257</v>
      </c>
      <c r="M259" s="130" t="s">
        <v>673</v>
      </c>
      <c r="N259" s="130" t="s">
        <v>264</v>
      </c>
      <c r="O259" s="130" t="s">
        <v>327</v>
      </c>
      <c r="P259" s="130"/>
      <c r="Q259" s="131"/>
      <c r="R259" s="71" t="n">
        <v>0</v>
      </c>
    </row>
    <row r="260" customFormat="false" ht="13.8" hidden="false" customHeight="false" outlineLevel="0" collapsed="false">
      <c r="A260" s="68" t="s">
        <v>267</v>
      </c>
      <c r="B260" s="68" t="n">
        <v>12</v>
      </c>
      <c r="C260" s="69" t="n">
        <v>6</v>
      </c>
      <c r="D260" s="69" t="n">
        <v>447000</v>
      </c>
      <c r="E260" s="69"/>
      <c r="F260" s="69" t="n">
        <v>0</v>
      </c>
      <c r="G260" s="69"/>
      <c r="H260" s="69" t="n">
        <f aca="false">D260+F260-J260</f>
        <v>0</v>
      </c>
      <c r="I260" s="69" t="n">
        <v>6</v>
      </c>
      <c r="J260" s="69" t="n">
        <v>447000</v>
      </c>
      <c r="K260" s="139" t="n">
        <f aca="false">J260/I260</f>
        <v>74500</v>
      </c>
      <c r="L260" s="129" t="n">
        <v>258</v>
      </c>
      <c r="M260" s="130" t="s">
        <v>674</v>
      </c>
      <c r="N260" s="130" t="s">
        <v>675</v>
      </c>
      <c r="O260" s="130" t="s">
        <v>327</v>
      </c>
      <c r="P260" s="130"/>
      <c r="Q260" s="131"/>
      <c r="R260" s="71" t="n">
        <v>0</v>
      </c>
    </row>
    <row r="261" customFormat="false" ht="13.8" hidden="false" customHeight="false" outlineLevel="0" collapsed="false">
      <c r="A261" s="68" t="s">
        <v>268</v>
      </c>
      <c r="B261" s="68" t="n">
        <v>12</v>
      </c>
      <c r="C261" s="69" t="n">
        <v>0</v>
      </c>
      <c r="D261" s="69" t="n">
        <v>0</v>
      </c>
      <c r="E261" s="69" t="n">
        <v>0</v>
      </c>
      <c r="F261" s="69" t="n">
        <v>0</v>
      </c>
      <c r="G261" s="69" t="n">
        <v>0</v>
      </c>
      <c r="H261" s="69" t="n">
        <f aca="false">D261+F261-J261</f>
        <v>0</v>
      </c>
      <c r="I261" s="69" t="n">
        <v>0</v>
      </c>
      <c r="J261" s="69" t="n">
        <v>0</v>
      </c>
      <c r="K261" s="139"/>
      <c r="L261" s="129" t="n">
        <v>259</v>
      </c>
      <c r="M261" s="130" t="s">
        <v>676</v>
      </c>
      <c r="N261" s="130" t="s">
        <v>266</v>
      </c>
      <c r="O261" s="130" t="s">
        <v>327</v>
      </c>
      <c r="P261" s="130" t="n">
        <v>5</v>
      </c>
      <c r="Q261" s="131" t="n">
        <v>44160</v>
      </c>
      <c r="R261" s="71" t="n">
        <v>220800</v>
      </c>
    </row>
    <row r="262" customFormat="false" ht="13.8" hidden="false" customHeight="false" outlineLevel="0" collapsed="false">
      <c r="A262" s="68" t="s">
        <v>269</v>
      </c>
      <c r="B262" s="68" t="n">
        <v>12</v>
      </c>
      <c r="C262" s="69" t="n">
        <v>0</v>
      </c>
      <c r="D262" s="69" t="n">
        <v>0</v>
      </c>
      <c r="E262" s="69" t="n">
        <v>0</v>
      </c>
      <c r="F262" s="69" t="n">
        <v>0</v>
      </c>
      <c r="G262" s="69" t="n">
        <v>0</v>
      </c>
      <c r="H262" s="69" t="n">
        <f aca="false">D262+F262-J262</f>
        <v>0</v>
      </c>
      <c r="I262" s="69" t="n">
        <v>0</v>
      </c>
      <c r="J262" s="69" t="n">
        <v>0</v>
      </c>
      <c r="K262" s="139"/>
      <c r="L262" s="129" t="n">
        <v>260</v>
      </c>
      <c r="M262" s="130" t="s">
        <v>677</v>
      </c>
      <c r="N262" s="130" t="s">
        <v>265</v>
      </c>
      <c r="O262" s="130" t="s">
        <v>327</v>
      </c>
      <c r="P262" s="130" t="n">
        <v>5</v>
      </c>
      <c r="Q262" s="131" t="n">
        <v>41280</v>
      </c>
      <c r="R262" s="71" t="n">
        <v>206400</v>
      </c>
    </row>
    <row r="263" customFormat="false" ht="13.8" hidden="false" customHeight="false" outlineLevel="0" collapsed="false">
      <c r="A263" s="68" t="s">
        <v>270</v>
      </c>
      <c r="B263" s="68" t="n">
        <v>12</v>
      </c>
      <c r="C263" s="69" t="n">
        <v>0</v>
      </c>
      <c r="D263" s="69" t="n">
        <v>0</v>
      </c>
      <c r="E263" s="69" t="n">
        <v>0</v>
      </c>
      <c r="F263" s="69" t="n">
        <v>0</v>
      </c>
      <c r="G263" s="69" t="n">
        <v>0</v>
      </c>
      <c r="H263" s="69" t="n">
        <f aca="false">D263+F263-J263</f>
        <v>0</v>
      </c>
      <c r="I263" s="69" t="n">
        <v>0</v>
      </c>
      <c r="J263" s="69" t="n">
        <v>0</v>
      </c>
      <c r="K263" s="139"/>
      <c r="L263" s="129" t="n">
        <v>261</v>
      </c>
      <c r="M263" s="130" t="s">
        <v>678</v>
      </c>
      <c r="N263" s="130" t="s">
        <v>267</v>
      </c>
      <c r="O263" s="130" t="s">
        <v>327</v>
      </c>
      <c r="P263" s="130" t="n">
        <v>6</v>
      </c>
      <c r="Q263" s="131" t="n">
        <v>40800</v>
      </c>
      <c r="R263" s="71" t="n">
        <v>244800</v>
      </c>
    </row>
    <row r="264" customFormat="false" ht="13.8" hidden="false" customHeight="false" outlineLevel="0" collapsed="false">
      <c r="A264" s="68" t="s">
        <v>271</v>
      </c>
      <c r="B264" s="68" t="n">
        <v>12</v>
      </c>
      <c r="C264" s="69" t="n">
        <v>0</v>
      </c>
      <c r="D264" s="69" t="n">
        <v>0</v>
      </c>
      <c r="E264" s="69" t="n">
        <v>0</v>
      </c>
      <c r="F264" s="69" t="n">
        <v>0</v>
      </c>
      <c r="G264" s="69" t="n">
        <v>0</v>
      </c>
      <c r="H264" s="69" t="n">
        <f aca="false">D264+F264-J264</f>
        <v>0</v>
      </c>
      <c r="I264" s="69" t="n">
        <v>0</v>
      </c>
      <c r="J264" s="69" t="n">
        <v>0</v>
      </c>
      <c r="K264" s="139"/>
      <c r="L264" s="129" t="n">
        <v>262</v>
      </c>
      <c r="M264" s="130" t="s">
        <v>679</v>
      </c>
      <c r="N264" s="130" t="s">
        <v>680</v>
      </c>
      <c r="O264" s="130" t="s">
        <v>327</v>
      </c>
      <c r="P264" s="130"/>
      <c r="Q264" s="131"/>
      <c r="R264" s="71" t="n">
        <v>0</v>
      </c>
    </row>
    <row r="265" customFormat="false" ht="13.8" hidden="false" customHeight="false" outlineLevel="0" collapsed="false">
      <c r="A265" s="68" t="s">
        <v>272</v>
      </c>
      <c r="B265" s="68" t="n">
        <v>12</v>
      </c>
      <c r="C265" s="69" t="n">
        <v>0</v>
      </c>
      <c r="D265" s="69" t="n">
        <v>0</v>
      </c>
      <c r="E265" s="69" t="n">
        <v>0</v>
      </c>
      <c r="F265" s="69" t="n">
        <v>0</v>
      </c>
      <c r="G265" s="69" t="n">
        <v>0</v>
      </c>
      <c r="H265" s="69" t="n">
        <f aca="false">D265+F265-J265</f>
        <v>0</v>
      </c>
      <c r="I265" s="69" t="n">
        <v>0</v>
      </c>
      <c r="J265" s="69" t="n">
        <v>0</v>
      </c>
      <c r="K265" s="139"/>
      <c r="L265" s="129" t="n">
        <v>263</v>
      </c>
      <c r="M265" s="130" t="s">
        <v>681</v>
      </c>
      <c r="N265" s="130" t="s">
        <v>682</v>
      </c>
      <c r="O265" s="130" t="s">
        <v>327</v>
      </c>
      <c r="P265" s="130"/>
      <c r="Q265" s="131"/>
      <c r="R265" s="71" t="n">
        <v>0</v>
      </c>
    </row>
    <row r="266" customFormat="false" ht="13.8" hidden="false" customHeight="false" outlineLevel="0" collapsed="false">
      <c r="A266" s="68" t="s">
        <v>273</v>
      </c>
      <c r="B266" s="68" t="n">
        <v>12</v>
      </c>
      <c r="C266" s="69" t="n">
        <v>0</v>
      </c>
      <c r="D266" s="69" t="n">
        <v>0</v>
      </c>
      <c r="E266" s="69" t="n">
        <v>0</v>
      </c>
      <c r="F266" s="69" t="n">
        <v>0</v>
      </c>
      <c r="G266" s="69" t="n">
        <v>0</v>
      </c>
      <c r="H266" s="69" t="n">
        <f aca="false">D266+F266-J266</f>
        <v>0</v>
      </c>
      <c r="I266" s="69" t="n">
        <v>0</v>
      </c>
      <c r="J266" s="69" t="n">
        <v>0</v>
      </c>
      <c r="K266" s="139"/>
      <c r="L266" s="129" t="n">
        <v>264</v>
      </c>
      <c r="M266" s="130" t="s">
        <v>683</v>
      </c>
      <c r="N266" s="130" t="s">
        <v>684</v>
      </c>
      <c r="O266" s="130" t="s">
        <v>327</v>
      </c>
      <c r="P266" s="130"/>
      <c r="Q266" s="131"/>
      <c r="R266" s="71" t="n">
        <v>0</v>
      </c>
    </row>
    <row r="267" customFormat="false" ht="13.8" hidden="false" customHeight="false" outlineLevel="0" collapsed="false">
      <c r="A267" s="68" t="s">
        <v>274</v>
      </c>
      <c r="B267" s="68" t="n">
        <v>12</v>
      </c>
      <c r="C267" s="69" t="n">
        <v>14</v>
      </c>
      <c r="D267" s="69" t="n">
        <v>473144</v>
      </c>
      <c r="E267" s="69" t="n">
        <v>0</v>
      </c>
      <c r="F267" s="69" t="n">
        <v>0</v>
      </c>
      <c r="G267" s="69" t="n">
        <v>0</v>
      </c>
      <c r="H267" s="69" t="n">
        <f aca="false">D267+F267-J267</f>
        <v>0</v>
      </c>
      <c r="I267" s="69" t="n">
        <v>14</v>
      </c>
      <c r="J267" s="69" t="n">
        <v>473144</v>
      </c>
      <c r="K267" s="139" t="n">
        <f aca="false">J267/I267</f>
        <v>33796</v>
      </c>
      <c r="L267" s="129" t="n">
        <v>265</v>
      </c>
      <c r="M267" s="130" t="s">
        <v>685</v>
      </c>
      <c r="N267" s="130" t="s">
        <v>686</v>
      </c>
      <c r="O267" s="130" t="s">
        <v>654</v>
      </c>
      <c r="P267" s="130"/>
      <c r="Q267" s="131"/>
      <c r="R267" s="71" t="n">
        <v>0</v>
      </c>
    </row>
    <row r="268" customFormat="false" ht="13.8" hidden="false" customHeight="false" outlineLevel="0" collapsed="false">
      <c r="A268" s="68" t="s">
        <v>275</v>
      </c>
      <c r="B268" s="68" t="n">
        <v>12</v>
      </c>
      <c r="C268" s="69" t="n">
        <v>0</v>
      </c>
      <c r="D268" s="69" t="n">
        <v>0</v>
      </c>
      <c r="E268" s="69" t="n">
        <v>0</v>
      </c>
      <c r="F268" s="69" t="n">
        <v>0</v>
      </c>
      <c r="G268" s="69" t="n">
        <v>0</v>
      </c>
      <c r="H268" s="69" t="n">
        <f aca="false">D268+F268-J268</f>
        <v>0</v>
      </c>
      <c r="I268" s="69" t="n">
        <v>0</v>
      </c>
      <c r="J268" s="69" t="n">
        <v>0</v>
      </c>
      <c r="K268" s="139"/>
      <c r="L268" s="129" t="n">
        <v>266</v>
      </c>
      <c r="M268" s="130" t="s">
        <v>687</v>
      </c>
      <c r="N268" s="130" t="s">
        <v>688</v>
      </c>
      <c r="O268" s="130" t="s">
        <v>327</v>
      </c>
      <c r="P268" s="130"/>
      <c r="Q268" s="131"/>
      <c r="R268" s="71" t="n">
        <v>0</v>
      </c>
    </row>
    <row r="269" customFormat="false" ht="13.8" hidden="false" customHeight="false" outlineLevel="0" collapsed="false">
      <c r="A269" s="68" t="s">
        <v>276</v>
      </c>
      <c r="B269" s="68" t="n">
        <v>12</v>
      </c>
      <c r="C269" s="69" t="n">
        <v>0</v>
      </c>
      <c r="D269" s="69" t="n">
        <v>0</v>
      </c>
      <c r="E269" s="69" t="n">
        <v>0</v>
      </c>
      <c r="F269" s="69" t="n">
        <v>0</v>
      </c>
      <c r="G269" s="69" t="n">
        <v>0</v>
      </c>
      <c r="H269" s="69" t="n">
        <f aca="false">D269+F269-J269</f>
        <v>0</v>
      </c>
      <c r="I269" s="69" t="n">
        <v>0</v>
      </c>
      <c r="J269" s="69" t="n">
        <v>0</v>
      </c>
      <c r="K269" s="139"/>
      <c r="L269" s="129" t="n">
        <v>267</v>
      </c>
      <c r="M269" s="130" t="s">
        <v>689</v>
      </c>
      <c r="N269" s="130" t="s">
        <v>268</v>
      </c>
      <c r="O269" s="130" t="s">
        <v>327</v>
      </c>
      <c r="P269" s="130"/>
      <c r="Q269" s="131"/>
      <c r="R269" s="71" t="n">
        <v>0</v>
      </c>
    </row>
    <row r="270" customFormat="false" ht="13.8" hidden="false" customHeight="false" outlineLevel="0" collapsed="false">
      <c r="A270" s="68" t="s">
        <v>277</v>
      </c>
      <c r="B270" s="68" t="n">
        <v>12</v>
      </c>
      <c r="C270" s="69" t="n">
        <v>0</v>
      </c>
      <c r="D270" s="69" t="n">
        <v>0</v>
      </c>
      <c r="E270" s="69" t="n">
        <v>0</v>
      </c>
      <c r="F270" s="69" t="n">
        <v>0</v>
      </c>
      <c r="G270" s="69" t="n">
        <v>0</v>
      </c>
      <c r="H270" s="69" t="n">
        <f aca="false">D270+F270-J270</f>
        <v>0</v>
      </c>
      <c r="I270" s="69" t="n">
        <v>0</v>
      </c>
      <c r="J270" s="69" t="n">
        <v>0</v>
      </c>
      <c r="K270" s="139"/>
      <c r="L270" s="129" t="n">
        <v>268</v>
      </c>
      <c r="M270" s="130" t="s">
        <v>690</v>
      </c>
      <c r="N270" s="130" t="s">
        <v>269</v>
      </c>
      <c r="O270" s="130" t="s">
        <v>327</v>
      </c>
      <c r="P270" s="130"/>
      <c r="Q270" s="131"/>
      <c r="R270" s="71" t="n">
        <v>0</v>
      </c>
    </row>
    <row r="271" customFormat="false" ht="13.8" hidden="false" customHeight="false" outlineLevel="0" collapsed="false">
      <c r="A271" s="68" t="s">
        <v>278</v>
      </c>
      <c r="B271" s="68" t="n">
        <v>12</v>
      </c>
      <c r="C271" s="69" t="n">
        <v>0</v>
      </c>
      <c r="D271" s="69" t="n">
        <v>0</v>
      </c>
      <c r="E271" s="69" t="n">
        <v>0</v>
      </c>
      <c r="F271" s="69" t="n">
        <v>0</v>
      </c>
      <c r="G271" s="69" t="n">
        <v>0</v>
      </c>
      <c r="H271" s="69" t="n">
        <f aca="false">D271+F271-J271</f>
        <v>0</v>
      </c>
      <c r="I271" s="69" t="n">
        <v>0</v>
      </c>
      <c r="J271" s="69" t="n">
        <v>0</v>
      </c>
      <c r="K271" s="139"/>
      <c r="L271" s="129" t="n">
        <v>269</v>
      </c>
      <c r="M271" s="130" t="s">
        <v>691</v>
      </c>
      <c r="N271" s="130" t="s">
        <v>692</v>
      </c>
      <c r="O271" s="130" t="s">
        <v>327</v>
      </c>
      <c r="P271" s="130"/>
      <c r="Q271" s="131"/>
      <c r="R271" s="71" t="n">
        <v>0</v>
      </c>
    </row>
    <row r="272" customFormat="false" ht="13.8" hidden="false" customHeight="false" outlineLevel="0" collapsed="false">
      <c r="A272" s="68" t="s">
        <v>279</v>
      </c>
      <c r="B272" s="68" t="n">
        <v>12</v>
      </c>
      <c r="C272" s="69" t="n">
        <v>0</v>
      </c>
      <c r="D272" s="69" t="n">
        <v>0</v>
      </c>
      <c r="E272" s="69" t="n">
        <v>0</v>
      </c>
      <c r="F272" s="69" t="n">
        <v>0</v>
      </c>
      <c r="G272" s="69" t="n">
        <v>0</v>
      </c>
      <c r="H272" s="69" t="n">
        <f aca="false">D272+F272-J272</f>
        <v>0</v>
      </c>
      <c r="I272" s="69" t="n">
        <v>0</v>
      </c>
      <c r="J272" s="69" t="n">
        <v>0</v>
      </c>
      <c r="K272" s="139"/>
      <c r="L272" s="129" t="n">
        <v>270</v>
      </c>
      <c r="M272" s="130" t="s">
        <v>693</v>
      </c>
      <c r="N272" s="130" t="s">
        <v>270</v>
      </c>
      <c r="O272" s="130" t="s">
        <v>327</v>
      </c>
      <c r="P272" s="130"/>
      <c r="Q272" s="131"/>
      <c r="R272" s="71" t="n">
        <v>0</v>
      </c>
    </row>
    <row r="273" customFormat="false" ht="13.8" hidden="false" customHeight="false" outlineLevel="0" collapsed="false">
      <c r="A273" s="68" t="s">
        <v>280</v>
      </c>
      <c r="B273" s="68" t="n">
        <v>12</v>
      </c>
      <c r="C273" s="69" t="n">
        <v>0</v>
      </c>
      <c r="D273" s="69" t="n">
        <v>0</v>
      </c>
      <c r="E273" s="69" t="n">
        <v>0</v>
      </c>
      <c r="F273" s="69" t="n">
        <v>0</v>
      </c>
      <c r="G273" s="69" t="n">
        <v>0</v>
      </c>
      <c r="H273" s="69" t="n">
        <f aca="false">D273+F273-J273</f>
        <v>0</v>
      </c>
      <c r="I273" s="69" t="n">
        <v>0</v>
      </c>
      <c r="J273" s="69" t="n">
        <v>0</v>
      </c>
      <c r="K273" s="139"/>
      <c r="L273" s="129" t="n">
        <v>271</v>
      </c>
      <c r="M273" s="130" t="s">
        <v>694</v>
      </c>
      <c r="N273" s="130" t="s">
        <v>257</v>
      </c>
      <c r="O273" s="130" t="s">
        <v>327</v>
      </c>
      <c r="P273" s="130"/>
      <c r="Q273" s="131"/>
      <c r="R273" s="71" t="n">
        <v>0</v>
      </c>
    </row>
    <row r="274" customFormat="false" ht="13.8" hidden="false" customHeight="false" outlineLevel="0" collapsed="false">
      <c r="A274" s="68" t="s">
        <v>281</v>
      </c>
      <c r="B274" s="68" t="n">
        <v>12</v>
      </c>
      <c r="C274" s="69" t="n">
        <v>115</v>
      </c>
      <c r="D274" s="69" t="n">
        <v>1984968</v>
      </c>
      <c r="E274" s="69" t="n">
        <v>52</v>
      </c>
      <c r="F274" s="69" t="n">
        <v>882000</v>
      </c>
      <c r="G274" s="69" t="n">
        <v>0</v>
      </c>
      <c r="H274" s="69" t="n">
        <f aca="false">D274+F274-J274</f>
        <v>0</v>
      </c>
      <c r="I274" s="69" t="n">
        <v>167</v>
      </c>
      <c r="J274" s="69" t="n">
        <v>2866968</v>
      </c>
      <c r="K274" s="139" t="n">
        <f aca="false">J274/I274</f>
        <v>17167.4730538922</v>
      </c>
      <c r="L274" s="129" t="n">
        <v>272</v>
      </c>
      <c r="M274" s="130" t="s">
        <v>695</v>
      </c>
      <c r="N274" s="130" t="s">
        <v>696</v>
      </c>
      <c r="O274" s="130" t="s">
        <v>327</v>
      </c>
      <c r="P274" s="130" t="n">
        <v>226</v>
      </c>
      <c r="Q274" s="131" t="n">
        <v>27744</v>
      </c>
      <c r="R274" s="71" t="n">
        <v>6270144</v>
      </c>
    </row>
    <row r="275" customFormat="false" ht="13.8" hidden="false" customHeight="false" outlineLevel="0" collapsed="false">
      <c r="A275" s="68" t="s">
        <v>282</v>
      </c>
      <c r="B275" s="68" t="n">
        <v>12</v>
      </c>
      <c r="C275" s="69" t="n">
        <v>0</v>
      </c>
      <c r="D275" s="69" t="n">
        <v>0</v>
      </c>
      <c r="E275" s="69" t="n">
        <v>28</v>
      </c>
      <c r="F275" s="69" t="n">
        <v>1940400</v>
      </c>
      <c r="G275" s="69" t="n">
        <v>3</v>
      </c>
      <c r="H275" s="69" t="n">
        <f aca="false">D275+F275-J275</f>
        <v>1044761</v>
      </c>
      <c r="I275" s="69" t="n">
        <v>25</v>
      </c>
      <c r="J275" s="69" t="n">
        <v>895639</v>
      </c>
      <c r="K275" s="139" t="n">
        <f aca="false">J275/I275</f>
        <v>35825.56</v>
      </c>
      <c r="L275" s="129" t="n">
        <v>273</v>
      </c>
      <c r="M275" s="130" t="s">
        <v>697</v>
      </c>
      <c r="N275" s="130" t="s">
        <v>698</v>
      </c>
      <c r="O275" s="130" t="s">
        <v>699</v>
      </c>
      <c r="P275" s="130"/>
      <c r="Q275" s="131"/>
      <c r="R275" s="71" t="n">
        <v>0</v>
      </c>
    </row>
    <row r="276" customFormat="false" ht="13.8" hidden="false" customHeight="false" outlineLevel="0" collapsed="false">
      <c r="A276" s="68" t="s">
        <v>283</v>
      </c>
      <c r="B276" s="68" t="n">
        <v>12</v>
      </c>
      <c r="C276" s="69" t="n">
        <v>2650</v>
      </c>
      <c r="D276" s="69" t="n">
        <v>60362629</v>
      </c>
      <c r="E276" s="69" t="n">
        <v>1138</v>
      </c>
      <c r="F276" s="69" t="n">
        <v>39547200</v>
      </c>
      <c r="G276" s="69" t="n">
        <v>3132</v>
      </c>
      <c r="H276" s="69" t="n">
        <f aca="false">D276+F276-J276</f>
        <v>76338900</v>
      </c>
      <c r="I276" s="69" t="n">
        <v>656</v>
      </c>
      <c r="J276" s="69" t="n">
        <v>23570929</v>
      </c>
      <c r="K276" s="139" t="n">
        <f aca="false">J276/I276</f>
        <v>35931.2942073171</v>
      </c>
      <c r="L276" s="129" t="n">
        <v>274</v>
      </c>
      <c r="M276" s="130" t="s">
        <v>700</v>
      </c>
      <c r="N276" s="130" t="s">
        <v>211</v>
      </c>
      <c r="O276" s="130" t="s">
        <v>303</v>
      </c>
      <c r="P276" s="130" t="n">
        <v>144</v>
      </c>
      <c r="Q276" s="131" t="n">
        <v>18630</v>
      </c>
      <c r="R276" s="71" t="n">
        <v>2682720</v>
      </c>
    </row>
    <row r="277" customFormat="false" ht="13.8" hidden="false" customHeight="false" outlineLevel="0" collapsed="false">
      <c r="A277" s="68" t="s">
        <v>284</v>
      </c>
      <c r="B277" s="68" t="n">
        <v>12</v>
      </c>
      <c r="C277" s="69" t="n">
        <v>170</v>
      </c>
      <c r="D277" s="69" t="n">
        <v>7787064</v>
      </c>
      <c r="E277" s="69" t="n">
        <v>14</v>
      </c>
      <c r="F277" s="69" t="n">
        <v>598416</v>
      </c>
      <c r="G277" s="69" t="n">
        <v>0</v>
      </c>
      <c r="H277" s="69" t="n">
        <f aca="false">D277+F277-J277</f>
        <v>0</v>
      </c>
      <c r="I277" s="69" t="n">
        <v>184</v>
      </c>
      <c r="J277" s="69" t="n">
        <v>8385480</v>
      </c>
      <c r="K277" s="139" t="n">
        <f aca="false">J277/I277</f>
        <v>45573.2608695652</v>
      </c>
      <c r="L277" s="129" t="n">
        <v>275</v>
      </c>
      <c r="M277" s="130" t="s">
        <v>701</v>
      </c>
      <c r="N277" s="130" t="s">
        <v>273</v>
      </c>
      <c r="O277" s="130" t="s">
        <v>327</v>
      </c>
      <c r="P277" s="130"/>
      <c r="Q277" s="131"/>
      <c r="R277" s="71" t="n">
        <v>0</v>
      </c>
    </row>
    <row r="278" customFormat="false" ht="13.8" hidden="false" customHeight="false" outlineLevel="0" collapsed="false">
      <c r="A278" s="68" t="s">
        <v>285</v>
      </c>
      <c r="B278" s="68" t="n">
        <v>12</v>
      </c>
      <c r="C278" s="69" t="n">
        <v>0</v>
      </c>
      <c r="D278" s="69" t="n">
        <v>0</v>
      </c>
      <c r="E278" s="69" t="n">
        <v>0</v>
      </c>
      <c r="F278" s="69" t="n">
        <v>0</v>
      </c>
      <c r="G278" s="69" t="n">
        <v>0</v>
      </c>
      <c r="H278" s="69" t="n">
        <f aca="false">D278+F278-J278</f>
        <v>0</v>
      </c>
      <c r="I278" s="69" t="n">
        <v>0</v>
      </c>
      <c r="J278" s="69" t="n">
        <v>0</v>
      </c>
      <c r="K278" s="139"/>
      <c r="L278" s="129" t="n">
        <v>276</v>
      </c>
      <c r="M278" s="130" t="s">
        <v>702</v>
      </c>
      <c r="N278" s="130" t="s">
        <v>275</v>
      </c>
      <c r="O278" s="130" t="s">
        <v>327</v>
      </c>
      <c r="P278" s="130"/>
      <c r="Q278" s="131"/>
      <c r="R278" s="71" t="n">
        <v>0</v>
      </c>
    </row>
    <row r="279" customFormat="false" ht="13.8" hidden="false" customHeight="false" outlineLevel="0" collapsed="false">
      <c r="A279" s="68" t="s">
        <v>286</v>
      </c>
      <c r="B279" s="68" t="n">
        <v>12</v>
      </c>
      <c r="C279" s="69" t="n">
        <v>0</v>
      </c>
      <c r="D279" s="69" t="n">
        <v>0</v>
      </c>
      <c r="E279" s="69" t="n">
        <v>0</v>
      </c>
      <c r="F279" s="69" t="n">
        <v>0</v>
      </c>
      <c r="G279" s="69" t="n">
        <v>0</v>
      </c>
      <c r="H279" s="69" t="n">
        <f aca="false">D279+F279-J279</f>
        <v>0</v>
      </c>
      <c r="I279" s="69" t="n">
        <v>0</v>
      </c>
      <c r="J279" s="69" t="n">
        <v>0</v>
      </c>
      <c r="K279" s="139"/>
      <c r="L279" s="129" t="n">
        <v>277</v>
      </c>
      <c r="M279" s="130" t="s">
        <v>703</v>
      </c>
      <c r="N279" s="130" t="s">
        <v>276</v>
      </c>
      <c r="O279" s="130" t="s">
        <v>327</v>
      </c>
      <c r="P279" s="130"/>
      <c r="Q279" s="131"/>
      <c r="R279" s="71" t="n">
        <v>0</v>
      </c>
    </row>
    <row r="280" customFormat="false" ht="13.8" hidden="false" customHeight="false" outlineLevel="0" collapsed="false">
      <c r="A280" s="68" t="s">
        <v>287</v>
      </c>
      <c r="B280" s="68" t="n">
        <v>12</v>
      </c>
      <c r="C280" s="69" t="n">
        <v>8</v>
      </c>
      <c r="D280" s="69" t="n">
        <v>888480</v>
      </c>
      <c r="E280" s="69" t="n">
        <v>0</v>
      </c>
      <c r="F280" s="69" t="n">
        <v>0</v>
      </c>
      <c r="G280" s="69" t="n">
        <v>0</v>
      </c>
      <c r="H280" s="69" t="n">
        <f aca="false">D280+F280-J280</f>
        <v>0</v>
      </c>
      <c r="I280" s="69" t="n">
        <v>8</v>
      </c>
      <c r="J280" s="69" t="n">
        <v>888480</v>
      </c>
      <c r="K280" s="139" t="n">
        <f aca="false">J280/I280</f>
        <v>111060</v>
      </c>
      <c r="L280" s="129" t="n">
        <v>278</v>
      </c>
      <c r="M280" s="130" t="s">
        <v>704</v>
      </c>
      <c r="N280" s="130" t="s">
        <v>274</v>
      </c>
      <c r="O280" s="130" t="s">
        <v>327</v>
      </c>
      <c r="P280" s="130" t="n">
        <v>14</v>
      </c>
      <c r="Q280" s="131" t="n">
        <v>31950</v>
      </c>
      <c r="R280" s="71" t="n">
        <v>447300</v>
      </c>
    </row>
    <row r="281" customFormat="false" ht="13.8" hidden="false" customHeight="false" outlineLevel="0" collapsed="false">
      <c r="A281" s="68" t="s">
        <v>288</v>
      </c>
      <c r="B281" s="68" t="n">
        <v>12</v>
      </c>
      <c r="C281" s="69" t="n">
        <v>72</v>
      </c>
      <c r="D281" s="69" t="n">
        <v>1717560</v>
      </c>
      <c r="E281" s="69" t="n">
        <v>2768</v>
      </c>
      <c r="F281" s="69"/>
      <c r="G281" s="69" t="n">
        <v>0</v>
      </c>
      <c r="H281" s="69" t="n">
        <f aca="false">D281+F281-J281</f>
        <v>0</v>
      </c>
      <c r="I281" s="69" t="n">
        <v>72</v>
      </c>
      <c r="J281" s="69" t="n">
        <v>1717560</v>
      </c>
      <c r="K281" s="139" t="n">
        <f aca="false">J281/I281</f>
        <v>23855</v>
      </c>
      <c r="L281" s="129" t="n">
        <v>279</v>
      </c>
      <c r="M281" s="130" t="s">
        <v>705</v>
      </c>
      <c r="N281" s="130" t="s">
        <v>214</v>
      </c>
      <c r="O281" s="130" t="s">
        <v>303</v>
      </c>
      <c r="P281" s="130" t="n">
        <v>10868</v>
      </c>
      <c r="Q281" s="131" t="n">
        <v>24638</v>
      </c>
      <c r="R281" s="71" t="n">
        <v>267765784</v>
      </c>
    </row>
    <row r="282" customFormat="false" ht="13.8" hidden="false" customHeight="false" outlineLevel="0" collapsed="false">
      <c r="A282" s="68" t="s">
        <v>289</v>
      </c>
      <c r="B282" s="68" t="n">
        <v>12</v>
      </c>
      <c r="C282" s="69" t="n">
        <v>5453</v>
      </c>
      <c r="D282" s="69" t="n">
        <v>18544800</v>
      </c>
      <c r="E282" s="69" t="n">
        <v>3249</v>
      </c>
      <c r="F282" s="69" t="n">
        <v>26723118.9017341</v>
      </c>
      <c r="G282" s="69" t="n">
        <v>5934</v>
      </c>
      <c r="H282" s="69" t="n">
        <f aca="false">D282+F282-J282</f>
        <v>22501038.9017341</v>
      </c>
      <c r="I282" s="69" t="n">
        <v>2768</v>
      </c>
      <c r="J282" s="69" t="n">
        <v>22766880</v>
      </c>
      <c r="K282" s="139" t="n">
        <f aca="false">J282/I282</f>
        <v>8225.0289017341</v>
      </c>
      <c r="L282" s="129" t="n">
        <v>280</v>
      </c>
      <c r="M282" s="130" t="s">
        <v>706</v>
      </c>
      <c r="N282" s="130" t="s">
        <v>277</v>
      </c>
      <c r="O282" s="130" t="s">
        <v>327</v>
      </c>
      <c r="P282" s="130"/>
      <c r="Q282" s="131"/>
      <c r="R282" s="71" t="n">
        <v>0</v>
      </c>
    </row>
    <row r="283" customFormat="false" ht="13.8" hidden="false" customHeight="false" outlineLevel="0" collapsed="false">
      <c r="A283" s="68" t="s">
        <v>290</v>
      </c>
      <c r="B283" s="68" t="n">
        <v>12</v>
      </c>
      <c r="C283" s="69" t="n">
        <v>294</v>
      </c>
      <c r="D283" s="69" t="n">
        <v>26161598</v>
      </c>
      <c r="E283" s="69" t="n">
        <v>612</v>
      </c>
      <c r="F283" s="69" t="n">
        <v>54458208</v>
      </c>
      <c r="G283" s="69" t="n">
        <v>462</v>
      </c>
      <c r="H283" s="69" t="n">
        <f aca="false">D283+F283-J283</f>
        <v>41110762</v>
      </c>
      <c r="I283" s="69" t="n">
        <v>444</v>
      </c>
      <c r="J283" s="69" t="n">
        <v>39509044</v>
      </c>
      <c r="K283" s="139" t="n">
        <f aca="false">J283/I283</f>
        <v>88984.3333333333</v>
      </c>
      <c r="L283" s="129" t="n">
        <v>281</v>
      </c>
      <c r="M283" s="130" t="s">
        <v>707</v>
      </c>
      <c r="N283" s="130" t="s">
        <v>708</v>
      </c>
      <c r="O283" s="130" t="s">
        <v>327</v>
      </c>
      <c r="P283" s="130"/>
      <c r="Q283" s="131"/>
      <c r="R283" s="71" t="n">
        <v>0</v>
      </c>
    </row>
    <row r="284" customFormat="false" ht="13.8" hidden="false" customHeight="false" outlineLevel="0" collapsed="false">
      <c r="A284" s="68" t="s">
        <v>291</v>
      </c>
      <c r="B284" s="68" t="n">
        <v>12</v>
      </c>
      <c r="C284" s="69" t="n">
        <v>580</v>
      </c>
      <c r="D284" s="69" t="n">
        <v>54183265</v>
      </c>
      <c r="E284" s="69" t="n">
        <v>1120</v>
      </c>
      <c r="F284" s="69" t="n">
        <v>104711040</v>
      </c>
      <c r="G284" s="69" t="n">
        <v>821</v>
      </c>
      <c r="H284" s="69" t="n">
        <f aca="false">D284+F284-J284</f>
        <v>76736603</v>
      </c>
      <c r="I284" s="69" t="n">
        <v>879</v>
      </c>
      <c r="J284" s="69" t="n">
        <v>82157702</v>
      </c>
      <c r="K284" s="139" t="n">
        <f aca="false">J284/I284</f>
        <v>93467.2377701934</v>
      </c>
      <c r="L284" s="129" t="n">
        <v>282</v>
      </c>
      <c r="M284" s="130" t="s">
        <v>709</v>
      </c>
      <c r="N284" s="130" t="s">
        <v>278</v>
      </c>
      <c r="O284" s="130" t="s">
        <v>303</v>
      </c>
      <c r="P284" s="130"/>
      <c r="Q284" s="131"/>
      <c r="R284" s="71" t="n">
        <v>0</v>
      </c>
    </row>
    <row r="285" customFormat="false" ht="13.8" hidden="false" customHeight="false" outlineLevel="0" collapsed="false">
      <c r="A285" s="68" t="s">
        <v>292</v>
      </c>
      <c r="B285" s="68" t="n">
        <v>12</v>
      </c>
      <c r="C285" s="69" t="n">
        <v>0</v>
      </c>
      <c r="D285" s="69" t="n">
        <v>0</v>
      </c>
      <c r="E285" s="69" t="n">
        <v>394</v>
      </c>
      <c r="F285" s="69" t="n">
        <v>34234181</v>
      </c>
      <c r="G285" s="69" t="n">
        <v>394</v>
      </c>
      <c r="H285" s="69" t="n">
        <f aca="false">D285+F285-J285</f>
        <v>34234181</v>
      </c>
      <c r="I285" s="69" t="n">
        <v>0</v>
      </c>
      <c r="J285" s="69" t="n">
        <v>0</v>
      </c>
      <c r="K285" s="139"/>
      <c r="L285" s="129" t="n">
        <v>283</v>
      </c>
      <c r="M285" s="130" t="s">
        <v>710</v>
      </c>
      <c r="N285" s="130" t="s">
        <v>711</v>
      </c>
      <c r="O285" s="130" t="s">
        <v>327</v>
      </c>
      <c r="P285" s="130"/>
      <c r="Q285" s="131"/>
      <c r="R285" s="71" t="n">
        <v>0</v>
      </c>
    </row>
    <row r="286" s="81" customFormat="true" ht="13.8" hidden="false" customHeight="false" outlineLevel="0" collapsed="false">
      <c r="A286" s="65"/>
      <c r="B286" s="65"/>
      <c r="C286" s="79"/>
      <c r="D286" s="79" t="n">
        <f aca="false">SUM(D4:D285)</f>
        <v>15757074952.4896</v>
      </c>
      <c r="E286" s="79"/>
      <c r="F286" s="79" t="n">
        <f aca="false">SUM(F4:F285)</f>
        <v>24085377822.2958</v>
      </c>
      <c r="G286" s="79"/>
      <c r="H286" s="79" t="n">
        <f aca="false">SUM(H4:H285)</f>
        <v>23906846021.5854</v>
      </c>
      <c r="I286" s="79"/>
      <c r="J286" s="79" t="n">
        <f aca="false">SUM(J4:J285)</f>
        <v>15935606753.2</v>
      </c>
      <c r="K286" s="128"/>
      <c r="L286" s="129" t="n">
        <v>284</v>
      </c>
      <c r="M286" s="145" t="s">
        <v>712</v>
      </c>
      <c r="N286" s="145" t="s">
        <v>713</v>
      </c>
      <c r="O286" s="145" t="s">
        <v>303</v>
      </c>
      <c r="P286" s="145"/>
      <c r="Q286" s="146"/>
      <c r="R286" s="67" t="n">
        <v>0</v>
      </c>
    </row>
    <row r="287" customFormat="false" ht="13.8" hidden="false" customHeight="false" outlineLevel="0" collapsed="false">
      <c r="J287" s="78" t="n">
        <f aca="false">D286+F286-H286</f>
        <v>15935606753.2</v>
      </c>
      <c r="L287" s="129" t="n">
        <v>285</v>
      </c>
      <c r="M287" s="130" t="s">
        <v>714</v>
      </c>
      <c r="N287" s="130" t="s">
        <v>715</v>
      </c>
      <c r="O287" s="130" t="s">
        <v>303</v>
      </c>
      <c r="P287" s="130"/>
      <c r="Q287" s="131"/>
      <c r="R287" s="71" t="n">
        <v>0</v>
      </c>
    </row>
    <row r="288" customFormat="false" ht="13.8" hidden="false" customHeight="false" outlineLevel="0" collapsed="false">
      <c r="J288" s="61" t="n">
        <f aca="false">'ĐC Chính'!J286</f>
        <v>15761231523</v>
      </c>
      <c r="L288" s="129" t="n">
        <v>286</v>
      </c>
      <c r="M288" s="130" t="s">
        <v>716</v>
      </c>
      <c r="N288" s="130" t="s">
        <v>279</v>
      </c>
      <c r="O288" s="130" t="s">
        <v>327</v>
      </c>
      <c r="P288" s="130"/>
      <c r="Q288" s="131"/>
      <c r="R288" s="71" t="n">
        <v>0</v>
      </c>
    </row>
    <row r="289" customFormat="false" ht="13.8" hidden="false" customHeight="false" outlineLevel="0" collapsed="false">
      <c r="J289" s="78" t="n">
        <f aca="false">J287-J288</f>
        <v>174375230.200005</v>
      </c>
      <c r="L289" s="129" t="n">
        <v>287</v>
      </c>
      <c r="M289" s="130" t="s">
        <v>717</v>
      </c>
      <c r="N289" s="130" t="s">
        <v>280</v>
      </c>
      <c r="O289" s="130" t="s">
        <v>327</v>
      </c>
      <c r="P289" s="130"/>
      <c r="Q289" s="131"/>
      <c r="R289" s="71" t="n">
        <v>0</v>
      </c>
    </row>
    <row r="290" customFormat="false" ht="13.8" hidden="false" customHeight="false" outlineLevel="0" collapsed="false">
      <c r="L290" s="129" t="n">
        <v>288</v>
      </c>
      <c r="M290" s="130" t="s">
        <v>718</v>
      </c>
      <c r="N290" s="130" t="s">
        <v>719</v>
      </c>
      <c r="O290" s="130" t="s">
        <v>327</v>
      </c>
      <c r="P290" s="130" t="n">
        <v>167</v>
      </c>
      <c r="Q290" s="131" t="n">
        <v>17640</v>
      </c>
      <c r="R290" s="71" t="n">
        <v>2945880</v>
      </c>
    </row>
    <row r="291" customFormat="false" ht="13.8" hidden="false" customHeight="false" outlineLevel="0" collapsed="false">
      <c r="L291" s="129" t="n">
        <v>289</v>
      </c>
      <c r="M291" s="130" t="s">
        <v>720</v>
      </c>
      <c r="N291" s="130" t="s">
        <v>282</v>
      </c>
      <c r="O291" s="130" t="s">
        <v>327</v>
      </c>
      <c r="P291" s="130" t="n">
        <v>13</v>
      </c>
      <c r="Q291" s="131" t="n">
        <v>35280</v>
      </c>
      <c r="R291" s="71" t="n">
        <v>458640</v>
      </c>
    </row>
    <row r="292" customFormat="false" ht="13.8" hidden="false" customHeight="false" outlineLevel="0" collapsed="false">
      <c r="L292" s="129" t="n">
        <v>290</v>
      </c>
      <c r="M292" s="130" t="s">
        <v>721</v>
      </c>
      <c r="N292" s="130" t="s">
        <v>233</v>
      </c>
      <c r="O292" s="130" t="s">
        <v>654</v>
      </c>
      <c r="P292" s="130" t="n">
        <v>2974</v>
      </c>
      <c r="Q292" s="131" t="n">
        <v>62720</v>
      </c>
      <c r="R292" s="71" t="n">
        <v>186529280</v>
      </c>
    </row>
    <row r="293" customFormat="false" ht="13.8" hidden="false" customHeight="false" outlineLevel="0" collapsed="false">
      <c r="L293" s="129" t="n">
        <v>291</v>
      </c>
      <c r="M293" s="130" t="s">
        <v>722</v>
      </c>
      <c r="N293" s="130" t="s">
        <v>245</v>
      </c>
      <c r="O293" s="130" t="s">
        <v>303</v>
      </c>
      <c r="P293" s="130"/>
      <c r="Q293" s="131"/>
      <c r="R293" s="71" t="n">
        <v>0</v>
      </c>
    </row>
    <row r="294" customFormat="false" ht="13.8" hidden="false" customHeight="false" outlineLevel="0" collapsed="false">
      <c r="L294" s="129" t="n">
        <v>292</v>
      </c>
      <c r="M294" s="130" t="s">
        <v>723</v>
      </c>
      <c r="N294" s="130" t="s">
        <v>724</v>
      </c>
      <c r="O294" s="130" t="s">
        <v>654</v>
      </c>
      <c r="P294" s="130"/>
      <c r="Q294" s="131"/>
      <c r="R294" s="71" t="n">
        <v>0</v>
      </c>
    </row>
    <row r="295" customFormat="false" ht="13.8" hidden="false" customHeight="false" outlineLevel="0" collapsed="false">
      <c r="L295" s="129" t="n">
        <v>293</v>
      </c>
      <c r="M295" s="130" t="s">
        <v>725</v>
      </c>
      <c r="N295" s="130" t="s">
        <v>726</v>
      </c>
      <c r="O295" s="130" t="s">
        <v>528</v>
      </c>
      <c r="P295" s="130"/>
      <c r="Q295" s="131"/>
      <c r="R295" s="71" t="n">
        <v>0</v>
      </c>
    </row>
    <row r="296" customFormat="false" ht="13.8" hidden="false" customHeight="false" outlineLevel="0" collapsed="false">
      <c r="L296" s="129" t="n">
        <v>294</v>
      </c>
      <c r="M296" s="130" t="s">
        <v>727</v>
      </c>
      <c r="N296" s="130" t="s">
        <v>728</v>
      </c>
      <c r="O296" s="130" t="s">
        <v>327</v>
      </c>
      <c r="P296" s="130"/>
      <c r="Q296" s="131"/>
      <c r="R296" s="71" t="n">
        <v>0</v>
      </c>
    </row>
    <row r="297" customFormat="false" ht="13.8" hidden="false" customHeight="false" outlineLevel="0" collapsed="false">
      <c r="L297" s="129" t="n">
        <v>295</v>
      </c>
      <c r="M297" s="130" t="s">
        <v>729</v>
      </c>
      <c r="N297" s="130" t="s">
        <v>730</v>
      </c>
      <c r="O297" s="130" t="s">
        <v>327</v>
      </c>
      <c r="P297" s="130"/>
      <c r="Q297" s="131"/>
      <c r="R297" s="71" t="n">
        <v>0</v>
      </c>
    </row>
    <row r="298" customFormat="false" ht="13.8" hidden="false" customHeight="false" outlineLevel="0" collapsed="false">
      <c r="L298" s="129" t="n">
        <v>296</v>
      </c>
      <c r="M298" s="130" t="s">
        <v>731</v>
      </c>
      <c r="N298" s="130" t="s">
        <v>287</v>
      </c>
      <c r="O298" s="130" t="s">
        <v>327</v>
      </c>
      <c r="P298" s="130" t="n">
        <v>8</v>
      </c>
      <c r="Q298" s="131" t="n">
        <v>29616</v>
      </c>
      <c r="R298" s="71" t="n">
        <v>236928</v>
      </c>
    </row>
    <row r="299" customFormat="false" ht="13.8" hidden="false" customHeight="false" outlineLevel="0" collapsed="false">
      <c r="L299" s="129" t="n">
        <v>297</v>
      </c>
      <c r="M299" s="130" t="s">
        <v>732</v>
      </c>
      <c r="N299" s="130" t="s">
        <v>618</v>
      </c>
      <c r="O299" s="130" t="s">
        <v>327</v>
      </c>
      <c r="P299" s="130"/>
      <c r="Q299" s="131"/>
      <c r="R299" s="71" t="n">
        <v>0</v>
      </c>
    </row>
    <row r="300" customFormat="false" ht="13.8" hidden="false" customHeight="false" outlineLevel="0" collapsed="false">
      <c r="L300" s="129" t="n">
        <v>298</v>
      </c>
      <c r="M300" s="130" t="s">
        <v>733</v>
      </c>
      <c r="N300" s="130" t="s">
        <v>210</v>
      </c>
      <c r="O300" s="130" t="s">
        <v>327</v>
      </c>
      <c r="P300" s="130" t="n">
        <v>625</v>
      </c>
      <c r="Q300" s="131" t="n">
        <v>13152</v>
      </c>
      <c r="R300" s="71" t="n">
        <v>8220000</v>
      </c>
    </row>
    <row r="301" customFormat="false" ht="13.8" hidden="false" customHeight="false" outlineLevel="0" collapsed="false">
      <c r="L301" s="129" t="n">
        <v>299</v>
      </c>
      <c r="M301" s="130" t="s">
        <v>734</v>
      </c>
      <c r="N301" s="130" t="s">
        <v>735</v>
      </c>
      <c r="O301" s="130" t="s">
        <v>736</v>
      </c>
      <c r="P301" s="130"/>
      <c r="Q301" s="131"/>
      <c r="R301" s="71" t="n">
        <v>0</v>
      </c>
    </row>
    <row r="302" customFormat="false" ht="13.8" hidden="false" customHeight="false" outlineLevel="0" collapsed="false">
      <c r="L302" s="129" t="n">
        <v>300</v>
      </c>
      <c r="M302" s="130" t="s">
        <v>737</v>
      </c>
      <c r="N302" s="130" t="s">
        <v>182</v>
      </c>
      <c r="O302" s="130" t="s">
        <v>528</v>
      </c>
      <c r="P302" s="130"/>
      <c r="Q302" s="131"/>
      <c r="R302" s="71" t="n">
        <v>0</v>
      </c>
    </row>
    <row r="303" customFormat="false" ht="13.8" hidden="false" customHeight="false" outlineLevel="0" collapsed="false">
      <c r="L303" s="129" t="n">
        <v>301</v>
      </c>
      <c r="M303" s="130" t="s">
        <v>738</v>
      </c>
      <c r="N303" s="130" t="s">
        <v>183</v>
      </c>
      <c r="O303" s="130" t="s">
        <v>528</v>
      </c>
      <c r="P303" s="130" t="n">
        <v>750</v>
      </c>
      <c r="Q303" s="131" t="n">
        <v>54405.18</v>
      </c>
      <c r="R303" s="71" t="n">
        <v>40803885</v>
      </c>
    </row>
    <row r="304" customFormat="false" ht="13.8" hidden="false" customHeight="false" outlineLevel="0" collapsed="false">
      <c r="L304" s="129" t="n">
        <v>302</v>
      </c>
      <c r="M304" s="130" t="s">
        <v>739</v>
      </c>
      <c r="N304" s="130" t="s">
        <v>184</v>
      </c>
      <c r="O304" s="130" t="s">
        <v>528</v>
      </c>
      <c r="P304" s="130" t="n">
        <v>678</v>
      </c>
      <c r="Q304" s="131" t="n">
        <v>54405.18</v>
      </c>
      <c r="R304" s="71" t="n">
        <v>36886712.04</v>
      </c>
    </row>
    <row r="305" customFormat="false" ht="13.8" hidden="false" customHeight="false" outlineLevel="0" collapsed="false">
      <c r="L305" s="129" t="n">
        <v>303</v>
      </c>
      <c r="M305" s="130" t="s">
        <v>740</v>
      </c>
      <c r="N305" s="130" t="s">
        <v>189</v>
      </c>
      <c r="O305" s="130" t="s">
        <v>303</v>
      </c>
      <c r="P305" s="130" t="n">
        <v>555</v>
      </c>
      <c r="Q305" s="131" t="n">
        <v>44306.06</v>
      </c>
      <c r="R305" s="71" t="n">
        <v>24589863.3</v>
      </c>
    </row>
    <row r="306" customFormat="false" ht="13.8" hidden="false" customHeight="false" outlineLevel="0" collapsed="false">
      <c r="L306" s="129" t="n">
        <v>304</v>
      </c>
      <c r="M306" s="130" t="s">
        <v>741</v>
      </c>
      <c r="N306" s="130" t="s">
        <v>742</v>
      </c>
      <c r="O306" s="130" t="s">
        <v>303</v>
      </c>
      <c r="P306" s="130"/>
      <c r="Q306" s="131"/>
      <c r="R306" s="71" t="n">
        <v>0</v>
      </c>
    </row>
    <row r="307" customFormat="false" ht="13.8" hidden="false" customHeight="false" outlineLevel="0" collapsed="false">
      <c r="L307" s="129" t="n">
        <v>305</v>
      </c>
      <c r="M307" s="130" t="s">
        <v>743</v>
      </c>
      <c r="N307" s="130" t="s">
        <v>186</v>
      </c>
      <c r="O307" s="130" t="s">
        <v>303</v>
      </c>
      <c r="P307" s="130" t="n">
        <v>4395</v>
      </c>
      <c r="Q307" s="131" t="n">
        <v>43373.31</v>
      </c>
      <c r="R307" s="71" t="n">
        <v>190625697.45</v>
      </c>
    </row>
    <row r="308" customFormat="false" ht="13.8" hidden="false" customHeight="false" outlineLevel="0" collapsed="false">
      <c r="L308" s="129" t="n">
        <v>306</v>
      </c>
      <c r="M308" s="130" t="s">
        <v>744</v>
      </c>
      <c r="N308" s="130" t="s">
        <v>745</v>
      </c>
      <c r="O308" s="130" t="s">
        <v>303</v>
      </c>
      <c r="P308" s="130"/>
      <c r="Q308" s="131"/>
      <c r="R308" s="71" t="n">
        <v>0</v>
      </c>
    </row>
    <row r="309" customFormat="false" ht="13.8" hidden="false" customHeight="false" outlineLevel="0" collapsed="false">
      <c r="L309" s="129" t="n">
        <v>307</v>
      </c>
      <c r="M309" s="130" t="s">
        <v>746</v>
      </c>
      <c r="N309" s="130" t="s">
        <v>185</v>
      </c>
      <c r="O309" s="130" t="s">
        <v>303</v>
      </c>
      <c r="P309" s="130" t="n">
        <v>925</v>
      </c>
      <c r="Q309" s="131" t="n">
        <v>180233.73</v>
      </c>
      <c r="R309" s="71" t="n">
        <v>166716200.25</v>
      </c>
    </row>
    <row r="310" customFormat="false" ht="13.8" hidden="false" customHeight="false" outlineLevel="0" collapsed="false">
      <c r="L310" s="129" t="n">
        <v>308</v>
      </c>
      <c r="M310" s="130" t="s">
        <v>747</v>
      </c>
      <c r="N310" s="130" t="s">
        <v>748</v>
      </c>
      <c r="O310" s="130" t="s">
        <v>303</v>
      </c>
      <c r="P310" s="130" t="n">
        <v>8407</v>
      </c>
      <c r="Q310" s="131" t="n">
        <v>178467</v>
      </c>
      <c r="R310" s="71" t="n">
        <v>1500372069</v>
      </c>
    </row>
    <row r="311" customFormat="false" ht="13.8" hidden="false" customHeight="false" outlineLevel="0" collapsed="false">
      <c r="L311" s="129" t="n">
        <v>309</v>
      </c>
      <c r="M311" s="130" t="s">
        <v>749</v>
      </c>
      <c r="N311" s="130" t="s">
        <v>750</v>
      </c>
      <c r="O311" s="130" t="s">
        <v>303</v>
      </c>
      <c r="P311" s="130"/>
      <c r="Q311" s="131" t="n">
        <v>43373</v>
      </c>
      <c r="R311" s="71" t="n">
        <v>0</v>
      </c>
    </row>
    <row r="312" customFormat="false" ht="13.8" hidden="false" customHeight="false" outlineLevel="0" collapsed="false">
      <c r="L312" s="129" t="n">
        <v>310</v>
      </c>
      <c r="M312" s="130" t="s">
        <v>751</v>
      </c>
      <c r="N312" s="130" t="s">
        <v>192</v>
      </c>
      <c r="O312" s="130" t="s">
        <v>311</v>
      </c>
      <c r="P312" s="130" t="n">
        <v>6335</v>
      </c>
      <c r="Q312" s="131" t="n">
        <v>7220</v>
      </c>
      <c r="R312" s="71" t="n">
        <v>45738700</v>
      </c>
    </row>
    <row r="313" customFormat="false" ht="13.8" hidden="false" customHeight="false" outlineLevel="0" collapsed="false">
      <c r="L313" s="129" t="n">
        <v>311</v>
      </c>
      <c r="M313" s="130" t="s">
        <v>752</v>
      </c>
      <c r="N313" s="130" t="s">
        <v>190</v>
      </c>
      <c r="O313" s="130" t="s">
        <v>753</v>
      </c>
      <c r="P313" s="130" t="n">
        <v>4737</v>
      </c>
      <c r="Q313" s="131" t="n">
        <v>28272</v>
      </c>
      <c r="R313" s="71" t="n">
        <v>133924464</v>
      </c>
    </row>
    <row r="314" customFormat="false" ht="13.8" hidden="false" customHeight="false" outlineLevel="0" collapsed="false">
      <c r="L314" s="129" t="n">
        <v>312</v>
      </c>
      <c r="M314" s="130" t="s">
        <v>754</v>
      </c>
      <c r="N314" s="130" t="s">
        <v>755</v>
      </c>
      <c r="O314" s="130" t="s">
        <v>753</v>
      </c>
      <c r="P314" s="130" t="n">
        <v>843</v>
      </c>
      <c r="Q314" s="131" t="n">
        <v>35340</v>
      </c>
      <c r="R314" s="71" t="n">
        <v>29791620</v>
      </c>
    </row>
    <row r="315" customFormat="false" ht="13.8" hidden="false" customHeight="false" outlineLevel="0" collapsed="false">
      <c r="L315" s="129" t="n">
        <v>313</v>
      </c>
      <c r="M315" s="130" t="s">
        <v>756</v>
      </c>
      <c r="N315" s="130" t="s">
        <v>194</v>
      </c>
      <c r="O315" s="130" t="s">
        <v>311</v>
      </c>
      <c r="P315" s="130" t="n">
        <v>243366</v>
      </c>
      <c r="Q315" s="131" t="n">
        <v>7068</v>
      </c>
      <c r="R315" s="71" t="n">
        <v>1720110888</v>
      </c>
    </row>
    <row r="316" customFormat="false" ht="13.8" hidden="false" customHeight="false" outlineLevel="0" collapsed="false">
      <c r="L316" s="129" t="n">
        <v>314</v>
      </c>
      <c r="M316" s="130" t="s">
        <v>757</v>
      </c>
      <c r="N316" s="130" t="s">
        <v>191</v>
      </c>
      <c r="O316" s="130" t="s">
        <v>753</v>
      </c>
      <c r="P316" s="130" t="n">
        <v>46715</v>
      </c>
      <c r="Q316" s="131" t="n">
        <v>28272</v>
      </c>
      <c r="R316" s="71" t="n">
        <v>1320726480</v>
      </c>
    </row>
    <row r="317" customFormat="false" ht="13.8" hidden="false" customHeight="false" outlineLevel="0" collapsed="false">
      <c r="L317" s="129" t="n">
        <v>315</v>
      </c>
      <c r="M317" s="130" t="s">
        <v>758</v>
      </c>
      <c r="N317" s="130" t="s">
        <v>759</v>
      </c>
      <c r="O317" s="130" t="s">
        <v>753</v>
      </c>
      <c r="P317" s="130"/>
      <c r="Q317" s="131"/>
      <c r="R317" s="71" t="n">
        <v>0</v>
      </c>
    </row>
    <row r="318" customFormat="false" ht="13.8" hidden="false" customHeight="false" outlineLevel="0" collapsed="false">
      <c r="L318" s="129" t="n">
        <v>316</v>
      </c>
      <c r="M318" s="130" t="s">
        <v>760</v>
      </c>
      <c r="N318" s="130" t="s">
        <v>198</v>
      </c>
      <c r="O318" s="130" t="s">
        <v>753</v>
      </c>
      <c r="P318" s="130"/>
      <c r="Q318" s="131"/>
      <c r="R318" s="71" t="n">
        <v>0</v>
      </c>
    </row>
    <row r="319" customFormat="false" ht="13.8" hidden="false" customHeight="false" outlineLevel="0" collapsed="false">
      <c r="L319" s="129" t="n">
        <v>317</v>
      </c>
      <c r="M319" s="130" t="s">
        <v>761</v>
      </c>
      <c r="N319" s="130" t="s">
        <v>762</v>
      </c>
      <c r="O319" s="130" t="s">
        <v>753</v>
      </c>
      <c r="P319" s="130" t="n">
        <v>18683</v>
      </c>
      <c r="Q319" s="131" t="n">
        <v>27388.5</v>
      </c>
      <c r="R319" s="71" t="n">
        <v>511699345.5</v>
      </c>
    </row>
    <row r="320" customFormat="false" ht="13.8" hidden="false" customHeight="false" outlineLevel="0" collapsed="false">
      <c r="L320" s="129" t="n">
        <v>318</v>
      </c>
      <c r="M320" s="130" t="s">
        <v>763</v>
      </c>
      <c r="N320" s="130" t="s">
        <v>196</v>
      </c>
      <c r="O320" s="130" t="s">
        <v>303</v>
      </c>
      <c r="P320" s="130"/>
      <c r="Q320" s="131"/>
      <c r="R320" s="71" t="n">
        <v>0</v>
      </c>
    </row>
    <row r="321" customFormat="false" ht="13.8" hidden="false" customHeight="false" outlineLevel="0" collapsed="false">
      <c r="L321" s="129" t="n">
        <v>319</v>
      </c>
      <c r="M321" s="130" t="s">
        <v>764</v>
      </c>
      <c r="N321" s="130" t="s">
        <v>765</v>
      </c>
      <c r="O321" s="130" t="s">
        <v>311</v>
      </c>
      <c r="P321" s="130" t="n">
        <v>1150</v>
      </c>
      <c r="Q321" s="131" t="n">
        <v>7220</v>
      </c>
      <c r="R321" s="71" t="n">
        <v>8303000</v>
      </c>
    </row>
    <row r="322" customFormat="false" ht="13.8" hidden="false" customHeight="false" outlineLevel="0" collapsed="false">
      <c r="L322" s="129" t="n">
        <v>320</v>
      </c>
      <c r="M322" s="130" t="s">
        <v>766</v>
      </c>
      <c r="N322" s="130" t="s">
        <v>767</v>
      </c>
      <c r="O322" s="130" t="s">
        <v>753</v>
      </c>
      <c r="P322" s="130"/>
      <c r="Q322" s="131"/>
      <c r="R322" s="71" t="n">
        <v>0</v>
      </c>
    </row>
    <row r="323" customFormat="false" ht="13.8" hidden="false" customHeight="false" outlineLevel="0" collapsed="false">
      <c r="L323" s="129" t="n">
        <v>321</v>
      </c>
      <c r="M323" s="130" t="s">
        <v>768</v>
      </c>
      <c r="N323" s="130" t="s">
        <v>769</v>
      </c>
      <c r="O323" s="130" t="s">
        <v>303</v>
      </c>
      <c r="P323" s="130"/>
      <c r="Q323" s="131"/>
      <c r="R323" s="71" t="n">
        <v>0</v>
      </c>
    </row>
    <row r="324" customFormat="false" ht="13.8" hidden="false" customHeight="false" outlineLevel="0" collapsed="false">
      <c r="L324" s="129" t="n">
        <v>322</v>
      </c>
      <c r="M324" s="130" t="s">
        <v>770</v>
      </c>
      <c r="N324" s="130" t="s">
        <v>771</v>
      </c>
      <c r="O324" s="130" t="s">
        <v>303</v>
      </c>
      <c r="P324" s="130"/>
      <c r="Q324" s="131"/>
      <c r="R324" s="71" t="n">
        <v>0</v>
      </c>
    </row>
    <row r="325" customFormat="false" ht="13.8" hidden="false" customHeight="false" outlineLevel="0" collapsed="false">
      <c r="L325" s="129" t="n">
        <v>323</v>
      </c>
      <c r="M325" s="130" t="s">
        <v>772</v>
      </c>
      <c r="N325" s="130" t="s">
        <v>773</v>
      </c>
      <c r="O325" s="130" t="s">
        <v>303</v>
      </c>
      <c r="P325" s="130"/>
      <c r="Q325" s="131"/>
      <c r="R325" s="71" t="n">
        <v>0</v>
      </c>
    </row>
    <row r="326" customFormat="false" ht="13.8" hidden="false" customHeight="false" outlineLevel="0" collapsed="false">
      <c r="L326" s="129" t="n">
        <v>324</v>
      </c>
      <c r="M326" s="130" t="s">
        <v>774</v>
      </c>
      <c r="N326" s="130" t="s">
        <v>775</v>
      </c>
      <c r="O326" s="130" t="s">
        <v>303</v>
      </c>
      <c r="P326" s="130"/>
      <c r="Q326" s="131"/>
      <c r="R326" s="71" t="n">
        <v>0</v>
      </c>
    </row>
    <row r="327" customFormat="false" ht="13.8" hidden="false" customHeight="false" outlineLevel="0" collapsed="false">
      <c r="L327" s="129" t="n">
        <v>325</v>
      </c>
      <c r="M327" s="130" t="s">
        <v>776</v>
      </c>
      <c r="N327" s="130" t="s">
        <v>777</v>
      </c>
      <c r="O327" s="130" t="s">
        <v>303</v>
      </c>
      <c r="P327" s="130"/>
      <c r="Q327" s="131"/>
      <c r="R327" s="71" t="n">
        <v>0</v>
      </c>
    </row>
    <row r="328" customFormat="false" ht="13.8" hidden="false" customHeight="false" outlineLevel="0" collapsed="false">
      <c r="L328" s="129" t="n">
        <v>326</v>
      </c>
      <c r="M328" s="130" t="s">
        <v>778</v>
      </c>
      <c r="N328" s="130" t="s">
        <v>779</v>
      </c>
      <c r="O328" s="130" t="s">
        <v>303</v>
      </c>
      <c r="P328" s="130"/>
      <c r="Q328" s="131"/>
      <c r="R328" s="71" t="n">
        <v>0</v>
      </c>
    </row>
    <row r="329" customFormat="false" ht="13.8" hidden="false" customHeight="false" outlineLevel="0" collapsed="false">
      <c r="L329" s="129" t="n">
        <v>327</v>
      </c>
      <c r="M329" s="130" t="s">
        <v>780</v>
      </c>
      <c r="N329" s="130" t="s">
        <v>781</v>
      </c>
      <c r="O329" s="130" t="s">
        <v>303</v>
      </c>
      <c r="P329" s="130"/>
      <c r="Q329" s="131"/>
      <c r="R329" s="71" t="n">
        <v>0</v>
      </c>
    </row>
    <row r="330" customFormat="false" ht="13.8" hidden="false" customHeight="false" outlineLevel="0" collapsed="false">
      <c r="L330" s="129" t="n">
        <v>328</v>
      </c>
      <c r="M330" s="130" t="s">
        <v>782</v>
      </c>
      <c r="N330" s="130" t="s">
        <v>203</v>
      </c>
      <c r="O330" s="130" t="s">
        <v>303</v>
      </c>
      <c r="P330" s="130" t="n">
        <v>918</v>
      </c>
      <c r="Q330" s="131" t="n">
        <v>11737</v>
      </c>
      <c r="R330" s="71" t="n">
        <v>10774566</v>
      </c>
    </row>
    <row r="331" customFormat="false" ht="13.8" hidden="false" customHeight="false" outlineLevel="0" collapsed="false">
      <c r="L331" s="129" t="n">
        <v>329</v>
      </c>
      <c r="M331" s="130" t="s">
        <v>783</v>
      </c>
      <c r="N331" s="130" t="s">
        <v>202</v>
      </c>
      <c r="O331" s="130" t="s">
        <v>303</v>
      </c>
      <c r="P331" s="130" t="n">
        <v>72</v>
      </c>
      <c r="Q331" s="131" t="n">
        <v>25802</v>
      </c>
      <c r="R331" s="71" t="n">
        <v>1857744</v>
      </c>
    </row>
    <row r="332" customFormat="false" ht="13.8" hidden="false" customHeight="false" outlineLevel="0" collapsed="false">
      <c r="L332" s="129" t="n">
        <v>330</v>
      </c>
      <c r="M332" s="130" t="s">
        <v>784</v>
      </c>
      <c r="N332" s="130" t="s">
        <v>204</v>
      </c>
      <c r="O332" s="130" t="s">
        <v>303</v>
      </c>
      <c r="P332" s="130" t="n">
        <v>8457</v>
      </c>
      <c r="Q332" s="131" t="n">
        <v>32010</v>
      </c>
      <c r="R332" s="71" t="n">
        <v>270708570</v>
      </c>
    </row>
    <row r="333" customFormat="false" ht="13.8" hidden="false" customHeight="false" outlineLevel="0" collapsed="false">
      <c r="L333" s="129" t="n">
        <v>331</v>
      </c>
      <c r="M333" s="130" t="s">
        <v>785</v>
      </c>
      <c r="N333" s="130" t="s">
        <v>205</v>
      </c>
      <c r="O333" s="130" t="s">
        <v>303</v>
      </c>
      <c r="P333" s="130" t="n">
        <v>190</v>
      </c>
      <c r="Q333" s="131" t="n">
        <v>67124</v>
      </c>
      <c r="R333" s="71" t="n">
        <v>12753560</v>
      </c>
    </row>
    <row r="334" customFormat="false" ht="13.8" hidden="false" customHeight="false" outlineLevel="0" collapsed="false">
      <c r="L334" s="129" t="n">
        <v>332</v>
      </c>
      <c r="M334" s="130" t="s">
        <v>786</v>
      </c>
      <c r="N334" s="130" t="s">
        <v>787</v>
      </c>
      <c r="O334" s="130" t="s">
        <v>327</v>
      </c>
      <c r="P334" s="130"/>
      <c r="Q334" s="131"/>
      <c r="R334" s="71" t="n">
        <v>0</v>
      </c>
    </row>
    <row r="335" customFormat="false" ht="13.8" hidden="false" customHeight="false" outlineLevel="0" collapsed="false">
      <c r="L335" s="129" t="n">
        <v>333</v>
      </c>
      <c r="M335" s="130" t="s">
        <v>788</v>
      </c>
      <c r="N335" s="130" t="s">
        <v>255</v>
      </c>
      <c r="O335" s="130" t="s">
        <v>327</v>
      </c>
      <c r="P335" s="130"/>
      <c r="Q335" s="131"/>
      <c r="R335" s="71" t="n">
        <v>0</v>
      </c>
    </row>
    <row r="336" customFormat="false" ht="13.8" hidden="false" customHeight="false" outlineLevel="0" collapsed="false">
      <c r="L336" s="129" t="n">
        <v>334</v>
      </c>
      <c r="M336" s="130" t="s">
        <v>789</v>
      </c>
      <c r="N336" s="130" t="s">
        <v>209</v>
      </c>
      <c r="O336" s="130" t="s">
        <v>451</v>
      </c>
      <c r="P336" s="130" t="n">
        <v>76</v>
      </c>
      <c r="Q336" s="131" t="n">
        <v>58410</v>
      </c>
      <c r="R336" s="71" t="n">
        <v>4439160</v>
      </c>
    </row>
    <row r="337" customFormat="false" ht="13.8" hidden="false" customHeight="false" outlineLevel="0" collapsed="false">
      <c r="L337" s="129" t="n">
        <v>335</v>
      </c>
      <c r="M337" s="130" t="s">
        <v>790</v>
      </c>
      <c r="N337" s="130" t="s">
        <v>791</v>
      </c>
      <c r="O337" s="130" t="s">
        <v>654</v>
      </c>
      <c r="P337" s="130"/>
      <c r="Q337" s="131"/>
      <c r="R337" s="71" t="n">
        <v>0</v>
      </c>
    </row>
    <row r="338" customFormat="false" ht="13.8" hidden="false" customHeight="false" outlineLevel="0" collapsed="false">
      <c r="L338" s="129" t="n">
        <v>336</v>
      </c>
      <c r="M338" s="130" t="s">
        <v>792</v>
      </c>
      <c r="N338" s="130" t="s">
        <v>206</v>
      </c>
      <c r="O338" s="130" t="s">
        <v>303</v>
      </c>
      <c r="P338" s="130" t="n">
        <v>360</v>
      </c>
      <c r="Q338" s="131" t="n">
        <v>32864</v>
      </c>
      <c r="R338" s="71" t="n">
        <v>11831040</v>
      </c>
    </row>
    <row r="339" customFormat="false" ht="13.8" hidden="false" customHeight="false" outlineLevel="0" collapsed="false">
      <c r="L339" s="129" t="n">
        <v>337</v>
      </c>
      <c r="M339" s="130" t="s">
        <v>793</v>
      </c>
      <c r="N339" s="130" t="s">
        <v>207</v>
      </c>
      <c r="O339" s="130" t="s">
        <v>303</v>
      </c>
      <c r="P339" s="130" t="n">
        <v>2634</v>
      </c>
      <c r="Q339" s="131" t="n">
        <v>12804</v>
      </c>
      <c r="R339" s="71" t="n">
        <v>33725736</v>
      </c>
    </row>
    <row r="340" customFormat="false" ht="13.8" hidden="false" customHeight="false" outlineLevel="0" collapsed="false">
      <c r="L340" s="129" t="n">
        <v>338</v>
      </c>
      <c r="M340" s="130" t="s">
        <v>794</v>
      </c>
      <c r="N340" s="130" t="s">
        <v>258</v>
      </c>
      <c r="O340" s="130" t="s">
        <v>327</v>
      </c>
      <c r="P340" s="130" t="n">
        <v>1215</v>
      </c>
      <c r="Q340" s="131" t="n">
        <v>15322</v>
      </c>
      <c r="R340" s="71" t="n">
        <v>18616230</v>
      </c>
    </row>
    <row r="341" customFormat="false" ht="13.8" hidden="false" customHeight="false" outlineLevel="0" collapsed="false">
      <c r="L341" s="129" t="n">
        <v>339</v>
      </c>
      <c r="M341" s="130" t="s">
        <v>795</v>
      </c>
      <c r="N341" s="130" t="s">
        <v>208</v>
      </c>
      <c r="O341" s="130" t="s">
        <v>303</v>
      </c>
      <c r="P341" s="130" t="n">
        <v>205</v>
      </c>
      <c r="Q341" s="131" t="n">
        <v>10476</v>
      </c>
      <c r="R341" s="71" t="n">
        <v>2147580</v>
      </c>
    </row>
    <row r="342" customFormat="false" ht="13.8" hidden="false" customHeight="false" outlineLevel="0" collapsed="false">
      <c r="L342" s="129" t="n">
        <v>340</v>
      </c>
      <c r="M342" s="130" t="s">
        <v>796</v>
      </c>
      <c r="N342" s="130" t="s">
        <v>797</v>
      </c>
      <c r="O342" s="130" t="s">
        <v>327</v>
      </c>
      <c r="P342" s="130" t="n">
        <v>90</v>
      </c>
      <c r="Q342" s="131" t="n">
        <v>21363.9</v>
      </c>
      <c r="R342" s="71" t="n">
        <v>1922751</v>
      </c>
    </row>
    <row r="343" customFormat="false" ht="13.8" hidden="false" customHeight="false" outlineLevel="0" collapsed="false">
      <c r="L343" s="129" t="n">
        <v>341</v>
      </c>
      <c r="M343" s="130" t="s">
        <v>798</v>
      </c>
      <c r="N343" s="130" t="s">
        <v>799</v>
      </c>
      <c r="O343" s="130" t="s">
        <v>327</v>
      </c>
      <c r="P343" s="130"/>
      <c r="Q343" s="131"/>
      <c r="R343" s="71" t="n">
        <v>0</v>
      </c>
    </row>
    <row r="344" customFormat="false" ht="13.8" hidden="false" customHeight="false" outlineLevel="0" collapsed="false">
      <c r="L344" s="129" t="n">
        <v>342</v>
      </c>
      <c r="M344" s="130" t="s">
        <v>800</v>
      </c>
      <c r="N344" s="130" t="s">
        <v>801</v>
      </c>
      <c r="O344" s="130" t="s">
        <v>327</v>
      </c>
      <c r="P344" s="130"/>
      <c r="Q344" s="131"/>
      <c r="R344" s="71" t="n">
        <v>0</v>
      </c>
    </row>
    <row r="345" customFormat="false" ht="13.8" hidden="false" customHeight="false" outlineLevel="0" collapsed="false">
      <c r="L345" s="129" t="n">
        <v>343</v>
      </c>
      <c r="M345" s="130" t="s">
        <v>802</v>
      </c>
      <c r="N345" s="130" t="s">
        <v>803</v>
      </c>
      <c r="O345" s="130" t="s">
        <v>327</v>
      </c>
      <c r="P345" s="130"/>
      <c r="Q345" s="131"/>
      <c r="R345" s="71" t="n">
        <v>0</v>
      </c>
    </row>
    <row r="346" customFormat="false" ht="13.8" hidden="false" customHeight="false" outlineLevel="0" collapsed="false">
      <c r="L346" s="129" t="n">
        <v>344</v>
      </c>
      <c r="M346" s="130" t="s">
        <v>804</v>
      </c>
      <c r="N346" s="130" t="s">
        <v>805</v>
      </c>
      <c r="O346" s="130" t="s">
        <v>699</v>
      </c>
      <c r="P346" s="130"/>
      <c r="Q346" s="131"/>
      <c r="R346" s="71" t="n">
        <v>0</v>
      </c>
    </row>
    <row r="347" customFormat="false" ht="13.8" hidden="false" customHeight="false" outlineLevel="0" collapsed="false">
      <c r="L347" s="129" t="n">
        <v>345</v>
      </c>
      <c r="M347" s="130" t="s">
        <v>806</v>
      </c>
      <c r="N347" s="130" t="s">
        <v>256</v>
      </c>
      <c r="O347" s="130" t="s">
        <v>327</v>
      </c>
      <c r="P347" s="130"/>
      <c r="Q347" s="131"/>
      <c r="R347" s="71" t="n">
        <v>0</v>
      </c>
    </row>
    <row r="348" customFormat="false" ht="13.8" hidden="false" customHeight="false" outlineLevel="0" collapsed="false">
      <c r="L348" s="129" t="n">
        <v>346</v>
      </c>
      <c r="M348" s="130" t="s">
        <v>807</v>
      </c>
      <c r="N348" s="130" t="s">
        <v>286</v>
      </c>
      <c r="O348" s="130" t="s">
        <v>327</v>
      </c>
      <c r="P348" s="130"/>
      <c r="Q348" s="131"/>
      <c r="R348" s="71" t="n">
        <v>0</v>
      </c>
    </row>
    <row r="349" customFormat="false" ht="13.8" hidden="false" customHeight="false" outlineLevel="0" collapsed="false">
      <c r="L349" s="129" t="n">
        <v>347</v>
      </c>
      <c r="M349" s="130" t="s">
        <v>808</v>
      </c>
      <c r="N349" s="130" t="s">
        <v>213</v>
      </c>
      <c r="O349" s="130" t="s">
        <v>303</v>
      </c>
      <c r="P349" s="130" t="n">
        <v>1474</v>
      </c>
      <c r="Q349" s="131" t="n">
        <v>21243</v>
      </c>
      <c r="R349" s="71" t="n">
        <v>31312182</v>
      </c>
    </row>
    <row r="350" customFormat="false" ht="13.8" hidden="false" customHeight="false" outlineLevel="0" collapsed="false">
      <c r="L350" s="129" t="n">
        <v>348</v>
      </c>
      <c r="M350" s="130" t="s">
        <v>809</v>
      </c>
      <c r="N350" s="130" t="s">
        <v>212</v>
      </c>
      <c r="O350" s="130" t="s">
        <v>303</v>
      </c>
      <c r="P350" s="130" t="n">
        <v>20747</v>
      </c>
      <c r="Q350" s="131" t="n">
        <v>12416</v>
      </c>
      <c r="R350" s="71" t="n">
        <v>257594752</v>
      </c>
    </row>
    <row r="351" customFormat="false" ht="13.8" hidden="false" customHeight="false" outlineLevel="0" collapsed="false">
      <c r="L351" s="129" t="n">
        <v>349</v>
      </c>
      <c r="M351" s="130" t="s">
        <v>810</v>
      </c>
      <c r="N351" s="130" t="s">
        <v>811</v>
      </c>
      <c r="O351" s="130" t="s">
        <v>303</v>
      </c>
      <c r="P351" s="130"/>
      <c r="Q351" s="131"/>
      <c r="R351" s="71" t="n">
        <v>0</v>
      </c>
    </row>
    <row r="352" customFormat="false" ht="13.8" hidden="false" customHeight="false" outlineLevel="0" collapsed="false">
      <c r="L352" s="129" t="n">
        <v>350</v>
      </c>
      <c r="M352" s="130" t="s">
        <v>812</v>
      </c>
      <c r="N352" s="130" t="s">
        <v>215</v>
      </c>
      <c r="O352" s="130" t="s">
        <v>303</v>
      </c>
      <c r="P352" s="130" t="n">
        <v>597</v>
      </c>
      <c r="Q352" s="131" t="n">
        <v>42680</v>
      </c>
      <c r="R352" s="71" t="n">
        <v>25479960</v>
      </c>
    </row>
    <row r="353" customFormat="false" ht="13.8" hidden="false" customHeight="false" outlineLevel="0" collapsed="false">
      <c r="L353" s="129" t="n">
        <v>351</v>
      </c>
      <c r="M353" s="130" t="s">
        <v>813</v>
      </c>
      <c r="N353" s="130" t="s">
        <v>216</v>
      </c>
      <c r="O353" s="130" t="s">
        <v>303</v>
      </c>
      <c r="P353" s="130"/>
      <c r="Q353" s="131"/>
      <c r="R353" s="71" t="n">
        <v>0</v>
      </c>
    </row>
    <row r="354" customFormat="false" ht="13.8" hidden="false" customHeight="false" outlineLevel="0" collapsed="false">
      <c r="L354" s="129" t="n">
        <v>352</v>
      </c>
      <c r="M354" s="130" t="s">
        <v>814</v>
      </c>
      <c r="N354" s="130" t="s">
        <v>815</v>
      </c>
      <c r="O354" s="130" t="s">
        <v>327</v>
      </c>
      <c r="P354" s="130"/>
      <c r="Q354" s="131"/>
      <c r="R354" s="71" t="n">
        <v>0</v>
      </c>
    </row>
    <row r="355" customFormat="false" ht="13.8" hidden="false" customHeight="false" outlineLevel="0" collapsed="false">
      <c r="L355" s="129" t="n">
        <v>353</v>
      </c>
      <c r="M355" s="130" t="s">
        <v>816</v>
      </c>
      <c r="N355" s="130" t="s">
        <v>815</v>
      </c>
      <c r="O355" s="130" t="s">
        <v>528</v>
      </c>
      <c r="P355" s="130"/>
      <c r="Q355" s="131"/>
      <c r="R355" s="71" t="n">
        <v>0</v>
      </c>
    </row>
    <row r="356" customFormat="false" ht="13.8" hidden="false" customHeight="false" outlineLevel="0" collapsed="false">
      <c r="L356" s="129" t="n">
        <v>354</v>
      </c>
      <c r="M356" s="130" t="s">
        <v>817</v>
      </c>
      <c r="N356" s="130" t="s">
        <v>818</v>
      </c>
      <c r="O356" s="130" t="s">
        <v>528</v>
      </c>
      <c r="P356" s="130"/>
      <c r="Q356" s="131"/>
      <c r="R356" s="71" t="n">
        <v>0</v>
      </c>
    </row>
    <row r="357" customFormat="false" ht="13.8" hidden="false" customHeight="false" outlineLevel="0" collapsed="false">
      <c r="L357" s="129" t="n">
        <v>355</v>
      </c>
      <c r="M357" s="130" t="s">
        <v>819</v>
      </c>
      <c r="N357" s="130" t="s">
        <v>239</v>
      </c>
      <c r="O357" s="130" t="s">
        <v>451</v>
      </c>
      <c r="P357" s="130"/>
      <c r="Q357" s="131"/>
      <c r="R357" s="71" t="n">
        <v>0</v>
      </c>
    </row>
    <row r="358" customFormat="false" ht="13.8" hidden="false" customHeight="false" outlineLevel="0" collapsed="false">
      <c r="L358" s="129" t="n">
        <v>356</v>
      </c>
      <c r="M358" s="130" t="s">
        <v>820</v>
      </c>
      <c r="N358" s="130" t="s">
        <v>821</v>
      </c>
      <c r="O358" s="130" t="s">
        <v>654</v>
      </c>
      <c r="P358" s="130"/>
      <c r="Q358" s="131"/>
      <c r="R358" s="71" t="n">
        <v>0</v>
      </c>
    </row>
    <row r="359" customFormat="false" ht="13.8" hidden="false" customHeight="false" outlineLevel="0" collapsed="false">
      <c r="L359" s="129" t="n">
        <v>357</v>
      </c>
      <c r="M359" s="130" t="s">
        <v>822</v>
      </c>
      <c r="N359" s="130" t="s">
        <v>217</v>
      </c>
      <c r="O359" s="130" t="s">
        <v>654</v>
      </c>
      <c r="P359" s="130" t="n">
        <v>90</v>
      </c>
      <c r="Q359" s="131" t="n">
        <v>180700</v>
      </c>
      <c r="R359" s="71" t="n">
        <v>16263000</v>
      </c>
    </row>
    <row r="360" customFormat="false" ht="13.8" hidden="false" customHeight="false" outlineLevel="0" collapsed="false">
      <c r="L360" s="129" t="n">
        <v>358</v>
      </c>
      <c r="M360" s="130" t="s">
        <v>823</v>
      </c>
      <c r="N360" s="130" t="s">
        <v>218</v>
      </c>
      <c r="O360" s="130" t="s">
        <v>654</v>
      </c>
      <c r="P360" s="130" t="n">
        <v>50</v>
      </c>
      <c r="Q360" s="131" t="n">
        <v>239590</v>
      </c>
      <c r="R360" s="71" t="n">
        <v>11979500</v>
      </c>
    </row>
    <row r="361" customFormat="false" ht="13.8" hidden="false" customHeight="false" outlineLevel="0" collapsed="false">
      <c r="L361" s="129" t="n">
        <v>359</v>
      </c>
      <c r="M361" s="130" t="s">
        <v>824</v>
      </c>
      <c r="N361" s="130" t="s">
        <v>219</v>
      </c>
      <c r="O361" s="130" t="s">
        <v>654</v>
      </c>
      <c r="P361" s="130" t="n">
        <v>30</v>
      </c>
      <c r="Q361" s="131" t="n">
        <v>236000</v>
      </c>
      <c r="R361" s="71" t="n">
        <v>7080000</v>
      </c>
    </row>
    <row r="362" customFormat="false" ht="13.8" hidden="false" customHeight="false" outlineLevel="0" collapsed="false">
      <c r="L362" s="129" t="n">
        <v>360</v>
      </c>
      <c r="M362" s="130" t="s">
        <v>825</v>
      </c>
      <c r="N362" s="130" t="s">
        <v>220</v>
      </c>
      <c r="O362" s="130" t="s">
        <v>303</v>
      </c>
      <c r="P362" s="130" t="n">
        <v>72</v>
      </c>
      <c r="Q362" s="131" t="n">
        <v>24444</v>
      </c>
      <c r="R362" s="71" t="n">
        <v>1759968</v>
      </c>
    </row>
    <row r="363" customFormat="false" ht="13.8" hidden="false" customHeight="false" outlineLevel="0" collapsed="false">
      <c r="L363" s="129" t="n">
        <v>361</v>
      </c>
      <c r="M363" s="130" t="s">
        <v>826</v>
      </c>
      <c r="N363" s="130" t="s">
        <v>827</v>
      </c>
      <c r="O363" s="130" t="s">
        <v>303</v>
      </c>
      <c r="P363" s="130"/>
      <c r="Q363" s="131"/>
      <c r="R363" s="71" t="n">
        <v>0</v>
      </c>
    </row>
    <row r="364" customFormat="false" ht="13.8" hidden="false" customHeight="false" outlineLevel="0" collapsed="false">
      <c r="L364" s="129" t="n">
        <v>362</v>
      </c>
      <c r="M364" s="130" t="s">
        <v>828</v>
      </c>
      <c r="N364" s="130" t="s">
        <v>829</v>
      </c>
      <c r="O364" s="130" t="s">
        <v>654</v>
      </c>
      <c r="P364" s="130"/>
      <c r="Q364" s="131"/>
      <c r="R364" s="71" t="n">
        <v>0</v>
      </c>
    </row>
    <row r="365" customFormat="false" ht="13.8" hidden="false" customHeight="false" outlineLevel="0" collapsed="false">
      <c r="L365" s="129" t="n">
        <v>363</v>
      </c>
      <c r="M365" s="130" t="s">
        <v>830</v>
      </c>
      <c r="N365" s="130" t="s">
        <v>221</v>
      </c>
      <c r="O365" s="130" t="s">
        <v>303</v>
      </c>
      <c r="P365" s="130" t="n">
        <v>3930</v>
      </c>
      <c r="Q365" s="131" t="n">
        <v>19691</v>
      </c>
      <c r="R365" s="71" t="n">
        <v>77385630</v>
      </c>
    </row>
    <row r="366" customFormat="false" ht="13.8" hidden="false" customHeight="false" outlineLevel="0" collapsed="false">
      <c r="L366" s="129" t="n">
        <v>364</v>
      </c>
      <c r="M366" s="130" t="s">
        <v>831</v>
      </c>
      <c r="N366" s="130" t="s">
        <v>222</v>
      </c>
      <c r="O366" s="130" t="s">
        <v>303</v>
      </c>
      <c r="P366" s="130" t="n">
        <v>892</v>
      </c>
      <c r="Q366" s="131" t="n">
        <v>25123</v>
      </c>
      <c r="R366" s="71" t="n">
        <v>22409716</v>
      </c>
    </row>
    <row r="367" customFormat="false" ht="13.8" hidden="false" customHeight="false" outlineLevel="0" collapsed="false">
      <c r="L367" s="129" t="n">
        <v>365</v>
      </c>
      <c r="M367" s="130" t="s">
        <v>832</v>
      </c>
      <c r="N367" s="130" t="s">
        <v>223</v>
      </c>
      <c r="O367" s="130" t="s">
        <v>303</v>
      </c>
      <c r="P367" s="130" t="n">
        <v>247</v>
      </c>
      <c r="Q367" s="131" t="n">
        <v>43262</v>
      </c>
      <c r="R367" s="71" t="n">
        <v>10685714</v>
      </c>
    </row>
    <row r="368" customFormat="false" ht="13.8" hidden="false" customHeight="false" outlineLevel="0" collapsed="false">
      <c r="L368" s="129" t="n">
        <v>366</v>
      </c>
      <c r="M368" s="130" t="s">
        <v>833</v>
      </c>
      <c r="N368" s="130" t="s">
        <v>224</v>
      </c>
      <c r="O368" s="130" t="s">
        <v>303</v>
      </c>
      <c r="P368" s="130"/>
      <c r="Q368" s="131"/>
      <c r="R368" s="71" t="n">
        <v>0</v>
      </c>
    </row>
    <row r="369" customFormat="false" ht="13.8" hidden="false" customHeight="false" outlineLevel="0" collapsed="false">
      <c r="L369" s="129" t="n">
        <v>367</v>
      </c>
      <c r="M369" s="130" t="s">
        <v>834</v>
      </c>
      <c r="N369" s="130" t="s">
        <v>225</v>
      </c>
      <c r="O369" s="130" t="s">
        <v>303</v>
      </c>
      <c r="P369" s="130" t="n">
        <v>232</v>
      </c>
      <c r="Q369" s="131" t="n">
        <v>20981</v>
      </c>
      <c r="R369" s="71" t="n">
        <v>4867592</v>
      </c>
    </row>
    <row r="370" customFormat="false" ht="13.8" hidden="false" customHeight="false" outlineLevel="0" collapsed="false">
      <c r="L370" s="129" t="n">
        <v>368</v>
      </c>
      <c r="M370" s="130" t="s">
        <v>835</v>
      </c>
      <c r="N370" s="130" t="s">
        <v>226</v>
      </c>
      <c r="O370" s="130" t="s">
        <v>303</v>
      </c>
      <c r="P370" s="130"/>
      <c r="Q370" s="131"/>
      <c r="R370" s="71" t="n">
        <v>0</v>
      </c>
    </row>
    <row r="371" customFormat="false" ht="13.8" hidden="false" customHeight="false" outlineLevel="0" collapsed="false">
      <c r="L371" s="129" t="n">
        <v>369</v>
      </c>
      <c r="M371" s="130" t="s">
        <v>836</v>
      </c>
      <c r="N371" s="130" t="s">
        <v>837</v>
      </c>
      <c r="O371" s="130" t="s">
        <v>654</v>
      </c>
      <c r="P371" s="130" t="n">
        <v>444</v>
      </c>
      <c r="Q371" s="131" t="n">
        <v>88984</v>
      </c>
      <c r="R371" s="71" t="n">
        <v>39508896</v>
      </c>
    </row>
    <row r="372" customFormat="false" ht="13.8" hidden="false" customHeight="false" outlineLevel="0" collapsed="false">
      <c r="L372" s="129" t="n">
        <v>370</v>
      </c>
      <c r="M372" s="130" t="s">
        <v>838</v>
      </c>
      <c r="N372" s="130" t="s">
        <v>839</v>
      </c>
      <c r="O372" s="130" t="s">
        <v>654</v>
      </c>
      <c r="P372" s="130" t="n">
        <v>123</v>
      </c>
      <c r="Q372" s="131" t="n">
        <v>87808</v>
      </c>
      <c r="R372" s="71" t="n">
        <v>10800384</v>
      </c>
    </row>
    <row r="373" customFormat="false" ht="13.8" hidden="false" customHeight="false" outlineLevel="0" collapsed="false">
      <c r="L373" s="129" t="n">
        <v>371</v>
      </c>
      <c r="M373" s="130" t="s">
        <v>840</v>
      </c>
      <c r="N373" s="130" t="s">
        <v>234</v>
      </c>
      <c r="O373" s="130" t="s">
        <v>654</v>
      </c>
      <c r="P373" s="130" t="n">
        <v>18807</v>
      </c>
      <c r="Q373" s="131" t="n">
        <v>59682</v>
      </c>
      <c r="R373" s="71" t="n">
        <v>1122439374</v>
      </c>
    </row>
    <row r="374" customFormat="false" ht="13.8" hidden="false" customHeight="false" outlineLevel="0" collapsed="false">
      <c r="L374" s="129" t="n">
        <v>372</v>
      </c>
      <c r="M374" s="130" t="s">
        <v>841</v>
      </c>
      <c r="N374" s="130" t="s">
        <v>235</v>
      </c>
      <c r="O374" s="130" t="s">
        <v>451</v>
      </c>
      <c r="P374" s="130" t="n">
        <v>144</v>
      </c>
      <c r="Q374" s="131" t="n">
        <v>70560</v>
      </c>
      <c r="R374" s="71" t="n">
        <v>10160640</v>
      </c>
    </row>
    <row r="375" customFormat="false" ht="13.8" hidden="false" customHeight="false" outlineLevel="0" collapsed="false">
      <c r="L375" s="129" t="n">
        <v>373</v>
      </c>
      <c r="M375" s="130" t="s">
        <v>842</v>
      </c>
      <c r="N375" s="130" t="s">
        <v>843</v>
      </c>
      <c r="O375" s="130" t="s">
        <v>844</v>
      </c>
      <c r="P375" s="130" t="n">
        <v>263</v>
      </c>
      <c r="Q375" s="131" t="n">
        <v>65170</v>
      </c>
      <c r="R375" s="71" t="n">
        <v>17139710</v>
      </c>
    </row>
    <row r="376" customFormat="false" ht="13.8" hidden="false" customHeight="false" outlineLevel="0" collapsed="false">
      <c r="L376" s="129" t="n">
        <v>374</v>
      </c>
      <c r="M376" s="130" t="s">
        <v>845</v>
      </c>
      <c r="N376" s="130" t="s">
        <v>231</v>
      </c>
      <c r="O376" s="130" t="s">
        <v>451</v>
      </c>
      <c r="P376" s="130" t="n">
        <v>0</v>
      </c>
      <c r="Q376" s="131"/>
      <c r="R376" s="71" t="n">
        <v>0</v>
      </c>
    </row>
    <row r="377" customFormat="false" ht="13.8" hidden="false" customHeight="false" outlineLevel="0" collapsed="false">
      <c r="L377" s="129" t="n">
        <v>375</v>
      </c>
      <c r="M377" s="130" t="s">
        <v>846</v>
      </c>
      <c r="N377" s="130" t="s">
        <v>232</v>
      </c>
      <c r="O377" s="130" t="s">
        <v>451</v>
      </c>
      <c r="P377" s="130"/>
      <c r="Q377" s="131"/>
      <c r="R377" s="71" t="n">
        <v>0</v>
      </c>
    </row>
    <row r="378" customFormat="false" ht="13.8" hidden="false" customHeight="false" outlineLevel="0" collapsed="false">
      <c r="L378" s="129" t="n">
        <v>376</v>
      </c>
      <c r="M378" s="130" t="s">
        <v>847</v>
      </c>
      <c r="N378" s="130" t="s">
        <v>237</v>
      </c>
      <c r="O378" s="130" t="s">
        <v>654</v>
      </c>
      <c r="P378" s="130" t="n">
        <v>235</v>
      </c>
      <c r="Q378" s="131" t="n">
        <v>59290</v>
      </c>
      <c r="R378" s="71" t="n">
        <v>13933150</v>
      </c>
    </row>
    <row r="379" customFormat="false" ht="13.8" hidden="false" customHeight="false" outlineLevel="0" collapsed="false">
      <c r="L379" s="129" t="n">
        <v>377</v>
      </c>
      <c r="M379" s="130" t="s">
        <v>848</v>
      </c>
      <c r="N379" s="130" t="s">
        <v>238</v>
      </c>
      <c r="O379" s="130" t="s">
        <v>654</v>
      </c>
      <c r="P379" s="130" t="n">
        <v>810</v>
      </c>
      <c r="Q379" s="131" t="n">
        <v>59100.86</v>
      </c>
      <c r="R379" s="71" t="n">
        <v>47871696.6</v>
      </c>
    </row>
    <row r="380" customFormat="false" ht="13.8" hidden="false" customHeight="false" outlineLevel="0" collapsed="false">
      <c r="L380" s="129" t="n">
        <v>378</v>
      </c>
      <c r="M380" s="130" t="s">
        <v>849</v>
      </c>
      <c r="N380" s="130" t="s">
        <v>236</v>
      </c>
      <c r="O380" s="130" t="s">
        <v>654</v>
      </c>
      <c r="P380" s="130" t="n">
        <v>412</v>
      </c>
      <c r="Q380" s="131" t="n">
        <v>64141</v>
      </c>
      <c r="R380" s="71" t="n">
        <v>26426092</v>
      </c>
    </row>
    <row r="381" customFormat="false" ht="13.8" hidden="false" customHeight="false" outlineLevel="0" collapsed="false">
      <c r="L381" s="129" t="n">
        <v>379</v>
      </c>
      <c r="M381" s="130" t="s">
        <v>850</v>
      </c>
      <c r="N381" s="130" t="s">
        <v>851</v>
      </c>
      <c r="O381" s="130" t="s">
        <v>451</v>
      </c>
      <c r="P381" s="130"/>
      <c r="Q381" s="131"/>
      <c r="R381" s="71" t="n">
        <v>0</v>
      </c>
    </row>
    <row r="382" customFormat="false" ht="13.8" hidden="false" customHeight="false" outlineLevel="0" collapsed="false">
      <c r="L382" s="129" t="n">
        <v>380</v>
      </c>
      <c r="M382" s="130" t="s">
        <v>852</v>
      </c>
      <c r="N382" s="130" t="s">
        <v>229</v>
      </c>
      <c r="O382" s="130" t="s">
        <v>654</v>
      </c>
      <c r="P382" s="130" t="n">
        <v>226</v>
      </c>
      <c r="Q382" s="131" t="n">
        <v>93394</v>
      </c>
      <c r="R382" s="71" t="n">
        <v>21107044</v>
      </c>
    </row>
    <row r="383" customFormat="false" ht="13.8" hidden="false" customHeight="false" outlineLevel="0" collapsed="false">
      <c r="L383" s="129" t="n">
        <v>381</v>
      </c>
      <c r="M383" s="130" t="s">
        <v>853</v>
      </c>
      <c r="N383" s="130" t="s">
        <v>240</v>
      </c>
      <c r="O383" s="130" t="s">
        <v>654</v>
      </c>
      <c r="P383" s="130" t="n">
        <v>549</v>
      </c>
      <c r="Q383" s="131" t="n">
        <v>93492</v>
      </c>
      <c r="R383" s="71" t="n">
        <v>51327108</v>
      </c>
    </row>
    <row r="384" customFormat="false" ht="13.8" hidden="false" customHeight="false" outlineLevel="0" collapsed="false">
      <c r="L384" s="129" t="n">
        <v>382</v>
      </c>
      <c r="M384" s="130" t="s">
        <v>854</v>
      </c>
      <c r="N384" s="130" t="s">
        <v>241</v>
      </c>
      <c r="O384" s="130" t="s">
        <v>654</v>
      </c>
      <c r="P384" s="130" t="n">
        <v>969</v>
      </c>
      <c r="Q384" s="131" t="n">
        <v>82810</v>
      </c>
      <c r="R384" s="71" t="n">
        <v>80242890</v>
      </c>
    </row>
    <row r="385" customFormat="false" ht="13.8" hidden="false" customHeight="false" outlineLevel="0" collapsed="false">
      <c r="L385" s="129" t="n">
        <v>383</v>
      </c>
      <c r="M385" s="130" t="s">
        <v>855</v>
      </c>
      <c r="N385" s="130" t="s">
        <v>242</v>
      </c>
      <c r="O385" s="130" t="s">
        <v>654</v>
      </c>
      <c r="P385" s="130" t="n">
        <v>158</v>
      </c>
      <c r="Q385" s="131" t="n">
        <v>72324</v>
      </c>
      <c r="R385" s="71" t="n">
        <v>11427192</v>
      </c>
    </row>
    <row r="386" customFormat="false" ht="13.8" hidden="false" customHeight="false" outlineLevel="0" collapsed="false">
      <c r="L386" s="129" t="n">
        <v>384</v>
      </c>
      <c r="M386" s="130" t="s">
        <v>856</v>
      </c>
      <c r="N386" s="130" t="s">
        <v>857</v>
      </c>
      <c r="O386" s="130" t="s">
        <v>654</v>
      </c>
      <c r="P386" s="130" t="n">
        <v>879</v>
      </c>
      <c r="Q386" s="131" t="n">
        <v>93492</v>
      </c>
      <c r="R386" s="71" t="n">
        <v>82179468</v>
      </c>
    </row>
    <row r="387" customFormat="false" ht="13.8" hidden="false" customHeight="false" outlineLevel="0" collapsed="false">
      <c r="L387" s="129" t="n">
        <v>385</v>
      </c>
      <c r="M387" s="130" t="s">
        <v>858</v>
      </c>
      <c r="N387" s="130" t="s">
        <v>859</v>
      </c>
      <c r="O387" s="130" t="s">
        <v>654</v>
      </c>
      <c r="P387" s="130"/>
      <c r="Q387" s="131"/>
      <c r="R387" s="71" t="n">
        <v>0</v>
      </c>
    </row>
    <row r="388" customFormat="false" ht="13.8" hidden="false" customHeight="false" outlineLevel="0" collapsed="false">
      <c r="L388" s="129" t="n">
        <v>386</v>
      </c>
      <c r="M388" s="130" t="s">
        <v>860</v>
      </c>
      <c r="N388" s="130" t="s">
        <v>244</v>
      </c>
      <c r="O388" s="130" t="s">
        <v>654</v>
      </c>
      <c r="P388" s="130"/>
      <c r="Q388" s="131"/>
      <c r="R388" s="71" t="n">
        <v>0</v>
      </c>
    </row>
    <row r="389" customFormat="false" ht="13.8" hidden="false" customHeight="false" outlineLevel="0" collapsed="false">
      <c r="L389" s="129" t="n">
        <v>387</v>
      </c>
      <c r="M389" s="130" t="s">
        <v>861</v>
      </c>
      <c r="N389" s="130" t="s">
        <v>243</v>
      </c>
      <c r="O389" s="130" t="s">
        <v>654</v>
      </c>
      <c r="P389" s="130" t="n">
        <v>129</v>
      </c>
      <c r="Q389" s="131" t="n">
        <v>93394</v>
      </c>
      <c r="R389" s="71" t="n">
        <v>12047826</v>
      </c>
    </row>
    <row r="390" customFormat="false" ht="13.8" hidden="false" customHeight="false" outlineLevel="0" collapsed="false">
      <c r="L390" s="129" t="n">
        <v>388</v>
      </c>
      <c r="M390" s="130" t="s">
        <v>862</v>
      </c>
      <c r="N390" s="130" t="s">
        <v>863</v>
      </c>
      <c r="O390" s="130" t="s">
        <v>864</v>
      </c>
      <c r="P390" s="130"/>
      <c r="Q390" s="131"/>
      <c r="R390" s="71" t="n">
        <v>0</v>
      </c>
    </row>
    <row r="391" customFormat="false" ht="13.8" hidden="false" customHeight="false" outlineLevel="0" collapsed="false">
      <c r="L391" s="129" t="n">
        <v>389</v>
      </c>
      <c r="M391" s="130" t="s">
        <v>865</v>
      </c>
      <c r="N391" s="130" t="s">
        <v>866</v>
      </c>
      <c r="O391" s="130" t="s">
        <v>528</v>
      </c>
      <c r="P391" s="130"/>
      <c r="Q391" s="131"/>
      <c r="R391" s="71" t="n">
        <v>0</v>
      </c>
    </row>
    <row r="392" customFormat="false" ht="13.8" hidden="false" customHeight="false" outlineLevel="0" collapsed="false">
      <c r="L392" s="129" t="n">
        <v>390</v>
      </c>
      <c r="M392" s="130" t="s">
        <v>867</v>
      </c>
      <c r="N392" s="130" t="s">
        <v>866</v>
      </c>
      <c r="O392" s="130" t="s">
        <v>864</v>
      </c>
      <c r="P392" s="130" t="n">
        <v>5280</v>
      </c>
      <c r="Q392" s="131" t="n">
        <v>7127.54</v>
      </c>
      <c r="R392" s="71" t="n">
        <v>37633411.2</v>
      </c>
    </row>
    <row r="393" customFormat="false" ht="13.8" hidden="false" customHeight="false" outlineLevel="0" collapsed="false">
      <c r="L393" s="129" t="n">
        <v>391</v>
      </c>
      <c r="M393" s="130" t="s">
        <v>868</v>
      </c>
      <c r="N393" s="130" t="s">
        <v>869</v>
      </c>
      <c r="O393" s="130" t="s">
        <v>528</v>
      </c>
      <c r="P393" s="130"/>
      <c r="Q393" s="131"/>
      <c r="R393" s="71" t="n">
        <v>0</v>
      </c>
    </row>
    <row r="394" customFormat="false" ht="13.8" hidden="false" customHeight="false" outlineLevel="0" collapsed="false">
      <c r="L394" s="129" t="n">
        <v>392</v>
      </c>
      <c r="M394" s="130" t="s">
        <v>870</v>
      </c>
      <c r="N394" s="130" t="s">
        <v>247</v>
      </c>
      <c r="O394" s="130" t="s">
        <v>528</v>
      </c>
      <c r="P394" s="130"/>
      <c r="Q394" s="131"/>
      <c r="R394" s="71" t="n">
        <v>0</v>
      </c>
    </row>
    <row r="395" customFormat="false" ht="13.8" hidden="false" customHeight="false" outlineLevel="0" collapsed="false">
      <c r="L395" s="129" t="n">
        <v>393</v>
      </c>
      <c r="M395" s="130" t="s">
        <v>871</v>
      </c>
      <c r="N395" s="130" t="s">
        <v>247</v>
      </c>
      <c r="O395" s="130" t="s">
        <v>864</v>
      </c>
      <c r="P395" s="130" t="n">
        <v>8640</v>
      </c>
      <c r="Q395" s="131" t="n">
        <v>7127.54</v>
      </c>
      <c r="R395" s="71" t="n">
        <v>61581945.6</v>
      </c>
    </row>
    <row r="396" customFormat="false" ht="13.8" hidden="false" customHeight="false" outlineLevel="0" collapsed="false">
      <c r="L396" s="129" t="n">
        <v>394</v>
      </c>
      <c r="M396" s="130" t="s">
        <v>872</v>
      </c>
      <c r="N396" s="130" t="s">
        <v>248</v>
      </c>
      <c r="O396" s="130" t="s">
        <v>528</v>
      </c>
      <c r="P396" s="130"/>
      <c r="Q396" s="131"/>
      <c r="R396" s="71" t="n">
        <v>0</v>
      </c>
    </row>
    <row r="397" customFormat="false" ht="13.8" hidden="false" customHeight="false" outlineLevel="0" collapsed="false">
      <c r="L397" s="129" t="n">
        <v>395</v>
      </c>
      <c r="M397" s="130" t="s">
        <v>873</v>
      </c>
      <c r="N397" s="130" t="s">
        <v>874</v>
      </c>
      <c r="O397" s="130" t="s">
        <v>528</v>
      </c>
      <c r="P397" s="130"/>
      <c r="Q397" s="131"/>
      <c r="R397" s="71" t="n">
        <v>0</v>
      </c>
    </row>
    <row r="398" customFormat="false" ht="13.8" hidden="false" customHeight="false" outlineLevel="0" collapsed="false">
      <c r="L398" s="129" t="n">
        <v>396</v>
      </c>
      <c r="M398" s="130" t="s">
        <v>875</v>
      </c>
      <c r="N398" s="130" t="s">
        <v>248</v>
      </c>
      <c r="O398" s="130" t="s">
        <v>864</v>
      </c>
      <c r="P398" s="130" t="n">
        <v>384</v>
      </c>
      <c r="Q398" s="131" t="n">
        <v>7127.54166666667</v>
      </c>
      <c r="R398" s="71" t="n">
        <v>2736976</v>
      </c>
    </row>
    <row r="399" customFormat="false" ht="13.8" hidden="false" customHeight="false" outlineLevel="0" collapsed="false">
      <c r="L399" s="129" t="n">
        <v>397</v>
      </c>
      <c r="M399" s="130" t="s">
        <v>876</v>
      </c>
      <c r="N399" s="130" t="s">
        <v>249</v>
      </c>
      <c r="O399" s="130" t="s">
        <v>528</v>
      </c>
      <c r="P399" s="130"/>
      <c r="Q399" s="131"/>
      <c r="R399" s="71" t="n">
        <v>0</v>
      </c>
    </row>
    <row r="400" customFormat="false" ht="13.8" hidden="false" customHeight="false" outlineLevel="0" collapsed="false">
      <c r="L400" s="129" t="n">
        <v>398</v>
      </c>
      <c r="M400" s="130" t="s">
        <v>877</v>
      </c>
      <c r="N400" s="130" t="s">
        <v>878</v>
      </c>
      <c r="O400" s="130" t="s">
        <v>528</v>
      </c>
      <c r="P400" s="130"/>
      <c r="Q400" s="131"/>
      <c r="R400" s="71" t="n">
        <v>0</v>
      </c>
    </row>
    <row r="401" customFormat="false" ht="13.8" hidden="false" customHeight="false" outlineLevel="0" collapsed="false">
      <c r="L401" s="129" t="n">
        <v>399</v>
      </c>
      <c r="M401" s="130" t="s">
        <v>879</v>
      </c>
      <c r="N401" s="130" t="s">
        <v>249</v>
      </c>
      <c r="O401" s="130" t="s">
        <v>864</v>
      </c>
      <c r="P401" s="130" t="n">
        <v>691</v>
      </c>
      <c r="Q401" s="131" t="n">
        <v>7127.54166666667</v>
      </c>
      <c r="R401" s="71" t="n">
        <v>4925131.29166667</v>
      </c>
    </row>
    <row r="402" customFormat="false" ht="13.8" hidden="false" customHeight="false" outlineLevel="0" collapsed="false">
      <c r="L402" s="129" t="n">
        <v>400</v>
      </c>
      <c r="M402" s="130" t="s">
        <v>880</v>
      </c>
      <c r="N402" s="130" t="s">
        <v>881</v>
      </c>
      <c r="O402" s="130" t="s">
        <v>528</v>
      </c>
      <c r="P402" s="130"/>
      <c r="Q402" s="131"/>
      <c r="R402" s="71" t="n">
        <v>0</v>
      </c>
    </row>
    <row r="403" customFormat="false" ht="13.8" hidden="false" customHeight="false" outlineLevel="0" collapsed="false">
      <c r="L403" s="129" t="n">
        <v>401</v>
      </c>
      <c r="M403" s="130" t="s">
        <v>882</v>
      </c>
      <c r="N403" s="130" t="s">
        <v>881</v>
      </c>
      <c r="O403" s="130" t="s">
        <v>864</v>
      </c>
      <c r="P403" s="130" t="n">
        <v>7200</v>
      </c>
      <c r="Q403" s="131" t="n">
        <v>7127.54166666667</v>
      </c>
      <c r="R403" s="71" t="n">
        <v>51318300</v>
      </c>
    </row>
    <row r="404" customFormat="false" ht="13.8" hidden="false" customHeight="false" outlineLevel="0" collapsed="false">
      <c r="L404" s="129" t="n">
        <v>402</v>
      </c>
      <c r="M404" s="130" t="s">
        <v>883</v>
      </c>
      <c r="N404" s="130" t="s">
        <v>227</v>
      </c>
      <c r="O404" s="130" t="s">
        <v>528</v>
      </c>
      <c r="P404" s="130"/>
      <c r="Q404" s="131"/>
      <c r="R404" s="71" t="n">
        <v>0</v>
      </c>
    </row>
    <row r="405" customFormat="false" ht="13.8" hidden="false" customHeight="false" outlineLevel="0" collapsed="false">
      <c r="L405" s="129" t="n">
        <v>403</v>
      </c>
      <c r="M405" s="130" t="s">
        <v>884</v>
      </c>
      <c r="N405" s="130" t="s">
        <v>283</v>
      </c>
      <c r="O405" s="130" t="s">
        <v>327</v>
      </c>
      <c r="P405" s="130" t="n">
        <v>500</v>
      </c>
      <c r="Q405" s="131" t="n">
        <v>35952</v>
      </c>
      <c r="R405" s="71" t="n">
        <v>17976000</v>
      </c>
    </row>
    <row r="406" customFormat="false" ht="13.8" hidden="false" customHeight="false" outlineLevel="0" collapsed="false">
      <c r="L406" s="129" t="n">
        <v>404</v>
      </c>
      <c r="M406" s="130" t="s">
        <v>885</v>
      </c>
      <c r="N406" s="130" t="s">
        <v>284</v>
      </c>
      <c r="O406" s="130" t="s">
        <v>327</v>
      </c>
      <c r="P406" s="130" t="n">
        <v>184</v>
      </c>
      <c r="Q406" s="131" t="n">
        <v>46032</v>
      </c>
      <c r="R406" s="71" t="n">
        <v>8469888</v>
      </c>
    </row>
    <row r="407" customFormat="false" ht="13.8" hidden="false" customHeight="false" outlineLevel="0" collapsed="false">
      <c r="L407" s="129" t="n">
        <v>405</v>
      </c>
      <c r="M407" s="130" t="s">
        <v>886</v>
      </c>
      <c r="N407" s="130" t="s">
        <v>285</v>
      </c>
      <c r="O407" s="130" t="s">
        <v>327</v>
      </c>
      <c r="P407" s="130"/>
      <c r="Q407" s="131"/>
      <c r="R407" s="71" t="n">
        <v>0</v>
      </c>
    </row>
    <row r="408" customFormat="false" ht="13.8" hidden="false" customHeight="false" outlineLevel="0" collapsed="false">
      <c r="L408" s="129"/>
      <c r="M408" s="130"/>
      <c r="N408" s="130"/>
      <c r="O408" s="130"/>
      <c r="P408" s="130"/>
      <c r="Q408" s="131"/>
      <c r="R408" s="71" t="n">
        <v>15918452664.2417</v>
      </c>
    </row>
    <row r="409" customFormat="false" ht="12.75" hidden="false" customHeight="false" outlineLevel="0" collapsed="false">
      <c r="L409" s="130"/>
      <c r="M409" s="130"/>
      <c r="N409" s="130"/>
      <c r="O409" s="130"/>
      <c r="P409" s="130"/>
      <c r="Q409" s="131"/>
      <c r="R409" s="71" t="n">
        <v>15761231523</v>
      </c>
    </row>
    <row r="410" customFormat="false" ht="12.75" hidden="false" customHeight="false" outlineLevel="0" collapsed="false">
      <c r="L410" s="130"/>
      <c r="M410" s="130"/>
      <c r="N410" s="130"/>
      <c r="O410" s="130"/>
      <c r="P410" s="130"/>
      <c r="Q410" s="131"/>
      <c r="R410" s="71" t="n">
        <v>157221141.241667</v>
      </c>
    </row>
  </sheetData>
  <mergeCells count="1">
    <mergeCell ref="A1:J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408"/>
  <sheetViews>
    <sheetView showFormulas="false" showGridLines="true" showRowColHeaders="true" showZeros="true" rightToLeft="false" tabSelected="false" showOutlineSymbols="true" defaultGridColor="true" view="normal" topLeftCell="A281" colorId="64" zoomScale="100" zoomScaleNormal="100" zoomScalePageLayoutView="100" workbookViewId="0">
      <selection pane="topLeft" activeCell="C40" activeCellId="0" sqref="C40"/>
    </sheetView>
  </sheetViews>
  <sheetFormatPr defaultColWidth="9.1484375" defaultRowHeight="12.75" customHeight="false" zeroHeight="false" outlineLevelRow="0" outlineLevelCol="0"/>
  <cols>
    <col collapsed="false" customWidth="true" hidden="false" outlineLevel="0" max="1" min="1" style="61" width="39.71"/>
    <col collapsed="false" customWidth="true" hidden="false" outlineLevel="0" max="2" min="2" style="61" width="9.29"/>
    <col collapsed="false" customWidth="true" hidden="false" outlineLevel="0" max="3" min="3" style="61" width="12.71"/>
    <col collapsed="false" customWidth="true" hidden="false" outlineLevel="0" max="4" min="4" style="61" width="19.86"/>
    <col collapsed="false" customWidth="true" hidden="false" outlineLevel="0" max="5" min="5" style="61" width="12.71"/>
    <col collapsed="false" customWidth="true" hidden="false" outlineLevel="0" max="6" min="6" style="61" width="19.86"/>
    <col collapsed="false" customWidth="true" hidden="false" outlineLevel="0" max="7" min="7" style="61" width="14.57"/>
    <col collapsed="false" customWidth="true" hidden="false" outlineLevel="0" max="8" min="8" style="61" width="21"/>
    <col collapsed="false" customWidth="true" hidden="false" outlineLevel="0" max="9" min="9" style="61" width="12.71"/>
    <col collapsed="false" customWidth="true" hidden="false" outlineLevel="0" max="10" min="10" style="61" width="19.86"/>
    <col collapsed="false" customWidth="true" hidden="false" outlineLevel="0" max="11" min="11" style="63" width="9.86"/>
    <col collapsed="false" customWidth="false" hidden="false" outlineLevel="0" max="16384" min="12" style="61" width="9.14"/>
  </cols>
  <sheetData>
    <row r="1" customFormat="false" ht="17.35" hidden="false" customHeight="false" outlineLevel="0" collapsed="false">
      <c r="A1" s="64" t="s">
        <v>887</v>
      </c>
      <c r="B1" s="64"/>
      <c r="C1" s="64"/>
      <c r="D1" s="64"/>
      <c r="E1" s="64"/>
      <c r="F1" s="64"/>
      <c r="G1" s="64"/>
      <c r="H1" s="64"/>
      <c r="I1" s="64"/>
      <c r="J1" s="64"/>
      <c r="L1" s="14"/>
    </row>
    <row r="2" customFormat="false" ht="13.8" hidden="false" customHeight="false" outlineLevel="0" collapsed="false">
      <c r="A2" s="65"/>
      <c r="B2" s="65"/>
      <c r="C2" s="65" t="s">
        <v>0</v>
      </c>
      <c r="D2" s="65"/>
      <c r="E2" s="65" t="s">
        <v>1</v>
      </c>
      <c r="F2" s="65"/>
      <c r="G2" s="65" t="s">
        <v>2</v>
      </c>
      <c r="H2" s="65"/>
      <c r="I2" s="65" t="s">
        <v>3</v>
      </c>
      <c r="J2" s="65"/>
      <c r="K2" s="67"/>
      <c r="L2" s="14"/>
    </row>
    <row r="3" customFormat="false" ht="13.8" hidden="false" customHeight="false" outlineLevel="0" collapsed="false">
      <c r="A3" s="65" t="s">
        <v>4</v>
      </c>
      <c r="B3" s="65" t="s">
        <v>5</v>
      </c>
      <c r="C3" s="65" t="s">
        <v>6</v>
      </c>
      <c r="D3" s="65" t="s">
        <v>7</v>
      </c>
      <c r="E3" s="65" t="s">
        <v>8</v>
      </c>
      <c r="F3" s="65" t="s">
        <v>9</v>
      </c>
      <c r="G3" s="65" t="s">
        <v>6</v>
      </c>
      <c r="H3" s="65" t="s">
        <v>10</v>
      </c>
      <c r="I3" s="65" t="s">
        <v>6</v>
      </c>
      <c r="J3" s="65" t="s">
        <v>9</v>
      </c>
      <c r="K3" s="67" t="s">
        <v>889</v>
      </c>
      <c r="L3" s="14"/>
    </row>
    <row r="4" customFormat="false" ht="13.8" hidden="false" customHeight="false" outlineLevel="0" collapsed="false">
      <c r="A4" s="68" t="s">
        <v>11</v>
      </c>
      <c r="B4" s="68" t="n">
        <v>12</v>
      </c>
      <c r="C4" s="69" t="n">
        <v>226</v>
      </c>
      <c r="D4" s="69" t="n">
        <v>6255676</v>
      </c>
      <c r="E4" s="69" t="n">
        <v>100</v>
      </c>
      <c r="F4" s="69" t="n">
        <v>2774400</v>
      </c>
      <c r="G4" s="69" t="n">
        <v>100</v>
      </c>
      <c r="H4" s="69" t="n">
        <f aca="false">D4+F4-J4</f>
        <v>2769962</v>
      </c>
      <c r="I4" s="69" t="n">
        <v>226</v>
      </c>
      <c r="J4" s="69" t="n">
        <v>6260114</v>
      </c>
      <c r="K4" s="71" t="n">
        <f aca="false">J4/I4</f>
        <v>27699.6194690265</v>
      </c>
      <c r="L4" s="14"/>
    </row>
    <row r="5" customFormat="false" ht="13.8" hidden="false" customHeight="false" outlineLevel="0" collapsed="false">
      <c r="A5" s="68" t="s">
        <v>12</v>
      </c>
      <c r="B5" s="68" t="n">
        <v>12</v>
      </c>
      <c r="C5" s="69" t="n">
        <v>0</v>
      </c>
      <c r="D5" s="69" t="n">
        <v>0</v>
      </c>
      <c r="E5" s="69" t="n">
        <v>60</v>
      </c>
      <c r="F5" s="69" t="n">
        <v>1188660</v>
      </c>
      <c r="G5" s="69" t="n">
        <v>60</v>
      </c>
      <c r="H5" s="69" t="n">
        <f aca="false">D5+F5-J5</f>
        <v>1188660</v>
      </c>
      <c r="I5" s="69" t="n">
        <v>0</v>
      </c>
      <c r="J5" s="69" t="n">
        <v>0</v>
      </c>
      <c r="K5" s="71"/>
      <c r="L5" s="14"/>
    </row>
    <row r="6" customFormat="false" ht="13.8" hidden="false" customHeight="false" outlineLevel="0" collapsed="false">
      <c r="A6" s="68" t="s">
        <v>13</v>
      </c>
      <c r="B6" s="68" t="n">
        <v>12</v>
      </c>
      <c r="C6" s="69" t="n">
        <v>587</v>
      </c>
      <c r="D6" s="69" t="n">
        <v>19248466</v>
      </c>
      <c r="E6" s="69" t="n">
        <v>0</v>
      </c>
      <c r="F6" s="69" t="n">
        <v>0</v>
      </c>
      <c r="G6" s="69" t="n">
        <v>338</v>
      </c>
      <c r="H6" s="69" t="n">
        <f aca="false">D6+F6-J6</f>
        <v>14931342</v>
      </c>
      <c r="I6" s="69" t="n">
        <v>249</v>
      </c>
      <c r="J6" s="69" t="n">
        <v>4317124</v>
      </c>
      <c r="K6" s="71" t="n">
        <f aca="false">J6/I6</f>
        <v>17337.8473895582</v>
      </c>
      <c r="L6" s="14"/>
    </row>
    <row r="7" customFormat="false" ht="13.8" hidden="false" customHeight="false" outlineLevel="0" collapsed="false">
      <c r="A7" s="68" t="s">
        <v>14</v>
      </c>
      <c r="B7" s="68" t="n">
        <v>12</v>
      </c>
      <c r="C7" s="69" t="n">
        <v>120</v>
      </c>
      <c r="D7" s="69" t="n">
        <v>35752144</v>
      </c>
      <c r="E7" s="69" t="n">
        <v>0</v>
      </c>
      <c r="F7" s="69" t="n">
        <v>0</v>
      </c>
      <c r="G7" s="69" t="n">
        <v>120</v>
      </c>
      <c r="H7" s="69" t="n">
        <f aca="false">D7+F7-J7</f>
        <v>35752144</v>
      </c>
      <c r="I7" s="69" t="n">
        <v>0</v>
      </c>
      <c r="J7" s="69" t="n">
        <v>0</v>
      </c>
      <c r="K7" s="71"/>
      <c r="L7" s="14"/>
    </row>
    <row r="8" customFormat="false" ht="13.8" hidden="false" customHeight="false" outlineLevel="0" collapsed="false">
      <c r="A8" s="68" t="s">
        <v>15</v>
      </c>
      <c r="B8" s="68" t="n">
        <v>12</v>
      </c>
      <c r="C8" s="69" t="n">
        <v>504</v>
      </c>
      <c r="D8" s="69" t="n">
        <v>68557545</v>
      </c>
      <c r="E8" s="69" t="n">
        <v>0</v>
      </c>
      <c r="F8" s="69" t="n">
        <v>0</v>
      </c>
      <c r="G8" s="69" t="n">
        <v>134</v>
      </c>
      <c r="H8" s="69" t="n">
        <f aca="false">D8+F8-J8</f>
        <v>37679444</v>
      </c>
      <c r="I8" s="69" t="n">
        <v>370</v>
      </c>
      <c r="J8" s="69" t="n">
        <v>30878101</v>
      </c>
      <c r="K8" s="71" t="n">
        <f aca="false">J8/I8</f>
        <v>83454.327027027</v>
      </c>
      <c r="L8" s="14"/>
    </row>
    <row r="9" customFormat="false" ht="13.8" hidden="false" customHeight="false" outlineLevel="0" collapsed="false">
      <c r="A9" s="68" t="s">
        <v>16</v>
      </c>
      <c r="B9" s="68" t="n">
        <v>12</v>
      </c>
      <c r="C9" s="69" t="n">
        <v>344</v>
      </c>
      <c r="D9" s="69" t="n">
        <v>53839916</v>
      </c>
      <c r="E9" s="69" t="n">
        <v>0</v>
      </c>
      <c r="F9" s="69" t="n">
        <v>0</v>
      </c>
      <c r="G9" s="69" t="n">
        <v>34</v>
      </c>
      <c r="H9" s="69" t="n">
        <f aca="false">D9+F9-J9</f>
        <v>30363208</v>
      </c>
      <c r="I9" s="69" t="n">
        <v>310</v>
      </c>
      <c r="J9" s="69" t="n">
        <v>23476708</v>
      </c>
      <c r="K9" s="71" t="n">
        <f aca="false">J9/I9</f>
        <v>75731.3161290323</v>
      </c>
      <c r="L9" s="14"/>
    </row>
    <row r="10" customFormat="false" ht="13.8" hidden="false" customHeight="false" outlineLevel="0" collapsed="false">
      <c r="A10" s="68" t="s">
        <v>17</v>
      </c>
      <c r="B10" s="68" t="n">
        <v>12</v>
      </c>
      <c r="C10" s="69" t="n">
        <v>153</v>
      </c>
      <c r="D10" s="69" t="n">
        <v>36613751</v>
      </c>
      <c r="E10" s="69" t="n">
        <v>0</v>
      </c>
      <c r="F10" s="69" t="n">
        <v>0</v>
      </c>
      <c r="G10" s="69" t="n">
        <v>153</v>
      </c>
      <c r="H10" s="69" t="n">
        <f aca="false">D10+F10-J10</f>
        <v>36613751</v>
      </c>
      <c r="I10" s="69" t="n">
        <v>0</v>
      </c>
      <c r="J10" s="69" t="n">
        <v>0</v>
      </c>
      <c r="K10" s="71"/>
      <c r="L10" s="14"/>
    </row>
    <row r="11" customFormat="false" ht="13.8" hidden="false" customHeight="false" outlineLevel="0" collapsed="false">
      <c r="A11" s="68" t="s">
        <v>18</v>
      </c>
      <c r="B11" s="68" t="n">
        <v>12</v>
      </c>
      <c r="C11" s="69" t="n">
        <v>554</v>
      </c>
      <c r="D11" s="69" t="n">
        <v>12063982</v>
      </c>
      <c r="E11" s="69" t="n">
        <v>0</v>
      </c>
      <c r="F11" s="69" t="n">
        <v>0</v>
      </c>
      <c r="G11" s="69" t="n">
        <v>344</v>
      </c>
      <c r="H11" s="69" t="n">
        <f aca="false">D11+F11-J11</f>
        <v>9537950</v>
      </c>
      <c r="I11" s="69" t="n">
        <v>210</v>
      </c>
      <c r="J11" s="69" t="n">
        <v>2526032</v>
      </c>
      <c r="K11" s="71" t="n">
        <f aca="false">J11/I11</f>
        <v>12028.7238095238</v>
      </c>
      <c r="L11" s="14"/>
    </row>
    <row r="12" customFormat="false" ht="13.8" hidden="false" customHeight="false" outlineLevel="0" collapsed="false">
      <c r="A12" s="68" t="s">
        <v>19</v>
      </c>
      <c r="B12" s="68" t="n">
        <v>12</v>
      </c>
      <c r="C12" s="69" t="n">
        <v>180</v>
      </c>
      <c r="D12" s="69" t="n">
        <v>3904035</v>
      </c>
      <c r="E12" s="69" t="n">
        <v>0</v>
      </c>
      <c r="F12" s="69" t="n">
        <v>0</v>
      </c>
      <c r="G12" s="69" t="n">
        <v>40</v>
      </c>
      <c r="H12" s="69" t="n">
        <f aca="false">D12+F12-J12</f>
        <v>2212287</v>
      </c>
      <c r="I12" s="69" t="n">
        <v>140</v>
      </c>
      <c r="J12" s="69" t="n">
        <v>1691748</v>
      </c>
      <c r="K12" s="71" t="n">
        <f aca="false">J12/I12</f>
        <v>12083.9142857143</v>
      </c>
      <c r="L12" s="14"/>
    </row>
    <row r="13" customFormat="false" ht="13.8" hidden="false" customHeight="false" outlineLevel="0" collapsed="false">
      <c r="A13" s="68" t="s">
        <v>20</v>
      </c>
      <c r="B13" s="68" t="n">
        <v>12</v>
      </c>
      <c r="C13" s="69" t="n">
        <v>295</v>
      </c>
      <c r="D13" s="69" t="n">
        <v>31404753</v>
      </c>
      <c r="E13" s="69" t="n">
        <v>0</v>
      </c>
      <c r="F13" s="69" t="n">
        <v>0</v>
      </c>
      <c r="G13" s="69" t="n">
        <v>277</v>
      </c>
      <c r="H13" s="69" t="n">
        <f aca="false">D13+F13-J13</f>
        <v>29488531</v>
      </c>
      <c r="I13" s="69" t="n">
        <v>18</v>
      </c>
      <c r="J13" s="69" t="n">
        <v>1916222</v>
      </c>
      <c r="K13" s="71" t="n">
        <f aca="false">J13/I13</f>
        <v>106456.777777778</v>
      </c>
      <c r="L13" s="14"/>
    </row>
    <row r="14" customFormat="false" ht="13.8" hidden="false" customHeight="false" outlineLevel="0" collapsed="false">
      <c r="A14" s="68" t="s">
        <v>21</v>
      </c>
      <c r="B14" s="68" t="n">
        <v>12</v>
      </c>
      <c r="C14" s="69" t="n">
        <v>170</v>
      </c>
      <c r="D14" s="69" t="n">
        <v>40681945</v>
      </c>
      <c r="E14" s="69" t="n">
        <v>0</v>
      </c>
      <c r="F14" s="69" t="n">
        <v>0</v>
      </c>
      <c r="G14" s="69" t="n">
        <v>88</v>
      </c>
      <c r="H14" s="69" t="n">
        <f aca="false">D14+F14-J14</f>
        <v>29195278</v>
      </c>
      <c r="I14" s="69" t="n">
        <v>82</v>
      </c>
      <c r="J14" s="69" t="n">
        <v>11486667</v>
      </c>
      <c r="K14" s="71" t="n">
        <f aca="false">J14/I14</f>
        <v>140081.304878049</v>
      </c>
      <c r="L14" s="14"/>
    </row>
    <row r="15" customFormat="false" ht="13.8" hidden="false" customHeight="false" outlineLevel="0" collapsed="false">
      <c r="A15" s="68" t="s">
        <v>22</v>
      </c>
      <c r="B15" s="68" t="n">
        <v>12</v>
      </c>
      <c r="C15" s="69" t="n">
        <v>18</v>
      </c>
      <c r="D15" s="69" t="n">
        <v>407934</v>
      </c>
      <c r="E15" s="69" t="n">
        <v>0</v>
      </c>
      <c r="F15" s="69" t="n">
        <v>0</v>
      </c>
      <c r="G15" s="69" t="n">
        <v>18</v>
      </c>
      <c r="H15" s="69" t="n">
        <f aca="false">D15+F15-J15</f>
        <v>407934</v>
      </c>
      <c r="I15" s="69" t="n">
        <v>0</v>
      </c>
      <c r="J15" s="69" t="n">
        <v>0</v>
      </c>
      <c r="K15" s="71"/>
      <c r="L15" s="14"/>
    </row>
    <row r="16" customFormat="false" ht="13.8" hidden="false" customHeight="false" outlineLevel="0" collapsed="false">
      <c r="A16" s="68" t="s">
        <v>23</v>
      </c>
      <c r="B16" s="68" t="n">
        <v>12</v>
      </c>
      <c r="C16" s="69" t="n">
        <v>0</v>
      </c>
      <c r="D16" s="69" t="n">
        <v>0</v>
      </c>
      <c r="E16" s="69" t="n">
        <v>3</v>
      </c>
      <c r="F16" s="69" t="n">
        <v>57891</v>
      </c>
      <c r="G16" s="69" t="n">
        <v>3</v>
      </c>
      <c r="H16" s="69" t="n">
        <f aca="false">D16+F16-J16</f>
        <v>57891</v>
      </c>
      <c r="I16" s="69" t="n">
        <v>0</v>
      </c>
      <c r="J16" s="69" t="n">
        <v>0</v>
      </c>
      <c r="K16" s="71"/>
      <c r="L16" s="14"/>
    </row>
    <row r="17" customFormat="false" ht="13.8" hidden="false" customHeight="false" outlineLevel="0" collapsed="false">
      <c r="A17" s="68" t="s">
        <v>24</v>
      </c>
      <c r="B17" s="68" t="n">
        <v>12</v>
      </c>
      <c r="C17" s="69" t="n">
        <v>0</v>
      </c>
      <c r="D17" s="69" t="n">
        <v>0</v>
      </c>
      <c r="E17" s="69" t="n">
        <v>12</v>
      </c>
      <c r="F17" s="69" t="n">
        <v>231564</v>
      </c>
      <c r="G17" s="69" t="n">
        <v>12</v>
      </c>
      <c r="H17" s="69" t="n">
        <f aca="false">D17+F17-J17</f>
        <v>231564</v>
      </c>
      <c r="I17" s="69" t="n">
        <v>0</v>
      </c>
      <c r="J17" s="69" t="n">
        <v>0</v>
      </c>
      <c r="K17" s="71"/>
      <c r="L17" s="14"/>
    </row>
    <row r="18" customFormat="false" ht="13.8" hidden="false" customHeight="false" outlineLevel="0" collapsed="false">
      <c r="A18" s="68" t="s">
        <v>25</v>
      </c>
      <c r="B18" s="68" t="n">
        <v>12</v>
      </c>
      <c r="C18" s="69" t="n">
        <v>72</v>
      </c>
      <c r="D18" s="69" t="n">
        <v>1533524</v>
      </c>
      <c r="E18" s="69" t="n">
        <v>35</v>
      </c>
      <c r="F18" s="69" t="n">
        <v>745360</v>
      </c>
      <c r="G18" s="69" t="n">
        <v>67</v>
      </c>
      <c r="H18" s="69" t="n">
        <f aca="false">D18+F18-J18</f>
        <v>1490606</v>
      </c>
      <c r="I18" s="69" t="n">
        <v>40</v>
      </c>
      <c r="J18" s="69" t="n">
        <v>788278</v>
      </c>
      <c r="K18" s="71" t="n">
        <f aca="false">J18/I18</f>
        <v>19706.95</v>
      </c>
      <c r="L18" s="14"/>
    </row>
    <row r="19" customFormat="false" ht="13.8" hidden="false" customHeight="false" outlineLevel="0" collapsed="false">
      <c r="A19" s="68" t="s">
        <v>26</v>
      </c>
      <c r="B19" s="68" t="n">
        <v>12</v>
      </c>
      <c r="C19" s="69" t="n">
        <v>96</v>
      </c>
      <c r="D19" s="69" t="n">
        <v>2486575</v>
      </c>
      <c r="E19" s="69" t="n">
        <v>51</v>
      </c>
      <c r="F19" s="69" t="n">
        <v>1322226</v>
      </c>
      <c r="G19" s="69" t="n">
        <v>4</v>
      </c>
      <c r="H19" s="69" t="n">
        <f aca="false">D19+F19-J19</f>
        <v>388653</v>
      </c>
      <c r="I19" s="69" t="n">
        <v>143</v>
      </c>
      <c r="J19" s="69" t="n">
        <v>3420148</v>
      </c>
      <c r="K19" s="71" t="n">
        <f aca="false">J19/I19</f>
        <v>23917.1188811189</v>
      </c>
      <c r="L19" s="14"/>
    </row>
    <row r="20" customFormat="false" ht="13.8" hidden="false" customHeight="false" outlineLevel="0" collapsed="false">
      <c r="A20" s="68" t="s">
        <v>27</v>
      </c>
      <c r="B20" s="68" t="n">
        <v>12</v>
      </c>
      <c r="C20" s="69" t="n">
        <v>67</v>
      </c>
      <c r="D20" s="69" t="n">
        <v>2083589</v>
      </c>
      <c r="E20" s="69" t="n">
        <v>0</v>
      </c>
      <c r="F20" s="69" t="n">
        <v>0</v>
      </c>
      <c r="G20" s="69" t="n">
        <v>1</v>
      </c>
      <c r="H20" s="69" t="n">
        <f aca="false">D20+F20-J20</f>
        <v>155492</v>
      </c>
      <c r="I20" s="69" t="n">
        <v>66</v>
      </c>
      <c r="J20" s="69" t="n">
        <v>1928097</v>
      </c>
      <c r="K20" s="71" t="n">
        <f aca="false">J20/I20</f>
        <v>29213.5909090909</v>
      </c>
      <c r="L20" s="14"/>
    </row>
    <row r="21" customFormat="false" ht="13.8" hidden="false" customHeight="false" outlineLevel="0" collapsed="false">
      <c r="A21" s="68" t="s">
        <v>28</v>
      </c>
      <c r="B21" s="68" t="n">
        <v>12</v>
      </c>
      <c r="C21" s="69" t="n">
        <v>650</v>
      </c>
      <c r="D21" s="69" t="n">
        <v>74700000</v>
      </c>
      <c r="E21" s="69" t="n">
        <v>160</v>
      </c>
      <c r="F21" s="69" t="n">
        <v>18432000</v>
      </c>
      <c r="G21" s="69" t="n">
        <v>0</v>
      </c>
      <c r="H21" s="69" t="n">
        <f aca="false">D21+F21-J21</f>
        <v>0</v>
      </c>
      <c r="I21" s="69" t="n">
        <v>810</v>
      </c>
      <c r="J21" s="69" t="n">
        <v>93132000</v>
      </c>
      <c r="K21" s="71" t="n">
        <f aca="false">J21/I21</f>
        <v>114977.777777778</v>
      </c>
      <c r="L21" s="14"/>
    </row>
    <row r="22" customFormat="false" ht="13.8" hidden="false" customHeight="false" outlineLevel="0" collapsed="false">
      <c r="A22" s="68" t="s">
        <v>29</v>
      </c>
      <c r="B22" s="68" t="n">
        <v>12</v>
      </c>
      <c r="C22" s="69" t="n">
        <v>280</v>
      </c>
      <c r="D22" s="69" t="n">
        <v>74052080</v>
      </c>
      <c r="E22" s="69" t="n">
        <v>0</v>
      </c>
      <c r="F22" s="69" t="n">
        <v>0</v>
      </c>
      <c r="G22" s="69" t="n">
        <v>0</v>
      </c>
      <c r="H22" s="69" t="n">
        <f aca="false">D22+F22-J22</f>
        <v>0</v>
      </c>
      <c r="I22" s="69" t="n">
        <v>280</v>
      </c>
      <c r="J22" s="69" t="n">
        <v>74052080</v>
      </c>
      <c r="K22" s="71" t="n">
        <f aca="false">J22/I22</f>
        <v>264471.714285714</v>
      </c>
      <c r="L22" s="14"/>
    </row>
    <row r="23" customFormat="false" ht="13.8" hidden="false" customHeight="false" outlineLevel="0" collapsed="false">
      <c r="A23" s="68" t="s">
        <v>30</v>
      </c>
      <c r="B23" s="68" t="n">
        <v>12</v>
      </c>
      <c r="C23" s="69" t="n">
        <v>102</v>
      </c>
      <c r="D23" s="69" t="n">
        <v>19779439</v>
      </c>
      <c r="E23" s="69" t="n">
        <v>0</v>
      </c>
      <c r="F23" s="69" t="n">
        <v>0</v>
      </c>
      <c r="G23" s="69" t="n">
        <v>100</v>
      </c>
      <c r="H23" s="69" t="n">
        <f aca="false">D23+F23-J23</f>
        <v>19391607</v>
      </c>
      <c r="I23" s="69" t="n">
        <v>2</v>
      </c>
      <c r="J23" s="69" t="n">
        <v>387832</v>
      </c>
      <c r="K23" s="71" t="n">
        <f aca="false">J23/I23</f>
        <v>193916</v>
      </c>
      <c r="L23" s="14"/>
    </row>
    <row r="24" customFormat="false" ht="13.8" hidden="false" customHeight="false" outlineLevel="0" collapsed="false">
      <c r="A24" s="68" t="s">
        <v>31</v>
      </c>
      <c r="B24" s="68" t="n">
        <v>12</v>
      </c>
      <c r="C24" s="69" t="n">
        <v>0</v>
      </c>
      <c r="D24" s="69" t="n">
        <v>0</v>
      </c>
      <c r="E24" s="69" t="n">
        <v>50</v>
      </c>
      <c r="F24" s="69" t="n">
        <v>8509100</v>
      </c>
      <c r="G24" s="69" t="n">
        <v>0</v>
      </c>
      <c r="H24" s="69" t="n">
        <f aca="false">D24+F24-J24</f>
        <v>0</v>
      </c>
      <c r="I24" s="69" t="n">
        <v>50</v>
      </c>
      <c r="J24" s="69" t="n">
        <v>8509100</v>
      </c>
      <c r="K24" s="71" t="n">
        <f aca="false">J24/I24</f>
        <v>170182</v>
      </c>
      <c r="L24" s="14"/>
    </row>
    <row r="25" customFormat="false" ht="13.8" hidden="false" customHeight="false" outlineLevel="0" collapsed="false">
      <c r="A25" s="68" t="s">
        <v>32</v>
      </c>
      <c r="B25" s="68" t="n">
        <v>12</v>
      </c>
      <c r="C25" s="69" t="n">
        <v>137</v>
      </c>
      <c r="D25" s="69" t="n">
        <v>22821826</v>
      </c>
      <c r="E25" s="69" t="n">
        <v>0</v>
      </c>
      <c r="F25" s="69" t="n">
        <v>0</v>
      </c>
      <c r="G25" s="69" t="n">
        <v>20</v>
      </c>
      <c r="H25" s="69" t="n">
        <f aca="false">D25+F25-J25</f>
        <v>3331653</v>
      </c>
      <c r="I25" s="69" t="n">
        <v>117</v>
      </c>
      <c r="J25" s="69" t="n">
        <v>19490173</v>
      </c>
      <c r="K25" s="71" t="n">
        <f aca="false">J25/I25</f>
        <v>166582.675213675</v>
      </c>
      <c r="L25" s="14"/>
    </row>
    <row r="26" customFormat="false" ht="13.8" hidden="false" customHeight="false" outlineLevel="0" collapsed="false">
      <c r="A26" s="68" t="s">
        <v>33</v>
      </c>
      <c r="B26" s="68" t="n">
        <v>12</v>
      </c>
      <c r="C26" s="69" t="n">
        <v>106</v>
      </c>
      <c r="D26" s="69" t="n">
        <v>16323470</v>
      </c>
      <c r="E26" s="69" t="n">
        <v>45</v>
      </c>
      <c r="F26" s="69" t="n">
        <v>10556505</v>
      </c>
      <c r="G26" s="69" t="n">
        <v>58</v>
      </c>
      <c r="H26" s="69" t="n">
        <f aca="false">D26+F26-J26</f>
        <v>4984366</v>
      </c>
      <c r="I26" s="69" t="n">
        <v>93</v>
      </c>
      <c r="J26" s="69" t="n">
        <v>21895609</v>
      </c>
      <c r="K26" s="71" t="n">
        <f aca="false">J26/I26</f>
        <v>235436.655913979</v>
      </c>
      <c r="L26" s="14"/>
    </row>
    <row r="27" customFormat="false" ht="13.8" hidden="false" customHeight="false" outlineLevel="0" collapsed="false">
      <c r="A27" s="68" t="s">
        <v>34</v>
      </c>
      <c r="B27" s="68" t="n">
        <v>12</v>
      </c>
      <c r="C27" s="69" t="n">
        <v>94</v>
      </c>
      <c r="D27" s="69" t="n">
        <v>17372116</v>
      </c>
      <c r="E27" s="69" t="n">
        <v>40</v>
      </c>
      <c r="F27" s="69" t="n">
        <v>9383560</v>
      </c>
      <c r="G27" s="69" t="n">
        <v>63</v>
      </c>
      <c r="H27" s="69" t="n">
        <f aca="false">D27+F27-J27</f>
        <v>9983461</v>
      </c>
      <c r="I27" s="69" t="n">
        <v>71</v>
      </c>
      <c r="J27" s="69" t="n">
        <v>16772215</v>
      </c>
      <c r="K27" s="71" t="n">
        <f aca="false">J27/I27</f>
        <v>236228.38028169</v>
      </c>
      <c r="L27" s="14"/>
    </row>
    <row r="28" customFormat="false" ht="13.8" hidden="false" customHeight="false" outlineLevel="0" collapsed="false">
      <c r="A28" s="68" t="s">
        <v>35</v>
      </c>
      <c r="B28" s="68" t="n">
        <v>12</v>
      </c>
      <c r="C28" s="69" t="n">
        <v>351</v>
      </c>
      <c r="D28" s="69" t="n">
        <v>40194000</v>
      </c>
      <c r="E28" s="69" t="n">
        <v>0</v>
      </c>
      <c r="F28" s="69" t="n">
        <v>0</v>
      </c>
      <c r="G28" s="69" t="n">
        <v>0</v>
      </c>
      <c r="H28" s="69" t="n">
        <f aca="false">D28+F28-J28</f>
        <v>0</v>
      </c>
      <c r="I28" s="69" t="n">
        <v>351</v>
      </c>
      <c r="J28" s="69" t="n">
        <v>40194000</v>
      </c>
      <c r="K28" s="71" t="n">
        <f aca="false">J28/I28</f>
        <v>114512.820512821</v>
      </c>
      <c r="L28" s="14"/>
    </row>
    <row r="29" customFormat="false" ht="13.8" hidden="false" customHeight="false" outlineLevel="0" collapsed="false">
      <c r="A29" s="68" t="s">
        <v>36</v>
      </c>
      <c r="B29" s="68" t="n">
        <v>12</v>
      </c>
      <c r="C29" s="69" t="n">
        <v>40</v>
      </c>
      <c r="D29" s="69" t="n">
        <v>1818200</v>
      </c>
      <c r="E29" s="69" t="n">
        <v>0</v>
      </c>
      <c r="F29" s="69" t="n">
        <v>0</v>
      </c>
      <c r="G29" s="69" t="n">
        <v>0</v>
      </c>
      <c r="H29" s="69" t="n">
        <f aca="false">D29+F29-J29</f>
        <v>0</v>
      </c>
      <c r="I29" s="69" t="n">
        <v>40</v>
      </c>
      <c r="J29" s="69" t="n">
        <v>1818200</v>
      </c>
      <c r="K29" s="71" t="n">
        <f aca="false">J29/I29</f>
        <v>45455</v>
      </c>
      <c r="L29" s="14"/>
    </row>
    <row r="30" customFormat="false" ht="13.8" hidden="false" customHeight="false" outlineLevel="0" collapsed="false">
      <c r="A30" s="68" t="s">
        <v>37</v>
      </c>
      <c r="B30" s="68" t="n">
        <v>12</v>
      </c>
      <c r="C30" s="69" t="n">
        <v>833</v>
      </c>
      <c r="D30" s="69" t="n">
        <v>46378988</v>
      </c>
      <c r="E30" s="69" t="n">
        <v>4571</v>
      </c>
      <c r="F30" s="69" t="n">
        <v>254508576</v>
      </c>
      <c r="G30" s="69" t="n">
        <v>5404</v>
      </c>
      <c r="H30" s="69" t="n">
        <f aca="false">D30+F30-J30</f>
        <v>300887564</v>
      </c>
      <c r="I30" s="69" t="n">
        <v>0</v>
      </c>
      <c r="J30" s="69" t="n">
        <v>0</v>
      </c>
      <c r="K30" s="71"/>
      <c r="L30" s="14"/>
    </row>
    <row r="31" customFormat="false" ht="13.8" hidden="false" customHeight="false" outlineLevel="0" collapsed="false">
      <c r="A31" s="68" t="s">
        <v>38</v>
      </c>
      <c r="B31" s="68" t="n">
        <v>12</v>
      </c>
      <c r="C31" s="69" t="n">
        <v>273867</v>
      </c>
      <c r="D31" s="69" t="n">
        <v>255643095</v>
      </c>
      <c r="E31" s="69" t="n">
        <v>8568</v>
      </c>
      <c r="F31" s="69" t="n">
        <v>267390144</v>
      </c>
      <c r="G31" s="69" t="n">
        <v>274625</v>
      </c>
      <c r="H31" s="69" t="n">
        <f aca="false">D31+F31-J31</f>
        <v>279311599</v>
      </c>
      <c r="I31" s="69" t="n">
        <v>7810</v>
      </c>
      <c r="J31" s="69" t="n">
        <v>243721640</v>
      </c>
      <c r="K31" s="71" t="n">
        <f aca="false">J31/I31</f>
        <v>31206.3559539053</v>
      </c>
      <c r="L31" s="14"/>
    </row>
    <row r="32" customFormat="false" ht="13.8" hidden="false" customHeight="false" outlineLevel="0" collapsed="false">
      <c r="A32" s="68" t="s">
        <v>39</v>
      </c>
      <c r="B32" s="68" t="n">
        <v>12</v>
      </c>
      <c r="C32" s="69" t="n">
        <v>25915</v>
      </c>
      <c r="D32" s="69" t="n">
        <v>50321430</v>
      </c>
      <c r="E32" s="69" t="n">
        <v>1500</v>
      </c>
      <c r="F32" s="69" t="n">
        <v>54276000</v>
      </c>
      <c r="G32" s="69" t="n">
        <v>26863</v>
      </c>
      <c r="H32" s="69" t="n">
        <f aca="false">D32+F32-J32</f>
        <v>84634375</v>
      </c>
      <c r="I32" s="69" t="n">
        <v>552</v>
      </c>
      <c r="J32" s="69" t="n">
        <v>19963055</v>
      </c>
      <c r="K32" s="71" t="n">
        <f aca="false">J32/I32</f>
        <v>36164.9547101449</v>
      </c>
      <c r="L32" s="14"/>
    </row>
    <row r="33" customFormat="false" ht="13.8" hidden="false" customHeight="false" outlineLevel="0" collapsed="false">
      <c r="A33" s="68" t="s">
        <v>40</v>
      </c>
      <c r="B33" s="68" t="n">
        <v>12</v>
      </c>
      <c r="C33" s="69" t="n">
        <v>2430</v>
      </c>
      <c r="D33" s="69" t="n">
        <v>87927120</v>
      </c>
      <c r="E33" s="69" t="n">
        <v>0</v>
      </c>
      <c r="F33" s="69" t="n">
        <v>0</v>
      </c>
      <c r="G33" s="69" t="n">
        <v>0</v>
      </c>
      <c r="H33" s="69" t="n">
        <f aca="false">D33+F33-J33</f>
        <v>0</v>
      </c>
      <c r="I33" s="69" t="n">
        <v>2430</v>
      </c>
      <c r="J33" s="69" t="n">
        <v>87927120</v>
      </c>
      <c r="K33" s="71" t="n">
        <f aca="false">J33/I33</f>
        <v>36184</v>
      </c>
      <c r="L33" s="14"/>
    </row>
    <row r="34" customFormat="false" ht="13.8" hidden="false" customHeight="false" outlineLevel="0" collapsed="false">
      <c r="A34" s="68" t="s">
        <v>41</v>
      </c>
      <c r="B34" s="68" t="n">
        <v>12</v>
      </c>
      <c r="C34" s="69" t="n">
        <v>0</v>
      </c>
      <c r="D34" s="69" t="n">
        <v>189538</v>
      </c>
      <c r="E34" s="69" t="n">
        <v>0</v>
      </c>
      <c r="F34" s="69" t="n">
        <v>0</v>
      </c>
      <c r="G34" s="69" t="n">
        <v>0</v>
      </c>
      <c r="H34" s="69" t="n">
        <f aca="false">D34+F34-J34</f>
        <v>0</v>
      </c>
      <c r="I34" s="69" t="n">
        <v>0</v>
      </c>
      <c r="J34" s="69" t="n">
        <v>189538</v>
      </c>
      <c r="K34" s="71"/>
      <c r="L34" s="14"/>
    </row>
    <row r="35" customFormat="false" ht="13.8" hidden="false" customHeight="false" outlineLevel="0" collapsed="false">
      <c r="A35" s="68" t="s">
        <v>42</v>
      </c>
      <c r="B35" s="68" t="n">
        <v>12</v>
      </c>
      <c r="C35" s="69" t="n">
        <v>160</v>
      </c>
      <c r="D35" s="69" t="n">
        <v>8538638</v>
      </c>
      <c r="E35" s="69" t="n">
        <v>0</v>
      </c>
      <c r="F35" s="69" t="n">
        <v>0</v>
      </c>
      <c r="G35" s="69" t="n">
        <v>26</v>
      </c>
      <c r="H35" s="69" t="n">
        <f aca="false">D35+F35-J35</f>
        <v>1526583</v>
      </c>
      <c r="I35" s="69" t="n">
        <v>134</v>
      </c>
      <c r="J35" s="69" t="n">
        <v>7012055</v>
      </c>
      <c r="K35" s="71" t="n">
        <f aca="false">J35/I35</f>
        <v>52328.7686567164</v>
      </c>
      <c r="L35" s="14"/>
    </row>
    <row r="36" customFormat="false" ht="13.8" hidden="false" customHeight="false" outlineLevel="0" collapsed="false">
      <c r="A36" s="68" t="s">
        <v>43</v>
      </c>
      <c r="B36" s="68" t="n">
        <v>12</v>
      </c>
      <c r="C36" s="69" t="n">
        <v>0</v>
      </c>
      <c r="D36" s="69" t="n">
        <v>0</v>
      </c>
      <c r="E36" s="69" t="n">
        <v>0</v>
      </c>
      <c r="F36" s="69" t="n">
        <v>0</v>
      </c>
      <c r="G36" s="69" t="n">
        <v>0</v>
      </c>
      <c r="H36" s="69" t="n">
        <f aca="false">D36+F36-J36</f>
        <v>0</v>
      </c>
      <c r="I36" s="69" t="n">
        <v>0</v>
      </c>
      <c r="J36" s="69" t="n">
        <v>0</v>
      </c>
      <c r="K36" s="71"/>
      <c r="L36" s="14"/>
    </row>
    <row r="37" customFormat="false" ht="13.8" hidden="false" customHeight="false" outlineLevel="0" collapsed="false">
      <c r="A37" s="68" t="s">
        <v>44</v>
      </c>
      <c r="B37" s="68" t="n">
        <v>12</v>
      </c>
      <c r="C37" s="69" t="n">
        <v>9485</v>
      </c>
      <c r="D37" s="69" t="n">
        <v>33640650</v>
      </c>
      <c r="E37" s="69" t="n">
        <v>1050</v>
      </c>
      <c r="F37" s="69" t="n">
        <v>37993200</v>
      </c>
      <c r="G37" s="69" t="n">
        <v>9635</v>
      </c>
      <c r="H37" s="69" t="n">
        <f aca="false">D37+F37-J37</f>
        <v>39077621</v>
      </c>
      <c r="I37" s="69" t="n">
        <v>900</v>
      </c>
      <c r="J37" s="69" t="n">
        <v>32556229</v>
      </c>
      <c r="K37" s="71" t="n">
        <f aca="false">J37/I37</f>
        <v>36173.5877777778</v>
      </c>
      <c r="L37" s="14"/>
    </row>
    <row r="38" customFormat="false" ht="13.8" hidden="false" customHeight="false" outlineLevel="0" collapsed="false">
      <c r="A38" s="68" t="s">
        <v>45</v>
      </c>
      <c r="B38" s="68" t="n">
        <v>12</v>
      </c>
      <c r="C38" s="69" t="n">
        <v>320</v>
      </c>
      <c r="D38" s="69" t="n">
        <v>11571799</v>
      </c>
      <c r="E38" s="69" t="n">
        <v>405</v>
      </c>
      <c r="F38" s="69" t="n">
        <v>14654520</v>
      </c>
      <c r="G38" s="69" t="n">
        <v>630</v>
      </c>
      <c r="H38" s="69" t="n">
        <f aca="false">D38+F38-J38</f>
        <v>22789767</v>
      </c>
      <c r="I38" s="69" t="n">
        <v>95</v>
      </c>
      <c r="J38" s="69" t="n">
        <v>3436552</v>
      </c>
      <c r="K38" s="71" t="n">
        <f aca="false">J38/I38</f>
        <v>36174.2315789474</v>
      </c>
      <c r="L38" s="14"/>
    </row>
    <row r="39" customFormat="false" ht="13.8" hidden="false" customHeight="false" outlineLevel="0" collapsed="false">
      <c r="A39" s="68" t="s">
        <v>46</v>
      </c>
      <c r="B39" s="68" t="n">
        <v>12</v>
      </c>
      <c r="C39" s="69" t="n">
        <v>270</v>
      </c>
      <c r="D39" s="69" t="n">
        <v>9896208</v>
      </c>
      <c r="E39" s="69" t="n">
        <v>120</v>
      </c>
      <c r="F39" s="69" t="n">
        <v>4342080</v>
      </c>
      <c r="G39" s="69" t="n">
        <v>319</v>
      </c>
      <c r="H39" s="69" t="n">
        <f aca="false">D39+F39-J39</f>
        <v>11669303</v>
      </c>
      <c r="I39" s="69" t="n">
        <v>71</v>
      </c>
      <c r="J39" s="69" t="n">
        <v>2568985</v>
      </c>
      <c r="K39" s="71" t="n">
        <f aca="false">J39/I39</f>
        <v>36182.8873239437</v>
      </c>
      <c r="L39" s="14"/>
    </row>
    <row r="40" customFormat="false" ht="13.8" hidden="false" customHeight="false" outlineLevel="0" collapsed="false">
      <c r="A40" s="68" t="s">
        <v>47</v>
      </c>
      <c r="B40" s="68" t="n">
        <v>12</v>
      </c>
      <c r="C40" s="69" t="n">
        <v>1500</v>
      </c>
      <c r="D40" s="69" t="n">
        <v>7597338</v>
      </c>
      <c r="E40" s="69" t="n">
        <v>250</v>
      </c>
      <c r="F40" s="69" t="n">
        <v>1273250</v>
      </c>
      <c r="G40" s="69" t="n">
        <v>691</v>
      </c>
      <c r="H40" s="69" t="n">
        <f aca="false">D40+F40-J40</f>
        <v>3827026</v>
      </c>
      <c r="I40" s="69" t="n">
        <v>1059</v>
      </c>
      <c r="J40" s="69" t="n">
        <v>5043562</v>
      </c>
      <c r="K40" s="71" t="n">
        <f aca="false">J40/I40</f>
        <v>4762.57034938621</v>
      </c>
      <c r="L40" s="14"/>
    </row>
    <row r="41" customFormat="false" ht="13.8" hidden="false" customHeight="false" outlineLevel="0" collapsed="false">
      <c r="A41" s="68" t="s">
        <v>48</v>
      </c>
      <c r="B41" s="68" t="n">
        <v>12</v>
      </c>
      <c r="C41" s="69" t="n">
        <v>192</v>
      </c>
      <c r="D41" s="69" t="n">
        <v>4111968</v>
      </c>
      <c r="E41" s="69" t="n">
        <v>48</v>
      </c>
      <c r="F41" s="69" t="n">
        <v>933312</v>
      </c>
      <c r="G41" s="69" t="n">
        <v>0</v>
      </c>
      <c r="H41" s="69" t="n">
        <f aca="false">D41+F41-J41</f>
        <v>0</v>
      </c>
      <c r="I41" s="69" t="n">
        <v>240</v>
      </c>
      <c r="J41" s="69" t="n">
        <v>5045280</v>
      </c>
      <c r="K41" s="71" t="n">
        <f aca="false">J41/I41</f>
        <v>21022</v>
      </c>
      <c r="L41" s="14"/>
    </row>
    <row r="42" customFormat="false" ht="13.8" hidden="false" customHeight="false" outlineLevel="0" collapsed="false">
      <c r="A42" s="68" t="s">
        <v>49</v>
      </c>
      <c r="B42" s="68" t="n">
        <v>12</v>
      </c>
      <c r="C42" s="69" t="n">
        <v>4020</v>
      </c>
      <c r="D42" s="69" t="n">
        <v>19708744</v>
      </c>
      <c r="E42" s="69" t="n">
        <v>3360</v>
      </c>
      <c r="F42" s="69" t="n">
        <v>16487520</v>
      </c>
      <c r="G42" s="69" t="n">
        <v>5702</v>
      </c>
      <c r="H42" s="69" t="n">
        <f aca="false">D42+F42-J42</f>
        <v>28495976</v>
      </c>
      <c r="I42" s="69" t="n">
        <v>1678</v>
      </c>
      <c r="J42" s="69" t="n">
        <v>7700288</v>
      </c>
      <c r="K42" s="71" t="n">
        <f aca="false">J42/I42</f>
        <v>4588.96781883194</v>
      </c>
      <c r="L42" s="14"/>
    </row>
    <row r="43" customFormat="false" ht="13.8" hidden="false" customHeight="false" outlineLevel="0" collapsed="false">
      <c r="A43" s="68" t="s">
        <v>50</v>
      </c>
      <c r="B43" s="68" t="n">
        <v>12</v>
      </c>
      <c r="C43" s="69" t="n">
        <v>750</v>
      </c>
      <c r="D43" s="69" t="n">
        <v>2517000</v>
      </c>
      <c r="E43" s="69" t="n">
        <v>0</v>
      </c>
      <c r="F43" s="69" t="n">
        <v>0</v>
      </c>
      <c r="G43" s="69" t="n">
        <v>23</v>
      </c>
      <c r="H43" s="69" t="n">
        <f aca="false">D43+F43-J43</f>
        <v>0</v>
      </c>
      <c r="I43" s="69" t="n">
        <v>727</v>
      </c>
      <c r="J43" s="69" t="n">
        <v>2517000</v>
      </c>
      <c r="K43" s="71" t="n">
        <f aca="false">J43/I43</f>
        <v>3462.17331499312</v>
      </c>
      <c r="L43" s="14"/>
    </row>
    <row r="44" customFormat="false" ht="13.8" hidden="false" customHeight="false" outlineLevel="0" collapsed="false">
      <c r="A44" s="68" t="s">
        <v>51</v>
      </c>
      <c r="B44" s="68" t="n">
        <v>12</v>
      </c>
      <c r="C44" s="69" t="n">
        <v>1350</v>
      </c>
      <c r="D44" s="69" t="n">
        <v>5561964</v>
      </c>
      <c r="E44" s="69" t="n">
        <v>200</v>
      </c>
      <c r="F44" s="69" t="n">
        <v>833400</v>
      </c>
      <c r="G44" s="69" t="n">
        <v>780</v>
      </c>
      <c r="H44" s="69" t="n">
        <f aca="false">D44+F44-J44</f>
        <v>3218313</v>
      </c>
      <c r="I44" s="69" t="n">
        <v>770</v>
      </c>
      <c r="J44" s="69" t="n">
        <v>3177051</v>
      </c>
      <c r="K44" s="71" t="n">
        <f aca="false">J44/I44</f>
        <v>4126.04025974026</v>
      </c>
      <c r="L44" s="14"/>
    </row>
    <row r="45" customFormat="false" ht="13.8" hidden="false" customHeight="false" outlineLevel="0" collapsed="false">
      <c r="A45" s="68" t="s">
        <v>52</v>
      </c>
      <c r="B45" s="68" t="n">
        <v>12</v>
      </c>
      <c r="C45" s="69" t="n">
        <v>1676</v>
      </c>
      <c r="D45" s="69" t="n">
        <v>38641471</v>
      </c>
      <c r="E45" s="69" t="n">
        <v>288</v>
      </c>
      <c r="F45" s="69" t="n">
        <v>6666624</v>
      </c>
      <c r="G45" s="69" t="n">
        <v>143</v>
      </c>
      <c r="H45" s="69" t="n">
        <f aca="false">D45+F45-J45</f>
        <v>5905739</v>
      </c>
      <c r="I45" s="69" t="n">
        <v>1821</v>
      </c>
      <c r="J45" s="69" t="n">
        <v>39402356</v>
      </c>
      <c r="K45" s="71" t="n">
        <f aca="false">J45/I45</f>
        <v>21637.7572762219</v>
      </c>
      <c r="L45" s="14"/>
    </row>
    <row r="46" customFormat="false" ht="13.8" hidden="false" customHeight="false" outlineLevel="0" collapsed="false">
      <c r="A46" s="68" t="s">
        <v>890</v>
      </c>
      <c r="B46" s="68" t="n">
        <v>12</v>
      </c>
      <c r="C46" s="69" t="n">
        <v>0</v>
      </c>
      <c r="D46" s="69" t="n">
        <v>0</v>
      </c>
      <c r="E46" s="69" t="n">
        <v>3600</v>
      </c>
      <c r="F46" s="69" t="n">
        <v>38332800</v>
      </c>
      <c r="G46" s="69" t="n">
        <v>10</v>
      </c>
      <c r="H46" s="69" t="n">
        <f aca="false">D46+F46-J46</f>
        <v>106480</v>
      </c>
      <c r="I46" s="69" t="n">
        <v>3590</v>
      </c>
      <c r="J46" s="69" t="n">
        <v>38226320</v>
      </c>
      <c r="K46" s="71" t="n">
        <f aca="false">J46/I46</f>
        <v>10648</v>
      </c>
      <c r="L46" s="14"/>
    </row>
    <row r="47" customFormat="false" ht="13.8" hidden="false" customHeight="false" outlineLevel="0" collapsed="false">
      <c r="A47" s="68" t="s">
        <v>54</v>
      </c>
      <c r="B47" s="68" t="n">
        <v>12</v>
      </c>
      <c r="C47" s="69" t="n">
        <v>4478</v>
      </c>
      <c r="D47" s="69" t="n">
        <v>65694476</v>
      </c>
      <c r="E47" s="69" t="n">
        <v>9176</v>
      </c>
      <c r="F47" s="69" t="n">
        <v>133335000</v>
      </c>
      <c r="G47" s="69" t="n">
        <v>7664</v>
      </c>
      <c r="H47" s="69" t="n">
        <f aca="false">D47+F47-J47</f>
        <v>116059227</v>
      </c>
      <c r="I47" s="69" t="n">
        <v>5990</v>
      </c>
      <c r="J47" s="69" t="n">
        <v>82970249</v>
      </c>
      <c r="K47" s="71" t="n">
        <f aca="false">J47/I47</f>
        <v>13851.4606010017</v>
      </c>
      <c r="L47" s="14"/>
    </row>
    <row r="48" customFormat="false" ht="13.8" hidden="false" customHeight="false" outlineLevel="0" collapsed="false">
      <c r="A48" s="68" t="s">
        <v>55</v>
      </c>
      <c r="B48" s="68" t="n">
        <v>12</v>
      </c>
      <c r="C48" s="69" t="n">
        <v>162</v>
      </c>
      <c r="D48" s="69" t="n">
        <v>14271796</v>
      </c>
      <c r="E48" s="69" t="n">
        <v>119</v>
      </c>
      <c r="F48" s="69" t="n">
        <v>9838718.89</v>
      </c>
      <c r="G48" s="69" t="n">
        <v>6</v>
      </c>
      <c r="H48" s="69" t="n">
        <f aca="false">D48+F48-J48</f>
        <v>1348613.89</v>
      </c>
      <c r="I48" s="69" t="n">
        <v>275</v>
      </c>
      <c r="J48" s="69" t="n">
        <v>22761901</v>
      </c>
      <c r="K48" s="71" t="n">
        <f aca="false">J48/I48</f>
        <v>82770.5490909091</v>
      </c>
      <c r="L48" s="14"/>
    </row>
    <row r="49" customFormat="false" ht="13.8" hidden="false" customHeight="false" outlineLevel="0" collapsed="false">
      <c r="A49" s="68" t="s">
        <v>56</v>
      </c>
      <c r="B49" s="68" t="n">
        <v>12</v>
      </c>
      <c r="C49" s="69" t="n">
        <v>864</v>
      </c>
      <c r="D49" s="69" t="n">
        <v>8294400</v>
      </c>
      <c r="E49" s="69" t="n">
        <v>263</v>
      </c>
      <c r="F49" s="69" t="n">
        <v>9207921359.29</v>
      </c>
      <c r="G49" s="69" t="n">
        <v>0</v>
      </c>
      <c r="H49" s="69" t="n">
        <f aca="false">D49+F49-J49</f>
        <v>9206072399.29</v>
      </c>
      <c r="I49" s="69" t="n">
        <v>1127</v>
      </c>
      <c r="J49" s="69" t="n">
        <v>10143360</v>
      </c>
      <c r="K49" s="71" t="n">
        <f aca="false">J49/I49</f>
        <v>9000.31943212067</v>
      </c>
      <c r="L49" s="14"/>
    </row>
    <row r="50" customFormat="false" ht="13.8" hidden="false" customHeight="false" outlineLevel="0" collapsed="false">
      <c r="A50" s="68" t="s">
        <v>57</v>
      </c>
      <c r="B50" s="68" t="n">
        <v>12</v>
      </c>
      <c r="C50" s="69" t="n">
        <v>758</v>
      </c>
      <c r="D50" s="69" t="n">
        <v>13116517</v>
      </c>
      <c r="E50" s="69" t="n">
        <v>168</v>
      </c>
      <c r="F50" s="69" t="n">
        <v>2955624</v>
      </c>
      <c r="G50" s="69" t="n">
        <v>118</v>
      </c>
      <c r="H50" s="69" t="n">
        <f aca="false">D50+F50-J50</f>
        <v>2777044</v>
      </c>
      <c r="I50" s="69" t="n">
        <v>808</v>
      </c>
      <c r="J50" s="69" t="n">
        <v>13295097</v>
      </c>
      <c r="K50" s="71" t="n">
        <f aca="false">J50/I50</f>
        <v>16454.327970297</v>
      </c>
      <c r="L50" s="14"/>
    </row>
    <row r="51" customFormat="false" ht="13.8" hidden="false" customHeight="false" outlineLevel="0" collapsed="false">
      <c r="A51" s="68" t="s">
        <v>58</v>
      </c>
      <c r="B51" s="68" t="n">
        <v>12</v>
      </c>
      <c r="C51" s="69" t="n">
        <v>3660</v>
      </c>
      <c r="D51" s="69" t="n">
        <v>31105758</v>
      </c>
      <c r="E51" s="69" t="n">
        <v>816</v>
      </c>
      <c r="F51" s="69" t="n">
        <v>7026576</v>
      </c>
      <c r="G51" s="69" t="n">
        <v>1416</v>
      </c>
      <c r="H51" s="69" t="n">
        <f aca="false">D51+F51-J51</f>
        <v>13494553</v>
      </c>
      <c r="I51" s="69" t="n">
        <v>3060</v>
      </c>
      <c r="J51" s="69" t="n">
        <v>24637781</v>
      </c>
      <c r="K51" s="71" t="n">
        <f aca="false">J51/I51</f>
        <v>8051.56241830065</v>
      </c>
      <c r="L51" s="14"/>
    </row>
    <row r="52" customFormat="false" ht="13.8" hidden="false" customHeight="false" outlineLevel="0" collapsed="false">
      <c r="A52" s="68" t="s">
        <v>59</v>
      </c>
      <c r="B52" s="68" t="n">
        <v>12</v>
      </c>
      <c r="C52" s="69" t="n">
        <v>4076</v>
      </c>
      <c r="D52" s="69" t="n">
        <v>66900098</v>
      </c>
      <c r="E52" s="69" t="n">
        <v>2466</v>
      </c>
      <c r="F52" s="69" t="n">
        <v>30000600</v>
      </c>
      <c r="G52" s="69" t="n">
        <v>3835</v>
      </c>
      <c r="H52" s="69" t="n">
        <f aca="false">D52+F52-J52</f>
        <v>54715863</v>
      </c>
      <c r="I52" s="69" t="n">
        <v>2707</v>
      </c>
      <c r="J52" s="69" t="n">
        <v>42184835</v>
      </c>
      <c r="K52" s="71" t="n">
        <f aca="false">J52/I52</f>
        <v>15583.6110084965</v>
      </c>
      <c r="L52" s="14"/>
    </row>
    <row r="53" customFormat="false" ht="13.8" hidden="false" customHeight="false" outlineLevel="0" collapsed="false">
      <c r="A53" s="68" t="s">
        <v>60</v>
      </c>
      <c r="B53" s="68" t="n">
        <v>12</v>
      </c>
      <c r="C53" s="69" t="n">
        <v>3051</v>
      </c>
      <c r="D53" s="69" t="n">
        <v>99561656</v>
      </c>
      <c r="E53" s="69" t="n">
        <v>1476</v>
      </c>
      <c r="F53" s="69" t="n">
        <v>51966396</v>
      </c>
      <c r="G53" s="69" t="n">
        <v>2861</v>
      </c>
      <c r="H53" s="69" t="n">
        <f aca="false">D53+F53-J53</f>
        <v>96734277</v>
      </c>
      <c r="I53" s="69" t="n">
        <v>1666</v>
      </c>
      <c r="J53" s="69" t="n">
        <v>54793775</v>
      </c>
      <c r="K53" s="71" t="n">
        <f aca="false">J53/I53</f>
        <v>32889.4207683073</v>
      </c>
      <c r="L53" s="14"/>
    </row>
    <row r="54" customFormat="false" ht="13.8" hidden="false" customHeight="false" outlineLevel="0" collapsed="false">
      <c r="A54" s="68" t="s">
        <v>61</v>
      </c>
      <c r="B54" s="68" t="n">
        <v>12</v>
      </c>
      <c r="C54" s="69" t="n">
        <v>0</v>
      </c>
      <c r="D54" s="69" t="n">
        <v>0</v>
      </c>
      <c r="E54" s="69" t="n">
        <v>0</v>
      </c>
      <c r="F54" s="69" t="n">
        <v>0</v>
      </c>
      <c r="G54" s="69" t="n">
        <v>0</v>
      </c>
      <c r="H54" s="69" t="n">
        <f aca="false">D54+F54-J54</f>
        <v>0</v>
      </c>
      <c r="I54" s="69" t="n">
        <v>0</v>
      </c>
      <c r="J54" s="69" t="n">
        <v>0</v>
      </c>
      <c r="K54" s="71"/>
      <c r="L54" s="14"/>
    </row>
    <row r="55" customFormat="false" ht="13.8" hidden="false" customHeight="false" outlineLevel="0" collapsed="false">
      <c r="A55" s="68" t="s">
        <v>62</v>
      </c>
      <c r="B55" s="68" t="n">
        <v>12</v>
      </c>
      <c r="C55" s="69" t="n">
        <v>4034</v>
      </c>
      <c r="D55" s="69" t="n">
        <v>19765883</v>
      </c>
      <c r="E55" s="69" t="n">
        <v>4080</v>
      </c>
      <c r="F55" s="69" t="n">
        <v>20020560</v>
      </c>
      <c r="G55" s="69" t="n">
        <v>6143</v>
      </c>
      <c r="H55" s="69" t="n">
        <f aca="false">D55+F55-J55</f>
        <v>30744515</v>
      </c>
      <c r="I55" s="69" t="n">
        <v>1971</v>
      </c>
      <c r="J55" s="69" t="n">
        <v>9041928</v>
      </c>
      <c r="K55" s="71" t="n">
        <f aca="false">J55/I55</f>
        <v>4587.48249619483</v>
      </c>
      <c r="L55" s="14"/>
    </row>
    <row r="56" customFormat="false" ht="13.8" hidden="false" customHeight="false" outlineLevel="0" collapsed="false">
      <c r="A56" s="68" t="s">
        <v>63</v>
      </c>
      <c r="B56" s="68" t="n">
        <v>12</v>
      </c>
      <c r="C56" s="69" t="n">
        <v>0</v>
      </c>
      <c r="D56" s="69" t="n">
        <v>0</v>
      </c>
      <c r="E56" s="69" t="n">
        <v>0</v>
      </c>
      <c r="F56" s="69" t="n">
        <v>0</v>
      </c>
      <c r="G56" s="69" t="n">
        <v>0</v>
      </c>
      <c r="H56" s="69" t="n">
        <f aca="false">D56+F56-J56</f>
        <v>0</v>
      </c>
      <c r="I56" s="69" t="n">
        <v>0</v>
      </c>
      <c r="J56" s="69" t="n">
        <v>0</v>
      </c>
      <c r="K56" s="71"/>
      <c r="L56" s="14"/>
    </row>
    <row r="57" customFormat="false" ht="13.8" hidden="false" customHeight="false" outlineLevel="0" collapsed="false">
      <c r="A57" s="68" t="s">
        <v>64</v>
      </c>
      <c r="B57" s="68" t="n">
        <v>12</v>
      </c>
      <c r="C57" s="69" t="n">
        <v>25</v>
      </c>
      <c r="D57" s="69" t="n">
        <v>4861100</v>
      </c>
      <c r="E57" s="69" t="n">
        <v>0</v>
      </c>
      <c r="F57" s="69" t="n">
        <v>0</v>
      </c>
      <c r="G57" s="69" t="n">
        <v>0</v>
      </c>
      <c r="H57" s="69" t="n">
        <f aca="false">D57+F57-J57</f>
        <v>0</v>
      </c>
      <c r="I57" s="69" t="n">
        <v>25</v>
      </c>
      <c r="J57" s="69" t="n">
        <v>4861100</v>
      </c>
      <c r="K57" s="71" t="n">
        <f aca="false">J57/I57</f>
        <v>194444</v>
      </c>
      <c r="L57" s="14"/>
    </row>
    <row r="58" customFormat="false" ht="13.8" hidden="false" customHeight="false" outlineLevel="0" collapsed="false">
      <c r="A58" s="68" t="s">
        <v>65</v>
      </c>
      <c r="B58" s="68" t="n">
        <v>12</v>
      </c>
      <c r="C58" s="69" t="n">
        <v>7</v>
      </c>
      <c r="D58" s="69" t="n">
        <v>1328705</v>
      </c>
      <c r="E58" s="69" t="n">
        <v>0</v>
      </c>
      <c r="F58" s="69" t="n">
        <v>0</v>
      </c>
      <c r="G58" s="69" t="n">
        <v>0</v>
      </c>
      <c r="H58" s="69" t="n">
        <f aca="false">D58+F58-J58</f>
        <v>0</v>
      </c>
      <c r="I58" s="69" t="n">
        <v>7</v>
      </c>
      <c r="J58" s="69" t="n">
        <v>1328705</v>
      </c>
      <c r="K58" s="71" t="n">
        <f aca="false">J58/I58</f>
        <v>189815</v>
      </c>
      <c r="L58" s="14"/>
    </row>
    <row r="59" customFormat="false" ht="13.8" hidden="false" customHeight="false" outlineLevel="0" collapsed="false">
      <c r="A59" s="68" t="s">
        <v>66</v>
      </c>
      <c r="B59" s="68" t="n">
        <v>12</v>
      </c>
      <c r="C59" s="69" t="n">
        <v>3640</v>
      </c>
      <c r="D59" s="69" t="n">
        <v>56770482</v>
      </c>
      <c r="E59" s="69" t="n">
        <v>4421</v>
      </c>
      <c r="F59" s="69" t="n">
        <v>68567796</v>
      </c>
      <c r="G59" s="69" t="n">
        <v>6562</v>
      </c>
      <c r="H59" s="69" t="n">
        <f aca="false">D59+F59-J59</f>
        <v>103274636</v>
      </c>
      <c r="I59" s="69" t="n">
        <v>1499</v>
      </c>
      <c r="J59" s="69" t="n">
        <v>22063642</v>
      </c>
      <c r="K59" s="71" t="n">
        <f aca="false">J59/I59</f>
        <v>14718.9072715143</v>
      </c>
      <c r="L59" s="14"/>
    </row>
    <row r="60" customFormat="false" ht="13.8" hidden="false" customHeight="false" outlineLevel="0" collapsed="false">
      <c r="A60" s="68" t="s">
        <v>67</v>
      </c>
      <c r="B60" s="68" t="n">
        <v>12</v>
      </c>
      <c r="C60" s="69" t="n">
        <v>170</v>
      </c>
      <c r="D60" s="69" t="n">
        <v>1385264</v>
      </c>
      <c r="E60" s="69" t="n">
        <v>24</v>
      </c>
      <c r="F60" s="69" t="n">
        <v>400008</v>
      </c>
      <c r="G60" s="69" t="n">
        <v>81</v>
      </c>
      <c r="H60" s="69" t="n">
        <f aca="false">D60+F60-J60</f>
        <v>27607</v>
      </c>
      <c r="I60" s="69" t="n">
        <v>113</v>
      </c>
      <c r="J60" s="69" t="n">
        <v>1757665</v>
      </c>
      <c r="K60" s="71" t="n">
        <f aca="false">J60/I60</f>
        <v>15554.5575221239</v>
      </c>
      <c r="L60" s="14"/>
    </row>
    <row r="61" customFormat="false" ht="13.8" hidden="false" customHeight="false" outlineLevel="0" collapsed="false">
      <c r="A61" s="68" t="s">
        <v>68</v>
      </c>
      <c r="B61" s="68" t="n">
        <v>12</v>
      </c>
      <c r="C61" s="69" t="n">
        <v>384</v>
      </c>
      <c r="D61" s="69" t="n">
        <v>17725913</v>
      </c>
      <c r="E61" s="69" t="n">
        <v>0</v>
      </c>
      <c r="F61" s="69" t="n">
        <v>0</v>
      </c>
      <c r="G61" s="69"/>
      <c r="H61" s="69" t="n">
        <f aca="false">D61+F61-J61</f>
        <v>923225</v>
      </c>
      <c r="I61" s="69" t="n">
        <v>384</v>
      </c>
      <c r="J61" s="69" t="n">
        <v>16802688</v>
      </c>
      <c r="K61" s="71" t="n">
        <f aca="false">J61/I61</f>
        <v>43757</v>
      </c>
      <c r="L61" s="14"/>
    </row>
    <row r="62" customFormat="false" ht="13.8" hidden="false" customHeight="false" outlineLevel="0" collapsed="false">
      <c r="A62" s="68" t="s">
        <v>69</v>
      </c>
      <c r="B62" s="68" t="n">
        <v>12</v>
      </c>
      <c r="C62" s="69" t="n">
        <v>156</v>
      </c>
      <c r="D62" s="69" t="n">
        <v>16177824</v>
      </c>
      <c r="E62" s="69" t="n">
        <v>0</v>
      </c>
      <c r="F62" s="69" t="n">
        <v>0</v>
      </c>
      <c r="G62" s="69"/>
      <c r="H62" s="69" t="n">
        <f aca="false">D62+F62-J62</f>
        <v>622224</v>
      </c>
      <c r="I62" s="69" t="n">
        <v>156</v>
      </c>
      <c r="J62" s="69" t="n">
        <v>15555600</v>
      </c>
      <c r="K62" s="71" t="n">
        <f aca="false">J62/I62</f>
        <v>99715.3846153846</v>
      </c>
      <c r="L62" s="14"/>
    </row>
    <row r="63" customFormat="false" ht="13.8" hidden="false" customHeight="false" outlineLevel="0" collapsed="false">
      <c r="A63" s="68" t="s">
        <v>70</v>
      </c>
      <c r="B63" s="68" t="n">
        <v>12</v>
      </c>
      <c r="C63" s="69" t="n">
        <v>84</v>
      </c>
      <c r="D63" s="69" t="n">
        <v>12133296</v>
      </c>
      <c r="E63" s="69"/>
      <c r="F63" s="69" t="n">
        <v>0</v>
      </c>
      <c r="G63" s="69"/>
      <c r="H63" s="69" t="n">
        <f aca="false">D63+F63-J63</f>
        <v>0</v>
      </c>
      <c r="I63" s="69" t="n">
        <v>84</v>
      </c>
      <c r="J63" s="69" t="n">
        <v>12133296</v>
      </c>
      <c r="K63" s="71" t="n">
        <f aca="false">J63/I63</f>
        <v>144444</v>
      </c>
      <c r="L63" s="14"/>
    </row>
    <row r="64" customFormat="false" ht="13.8" hidden="false" customHeight="false" outlineLevel="0" collapsed="false">
      <c r="A64" s="68" t="s">
        <v>71</v>
      </c>
      <c r="B64" s="68" t="n">
        <v>12</v>
      </c>
      <c r="C64" s="69" t="n">
        <v>1608</v>
      </c>
      <c r="D64" s="69" t="n">
        <v>25016122</v>
      </c>
      <c r="E64" s="69" t="n">
        <v>552</v>
      </c>
      <c r="F64" s="69" t="n">
        <v>8689032</v>
      </c>
      <c r="G64" s="69" t="n">
        <v>1294</v>
      </c>
      <c r="H64" s="69" t="n">
        <f aca="false">D64+F64-J64</f>
        <v>20956492</v>
      </c>
      <c r="I64" s="69" t="n">
        <v>866</v>
      </c>
      <c r="J64" s="69" t="n">
        <v>12748662</v>
      </c>
      <c r="K64" s="71" t="n">
        <f aca="false">J64/I64</f>
        <v>14721.3187066975</v>
      </c>
      <c r="L64" s="14"/>
    </row>
    <row r="65" customFormat="false" ht="13.8" hidden="false" customHeight="false" outlineLevel="0" collapsed="false">
      <c r="A65" s="68" t="s">
        <v>72</v>
      </c>
      <c r="B65" s="68" t="n">
        <v>12</v>
      </c>
      <c r="C65" s="69" t="n">
        <v>3852</v>
      </c>
      <c r="D65" s="69" t="n">
        <v>90280472</v>
      </c>
      <c r="E65" s="69" t="n">
        <v>648</v>
      </c>
      <c r="F65" s="69" t="n">
        <v>15599952</v>
      </c>
      <c r="G65" s="69" t="n">
        <v>2687</v>
      </c>
      <c r="H65" s="69" t="n">
        <f aca="false">D65+F65-J65</f>
        <v>65081167</v>
      </c>
      <c r="I65" s="69" t="n">
        <v>1813</v>
      </c>
      <c r="J65" s="69" t="n">
        <v>40799257</v>
      </c>
      <c r="K65" s="71" t="n">
        <f aca="false">J65/I65</f>
        <v>22503.7269718698</v>
      </c>
      <c r="L65" s="14"/>
    </row>
    <row r="66" customFormat="false" ht="13.8" hidden="false" customHeight="false" outlineLevel="0" collapsed="false">
      <c r="A66" s="68" t="s">
        <v>73</v>
      </c>
      <c r="B66" s="68" t="n">
        <v>12</v>
      </c>
      <c r="C66" s="69" t="n">
        <v>4218</v>
      </c>
      <c r="D66" s="69" t="n">
        <v>143970514</v>
      </c>
      <c r="E66" s="69" t="n">
        <v>1800</v>
      </c>
      <c r="F66" s="69" t="n">
        <v>61666200</v>
      </c>
      <c r="G66" s="69" t="n">
        <v>4874</v>
      </c>
      <c r="H66" s="69" t="n">
        <f aca="false">D66+F66-J66</f>
        <v>169006179</v>
      </c>
      <c r="I66" s="69" t="n">
        <v>1144</v>
      </c>
      <c r="J66" s="69" t="n">
        <v>36630535</v>
      </c>
      <c r="K66" s="71" t="n">
        <f aca="false">J66/I66</f>
        <v>32019.6984265734</v>
      </c>
      <c r="L66" s="14"/>
    </row>
    <row r="67" customFormat="false" ht="13.8" hidden="false" customHeight="false" outlineLevel="0" collapsed="false">
      <c r="A67" s="68" t="s">
        <v>74</v>
      </c>
      <c r="B67" s="68" t="n">
        <v>12</v>
      </c>
      <c r="C67" s="69" t="n">
        <v>5136</v>
      </c>
      <c r="D67" s="69" t="n">
        <v>75745997</v>
      </c>
      <c r="E67" s="69" t="n">
        <v>1752</v>
      </c>
      <c r="F67" s="69" t="n">
        <v>25955880</v>
      </c>
      <c r="G67" s="69" t="n">
        <v>6059</v>
      </c>
      <c r="H67" s="69" t="n">
        <f aca="false">D67+F67-J67</f>
        <v>90214644</v>
      </c>
      <c r="I67" s="69" t="n">
        <v>829</v>
      </c>
      <c r="J67" s="69" t="n">
        <v>11487233</v>
      </c>
      <c r="K67" s="71" t="n">
        <f aca="false">J67/I67</f>
        <v>13856.7346200241</v>
      </c>
      <c r="L67" s="14"/>
    </row>
    <row r="68" customFormat="false" ht="13.8" hidden="false" customHeight="false" outlineLevel="0" collapsed="false">
      <c r="A68" s="68" t="s">
        <v>75</v>
      </c>
      <c r="B68" s="68" t="n">
        <v>12</v>
      </c>
      <c r="C68" s="69" t="n">
        <v>10400</v>
      </c>
      <c r="D68" s="69" t="n">
        <v>3813333</v>
      </c>
      <c r="E68" s="69" t="n">
        <v>0</v>
      </c>
      <c r="F68" s="69" t="n">
        <v>0</v>
      </c>
      <c r="G68" s="69" t="n">
        <v>9600</v>
      </c>
      <c r="H68" s="69" t="n">
        <f aca="false">D68+F68-J68</f>
        <v>3520000</v>
      </c>
      <c r="I68" s="69" t="n">
        <v>800</v>
      </c>
      <c r="J68" s="69" t="n">
        <v>293333</v>
      </c>
      <c r="K68" s="71" t="n">
        <f aca="false">J68/I68</f>
        <v>366.66625</v>
      </c>
      <c r="L68" s="14"/>
    </row>
    <row r="69" customFormat="false" ht="13.8" hidden="false" customHeight="false" outlineLevel="0" collapsed="false">
      <c r="A69" s="68" t="s">
        <v>76</v>
      </c>
      <c r="B69" s="68" t="n">
        <v>12</v>
      </c>
      <c r="C69" s="69" t="n">
        <v>168</v>
      </c>
      <c r="D69" s="69" t="n">
        <v>9544198</v>
      </c>
      <c r="E69" s="69" t="n">
        <v>279</v>
      </c>
      <c r="F69" s="69" t="n">
        <v>4275018</v>
      </c>
      <c r="G69" s="69" t="n">
        <v>171</v>
      </c>
      <c r="H69" s="69" t="n">
        <f aca="false">D69+F69-J69</f>
        <v>221995</v>
      </c>
      <c r="I69" s="69" t="n">
        <v>276</v>
      </c>
      <c r="J69" s="69" t="n">
        <v>13597221</v>
      </c>
      <c r="K69" s="71" t="n">
        <f aca="false">J69/I69</f>
        <v>49265.2934782609</v>
      </c>
      <c r="L69" s="14"/>
    </row>
    <row r="70" customFormat="false" ht="13.8" hidden="false" customHeight="false" outlineLevel="0" collapsed="false">
      <c r="A70" s="68" t="s">
        <v>77</v>
      </c>
      <c r="B70" s="68" t="n">
        <v>12</v>
      </c>
      <c r="C70" s="69" t="n">
        <v>1092</v>
      </c>
      <c r="D70" s="69" t="n">
        <v>6735333</v>
      </c>
      <c r="E70" s="69" t="n">
        <v>0</v>
      </c>
      <c r="F70" s="69" t="n">
        <v>0</v>
      </c>
      <c r="G70" s="69" t="n">
        <v>206</v>
      </c>
      <c r="H70" s="69" t="n">
        <f aca="false">D70+F70-J70</f>
        <v>1517300</v>
      </c>
      <c r="I70" s="69" t="n">
        <v>886</v>
      </c>
      <c r="J70" s="69" t="n">
        <v>5218033</v>
      </c>
      <c r="K70" s="71" t="n">
        <f aca="false">J70/I70</f>
        <v>5889.42776523702</v>
      </c>
      <c r="L70" s="14"/>
    </row>
    <row r="71" customFormat="false" ht="13.8" hidden="false" customHeight="false" outlineLevel="0" collapsed="false">
      <c r="A71" s="68" t="s">
        <v>78</v>
      </c>
      <c r="B71" s="68" t="n">
        <v>12</v>
      </c>
      <c r="C71" s="69" t="n">
        <v>7371</v>
      </c>
      <c r="D71" s="69" t="n">
        <v>66190155</v>
      </c>
      <c r="E71" s="69" t="n">
        <v>1920</v>
      </c>
      <c r="F71" s="69" t="n">
        <v>21333120</v>
      </c>
      <c r="G71" s="69" t="n">
        <v>4938</v>
      </c>
      <c r="H71" s="69" t="n">
        <f aca="false">D71+F71-J71</f>
        <v>42296793</v>
      </c>
      <c r="I71" s="69" t="n">
        <v>4353</v>
      </c>
      <c r="J71" s="69" t="n">
        <v>45226482</v>
      </c>
      <c r="K71" s="71" t="n">
        <f aca="false">J71/I71</f>
        <v>10389.7270847691</v>
      </c>
      <c r="L71" s="14"/>
    </row>
    <row r="72" customFormat="false" ht="13.8" hidden="false" customHeight="false" outlineLevel="0" collapsed="false">
      <c r="A72" s="68" t="s">
        <v>79</v>
      </c>
      <c r="B72" s="68" t="n">
        <v>12</v>
      </c>
      <c r="C72" s="69" t="n">
        <v>1912</v>
      </c>
      <c r="D72" s="69" t="n">
        <v>38449684</v>
      </c>
      <c r="E72" s="69" t="n">
        <v>1560</v>
      </c>
      <c r="F72" s="69" t="n">
        <v>33221760</v>
      </c>
      <c r="G72" s="69" t="n">
        <v>3121</v>
      </c>
      <c r="H72" s="69" t="n">
        <f aca="false">D72+F72-J72</f>
        <v>64673570</v>
      </c>
      <c r="I72" s="69" t="n">
        <v>351</v>
      </c>
      <c r="J72" s="69" t="n">
        <v>6997874</v>
      </c>
      <c r="K72" s="71" t="n">
        <f aca="false">J72/I72</f>
        <v>19936.962962963</v>
      </c>
      <c r="L72" s="14"/>
    </row>
    <row r="73" customFormat="false" ht="13.8" hidden="false" customHeight="false" outlineLevel="0" collapsed="false">
      <c r="A73" s="68" t="s">
        <v>80</v>
      </c>
      <c r="B73" s="68" t="n">
        <v>12</v>
      </c>
      <c r="C73" s="69" t="n">
        <v>180</v>
      </c>
      <c r="D73" s="69" t="n">
        <v>2602954</v>
      </c>
      <c r="E73" s="69" t="n">
        <v>85</v>
      </c>
      <c r="F73" s="69" t="n">
        <v>1177052.41509434</v>
      </c>
      <c r="G73" s="69" t="n">
        <v>0</v>
      </c>
      <c r="H73" s="69" t="n">
        <f aca="false">D73+F73-J73</f>
        <v>110372.41509434</v>
      </c>
      <c r="I73" s="69" t="n">
        <v>265</v>
      </c>
      <c r="J73" s="69" t="n">
        <v>3669634</v>
      </c>
      <c r="K73" s="71" t="n">
        <f aca="false">J73/I73</f>
        <v>13847.6754716981</v>
      </c>
      <c r="L73" s="14"/>
    </row>
    <row r="74" customFormat="false" ht="13.8" hidden="false" customHeight="false" outlineLevel="0" collapsed="false">
      <c r="A74" s="68" t="s">
        <v>81</v>
      </c>
      <c r="B74" s="68" t="n">
        <v>12</v>
      </c>
      <c r="C74" s="69" t="n">
        <v>2052</v>
      </c>
      <c r="D74" s="69" t="n">
        <v>31426776</v>
      </c>
      <c r="E74" s="69" t="n">
        <v>504</v>
      </c>
      <c r="F74" s="69" t="n">
        <v>7933464</v>
      </c>
      <c r="G74" s="69" t="n">
        <v>2016</v>
      </c>
      <c r="H74" s="69" t="n">
        <f aca="false">D74+F74-J74</f>
        <v>31414276</v>
      </c>
      <c r="I74" s="69" t="n">
        <v>540</v>
      </c>
      <c r="J74" s="69" t="n">
        <v>7945964</v>
      </c>
      <c r="K74" s="71" t="n">
        <f aca="false">J74/I74</f>
        <v>14714.7481481481</v>
      </c>
      <c r="L74" s="14"/>
    </row>
    <row r="75" customFormat="false" ht="13.8" hidden="false" customHeight="false" outlineLevel="0" collapsed="false">
      <c r="A75" s="68" t="s">
        <v>82</v>
      </c>
      <c r="B75" s="68" t="n">
        <v>12</v>
      </c>
      <c r="C75" s="69" t="n">
        <v>5760</v>
      </c>
      <c r="D75" s="69" t="n">
        <v>42106565</v>
      </c>
      <c r="E75" s="69" t="n">
        <v>1368</v>
      </c>
      <c r="F75" s="69" t="n">
        <v>10132776</v>
      </c>
      <c r="G75" s="69" t="n">
        <v>4986</v>
      </c>
      <c r="H75" s="69" t="n">
        <f aca="false">D75+F75-J75</f>
        <v>37405948</v>
      </c>
      <c r="I75" s="69" t="n">
        <v>2142</v>
      </c>
      <c r="J75" s="69" t="n">
        <v>14833393</v>
      </c>
      <c r="K75" s="71" t="n">
        <f aca="false">J75/I75</f>
        <v>6925.02007469655</v>
      </c>
      <c r="L75" s="14"/>
    </row>
    <row r="76" customFormat="false" ht="13.8" hidden="false" customHeight="false" outlineLevel="0" collapsed="false">
      <c r="A76" s="68" t="s">
        <v>83</v>
      </c>
      <c r="B76" s="68" t="n">
        <v>12</v>
      </c>
      <c r="C76" s="69" t="n">
        <v>2646</v>
      </c>
      <c r="D76" s="69" t="n">
        <v>20061031</v>
      </c>
      <c r="E76" s="69" t="n">
        <v>720</v>
      </c>
      <c r="F76" s="69" t="n">
        <v>5235684.92307692</v>
      </c>
      <c r="G76" s="69" t="n">
        <v>2586</v>
      </c>
      <c r="H76" s="69" t="n">
        <f aca="false">D76+F76-J76</f>
        <v>19624723.9230769</v>
      </c>
      <c r="I76" s="69" t="n">
        <v>780</v>
      </c>
      <c r="J76" s="69" t="n">
        <v>5671992</v>
      </c>
      <c r="K76" s="71" t="n">
        <f aca="false">J76/I76</f>
        <v>7271.78461538462</v>
      </c>
      <c r="L76" s="14"/>
    </row>
    <row r="77" customFormat="false" ht="13.8" hidden="false" customHeight="false" outlineLevel="0" collapsed="false">
      <c r="A77" s="68" t="s">
        <v>84</v>
      </c>
      <c r="B77" s="68" t="n">
        <v>12</v>
      </c>
      <c r="C77" s="69" t="n">
        <v>21344</v>
      </c>
      <c r="D77" s="69" t="n">
        <v>656441651</v>
      </c>
      <c r="E77" s="69" t="n">
        <v>13870</v>
      </c>
      <c r="F77" s="69" t="n">
        <v>423104640</v>
      </c>
      <c r="G77" s="69" t="n">
        <v>25509</v>
      </c>
      <c r="H77" s="69" t="n">
        <f aca="false">D77+F77-J77</f>
        <v>793886828</v>
      </c>
      <c r="I77" s="69" t="n">
        <v>9705</v>
      </c>
      <c r="J77" s="69" t="n">
        <v>285659463</v>
      </c>
      <c r="K77" s="71" t="n">
        <f aca="false">J77/I77</f>
        <v>29434.256877898</v>
      </c>
      <c r="L77" s="14"/>
    </row>
    <row r="78" customFormat="false" ht="13.8" hidden="false" customHeight="false" outlineLevel="0" collapsed="false">
      <c r="A78" s="68" t="s">
        <v>85</v>
      </c>
      <c r="B78" s="68" t="n">
        <v>12</v>
      </c>
      <c r="C78" s="69" t="n">
        <v>22711</v>
      </c>
      <c r="D78" s="69" t="n">
        <v>206800382</v>
      </c>
      <c r="E78" s="69" t="n">
        <v>8744</v>
      </c>
      <c r="F78" s="69" t="n">
        <v>79997760</v>
      </c>
      <c r="G78" s="69" t="n">
        <v>15601</v>
      </c>
      <c r="H78" s="69" t="n">
        <f aca="false">D78+F78-J78</f>
        <v>149548979</v>
      </c>
      <c r="I78" s="69" t="n">
        <v>15854</v>
      </c>
      <c r="J78" s="69" t="n">
        <v>137249163</v>
      </c>
      <c r="K78" s="71" t="n">
        <f aca="false">J78/I78</f>
        <v>8657.06843698751</v>
      </c>
      <c r="L78" s="14"/>
    </row>
    <row r="79" customFormat="false" ht="13.8" hidden="false" customHeight="false" outlineLevel="0" collapsed="false">
      <c r="A79" s="68" t="s">
        <v>86</v>
      </c>
      <c r="B79" s="68" t="n">
        <v>12</v>
      </c>
      <c r="C79" s="69" t="n">
        <v>51521</v>
      </c>
      <c r="D79" s="69" t="n">
        <v>363655744</v>
      </c>
      <c r="E79" s="69" t="n">
        <v>37214</v>
      </c>
      <c r="F79" s="69" t="n">
        <v>266652000</v>
      </c>
      <c r="G79" s="69" t="n">
        <v>41008</v>
      </c>
      <c r="H79" s="69" t="n">
        <f aca="false">D79+F79-J79</f>
        <v>295371958</v>
      </c>
      <c r="I79" s="69" t="n">
        <v>48362</v>
      </c>
      <c r="J79" s="69" t="n">
        <v>334935786</v>
      </c>
      <c r="K79" s="71" t="n">
        <f aca="false">J79/I79</f>
        <v>6925.59832099582</v>
      </c>
      <c r="L79" s="14"/>
    </row>
    <row r="80" customFormat="false" ht="13.8" hidden="false" customHeight="false" outlineLevel="0" collapsed="false">
      <c r="A80" s="68" t="s">
        <v>87</v>
      </c>
      <c r="B80" s="68" t="n">
        <v>12</v>
      </c>
      <c r="C80" s="69" t="n">
        <v>3195</v>
      </c>
      <c r="D80" s="69" t="n">
        <v>57619421</v>
      </c>
      <c r="E80" s="69" t="n">
        <v>7471</v>
      </c>
      <c r="F80" s="69" t="n">
        <v>133253280</v>
      </c>
      <c r="G80" s="69" t="n">
        <v>7687</v>
      </c>
      <c r="H80" s="69" t="n">
        <f aca="false">D80+F80-J80</f>
        <v>140586531</v>
      </c>
      <c r="I80" s="69" t="n">
        <v>2979</v>
      </c>
      <c r="J80" s="69" t="n">
        <v>50286170</v>
      </c>
      <c r="K80" s="71" t="n">
        <f aca="false">J80/I80</f>
        <v>16880.2181940248</v>
      </c>
      <c r="L80" s="14"/>
    </row>
    <row r="81" customFormat="false" ht="13.8" hidden="false" customHeight="false" outlineLevel="0" collapsed="false">
      <c r="A81" s="68" t="s">
        <v>88</v>
      </c>
      <c r="B81" s="68" t="n">
        <v>12</v>
      </c>
      <c r="C81" s="69" t="n">
        <v>618</v>
      </c>
      <c r="D81" s="69" t="n">
        <v>12921762</v>
      </c>
      <c r="E81" s="69" t="n">
        <v>0</v>
      </c>
      <c r="F81" s="69" t="n">
        <v>0</v>
      </c>
      <c r="G81" s="69" t="n">
        <v>32</v>
      </c>
      <c r="H81" s="69" t="n">
        <f aca="false">D81+F81-J81</f>
        <v>1463630</v>
      </c>
      <c r="I81" s="69" t="n">
        <v>586</v>
      </c>
      <c r="J81" s="69" t="n">
        <v>11458132</v>
      </c>
      <c r="K81" s="71" t="n">
        <f aca="false">J81/I81</f>
        <v>19553.1262798635</v>
      </c>
      <c r="L81" s="14"/>
    </row>
    <row r="82" customFormat="false" ht="13.8" hidden="false" customHeight="false" outlineLevel="0" collapsed="false">
      <c r="A82" s="68" t="s">
        <v>89</v>
      </c>
      <c r="B82" s="68" t="n">
        <v>12</v>
      </c>
      <c r="C82" s="69" t="n">
        <v>564</v>
      </c>
      <c r="D82" s="69" t="n">
        <v>13801691</v>
      </c>
      <c r="E82" s="69" t="n">
        <v>216</v>
      </c>
      <c r="F82" s="69" t="n">
        <v>5299992</v>
      </c>
      <c r="G82" s="69" t="n">
        <v>306</v>
      </c>
      <c r="H82" s="69" t="n">
        <f aca="false">D82+F82-J82</f>
        <v>8228417</v>
      </c>
      <c r="I82" s="69" t="n">
        <v>474</v>
      </c>
      <c r="J82" s="69" t="n">
        <v>10873266</v>
      </c>
      <c r="K82" s="71" t="n">
        <f aca="false">J82/I82</f>
        <v>22939.3797468354</v>
      </c>
      <c r="L82" s="14"/>
    </row>
    <row r="83" customFormat="false" ht="13.8" hidden="false" customHeight="false" outlineLevel="0" collapsed="false">
      <c r="A83" s="68" t="s">
        <v>90</v>
      </c>
      <c r="B83" s="68" t="n">
        <v>12</v>
      </c>
      <c r="C83" s="69" t="n">
        <v>1045</v>
      </c>
      <c r="D83" s="69" t="n">
        <v>55627273</v>
      </c>
      <c r="E83" s="69" t="n">
        <v>2820</v>
      </c>
      <c r="F83" s="69" t="n">
        <v>150139620</v>
      </c>
      <c r="G83" s="69" t="n">
        <v>3289</v>
      </c>
      <c r="H83" s="69" t="n">
        <f aca="false">D83+F83-J83</f>
        <v>177071330</v>
      </c>
      <c r="I83" s="69" t="n">
        <v>576</v>
      </c>
      <c r="J83" s="69" t="n">
        <v>28695563</v>
      </c>
      <c r="K83" s="71" t="n">
        <f aca="false">J83/I83</f>
        <v>49818.6857638889</v>
      </c>
      <c r="L83" s="14"/>
    </row>
    <row r="84" customFormat="false" ht="13.8" hidden="false" customHeight="false" outlineLevel="0" collapsed="false">
      <c r="A84" s="68" t="s">
        <v>91</v>
      </c>
      <c r="B84" s="68" t="n">
        <v>12</v>
      </c>
      <c r="C84" s="69" t="n">
        <v>6789</v>
      </c>
      <c r="D84" s="69" t="n">
        <v>63245985</v>
      </c>
      <c r="E84" s="69" t="n">
        <v>4920</v>
      </c>
      <c r="F84" s="69" t="n">
        <v>44332320</v>
      </c>
      <c r="G84" s="69" t="n">
        <v>5799</v>
      </c>
      <c r="H84" s="69" t="n">
        <f aca="false">D84+F84-J84</f>
        <v>53858060</v>
      </c>
      <c r="I84" s="69" t="n">
        <v>5910</v>
      </c>
      <c r="J84" s="69" t="n">
        <v>53720245</v>
      </c>
      <c r="K84" s="71" t="n">
        <f aca="false">J84/I84</f>
        <v>9089.71996615905</v>
      </c>
      <c r="L84" s="14"/>
    </row>
    <row r="85" customFormat="false" ht="13.8" hidden="false" customHeight="false" outlineLevel="0" collapsed="false">
      <c r="A85" s="68" t="s">
        <v>92</v>
      </c>
      <c r="B85" s="68" t="n">
        <v>12</v>
      </c>
      <c r="C85" s="69" t="n">
        <v>50800</v>
      </c>
      <c r="D85" s="69" t="n">
        <v>24895116</v>
      </c>
      <c r="E85" s="69" t="n">
        <v>23200</v>
      </c>
      <c r="F85" s="69" t="n">
        <v>11391200</v>
      </c>
      <c r="G85" s="69" t="n">
        <v>33411</v>
      </c>
      <c r="H85" s="69" t="n">
        <f aca="false">D85+F85-J85</f>
        <v>17652802</v>
      </c>
      <c r="I85" s="69" t="n">
        <v>40589</v>
      </c>
      <c r="J85" s="69" t="n">
        <v>18633514</v>
      </c>
      <c r="K85" s="71" t="n">
        <f aca="false">J85/I85</f>
        <v>459.077927517308</v>
      </c>
      <c r="L85" s="14"/>
    </row>
    <row r="86" customFormat="false" ht="13.8" hidden="false" customHeight="false" outlineLevel="0" collapsed="false">
      <c r="A86" s="68" t="s">
        <v>93</v>
      </c>
      <c r="B86" s="68" t="n">
        <v>12</v>
      </c>
      <c r="C86" s="69" t="n">
        <v>444</v>
      </c>
      <c r="D86" s="69" t="n">
        <v>23449263</v>
      </c>
      <c r="E86" s="69" t="n">
        <v>96</v>
      </c>
      <c r="F86" s="69" t="n">
        <v>5111136</v>
      </c>
      <c r="G86" s="69" t="n">
        <v>502</v>
      </c>
      <c r="H86" s="69" t="n">
        <f aca="false">D86+F86-J86</f>
        <v>26656372</v>
      </c>
      <c r="I86" s="69" t="n">
        <v>38</v>
      </c>
      <c r="J86" s="69" t="n">
        <v>1904027</v>
      </c>
      <c r="K86" s="71" t="n">
        <f aca="false">J86/I86</f>
        <v>50105.9736842105</v>
      </c>
      <c r="L86" s="14"/>
    </row>
    <row r="87" customFormat="false" ht="13.8" hidden="false" customHeight="false" outlineLevel="0" collapsed="false">
      <c r="A87" s="68" t="s">
        <v>94</v>
      </c>
      <c r="B87" s="68" t="n">
        <v>12</v>
      </c>
      <c r="C87" s="69" t="n">
        <v>408</v>
      </c>
      <c r="D87" s="69" t="n">
        <v>3857098</v>
      </c>
      <c r="E87" s="69" t="n">
        <v>0</v>
      </c>
      <c r="F87" s="69" t="n">
        <v>0</v>
      </c>
      <c r="G87" s="69" t="n">
        <v>233</v>
      </c>
      <c r="H87" s="69" t="n">
        <f aca="false">D87+F87-J87</f>
        <v>2268881</v>
      </c>
      <c r="I87" s="69" t="n">
        <v>175</v>
      </c>
      <c r="J87" s="69" t="n">
        <v>1588217</v>
      </c>
      <c r="K87" s="71" t="n">
        <f aca="false">J87/I87</f>
        <v>9075.52571428571</v>
      </c>
      <c r="L87" s="14"/>
    </row>
    <row r="88" customFormat="false" ht="13.8" hidden="false" customHeight="false" outlineLevel="0" collapsed="false">
      <c r="A88" s="68" t="s">
        <v>95</v>
      </c>
      <c r="B88" s="68" t="n">
        <v>12</v>
      </c>
      <c r="C88" s="69" t="n">
        <v>900</v>
      </c>
      <c r="D88" s="69" t="n">
        <v>7404657</v>
      </c>
      <c r="E88" s="69" t="n">
        <v>468</v>
      </c>
      <c r="F88" s="69" t="n">
        <v>3899844</v>
      </c>
      <c r="G88" s="69" t="n">
        <v>1325</v>
      </c>
      <c r="H88" s="69" t="n">
        <f aca="false">D88+F88-J88</f>
        <v>10653008</v>
      </c>
      <c r="I88" s="69" t="n">
        <v>43</v>
      </c>
      <c r="J88" s="69" t="n">
        <v>651493</v>
      </c>
      <c r="K88" s="71" t="n">
        <f aca="false">J88/I88</f>
        <v>15151</v>
      </c>
      <c r="L88" s="36"/>
    </row>
    <row r="89" customFormat="false" ht="13.8" hidden="false" customHeight="false" outlineLevel="0" collapsed="false">
      <c r="A89" s="68" t="s">
        <v>96</v>
      </c>
      <c r="B89" s="68" t="n">
        <v>12</v>
      </c>
      <c r="C89" s="69" t="n">
        <v>225</v>
      </c>
      <c r="D89" s="69" t="n">
        <v>25942946</v>
      </c>
      <c r="E89" s="69" t="n">
        <v>147</v>
      </c>
      <c r="F89" s="69" t="n">
        <v>15968530.4088398</v>
      </c>
      <c r="G89" s="69" t="n">
        <v>10</v>
      </c>
      <c r="H89" s="69" t="n">
        <f aca="false">D89+F89-J89</f>
        <v>2587612.40883978</v>
      </c>
      <c r="I89" s="69" t="n">
        <v>362</v>
      </c>
      <c r="J89" s="69" t="n">
        <v>39323864</v>
      </c>
      <c r="K89" s="71" t="n">
        <f aca="false">J89/I89</f>
        <v>108629.458563536</v>
      </c>
      <c r="L89" s="14"/>
    </row>
    <row r="90" customFormat="false" ht="13.8" hidden="false" customHeight="false" outlineLevel="0" collapsed="false">
      <c r="A90" s="68" t="s">
        <v>97</v>
      </c>
      <c r="B90" s="68" t="n">
        <v>12</v>
      </c>
      <c r="C90" s="69" t="n">
        <v>57200</v>
      </c>
      <c r="D90" s="69" t="n">
        <v>28035599</v>
      </c>
      <c r="E90" s="69" t="n">
        <v>24800</v>
      </c>
      <c r="F90" s="69" t="n">
        <v>12176800</v>
      </c>
      <c r="G90" s="69" t="n">
        <v>36280</v>
      </c>
      <c r="H90" s="69" t="n">
        <f aca="false">D90+F90-J90</f>
        <v>19223488</v>
      </c>
      <c r="I90" s="69" t="n">
        <v>45720</v>
      </c>
      <c r="J90" s="69" t="n">
        <v>20988911</v>
      </c>
      <c r="K90" s="71" t="n">
        <f aca="false">J90/I90</f>
        <v>459.075043744532</v>
      </c>
      <c r="L90" s="14"/>
    </row>
    <row r="91" customFormat="false" ht="13.8" hidden="false" customHeight="false" outlineLevel="0" collapsed="false">
      <c r="A91" s="68" t="s">
        <v>98</v>
      </c>
      <c r="B91" s="68" t="n">
        <v>12</v>
      </c>
      <c r="C91" s="69" t="n">
        <v>1920</v>
      </c>
      <c r="D91" s="69" t="n">
        <v>19627720</v>
      </c>
      <c r="E91" s="69" t="n">
        <v>192</v>
      </c>
      <c r="F91" s="69" t="n">
        <v>2026752</v>
      </c>
      <c r="G91" s="69" t="n">
        <v>1345</v>
      </c>
      <c r="H91" s="69" t="n">
        <f aca="false">D91+F91-J91</f>
        <v>14087710</v>
      </c>
      <c r="I91" s="69" t="n">
        <v>767</v>
      </c>
      <c r="J91" s="69" t="n">
        <v>7566762</v>
      </c>
      <c r="K91" s="71" t="n">
        <f aca="false">J91/I91</f>
        <v>9865.40026075619</v>
      </c>
      <c r="L91" s="14"/>
    </row>
    <row r="92" customFormat="false" ht="13.8" hidden="false" customHeight="false" outlineLevel="0" collapsed="false">
      <c r="A92" s="68" t="s">
        <v>99</v>
      </c>
      <c r="B92" s="68" t="n">
        <v>12</v>
      </c>
      <c r="C92" s="69" t="n">
        <v>96</v>
      </c>
      <c r="D92" s="69" t="n">
        <v>595584</v>
      </c>
      <c r="E92" s="69" t="n">
        <v>96</v>
      </c>
      <c r="F92" s="69" t="n">
        <v>595584</v>
      </c>
      <c r="G92" s="69" t="n">
        <v>8</v>
      </c>
      <c r="H92" s="69" t="n">
        <f aca="false">D92+F92-J92</f>
        <v>124080</v>
      </c>
      <c r="I92" s="69" t="n">
        <v>184</v>
      </c>
      <c r="J92" s="69" t="n">
        <v>1067088</v>
      </c>
      <c r="K92" s="71" t="n">
        <f aca="false">J92/I92</f>
        <v>5799.39130434783</v>
      </c>
      <c r="L92" s="14"/>
    </row>
    <row r="93" customFormat="false" ht="13.8" hidden="false" customHeight="false" outlineLevel="0" collapsed="false">
      <c r="A93" s="68" t="s">
        <v>100</v>
      </c>
      <c r="B93" s="68" t="n">
        <v>12</v>
      </c>
      <c r="C93" s="69" t="n">
        <v>2105</v>
      </c>
      <c r="D93" s="69" t="n">
        <v>108155379</v>
      </c>
      <c r="E93" s="69" t="n">
        <v>3340</v>
      </c>
      <c r="F93" s="69" t="n">
        <v>162917460</v>
      </c>
      <c r="G93" s="69" t="n">
        <v>3522</v>
      </c>
      <c r="H93" s="69" t="n">
        <f aca="false">D93+F93-J93</f>
        <v>175338575</v>
      </c>
      <c r="I93" s="69" t="n">
        <v>1923</v>
      </c>
      <c r="J93" s="69" t="n">
        <v>95734264</v>
      </c>
      <c r="K93" s="71" t="n">
        <f aca="false">J93/I93</f>
        <v>49783.8086323453</v>
      </c>
      <c r="L93" s="14"/>
    </row>
    <row r="94" customFormat="false" ht="13.8" hidden="false" customHeight="false" outlineLevel="0" collapsed="false">
      <c r="A94" s="68" t="s">
        <v>101</v>
      </c>
      <c r="B94" s="68" t="n">
        <v>12</v>
      </c>
      <c r="C94" s="69" t="n">
        <v>21454</v>
      </c>
      <c r="D94" s="69" t="n">
        <v>153225770</v>
      </c>
      <c r="E94" s="69" t="n">
        <v>9132</v>
      </c>
      <c r="F94" s="69" t="n">
        <v>39665760</v>
      </c>
      <c r="G94" s="69" t="n">
        <v>12151</v>
      </c>
      <c r="H94" s="69" t="n">
        <f aca="false">D94+F94-J94</f>
        <v>25314412</v>
      </c>
      <c r="I94" s="69" t="n">
        <v>18435</v>
      </c>
      <c r="J94" s="69" t="n">
        <v>167577118</v>
      </c>
      <c r="K94" s="71" t="n">
        <f aca="false">J94/I94</f>
        <v>9090.16099810144</v>
      </c>
      <c r="L94" s="14"/>
    </row>
    <row r="95" customFormat="false" ht="13.8" hidden="false" customHeight="false" outlineLevel="0" collapsed="false">
      <c r="A95" s="68" t="s">
        <v>102</v>
      </c>
      <c r="B95" s="68" t="n">
        <v>12</v>
      </c>
      <c r="C95" s="69" t="n">
        <v>540</v>
      </c>
      <c r="D95" s="69" t="n">
        <v>13238841</v>
      </c>
      <c r="E95" s="69" t="n">
        <v>588</v>
      </c>
      <c r="F95" s="69" t="n">
        <v>14427756</v>
      </c>
      <c r="G95" s="69" t="n">
        <v>605</v>
      </c>
      <c r="H95" s="69" t="n">
        <f aca="false">D95+F95-J95</f>
        <v>15672834</v>
      </c>
      <c r="I95" s="69" t="n">
        <v>523</v>
      </c>
      <c r="J95" s="69" t="n">
        <v>11993763</v>
      </c>
      <c r="K95" s="71" t="n">
        <f aca="false">J95/I95</f>
        <v>22932.6252390057</v>
      </c>
      <c r="L95" s="14"/>
    </row>
    <row r="96" customFormat="false" ht="13.8" hidden="false" customHeight="false" outlineLevel="0" collapsed="false">
      <c r="A96" s="68" t="s">
        <v>103</v>
      </c>
      <c r="B96" s="68" t="n">
        <v>12</v>
      </c>
      <c r="C96" s="69" t="n">
        <v>2454</v>
      </c>
      <c r="D96" s="69" t="n">
        <v>27075398</v>
      </c>
      <c r="E96" s="69" t="n">
        <v>342</v>
      </c>
      <c r="F96" s="69" t="n">
        <v>1333344</v>
      </c>
      <c r="G96" s="69" t="n">
        <v>1829</v>
      </c>
      <c r="H96" s="69" t="n">
        <f aca="false">D96+F96-J96</f>
        <v>15850371</v>
      </c>
      <c r="I96" s="69" t="n">
        <v>967</v>
      </c>
      <c r="J96" s="69" t="n">
        <v>12558371</v>
      </c>
      <c r="K96" s="71" t="n">
        <f aca="false">J96/I96</f>
        <v>12986.9400206825</v>
      </c>
      <c r="L96" s="14"/>
    </row>
    <row r="97" customFormat="false" ht="13.8" hidden="false" customHeight="false" outlineLevel="0" collapsed="false">
      <c r="A97" s="68" t="s">
        <v>104</v>
      </c>
      <c r="B97" s="68" t="n">
        <v>12</v>
      </c>
      <c r="C97" s="69" t="n">
        <v>192</v>
      </c>
      <c r="D97" s="69" t="n">
        <v>3657528</v>
      </c>
      <c r="E97" s="69" t="n">
        <v>109</v>
      </c>
      <c r="F97" s="69" t="n">
        <v>1809081</v>
      </c>
      <c r="G97" s="69" t="n">
        <v>0</v>
      </c>
      <c r="H97" s="69" t="n">
        <f aca="false">D97+F97-J97</f>
        <v>0</v>
      </c>
      <c r="I97" s="69" t="n">
        <v>301</v>
      </c>
      <c r="J97" s="69" t="n">
        <v>5466609</v>
      </c>
      <c r="K97" s="71" t="n">
        <f aca="false">J97/I97</f>
        <v>18161.4916943522</v>
      </c>
      <c r="L97" s="14"/>
    </row>
    <row r="98" customFormat="false" ht="13.8" hidden="false" customHeight="false" outlineLevel="0" collapsed="false">
      <c r="A98" s="68" t="s">
        <v>105</v>
      </c>
      <c r="B98" s="68" t="n">
        <v>12</v>
      </c>
      <c r="C98" s="69" t="n">
        <v>258</v>
      </c>
      <c r="D98" s="69" t="n">
        <v>13370216</v>
      </c>
      <c r="E98" s="69" t="n">
        <v>174</v>
      </c>
      <c r="F98" s="69" t="n">
        <v>9263934</v>
      </c>
      <c r="G98" s="69" t="n">
        <v>400</v>
      </c>
      <c r="H98" s="69" t="n">
        <f aca="false">D98+F98-J98</f>
        <v>21062334</v>
      </c>
      <c r="I98" s="69" t="n">
        <v>32</v>
      </c>
      <c r="J98" s="69" t="n">
        <v>1571816</v>
      </c>
      <c r="K98" s="71" t="n">
        <f aca="false">J98/I98</f>
        <v>49119.25</v>
      </c>
      <c r="L98" s="14"/>
    </row>
    <row r="99" customFormat="false" ht="13.8" hidden="false" customHeight="false" outlineLevel="0" collapsed="false">
      <c r="A99" s="68" t="s">
        <v>106</v>
      </c>
      <c r="B99" s="68" t="n">
        <v>12</v>
      </c>
      <c r="C99" s="69" t="n">
        <v>1512</v>
      </c>
      <c r="D99" s="69" t="n">
        <v>14292784</v>
      </c>
      <c r="E99" s="69" t="n">
        <v>192</v>
      </c>
      <c r="F99" s="69" t="n">
        <v>1866624</v>
      </c>
      <c r="G99" s="69" t="n">
        <v>923</v>
      </c>
      <c r="H99" s="69" t="n">
        <f aca="false">D99+F99-J99</f>
        <v>9056476</v>
      </c>
      <c r="I99" s="69" t="n">
        <v>781</v>
      </c>
      <c r="J99" s="69" t="n">
        <v>7102932</v>
      </c>
      <c r="K99" s="71" t="n">
        <f aca="false">J99/I99</f>
        <v>9094.66325224072</v>
      </c>
      <c r="L99" s="14"/>
    </row>
    <row r="100" customFormat="false" ht="13.8" hidden="false" customHeight="false" outlineLevel="0" collapsed="false">
      <c r="A100" s="68" t="s">
        <v>107</v>
      </c>
      <c r="B100" s="68" t="n">
        <v>12</v>
      </c>
      <c r="C100" s="69" t="n">
        <v>1190</v>
      </c>
      <c r="D100" s="69" t="n">
        <v>4560276</v>
      </c>
      <c r="E100" s="69" t="n">
        <v>3832.16470588235</v>
      </c>
      <c r="F100" s="69" t="n">
        <v>0</v>
      </c>
      <c r="G100" s="69" t="n">
        <v>532</v>
      </c>
      <c r="H100" s="69" t="n">
        <f aca="false">D100+F100-J100</f>
        <v>0</v>
      </c>
      <c r="I100" s="69" t="n">
        <v>658</v>
      </c>
      <c r="J100" s="69" t="n">
        <v>4560276</v>
      </c>
      <c r="K100" s="71" t="n">
        <f aca="false">J100/I100</f>
        <v>6930.51063829787</v>
      </c>
      <c r="L100" s="14"/>
    </row>
    <row r="101" customFormat="false" ht="13.8" hidden="false" customHeight="false" outlineLevel="0" collapsed="false">
      <c r="A101" s="68" t="s">
        <v>108</v>
      </c>
      <c r="B101" s="68" t="n">
        <v>12</v>
      </c>
      <c r="C101" s="69" t="n">
        <v>46476</v>
      </c>
      <c r="D101" s="69" t="n">
        <v>335124139</v>
      </c>
      <c r="E101" s="69" t="n">
        <v>977</v>
      </c>
      <c r="F101" s="69" t="n">
        <v>44416164.7112745</v>
      </c>
      <c r="G101" s="69" t="n">
        <v>45413</v>
      </c>
      <c r="H101" s="69" t="n">
        <f aca="false">D101+F101-J101</f>
        <v>286798260.711275</v>
      </c>
      <c r="I101" s="69" t="n">
        <v>2040</v>
      </c>
      <c r="J101" s="69" t="n">
        <v>92742043</v>
      </c>
      <c r="K101" s="71" t="n">
        <f aca="false">J101/I101</f>
        <v>45461.7857843137</v>
      </c>
      <c r="L101" s="14"/>
    </row>
    <row r="102" customFormat="false" ht="13.8" hidden="false" customHeight="false" outlineLevel="0" collapsed="false">
      <c r="A102" s="68" t="s">
        <v>109</v>
      </c>
      <c r="B102" s="68" t="n">
        <v>12</v>
      </c>
      <c r="C102" s="69" t="n">
        <v>48</v>
      </c>
      <c r="D102" s="69" t="n">
        <v>2333328</v>
      </c>
      <c r="E102" s="69" t="n">
        <v>202</v>
      </c>
      <c r="F102" s="69" t="n">
        <v>1458330</v>
      </c>
      <c r="G102" s="69"/>
      <c r="H102" s="69" t="n">
        <f aca="false">D102+F102-J102</f>
        <v>0</v>
      </c>
      <c r="I102" s="69" t="n">
        <v>250</v>
      </c>
      <c r="J102" s="69" t="n">
        <v>3791658</v>
      </c>
      <c r="K102" s="71" t="n">
        <f aca="false">J102/I102</f>
        <v>15166.632</v>
      </c>
      <c r="L102" s="14"/>
    </row>
    <row r="103" customFormat="false" ht="13.8" hidden="false" customHeight="false" outlineLevel="0" collapsed="false">
      <c r="A103" s="68" t="s">
        <v>110</v>
      </c>
      <c r="B103" s="68" t="n">
        <v>12</v>
      </c>
      <c r="C103" s="69" t="n">
        <v>864</v>
      </c>
      <c r="D103" s="69" t="n">
        <v>15351650</v>
      </c>
      <c r="E103" s="69" t="n">
        <v>684</v>
      </c>
      <c r="F103" s="69" t="n">
        <v>12350304</v>
      </c>
      <c r="G103" s="69" t="n">
        <v>1103</v>
      </c>
      <c r="H103" s="69" t="n">
        <f aca="false">D103+F103-J103</f>
        <v>20185920</v>
      </c>
      <c r="I103" s="69" t="n">
        <v>445</v>
      </c>
      <c r="J103" s="69" t="n">
        <v>7516034</v>
      </c>
      <c r="K103" s="71" t="n">
        <f aca="false">J103/I103</f>
        <v>16889.9640449438</v>
      </c>
      <c r="L103" s="14"/>
    </row>
    <row r="104" customFormat="false" ht="13.8" hidden="false" customHeight="false" outlineLevel="0" collapsed="false">
      <c r="A104" s="68" t="s">
        <v>111</v>
      </c>
      <c r="B104" s="68" t="n">
        <v>12</v>
      </c>
      <c r="C104" s="69" t="n">
        <v>7094</v>
      </c>
      <c r="D104" s="69" t="n">
        <v>57800393</v>
      </c>
      <c r="E104" s="69" t="n">
        <v>7800</v>
      </c>
      <c r="F104" s="69" t="n">
        <v>63554400</v>
      </c>
      <c r="G104" s="69" t="n">
        <v>13333</v>
      </c>
      <c r="H104" s="69" t="n">
        <f aca="false">D104+F104-J104</f>
        <v>109458862</v>
      </c>
      <c r="I104" s="69" t="n">
        <v>1561</v>
      </c>
      <c r="J104" s="69" t="n">
        <v>11895931</v>
      </c>
      <c r="K104" s="71" t="n">
        <f aca="false">J104/I104</f>
        <v>7620.71172325432</v>
      </c>
      <c r="L104" s="14"/>
    </row>
    <row r="105" customFormat="false" ht="13.8" hidden="false" customHeight="false" outlineLevel="0" collapsed="false">
      <c r="A105" s="68" t="s">
        <v>112</v>
      </c>
      <c r="B105" s="68" t="n">
        <v>12</v>
      </c>
      <c r="C105" s="69" t="n">
        <v>2500</v>
      </c>
      <c r="D105" s="69" t="n">
        <v>20355350</v>
      </c>
      <c r="E105" s="69" t="n">
        <v>1320</v>
      </c>
      <c r="F105" s="69" t="n">
        <v>10755360</v>
      </c>
      <c r="G105" s="69" t="n">
        <v>2890</v>
      </c>
      <c r="H105" s="69" t="n">
        <f aca="false">D105+F105-J105</f>
        <v>24025287</v>
      </c>
      <c r="I105" s="69" t="n">
        <v>930</v>
      </c>
      <c r="J105" s="69" t="n">
        <v>7085423</v>
      </c>
      <c r="K105" s="71" t="n">
        <f aca="false">J105/I105</f>
        <v>7618.73440860215</v>
      </c>
      <c r="L105" s="14"/>
    </row>
    <row r="106" customFormat="false" ht="13.8" hidden="false" customHeight="false" outlineLevel="0" collapsed="false">
      <c r="A106" s="68" t="s">
        <v>113</v>
      </c>
      <c r="B106" s="68" t="n">
        <v>12</v>
      </c>
      <c r="C106" s="69" t="n">
        <v>240</v>
      </c>
      <c r="D106" s="69" t="n">
        <v>3935440</v>
      </c>
      <c r="E106" s="69" t="n">
        <v>90</v>
      </c>
      <c r="F106" s="69" t="n">
        <v>1200024</v>
      </c>
      <c r="G106" s="69"/>
      <c r="H106" s="69" t="n">
        <f aca="false">D106+F106-J106</f>
        <v>0</v>
      </c>
      <c r="I106" s="69" t="n">
        <v>330</v>
      </c>
      <c r="J106" s="69" t="n">
        <v>5135464</v>
      </c>
      <c r="K106" s="71" t="n">
        <f aca="false">J106/I106</f>
        <v>15562.0121212121</v>
      </c>
      <c r="L106" s="14"/>
    </row>
    <row r="107" customFormat="false" ht="13.8" hidden="false" customHeight="false" outlineLevel="0" collapsed="false">
      <c r="A107" s="68" t="s">
        <v>114</v>
      </c>
      <c r="B107" s="68" t="n">
        <v>12</v>
      </c>
      <c r="C107" s="69" t="n">
        <v>192</v>
      </c>
      <c r="D107" s="69" t="n">
        <v>3650221</v>
      </c>
      <c r="E107" s="69" t="n">
        <v>83</v>
      </c>
      <c r="F107" s="69" t="n">
        <v>1342579</v>
      </c>
      <c r="G107" s="69" t="n">
        <v>0</v>
      </c>
      <c r="H107" s="69" t="n">
        <f aca="false">D107+F107-J107</f>
        <v>0</v>
      </c>
      <c r="I107" s="69" t="n">
        <v>275</v>
      </c>
      <c r="J107" s="69" t="n">
        <v>4992800</v>
      </c>
      <c r="K107" s="71" t="n">
        <f aca="false">J107/I107</f>
        <v>18155.6363636364</v>
      </c>
      <c r="L107" s="14"/>
    </row>
    <row r="108" customFormat="false" ht="13.8" hidden="false" customHeight="false" outlineLevel="0" collapsed="false">
      <c r="A108" s="68" t="s">
        <v>115</v>
      </c>
      <c r="B108" s="68" t="n">
        <v>12</v>
      </c>
      <c r="C108" s="69" t="n">
        <v>4325</v>
      </c>
      <c r="D108" s="69" t="n">
        <v>27997920</v>
      </c>
      <c r="E108" s="69" t="n">
        <v>2412</v>
      </c>
      <c r="F108" s="69" t="n">
        <v>15554400</v>
      </c>
      <c r="G108" s="69" t="n">
        <v>4660</v>
      </c>
      <c r="H108" s="69" t="n">
        <f aca="false">D108+F108-J108</f>
        <v>30965654</v>
      </c>
      <c r="I108" s="69" t="n">
        <v>2077</v>
      </c>
      <c r="J108" s="69" t="n">
        <v>12586666</v>
      </c>
      <c r="K108" s="71" t="n">
        <f aca="false">J108/I108</f>
        <v>6060.02214732788</v>
      </c>
      <c r="L108" s="14"/>
    </row>
    <row r="109" customFormat="false" ht="13.8" hidden="false" customHeight="false" outlineLevel="0" collapsed="false">
      <c r="A109" s="68" t="s">
        <v>116</v>
      </c>
      <c r="B109" s="68" t="n">
        <v>12</v>
      </c>
      <c r="C109" s="69" t="n">
        <v>4565</v>
      </c>
      <c r="D109" s="69" t="n">
        <v>92887200</v>
      </c>
      <c r="E109" s="69" t="n">
        <v>0</v>
      </c>
      <c r="F109" s="69" t="n">
        <v>0</v>
      </c>
      <c r="G109" s="69" t="n">
        <v>2461</v>
      </c>
      <c r="H109" s="69" t="n">
        <f aca="false">D109+F109-J109</f>
        <v>52822600</v>
      </c>
      <c r="I109" s="69" t="n">
        <v>2104</v>
      </c>
      <c r="J109" s="69" t="n">
        <v>40064600</v>
      </c>
      <c r="K109" s="71" t="n">
        <f aca="false">J109/I109</f>
        <v>19042.1102661597</v>
      </c>
      <c r="L109" s="14"/>
    </row>
    <row r="110" customFormat="false" ht="13.8" hidden="false" customHeight="false" outlineLevel="0" collapsed="false">
      <c r="A110" s="68" t="s">
        <v>117</v>
      </c>
      <c r="B110" s="68" t="n">
        <v>12</v>
      </c>
      <c r="C110" s="69" t="n">
        <v>336</v>
      </c>
      <c r="D110" s="69" t="n">
        <v>5841722</v>
      </c>
      <c r="E110" s="69" t="n">
        <v>312</v>
      </c>
      <c r="F110" s="69" t="n">
        <v>5489016</v>
      </c>
      <c r="G110" s="69" t="n">
        <v>148</v>
      </c>
      <c r="H110" s="69" t="n">
        <f aca="false">D110+F110-J110</f>
        <v>3112456</v>
      </c>
      <c r="I110" s="69" t="n">
        <v>500</v>
      </c>
      <c r="J110" s="69" t="n">
        <v>8218282</v>
      </c>
      <c r="K110" s="71" t="n">
        <f aca="false">J110/I110</f>
        <v>16436.564</v>
      </c>
      <c r="L110" s="14"/>
    </row>
    <row r="111" customFormat="false" ht="13.8" hidden="false" customHeight="false" outlineLevel="0" collapsed="false">
      <c r="A111" s="68" t="s">
        <v>118</v>
      </c>
      <c r="B111" s="68" t="n">
        <v>12</v>
      </c>
      <c r="C111" s="69" t="n">
        <v>612</v>
      </c>
      <c r="D111" s="69" t="n">
        <v>25119032</v>
      </c>
      <c r="E111" s="69" t="n">
        <v>829</v>
      </c>
      <c r="F111" s="69" t="n">
        <v>3500028</v>
      </c>
      <c r="G111" s="69" t="n">
        <v>612</v>
      </c>
      <c r="H111" s="69" t="n">
        <f aca="false">D111+F111-J111</f>
        <v>16776690</v>
      </c>
      <c r="I111" s="69" t="n">
        <v>829</v>
      </c>
      <c r="J111" s="69" t="n">
        <v>11842370</v>
      </c>
      <c r="K111" s="71" t="n">
        <f aca="false">J111/I111</f>
        <v>14285.1266586249</v>
      </c>
      <c r="L111" s="14"/>
    </row>
    <row r="112" customFormat="false" ht="13.8" hidden="false" customHeight="false" outlineLevel="0" collapsed="false">
      <c r="A112" s="68" t="s">
        <v>119</v>
      </c>
      <c r="B112" s="68" t="n">
        <v>12</v>
      </c>
      <c r="C112" s="69" t="n">
        <v>320</v>
      </c>
      <c r="D112" s="69" t="n">
        <v>7371274</v>
      </c>
      <c r="E112" s="69" t="n">
        <v>160</v>
      </c>
      <c r="F112" s="69" t="n">
        <v>3703680</v>
      </c>
      <c r="G112" s="69" t="n">
        <v>203</v>
      </c>
      <c r="H112" s="69" t="n">
        <f aca="false">D112+F112-J112</f>
        <v>5076021</v>
      </c>
      <c r="I112" s="69" t="n">
        <v>277</v>
      </c>
      <c r="J112" s="69" t="n">
        <v>5998933</v>
      </c>
      <c r="K112" s="71" t="n">
        <f aca="false">J112/I112</f>
        <v>21656.797833935</v>
      </c>
      <c r="L112" s="14"/>
    </row>
    <row r="113" customFormat="false" ht="13.8" hidden="false" customHeight="false" outlineLevel="0" collapsed="false">
      <c r="A113" s="68" t="s">
        <v>120</v>
      </c>
      <c r="B113" s="68" t="n">
        <v>12</v>
      </c>
      <c r="C113" s="69" t="n">
        <v>120</v>
      </c>
      <c r="D113" s="69" t="n">
        <v>2654520</v>
      </c>
      <c r="E113" s="69" t="n">
        <v>80</v>
      </c>
      <c r="F113" s="69" t="n">
        <v>1777760</v>
      </c>
      <c r="G113" s="69" t="n">
        <v>115</v>
      </c>
      <c r="H113" s="69" t="n">
        <f aca="false">D113+F113-J113</f>
        <v>2659368</v>
      </c>
      <c r="I113" s="69" t="n">
        <v>85</v>
      </c>
      <c r="J113" s="69" t="n">
        <v>1772912</v>
      </c>
      <c r="K113" s="71" t="n">
        <f aca="false">J113/I113</f>
        <v>20857.7882352941</v>
      </c>
      <c r="L113" s="14"/>
    </row>
    <row r="114" customFormat="false" ht="13.8" hidden="false" customHeight="false" outlineLevel="0" collapsed="false">
      <c r="A114" s="68" t="s">
        <v>121</v>
      </c>
      <c r="B114" s="68" t="n">
        <v>12</v>
      </c>
      <c r="C114" s="69" t="n">
        <v>2652</v>
      </c>
      <c r="D114" s="69" t="n">
        <v>31770271</v>
      </c>
      <c r="E114" s="69" t="n">
        <v>3648</v>
      </c>
      <c r="F114" s="69" t="n">
        <v>43333200</v>
      </c>
      <c r="G114" s="69" t="n">
        <v>3192</v>
      </c>
      <c r="H114" s="69" t="n">
        <f aca="false">D114+F114-J114</f>
        <v>40126712</v>
      </c>
      <c r="I114" s="69" t="n">
        <v>3108</v>
      </c>
      <c r="J114" s="69" t="n">
        <v>34976759</v>
      </c>
      <c r="K114" s="71" t="n">
        <f aca="false">J114/I114</f>
        <v>11253.7834620335</v>
      </c>
      <c r="L114" s="14"/>
    </row>
    <row r="115" customFormat="false" ht="13.8" hidden="false" customHeight="false" outlineLevel="0" collapsed="false">
      <c r="A115" s="68" t="s">
        <v>122</v>
      </c>
      <c r="B115" s="68" t="n">
        <v>12</v>
      </c>
      <c r="C115" s="69" t="n">
        <v>4685</v>
      </c>
      <c r="D115" s="69" t="n">
        <v>40734720</v>
      </c>
      <c r="E115" s="69" t="n">
        <v>2400</v>
      </c>
      <c r="F115" s="69" t="n">
        <v>20889600</v>
      </c>
      <c r="G115" s="69" t="n">
        <v>6911</v>
      </c>
      <c r="H115" s="69" t="n">
        <f aca="false">D115+F115-J115</f>
        <v>60206569</v>
      </c>
      <c r="I115" s="69" t="n">
        <v>174</v>
      </c>
      <c r="J115" s="69" t="n">
        <v>1417751</v>
      </c>
      <c r="K115" s="71" t="n">
        <f aca="false">J115/I115</f>
        <v>8147.99425287356</v>
      </c>
      <c r="L115" s="14"/>
    </row>
    <row r="116" customFormat="false" ht="13.8" hidden="false" customHeight="false" outlineLevel="0" collapsed="false">
      <c r="A116" s="68" t="s">
        <v>123</v>
      </c>
      <c r="B116" s="68" t="n">
        <v>12</v>
      </c>
      <c r="C116" s="69" t="n">
        <v>216</v>
      </c>
      <c r="D116" s="69" t="n">
        <v>3755160</v>
      </c>
      <c r="E116" s="69" t="n">
        <v>36</v>
      </c>
      <c r="F116" s="69" t="n">
        <v>666684</v>
      </c>
      <c r="G116" s="69" t="n">
        <v>120</v>
      </c>
      <c r="H116" s="69" t="n">
        <f aca="false">D116+F116-J116</f>
        <v>2105640</v>
      </c>
      <c r="I116" s="69" t="n">
        <v>132</v>
      </c>
      <c r="J116" s="69" t="n">
        <v>2316204</v>
      </c>
      <c r="K116" s="71" t="n">
        <f aca="false">J116/I116</f>
        <v>17547</v>
      </c>
      <c r="L116" s="14"/>
    </row>
    <row r="117" customFormat="false" ht="13.8" hidden="false" customHeight="false" outlineLevel="0" collapsed="false">
      <c r="A117" s="68" t="s">
        <v>124</v>
      </c>
      <c r="B117" s="68" t="n">
        <v>12</v>
      </c>
      <c r="C117" s="69" t="n">
        <v>72</v>
      </c>
      <c r="D117" s="69" t="n">
        <v>1333368</v>
      </c>
      <c r="E117" s="69" t="n">
        <v>36</v>
      </c>
      <c r="F117" s="69" t="n">
        <v>666684</v>
      </c>
      <c r="G117" s="69" t="n">
        <v>100</v>
      </c>
      <c r="H117" s="69" t="n">
        <f aca="false">D117+F117-J117</f>
        <v>1851900</v>
      </c>
      <c r="I117" s="69" t="n">
        <v>8</v>
      </c>
      <c r="J117" s="69" t="n">
        <v>148152</v>
      </c>
      <c r="K117" s="71" t="n">
        <f aca="false">J117/I117</f>
        <v>18519</v>
      </c>
      <c r="L117" s="14"/>
    </row>
    <row r="118" customFormat="false" ht="13.8" hidden="false" customHeight="false" outlineLevel="0" collapsed="false">
      <c r="A118" s="68" t="s">
        <v>125</v>
      </c>
      <c r="B118" s="68" t="n">
        <v>12</v>
      </c>
      <c r="C118" s="69" t="n">
        <v>944</v>
      </c>
      <c r="D118" s="69" t="n">
        <v>42152428</v>
      </c>
      <c r="E118" s="69" t="n">
        <v>840</v>
      </c>
      <c r="F118" s="69" t="n">
        <v>37721880</v>
      </c>
      <c r="G118" s="69" t="n">
        <v>1097</v>
      </c>
      <c r="H118" s="69" t="n">
        <f aca="false">D118+F118-J118</f>
        <v>51040757</v>
      </c>
      <c r="I118" s="69" t="n">
        <v>687</v>
      </c>
      <c r="J118" s="69" t="n">
        <v>28833551</v>
      </c>
      <c r="K118" s="71" t="n">
        <f aca="false">J118/I118</f>
        <v>41970.2343522562</v>
      </c>
      <c r="L118" s="147"/>
    </row>
    <row r="119" customFormat="false" ht="13.8" hidden="false" customHeight="false" outlineLevel="0" collapsed="false">
      <c r="A119" s="68" t="s">
        <v>126</v>
      </c>
      <c r="B119" s="68" t="n">
        <v>12</v>
      </c>
      <c r="C119" s="69" t="n">
        <v>33073</v>
      </c>
      <c r="D119" s="69" t="n">
        <v>182697004</v>
      </c>
      <c r="E119" s="69" t="n">
        <v>44511</v>
      </c>
      <c r="F119" s="69" t="n">
        <v>248485800</v>
      </c>
      <c r="G119" s="69" t="n">
        <v>45992</v>
      </c>
      <c r="H119" s="69" t="n">
        <f aca="false">D119+F119-J119</f>
        <v>258882160</v>
      </c>
      <c r="I119" s="69" t="n">
        <v>31592</v>
      </c>
      <c r="J119" s="69" t="n">
        <v>172300644</v>
      </c>
      <c r="K119" s="71" t="n">
        <f aca="false">J119/I119</f>
        <v>5453.93276778931</v>
      </c>
      <c r="L119" s="14"/>
    </row>
    <row r="120" customFormat="false" ht="13.8" hidden="false" customHeight="false" outlineLevel="0" collapsed="false">
      <c r="A120" s="68" t="s">
        <v>127</v>
      </c>
      <c r="B120" s="68" t="n">
        <v>12</v>
      </c>
      <c r="C120" s="69" t="n">
        <v>6123</v>
      </c>
      <c r="D120" s="69" t="n">
        <v>34229824</v>
      </c>
      <c r="E120" s="69" t="n">
        <v>2760</v>
      </c>
      <c r="F120" s="69" t="n">
        <v>16099080</v>
      </c>
      <c r="G120" s="69" t="n">
        <v>6324</v>
      </c>
      <c r="H120" s="69" t="n">
        <f aca="false">D120+F120-J120</f>
        <v>36374149</v>
      </c>
      <c r="I120" s="69" t="n">
        <v>2559</v>
      </c>
      <c r="J120" s="69" t="n">
        <v>13954755</v>
      </c>
      <c r="K120" s="71" t="n">
        <f aca="false">J120/I120</f>
        <v>5453.20633059789</v>
      </c>
      <c r="L120" s="14"/>
    </row>
    <row r="121" customFormat="false" ht="13.8" hidden="false" customHeight="false" outlineLevel="0" collapsed="false">
      <c r="A121" s="68" t="s">
        <v>128</v>
      </c>
      <c r="B121" s="68" t="n">
        <v>12</v>
      </c>
      <c r="C121" s="69" t="n">
        <v>374</v>
      </c>
      <c r="D121" s="69" t="n">
        <v>5702198</v>
      </c>
      <c r="E121" s="69" t="n">
        <v>200</v>
      </c>
      <c r="F121" s="69" t="n">
        <v>3055600</v>
      </c>
      <c r="G121" s="69" t="n">
        <v>89</v>
      </c>
      <c r="H121" s="69" t="n">
        <f aca="false">D121+F121-J121</f>
        <v>1830899</v>
      </c>
      <c r="I121" s="69" t="n">
        <v>485</v>
      </c>
      <c r="J121" s="69" t="n">
        <v>6926899</v>
      </c>
      <c r="K121" s="71" t="n">
        <f aca="false">J121/I121</f>
        <v>14282.2659793814</v>
      </c>
      <c r="L121" s="14"/>
    </row>
    <row r="122" customFormat="false" ht="13.8" hidden="false" customHeight="false" outlineLevel="0" collapsed="false">
      <c r="A122" s="68" t="s">
        <v>129</v>
      </c>
      <c r="B122" s="68" t="n">
        <v>12</v>
      </c>
      <c r="C122" s="69" t="n">
        <v>20</v>
      </c>
      <c r="D122" s="69" t="n">
        <v>685180</v>
      </c>
      <c r="E122" s="69" t="n">
        <v>0</v>
      </c>
      <c r="F122" s="69" t="n">
        <v>0</v>
      </c>
      <c r="G122" s="69" t="n">
        <v>5</v>
      </c>
      <c r="H122" s="69" t="n">
        <f aca="false">D122+F122-J122</f>
        <v>171295</v>
      </c>
      <c r="I122" s="69" t="n">
        <v>15</v>
      </c>
      <c r="J122" s="69" t="n">
        <v>513885</v>
      </c>
      <c r="K122" s="71" t="n">
        <f aca="false">J122/I122</f>
        <v>34259</v>
      </c>
      <c r="L122" s="14"/>
    </row>
    <row r="123" customFormat="false" ht="13.8" hidden="false" customHeight="false" outlineLevel="0" collapsed="false">
      <c r="A123" s="68" t="s">
        <v>130</v>
      </c>
      <c r="B123" s="68" t="n">
        <v>12</v>
      </c>
      <c r="C123" s="69" t="n">
        <v>85</v>
      </c>
      <c r="D123" s="69" t="n">
        <v>4046541</v>
      </c>
      <c r="E123" s="69" t="n">
        <v>41</v>
      </c>
      <c r="F123" s="69" t="n">
        <v>1955085</v>
      </c>
      <c r="G123" s="69" t="n">
        <v>33</v>
      </c>
      <c r="H123" s="69" t="n">
        <f aca="false">D123+F123-J123</f>
        <v>1905278</v>
      </c>
      <c r="I123" s="69" t="n">
        <v>93</v>
      </c>
      <c r="J123" s="69" t="n">
        <v>4096348</v>
      </c>
      <c r="K123" s="71" t="n">
        <f aca="false">J123/I123</f>
        <v>44046.752688172</v>
      </c>
      <c r="L123" s="14"/>
    </row>
    <row r="124" customFormat="false" ht="13.8" hidden="false" customHeight="false" outlineLevel="0" collapsed="false">
      <c r="A124" s="68" t="s">
        <v>131</v>
      </c>
      <c r="B124" s="68" t="n">
        <v>12</v>
      </c>
      <c r="C124" s="69" t="n">
        <v>70</v>
      </c>
      <c r="D124" s="69" t="n">
        <v>3488402</v>
      </c>
      <c r="E124" s="69" t="n">
        <v>16</v>
      </c>
      <c r="F124" s="69" t="n">
        <v>800000</v>
      </c>
      <c r="G124" s="69" t="n">
        <v>47</v>
      </c>
      <c r="H124" s="69" t="n">
        <f aca="false">D124+F124-J124</f>
        <v>2493257</v>
      </c>
      <c r="I124" s="69" t="n">
        <v>39</v>
      </c>
      <c r="J124" s="69" t="n">
        <v>1795145</v>
      </c>
      <c r="K124" s="71" t="n">
        <f aca="false">J124/I124</f>
        <v>46029.358974359</v>
      </c>
      <c r="L124" s="14"/>
    </row>
    <row r="125" customFormat="false" ht="13.8" hidden="false" customHeight="false" outlineLevel="0" collapsed="false">
      <c r="A125" s="68" t="s">
        <v>132</v>
      </c>
      <c r="B125" s="68" t="n">
        <v>12</v>
      </c>
      <c r="C125" s="69" t="n">
        <v>98</v>
      </c>
      <c r="D125" s="69" t="n">
        <v>4356568</v>
      </c>
      <c r="E125" s="69" t="n">
        <v>255</v>
      </c>
      <c r="F125" s="69" t="n">
        <v>11333220</v>
      </c>
      <c r="G125" s="69" t="n">
        <v>296</v>
      </c>
      <c r="H125" s="69" t="n">
        <f aca="false">D125+F125-J125</f>
        <v>13333180</v>
      </c>
      <c r="I125" s="69" t="n">
        <v>57</v>
      </c>
      <c r="J125" s="69" t="n">
        <v>2356608</v>
      </c>
      <c r="K125" s="71" t="n">
        <f aca="false">J125/I125</f>
        <v>41344</v>
      </c>
      <c r="L125" s="14"/>
    </row>
    <row r="126" customFormat="false" ht="13.8" hidden="false" customHeight="false" outlineLevel="0" collapsed="false">
      <c r="A126" s="68" t="s">
        <v>133</v>
      </c>
      <c r="B126" s="68" t="n">
        <v>12</v>
      </c>
      <c r="C126" s="69" t="n">
        <v>119</v>
      </c>
      <c r="D126" s="69" t="n">
        <v>4585298</v>
      </c>
      <c r="E126" s="69" t="n">
        <v>66</v>
      </c>
      <c r="F126" s="69" t="n">
        <v>2609254</v>
      </c>
      <c r="G126" s="69" t="n">
        <v>146</v>
      </c>
      <c r="H126" s="69" t="n">
        <f aca="false">D126+F126-J126</f>
        <v>5833421</v>
      </c>
      <c r="I126" s="69" t="n">
        <v>39</v>
      </c>
      <c r="J126" s="69" t="n">
        <v>1361131</v>
      </c>
      <c r="K126" s="71" t="n">
        <f aca="false">J126/I126</f>
        <v>34900.7948717949</v>
      </c>
      <c r="L126" s="14"/>
    </row>
    <row r="127" customFormat="false" ht="13.8" hidden="false" customHeight="false" outlineLevel="0" collapsed="false">
      <c r="A127" s="68" t="s">
        <v>134</v>
      </c>
      <c r="B127" s="68" t="n">
        <v>12</v>
      </c>
      <c r="C127" s="69" t="n">
        <v>15</v>
      </c>
      <c r="D127" s="69" t="n">
        <v>431794</v>
      </c>
      <c r="E127" s="69" t="n">
        <v>0</v>
      </c>
      <c r="F127" s="69" t="n">
        <v>0</v>
      </c>
      <c r="G127" s="69" t="n">
        <v>0</v>
      </c>
      <c r="H127" s="69" t="n">
        <f aca="false">D127+F127-J127</f>
        <v>0</v>
      </c>
      <c r="I127" s="69" t="n">
        <v>15</v>
      </c>
      <c r="J127" s="69" t="n">
        <v>431794</v>
      </c>
      <c r="K127" s="71" t="n">
        <f aca="false">J127/I127</f>
        <v>28786.2666666667</v>
      </c>
      <c r="L127" s="14"/>
    </row>
    <row r="128" customFormat="false" ht="13.8" hidden="false" customHeight="false" outlineLevel="0" collapsed="false">
      <c r="A128" s="68" t="s">
        <v>135</v>
      </c>
      <c r="B128" s="68" t="n">
        <v>12</v>
      </c>
      <c r="C128" s="69" t="n">
        <v>155</v>
      </c>
      <c r="D128" s="69" t="n">
        <v>28475986</v>
      </c>
      <c r="E128" s="69" t="n">
        <v>770</v>
      </c>
      <c r="F128" s="69" t="n">
        <v>137740260</v>
      </c>
      <c r="G128" s="69" t="n">
        <v>15</v>
      </c>
      <c r="H128" s="69" t="n">
        <f aca="false">D128+F128-J128</f>
        <v>2695399</v>
      </c>
      <c r="I128" s="69" t="n">
        <v>910</v>
      </c>
      <c r="J128" s="69" t="n">
        <v>163520847</v>
      </c>
      <c r="K128" s="71" t="n">
        <f aca="false">J128/I128</f>
        <v>179693.238461538</v>
      </c>
      <c r="L128" s="14"/>
    </row>
    <row r="129" customFormat="false" ht="13.8" hidden="false" customHeight="false" outlineLevel="0" collapsed="false">
      <c r="A129" s="68" t="s">
        <v>136</v>
      </c>
      <c r="B129" s="68" t="n">
        <v>12</v>
      </c>
      <c r="C129" s="69" t="n">
        <v>4853</v>
      </c>
      <c r="D129" s="69" t="n">
        <v>73565457</v>
      </c>
      <c r="E129" s="69" t="n">
        <v>5768</v>
      </c>
      <c r="F129" s="69" t="n">
        <v>86167920</v>
      </c>
      <c r="G129" s="69" t="n">
        <v>5227</v>
      </c>
      <c r="H129" s="69" t="n">
        <f aca="false">D129+F129-J129</f>
        <v>82686574</v>
      </c>
      <c r="I129" s="69" t="n">
        <v>5394</v>
      </c>
      <c r="J129" s="69" t="n">
        <v>77046803</v>
      </c>
      <c r="K129" s="71" t="n">
        <f aca="false">J129/I129</f>
        <v>14283.7973674453</v>
      </c>
      <c r="L129" s="14"/>
    </row>
    <row r="130" customFormat="false" ht="13.8" hidden="false" customHeight="false" outlineLevel="0" collapsed="false">
      <c r="A130" s="68" t="s">
        <v>137</v>
      </c>
      <c r="B130" s="68" t="n">
        <v>12</v>
      </c>
      <c r="C130" s="69" t="n">
        <v>144</v>
      </c>
      <c r="D130" s="69" t="n">
        <v>22621104</v>
      </c>
      <c r="E130" s="69" t="n">
        <v>0</v>
      </c>
      <c r="F130" s="69" t="n">
        <v>0</v>
      </c>
      <c r="G130" s="69" t="n">
        <v>0</v>
      </c>
      <c r="H130" s="69" t="n">
        <f aca="false">D130+F130-J130</f>
        <v>0</v>
      </c>
      <c r="I130" s="69" t="n">
        <v>144</v>
      </c>
      <c r="J130" s="69" t="n">
        <v>22621104</v>
      </c>
      <c r="K130" s="71" t="n">
        <f aca="false">J130/I130</f>
        <v>157091</v>
      </c>
      <c r="L130" s="14"/>
    </row>
    <row r="131" customFormat="false" ht="13.8" hidden="false" customHeight="false" outlineLevel="0" collapsed="false">
      <c r="A131" s="68" t="s">
        <v>138</v>
      </c>
      <c r="B131" s="68" t="n">
        <v>12</v>
      </c>
      <c r="C131" s="69" t="n">
        <v>149</v>
      </c>
      <c r="D131" s="69" t="n">
        <v>22621104</v>
      </c>
      <c r="E131" s="69" t="n">
        <v>0</v>
      </c>
      <c r="F131" s="69" t="n">
        <v>0</v>
      </c>
      <c r="G131" s="69" t="n">
        <v>0</v>
      </c>
      <c r="H131" s="69" t="n">
        <f aca="false">D131+F131-J131</f>
        <v>0</v>
      </c>
      <c r="I131" s="69" t="n">
        <v>149</v>
      </c>
      <c r="J131" s="69" t="n">
        <v>22621104</v>
      </c>
      <c r="K131" s="71" t="n">
        <f aca="false">J131/I131</f>
        <v>151819.489932886</v>
      </c>
      <c r="L131" s="14"/>
    </row>
    <row r="132" customFormat="false" ht="13.8" hidden="false" customHeight="false" outlineLevel="0" collapsed="false">
      <c r="A132" s="68" t="s">
        <v>139</v>
      </c>
      <c r="B132" s="68" t="n">
        <v>12</v>
      </c>
      <c r="C132" s="69" t="n">
        <v>188</v>
      </c>
      <c r="D132" s="69" t="n">
        <v>34137846</v>
      </c>
      <c r="E132" s="69" t="n">
        <v>0</v>
      </c>
      <c r="F132" s="69" t="n">
        <v>0</v>
      </c>
      <c r="G132" s="69" t="n">
        <v>0</v>
      </c>
      <c r="H132" s="69" t="n">
        <f aca="false">D132+F132-J132</f>
        <v>0</v>
      </c>
      <c r="I132" s="69" t="n">
        <v>188</v>
      </c>
      <c r="J132" s="69" t="n">
        <v>34137846</v>
      </c>
      <c r="K132" s="71" t="n">
        <f aca="false">J132/I132</f>
        <v>181584.287234043</v>
      </c>
      <c r="L132" s="14"/>
    </row>
    <row r="133" customFormat="false" ht="13.8" hidden="false" customHeight="false" outlineLevel="0" collapsed="false">
      <c r="A133" s="68" t="s">
        <v>140</v>
      </c>
      <c r="B133" s="68" t="n">
        <v>12</v>
      </c>
      <c r="C133" s="69" t="n">
        <v>1326</v>
      </c>
      <c r="D133" s="69" t="n">
        <v>245672490</v>
      </c>
      <c r="E133" s="69" t="n">
        <v>1500</v>
      </c>
      <c r="F133" s="69" t="n">
        <v>279622500</v>
      </c>
      <c r="G133" s="69" t="n">
        <v>1498</v>
      </c>
      <c r="H133" s="69" t="n">
        <f aca="false">D133+F133-J133</f>
        <v>278447238</v>
      </c>
      <c r="I133" s="69" t="n">
        <v>1328</v>
      </c>
      <c r="J133" s="69" t="n">
        <v>246847752</v>
      </c>
      <c r="K133" s="71" t="n">
        <f aca="false">J133/I133</f>
        <v>185879.331325301</v>
      </c>
      <c r="L133" s="14"/>
    </row>
    <row r="134" customFormat="false" ht="13.8" hidden="false" customHeight="false" outlineLevel="0" collapsed="false">
      <c r="A134" s="68" t="s">
        <v>141</v>
      </c>
      <c r="B134" s="68" t="n">
        <v>12</v>
      </c>
      <c r="C134" s="69" t="n">
        <v>2712</v>
      </c>
      <c r="D134" s="69" t="n">
        <v>404819278</v>
      </c>
      <c r="E134" s="69" t="n">
        <v>2350</v>
      </c>
      <c r="F134" s="69" t="n">
        <v>438075250</v>
      </c>
      <c r="G134" s="69" t="n">
        <v>3044</v>
      </c>
      <c r="H134" s="69" t="n">
        <f aca="false">D134+F134-J134</f>
        <v>466755000</v>
      </c>
      <c r="I134" s="69" t="n">
        <v>2018</v>
      </c>
      <c r="J134" s="69" t="n">
        <v>376139528</v>
      </c>
      <c r="K134" s="71" t="n">
        <f aca="false">J134/I134</f>
        <v>186392.233894946</v>
      </c>
      <c r="L134" s="14"/>
    </row>
    <row r="135" customFormat="false" ht="13.8" hidden="false" customHeight="false" outlineLevel="0" collapsed="false">
      <c r="A135" s="68" t="s">
        <v>142</v>
      </c>
      <c r="B135" s="68" t="n">
        <v>12</v>
      </c>
      <c r="C135" s="69" t="n">
        <v>1150</v>
      </c>
      <c r="D135" s="69" t="n">
        <v>211217050</v>
      </c>
      <c r="E135" s="69" t="n">
        <v>0</v>
      </c>
      <c r="F135" s="69" t="n">
        <v>0</v>
      </c>
      <c r="G135" s="69" t="n">
        <v>0</v>
      </c>
      <c r="H135" s="69" t="n">
        <f aca="false">D135+F135-J135</f>
        <v>0</v>
      </c>
      <c r="I135" s="69" t="n">
        <v>1150</v>
      </c>
      <c r="J135" s="69" t="n">
        <v>211217050</v>
      </c>
      <c r="K135" s="71" t="n">
        <f aca="false">J135/I135</f>
        <v>183667</v>
      </c>
      <c r="L135" s="14"/>
    </row>
    <row r="136" customFormat="false" ht="13.8" hidden="false" customHeight="false" outlineLevel="0" collapsed="false">
      <c r="A136" s="68" t="s">
        <v>143</v>
      </c>
      <c r="B136" s="68" t="n">
        <v>12</v>
      </c>
      <c r="C136" s="69" t="n">
        <v>0</v>
      </c>
      <c r="D136" s="69" t="n">
        <v>0</v>
      </c>
      <c r="E136" s="69" t="n">
        <v>0</v>
      </c>
      <c r="F136" s="69" t="n">
        <v>0</v>
      </c>
      <c r="G136" s="69" t="n">
        <v>0</v>
      </c>
      <c r="H136" s="69" t="n">
        <f aca="false">D136+F136-J136</f>
        <v>0</v>
      </c>
      <c r="I136" s="69" t="n">
        <v>0</v>
      </c>
      <c r="J136" s="69" t="n">
        <v>0</v>
      </c>
      <c r="K136" s="71"/>
      <c r="L136" s="14"/>
    </row>
    <row r="137" customFormat="false" ht="13.8" hidden="false" customHeight="false" outlineLevel="0" collapsed="false">
      <c r="A137" s="68" t="s">
        <v>144</v>
      </c>
      <c r="B137" s="68" t="n">
        <v>12</v>
      </c>
      <c r="C137" s="69" t="n">
        <v>898</v>
      </c>
      <c r="D137" s="69" t="n">
        <v>164227145</v>
      </c>
      <c r="E137" s="69" t="n">
        <v>455</v>
      </c>
      <c r="F137" s="69" t="n">
        <v>83865600</v>
      </c>
      <c r="G137" s="69" t="n">
        <v>770</v>
      </c>
      <c r="H137" s="69" t="n">
        <f aca="false">D137+F137-J137</f>
        <v>141190993</v>
      </c>
      <c r="I137" s="69" t="n">
        <v>583</v>
      </c>
      <c r="J137" s="69" t="n">
        <v>106901752</v>
      </c>
      <c r="K137" s="71" t="n">
        <f aca="false">J137/I137</f>
        <v>183364.926243568</v>
      </c>
      <c r="L137" s="14"/>
    </row>
    <row r="138" customFormat="false" ht="13.8" hidden="false" customHeight="false" outlineLevel="0" collapsed="false">
      <c r="A138" s="68" t="s">
        <v>145</v>
      </c>
      <c r="B138" s="68" t="n">
        <v>12</v>
      </c>
      <c r="C138" s="69" t="n">
        <v>13</v>
      </c>
      <c r="D138" s="69" t="n">
        <v>2323520</v>
      </c>
      <c r="E138" s="69" t="n">
        <v>67</v>
      </c>
      <c r="F138" s="69" t="n">
        <v>11975065</v>
      </c>
      <c r="G138" s="69" t="n">
        <v>80</v>
      </c>
      <c r="H138" s="69" t="n">
        <f aca="false">D138+F138-J138</f>
        <v>14298585</v>
      </c>
      <c r="I138" s="69" t="n">
        <v>0</v>
      </c>
      <c r="J138" s="69" t="n">
        <v>0</v>
      </c>
      <c r="K138" s="71"/>
      <c r="L138" s="14"/>
    </row>
    <row r="139" customFormat="false" ht="13.8" hidden="false" customHeight="false" outlineLevel="0" collapsed="false">
      <c r="A139" s="68" t="s">
        <v>146</v>
      </c>
      <c r="B139" s="68" t="n">
        <v>12</v>
      </c>
      <c r="C139" s="69" t="n">
        <v>427</v>
      </c>
      <c r="D139" s="69" t="n">
        <v>83128984</v>
      </c>
      <c r="E139" s="69" t="n">
        <v>690</v>
      </c>
      <c r="F139" s="69" t="n">
        <v>132239190</v>
      </c>
      <c r="G139" s="69" t="n">
        <v>991</v>
      </c>
      <c r="H139" s="69" t="n">
        <f aca="false">D139+F139-J139</f>
        <v>191147067</v>
      </c>
      <c r="I139" s="69" t="n">
        <v>126</v>
      </c>
      <c r="J139" s="69" t="n">
        <v>24221107</v>
      </c>
      <c r="K139" s="71" t="n">
        <f aca="false">J139/I139</f>
        <v>192231.007936508</v>
      </c>
      <c r="L139" s="14"/>
    </row>
    <row r="140" customFormat="false" ht="13.8" hidden="false" customHeight="false" outlineLevel="0" collapsed="false">
      <c r="A140" s="68" t="s">
        <v>147</v>
      </c>
      <c r="B140" s="68" t="n">
        <v>12</v>
      </c>
      <c r="C140" s="69" t="n">
        <v>888</v>
      </c>
      <c r="D140" s="69" t="n">
        <v>82354219</v>
      </c>
      <c r="E140" s="69" t="n">
        <v>7974</v>
      </c>
      <c r="F140" s="69" t="n">
        <v>36748469.6449073</v>
      </c>
      <c r="G140" s="69" t="n">
        <v>988</v>
      </c>
      <c r="H140" s="69" t="n">
        <f aca="false">D140+F140-J140</f>
        <v>82815072.6449073</v>
      </c>
      <c r="I140" s="69" t="n">
        <v>7874</v>
      </c>
      <c r="J140" s="69" t="n">
        <v>36287616</v>
      </c>
      <c r="K140" s="71" t="n">
        <f aca="false">J140/I140</f>
        <v>4608.5364490729</v>
      </c>
      <c r="L140" s="14"/>
    </row>
    <row r="141" customFormat="false" ht="13.8" hidden="false" customHeight="false" outlineLevel="0" collapsed="false">
      <c r="A141" s="68" t="s">
        <v>148</v>
      </c>
      <c r="B141" s="68" t="n">
        <v>12</v>
      </c>
      <c r="C141" s="69" t="n">
        <v>0</v>
      </c>
      <c r="D141" s="69" t="n">
        <v>190478.489557226</v>
      </c>
      <c r="E141" s="69"/>
      <c r="F141" s="69" t="n">
        <v>7004.26142104035</v>
      </c>
      <c r="G141" s="69" t="n">
        <v>0</v>
      </c>
      <c r="H141" s="69" t="n">
        <f aca="false">D141+F141-J141</f>
        <v>197482.750978267</v>
      </c>
      <c r="I141" s="69" t="n">
        <v>0</v>
      </c>
      <c r="J141" s="69" t="n">
        <v>0</v>
      </c>
      <c r="K141" s="71"/>
      <c r="L141" s="14"/>
    </row>
    <row r="142" customFormat="false" ht="13.8" hidden="false" customHeight="false" outlineLevel="0" collapsed="false">
      <c r="A142" s="68" t="s">
        <v>149</v>
      </c>
      <c r="B142" s="68" t="n">
        <v>12</v>
      </c>
      <c r="C142" s="69" t="n">
        <v>1197</v>
      </c>
      <c r="D142" s="69" t="n">
        <v>228002752</v>
      </c>
      <c r="E142" s="69" t="n">
        <v>13544.2181976568</v>
      </c>
      <c r="F142" s="69" t="n">
        <v>94867245</v>
      </c>
      <c r="G142" s="69" t="n">
        <v>0.218197656777193</v>
      </c>
      <c r="H142" s="69" t="n">
        <f aca="false">D142+F142-J142</f>
        <v>87014609</v>
      </c>
      <c r="I142" s="69" t="n">
        <v>14741</v>
      </c>
      <c r="J142" s="69" t="n">
        <v>235855388</v>
      </c>
      <c r="K142" s="71" t="n">
        <f aca="false">J142/I142</f>
        <v>15999.9584831423</v>
      </c>
      <c r="L142" s="14"/>
    </row>
    <row r="143" customFormat="false" ht="13.8" hidden="false" customHeight="false" outlineLevel="0" collapsed="false">
      <c r="A143" s="68" t="s">
        <v>150</v>
      </c>
      <c r="B143" s="68" t="n">
        <v>12</v>
      </c>
      <c r="C143" s="69" t="n">
        <v>0</v>
      </c>
      <c r="D143" s="69" t="n">
        <v>0</v>
      </c>
      <c r="E143" s="69" t="n">
        <v>0</v>
      </c>
      <c r="F143" s="69" t="n">
        <v>0</v>
      </c>
      <c r="G143" s="69" t="n">
        <v>0</v>
      </c>
      <c r="H143" s="69" t="n">
        <f aca="false">D143+F143-J143</f>
        <v>0</v>
      </c>
      <c r="I143" s="69" t="n">
        <v>0</v>
      </c>
      <c r="J143" s="69" t="n">
        <v>0</v>
      </c>
      <c r="K143" s="71"/>
      <c r="L143" s="14"/>
    </row>
    <row r="144" customFormat="false" ht="13.8" hidden="false" customHeight="false" outlineLevel="0" collapsed="false">
      <c r="A144" s="68" t="s">
        <v>151</v>
      </c>
      <c r="B144" s="68" t="n">
        <v>12</v>
      </c>
      <c r="C144" s="69" t="n">
        <v>319</v>
      </c>
      <c r="D144" s="69" t="n">
        <v>60576489</v>
      </c>
      <c r="E144" s="69" t="n">
        <v>0</v>
      </c>
      <c r="F144" s="69" t="n">
        <v>0</v>
      </c>
      <c r="G144" s="69" t="n">
        <v>0</v>
      </c>
      <c r="H144" s="69" t="n">
        <f aca="false">D144+F144-J144</f>
        <v>0</v>
      </c>
      <c r="I144" s="69" t="n">
        <v>319</v>
      </c>
      <c r="J144" s="69" t="n">
        <v>60576489</v>
      </c>
      <c r="K144" s="71" t="n">
        <f aca="false">J144/I144</f>
        <v>189894.94984326</v>
      </c>
      <c r="L144" s="14"/>
    </row>
    <row r="145" customFormat="false" ht="13.8" hidden="false" customHeight="false" outlineLevel="0" collapsed="false">
      <c r="A145" s="68" t="s">
        <v>152</v>
      </c>
      <c r="B145" s="68" t="n">
        <v>12</v>
      </c>
      <c r="C145" s="69" t="n">
        <v>0</v>
      </c>
      <c r="D145" s="69" t="n">
        <v>0</v>
      </c>
      <c r="E145" s="69" t="n">
        <v>0</v>
      </c>
      <c r="F145" s="69" t="n">
        <v>0</v>
      </c>
      <c r="G145" s="69" t="n">
        <v>0</v>
      </c>
      <c r="H145" s="69" t="n">
        <f aca="false">D145+F145-J145</f>
        <v>0</v>
      </c>
      <c r="I145" s="69" t="n">
        <v>0</v>
      </c>
      <c r="J145" s="69" t="n">
        <v>0</v>
      </c>
      <c r="K145" s="71"/>
      <c r="L145" s="14"/>
    </row>
    <row r="146" customFormat="false" ht="13.8" hidden="false" customHeight="false" outlineLevel="0" collapsed="false">
      <c r="A146" s="68" t="s">
        <v>153</v>
      </c>
      <c r="B146" s="68" t="n">
        <v>12</v>
      </c>
      <c r="C146" s="69" t="n">
        <v>0</v>
      </c>
      <c r="D146" s="69" t="n">
        <v>0</v>
      </c>
      <c r="E146" s="69" t="n">
        <v>0</v>
      </c>
      <c r="F146" s="69" t="n">
        <v>0</v>
      </c>
      <c r="G146" s="69" t="n">
        <v>0</v>
      </c>
      <c r="H146" s="69" t="n">
        <f aca="false">D146+F146-J146</f>
        <v>0</v>
      </c>
      <c r="I146" s="69" t="n">
        <v>0</v>
      </c>
      <c r="J146" s="69" t="n">
        <v>0</v>
      </c>
      <c r="K146" s="71"/>
      <c r="L146" s="14"/>
    </row>
    <row r="147" customFormat="false" ht="13.8" hidden="false" customHeight="false" outlineLevel="0" collapsed="false">
      <c r="A147" s="68" t="s">
        <v>154</v>
      </c>
      <c r="B147" s="68" t="n">
        <v>12</v>
      </c>
      <c r="C147" s="69" t="n">
        <v>50</v>
      </c>
      <c r="D147" s="69" t="n">
        <v>11656130</v>
      </c>
      <c r="E147" s="69" t="n">
        <v>45</v>
      </c>
      <c r="F147" s="69" t="n">
        <v>10556505</v>
      </c>
      <c r="G147" s="69" t="n">
        <v>25</v>
      </c>
      <c r="H147" s="69" t="n">
        <f aca="false">D147+F147-J147</f>
        <v>5845430</v>
      </c>
      <c r="I147" s="69" t="n">
        <v>70</v>
      </c>
      <c r="J147" s="69" t="n">
        <v>16367205</v>
      </c>
      <c r="K147" s="71" t="n">
        <f aca="false">J147/I147</f>
        <v>233817.214285714</v>
      </c>
      <c r="L147" s="14"/>
    </row>
    <row r="148" customFormat="false" ht="13.8" hidden="false" customHeight="false" outlineLevel="0" collapsed="false">
      <c r="A148" s="68" t="s">
        <v>155</v>
      </c>
      <c r="B148" s="68" t="n">
        <v>12</v>
      </c>
      <c r="C148" s="69" t="n">
        <v>0</v>
      </c>
      <c r="D148" s="69" t="n">
        <v>0</v>
      </c>
      <c r="E148" s="69" t="n">
        <v>24</v>
      </c>
      <c r="F148" s="69" t="n">
        <v>6959131</v>
      </c>
      <c r="G148" s="69" t="n">
        <v>24</v>
      </c>
      <c r="H148" s="69" t="n">
        <f aca="false">D148+F148-J148</f>
        <v>6959131</v>
      </c>
      <c r="I148" s="69" t="n">
        <v>0</v>
      </c>
      <c r="J148" s="69" t="n">
        <v>0</v>
      </c>
      <c r="K148" s="71"/>
      <c r="L148" s="14"/>
    </row>
    <row r="149" customFormat="false" ht="13.8" hidden="false" customHeight="false" outlineLevel="0" collapsed="false">
      <c r="A149" s="68" t="s">
        <v>156</v>
      </c>
      <c r="B149" s="68" t="n">
        <v>12</v>
      </c>
      <c r="C149" s="69" t="n">
        <v>265</v>
      </c>
      <c r="D149" s="69" t="n">
        <v>51536190</v>
      </c>
      <c r="E149" s="69" t="n">
        <v>20</v>
      </c>
      <c r="F149" s="69" t="n">
        <v>4691780</v>
      </c>
      <c r="G149" s="69" t="n">
        <v>170</v>
      </c>
      <c r="H149" s="69" t="n">
        <f aca="false">D149+F149-J149</f>
        <v>29199086</v>
      </c>
      <c r="I149" s="69" t="n">
        <v>115</v>
      </c>
      <c r="J149" s="69" t="n">
        <v>27028884</v>
      </c>
      <c r="K149" s="71" t="n">
        <f aca="false">J149/I149</f>
        <v>235033.773913043</v>
      </c>
      <c r="L149" s="14"/>
    </row>
    <row r="150" customFormat="false" ht="13.8" hidden="false" customHeight="false" outlineLevel="0" collapsed="false">
      <c r="A150" s="68" t="s">
        <v>157</v>
      </c>
      <c r="B150" s="68" t="n">
        <v>12</v>
      </c>
      <c r="C150" s="69" t="n">
        <v>100</v>
      </c>
      <c r="D150" s="69" t="n">
        <v>23336700</v>
      </c>
      <c r="E150" s="69" t="n">
        <v>45</v>
      </c>
      <c r="F150" s="69" t="n">
        <v>10556505</v>
      </c>
      <c r="G150" s="69" t="n">
        <v>45</v>
      </c>
      <c r="H150" s="69" t="n">
        <f aca="false">D150+F150-J150</f>
        <v>10518581</v>
      </c>
      <c r="I150" s="69" t="n">
        <v>100</v>
      </c>
      <c r="J150" s="69" t="n">
        <v>23374624</v>
      </c>
      <c r="K150" s="71" t="n">
        <f aca="false">J150/I150</f>
        <v>233746.24</v>
      </c>
      <c r="L150" s="14"/>
    </row>
    <row r="151" customFormat="false" ht="13.8" hidden="false" customHeight="false" outlineLevel="0" collapsed="false">
      <c r="A151" s="68" t="s">
        <v>158</v>
      </c>
      <c r="B151" s="68" t="n">
        <v>12</v>
      </c>
      <c r="C151" s="69" t="n">
        <v>0</v>
      </c>
      <c r="D151" s="69" t="n">
        <v>0</v>
      </c>
      <c r="E151" s="69" t="n">
        <v>0</v>
      </c>
      <c r="F151" s="69" t="n">
        <v>0</v>
      </c>
      <c r="G151" s="69" t="n">
        <v>0</v>
      </c>
      <c r="H151" s="69" t="n">
        <f aca="false">D151+F151-J151</f>
        <v>0</v>
      </c>
      <c r="I151" s="69" t="n">
        <v>0</v>
      </c>
      <c r="J151" s="69" t="n">
        <v>0</v>
      </c>
      <c r="K151" s="71"/>
      <c r="L151" s="14"/>
    </row>
    <row r="152" customFormat="false" ht="13.8" hidden="false" customHeight="false" outlineLevel="0" collapsed="false">
      <c r="A152" s="68" t="s">
        <v>159</v>
      </c>
      <c r="B152" s="68" t="n">
        <v>12</v>
      </c>
      <c r="C152" s="69" t="n">
        <v>81</v>
      </c>
      <c r="D152" s="69" t="n">
        <v>17829621</v>
      </c>
      <c r="E152" s="69" t="n">
        <v>0</v>
      </c>
      <c r="F152" s="69" t="n">
        <v>0</v>
      </c>
      <c r="G152" s="69" t="n">
        <v>32</v>
      </c>
      <c r="H152" s="69" t="n">
        <f aca="false">D152+F152-J152</f>
        <v>4842658</v>
      </c>
      <c r="I152" s="69" t="n">
        <v>49</v>
      </c>
      <c r="J152" s="69" t="n">
        <v>12986963</v>
      </c>
      <c r="K152" s="71" t="n">
        <f aca="false">J152/I152</f>
        <v>265040.06122449</v>
      </c>
      <c r="L152" s="14"/>
    </row>
    <row r="153" customFormat="false" ht="13.8" hidden="false" customHeight="false" outlineLevel="0" collapsed="false">
      <c r="A153" s="68" t="s">
        <v>160</v>
      </c>
      <c r="B153" s="68" t="n">
        <v>12</v>
      </c>
      <c r="C153" s="69" t="n">
        <v>46</v>
      </c>
      <c r="D153" s="69" t="n">
        <v>12161583</v>
      </c>
      <c r="E153" s="69" t="n">
        <v>0</v>
      </c>
      <c r="F153" s="69" t="n">
        <v>0</v>
      </c>
      <c r="G153" s="69" t="n">
        <v>42</v>
      </c>
      <c r="H153" s="69" t="n">
        <f aca="false">D153+F153-J153</f>
        <v>11093015</v>
      </c>
      <c r="I153" s="69" t="n">
        <v>4</v>
      </c>
      <c r="J153" s="69" t="n">
        <v>1068568</v>
      </c>
      <c r="K153" s="71" t="n">
        <f aca="false">J153/I153</f>
        <v>267142</v>
      </c>
      <c r="L153" s="14"/>
    </row>
    <row r="154" customFormat="false" ht="13.8" hidden="false" customHeight="false" outlineLevel="0" collapsed="false">
      <c r="A154" s="68" t="s">
        <v>161</v>
      </c>
      <c r="B154" s="68" t="n">
        <v>12</v>
      </c>
      <c r="C154" s="69" t="n">
        <v>110</v>
      </c>
      <c r="D154" s="69" t="n">
        <v>25633710</v>
      </c>
      <c r="E154" s="69" t="n">
        <v>50</v>
      </c>
      <c r="F154" s="69" t="n">
        <v>11729450</v>
      </c>
      <c r="G154" s="69" t="n">
        <v>49</v>
      </c>
      <c r="H154" s="69" t="n">
        <f aca="false">D154+F154-J154</f>
        <v>11432029</v>
      </c>
      <c r="I154" s="69" t="n">
        <v>111</v>
      </c>
      <c r="J154" s="69" t="n">
        <v>25931131</v>
      </c>
      <c r="K154" s="71" t="n">
        <f aca="false">J154/I154</f>
        <v>233613.792792793</v>
      </c>
      <c r="L154" s="14"/>
    </row>
    <row r="155" customFormat="false" ht="13.8" hidden="false" customHeight="false" outlineLevel="0" collapsed="false">
      <c r="A155" s="68" t="s">
        <v>162</v>
      </c>
      <c r="B155" s="68" t="n">
        <v>12</v>
      </c>
      <c r="C155" s="69" t="n">
        <v>0</v>
      </c>
      <c r="D155" s="69" t="n">
        <v>0</v>
      </c>
      <c r="E155" s="69" t="n">
        <v>4</v>
      </c>
      <c r="F155" s="69" t="n">
        <v>1264364</v>
      </c>
      <c r="G155" s="69" t="n">
        <v>4</v>
      </c>
      <c r="H155" s="69" t="n">
        <f aca="false">D155+F155-J155</f>
        <v>1264364</v>
      </c>
      <c r="I155" s="69" t="n">
        <v>0</v>
      </c>
      <c r="J155" s="69" t="n">
        <v>0</v>
      </c>
      <c r="K155" s="71"/>
      <c r="L155" s="14"/>
    </row>
    <row r="156" customFormat="false" ht="13.8" hidden="false" customHeight="false" outlineLevel="0" collapsed="false">
      <c r="A156" s="68" t="s">
        <v>163</v>
      </c>
      <c r="B156" s="68" t="n">
        <v>12</v>
      </c>
      <c r="C156" s="69" t="n">
        <v>986</v>
      </c>
      <c r="D156" s="69" t="n">
        <v>312560997</v>
      </c>
      <c r="E156" s="69" t="n">
        <v>300</v>
      </c>
      <c r="F156" s="69" t="n">
        <v>95825400</v>
      </c>
      <c r="G156" s="69" t="n">
        <v>0</v>
      </c>
      <c r="H156" s="69" t="n">
        <f aca="false">D156+F156-J156</f>
        <v>0</v>
      </c>
      <c r="I156" s="69" t="n">
        <v>1286</v>
      </c>
      <c r="J156" s="69" t="n">
        <v>408386397</v>
      </c>
      <c r="K156" s="71" t="n">
        <f aca="false">J156/I156</f>
        <v>317563.294712286</v>
      </c>
      <c r="L156" s="14"/>
    </row>
    <row r="157" customFormat="false" ht="13.8" hidden="false" customHeight="false" outlineLevel="0" collapsed="false">
      <c r="A157" s="68" t="s">
        <v>164</v>
      </c>
      <c r="B157" s="68" t="n">
        <v>12</v>
      </c>
      <c r="C157" s="69" t="n">
        <v>0</v>
      </c>
      <c r="D157" s="69" t="n">
        <v>0</v>
      </c>
      <c r="E157" s="69" t="n">
        <v>92</v>
      </c>
      <c r="F157" s="69" t="n">
        <v>13264312</v>
      </c>
      <c r="G157" s="69" t="n">
        <v>92</v>
      </c>
      <c r="H157" s="69" t="n">
        <f aca="false">D157+F157-J157</f>
        <v>13264312</v>
      </c>
      <c r="I157" s="69" t="n">
        <v>0</v>
      </c>
      <c r="J157" s="69" t="n">
        <v>0</v>
      </c>
      <c r="K157" s="71"/>
      <c r="L157" s="14"/>
    </row>
    <row r="158" customFormat="false" ht="13.8" hidden="false" customHeight="false" outlineLevel="0" collapsed="false">
      <c r="A158" s="68" t="s">
        <v>165</v>
      </c>
      <c r="B158" s="68" t="n">
        <v>12</v>
      </c>
      <c r="C158" s="69" t="n">
        <v>100</v>
      </c>
      <c r="D158" s="69" t="n">
        <v>15396441</v>
      </c>
      <c r="E158" s="69" t="n">
        <v>0</v>
      </c>
      <c r="F158" s="69" t="n">
        <v>0</v>
      </c>
      <c r="G158" s="69" t="n">
        <v>6</v>
      </c>
      <c r="H158" s="69" t="n">
        <f aca="false">D158+F158-J158</f>
        <v>923786</v>
      </c>
      <c r="I158" s="69" t="n">
        <v>94</v>
      </c>
      <c r="J158" s="69" t="n">
        <v>14472655</v>
      </c>
      <c r="K158" s="71" t="n">
        <f aca="false">J158/I158</f>
        <v>153964.414893617</v>
      </c>
      <c r="L158" s="14"/>
    </row>
    <row r="159" customFormat="false" ht="13.8" hidden="false" customHeight="false" outlineLevel="0" collapsed="false">
      <c r="A159" s="68" t="s">
        <v>166</v>
      </c>
      <c r="B159" s="68" t="n">
        <v>12</v>
      </c>
      <c r="C159" s="69" t="n">
        <v>0</v>
      </c>
      <c r="D159" s="69" t="n">
        <v>0</v>
      </c>
      <c r="E159" s="69" t="n">
        <v>0</v>
      </c>
      <c r="F159" s="69" t="n">
        <v>0</v>
      </c>
      <c r="G159" s="69" t="n">
        <v>0</v>
      </c>
      <c r="H159" s="69" t="n">
        <f aca="false">D159+F159-J159</f>
        <v>0</v>
      </c>
      <c r="I159" s="69" t="n">
        <v>0</v>
      </c>
      <c r="J159" s="69" t="n">
        <v>0</v>
      </c>
      <c r="K159" s="71"/>
      <c r="L159" s="14"/>
    </row>
    <row r="160" customFormat="false" ht="13.8" hidden="false" customHeight="false" outlineLevel="0" collapsed="false">
      <c r="A160" s="68" t="s">
        <v>167</v>
      </c>
      <c r="B160" s="68" t="n">
        <v>12</v>
      </c>
      <c r="C160" s="69" t="n">
        <v>0</v>
      </c>
      <c r="D160" s="69" t="n">
        <v>0</v>
      </c>
      <c r="E160" s="69" t="n">
        <v>0</v>
      </c>
      <c r="F160" s="69" t="n">
        <v>184320</v>
      </c>
      <c r="G160" s="69" t="n">
        <v>0</v>
      </c>
      <c r="H160" s="69" t="n">
        <f aca="false">D160+F160-J160</f>
        <v>184320</v>
      </c>
      <c r="I160" s="69" t="n">
        <v>0</v>
      </c>
      <c r="J160" s="69" t="n">
        <v>0</v>
      </c>
      <c r="K160" s="71"/>
      <c r="L160" s="14"/>
    </row>
    <row r="161" customFormat="false" ht="13.8" hidden="false" customHeight="false" outlineLevel="0" collapsed="false">
      <c r="A161" s="68" t="s">
        <v>168</v>
      </c>
      <c r="B161" s="68" t="n">
        <v>12</v>
      </c>
      <c r="C161" s="69" t="n">
        <v>436</v>
      </c>
      <c r="D161" s="69" t="n">
        <v>79778379</v>
      </c>
      <c r="E161" s="69" t="n">
        <v>150</v>
      </c>
      <c r="F161" s="69" t="n">
        <v>27648000</v>
      </c>
      <c r="G161" s="69" t="n">
        <v>87</v>
      </c>
      <c r="H161" s="69" t="n">
        <f aca="false">D161+F161-J161</f>
        <v>92210697</v>
      </c>
      <c r="I161" s="69" t="n">
        <v>499</v>
      </c>
      <c r="J161" s="69" t="n">
        <v>15215682</v>
      </c>
      <c r="K161" s="71" t="n">
        <f aca="false">J161/I161</f>
        <v>30492.3486973948</v>
      </c>
      <c r="L161" s="14"/>
    </row>
    <row r="162" customFormat="false" ht="13.8" hidden="false" customHeight="false" outlineLevel="0" collapsed="false">
      <c r="A162" s="68" t="s">
        <v>169</v>
      </c>
      <c r="B162" s="68" t="n">
        <v>12</v>
      </c>
      <c r="C162" s="69" t="n">
        <v>856</v>
      </c>
      <c r="D162" s="69" t="n">
        <v>151588068</v>
      </c>
      <c r="E162" s="69" t="n">
        <v>0</v>
      </c>
      <c r="F162" s="69" t="n">
        <v>0</v>
      </c>
      <c r="G162" s="69" t="n">
        <v>204</v>
      </c>
      <c r="H162" s="69" t="n">
        <f aca="false">D162+F162-J162</f>
        <v>32938529</v>
      </c>
      <c r="I162" s="69" t="n">
        <v>652</v>
      </c>
      <c r="J162" s="69" t="n">
        <v>118649539</v>
      </c>
      <c r="K162" s="71" t="n">
        <f aca="false">J162/I162</f>
        <v>181977.820552147</v>
      </c>
      <c r="L162" s="14"/>
    </row>
    <row r="163" customFormat="false" ht="13.8" hidden="false" customHeight="false" outlineLevel="0" collapsed="false">
      <c r="A163" s="68" t="s">
        <v>170</v>
      </c>
      <c r="B163" s="68" t="n">
        <v>12</v>
      </c>
      <c r="C163" s="69" t="n">
        <v>164</v>
      </c>
      <c r="D163" s="69" t="n">
        <v>44675744</v>
      </c>
      <c r="E163" s="69" t="n">
        <v>175</v>
      </c>
      <c r="F163" s="69" t="n">
        <v>49157166</v>
      </c>
      <c r="G163" s="69" t="n">
        <v>339</v>
      </c>
      <c r="H163" s="69" t="n">
        <f aca="false">D163+F163-J163</f>
        <v>93832910</v>
      </c>
      <c r="I163" s="69" t="n">
        <v>0</v>
      </c>
      <c r="J163" s="69" t="n">
        <v>0</v>
      </c>
      <c r="K163" s="71"/>
      <c r="L163" s="14"/>
    </row>
    <row r="164" customFormat="false" ht="13.8" hidden="false" customHeight="false" outlineLevel="0" collapsed="false">
      <c r="A164" s="68" t="s">
        <v>171</v>
      </c>
      <c r="B164" s="68" t="n">
        <v>12</v>
      </c>
      <c r="C164" s="69" t="n">
        <v>0</v>
      </c>
      <c r="D164" s="69" t="n">
        <v>0</v>
      </c>
      <c r="E164" s="69" t="n">
        <v>30</v>
      </c>
      <c r="F164" s="69" t="n">
        <v>8280000</v>
      </c>
      <c r="G164" s="69" t="n">
        <v>30</v>
      </c>
      <c r="H164" s="69" t="n">
        <f aca="false">D164+F164-J164</f>
        <v>8280000</v>
      </c>
      <c r="I164" s="69" t="n">
        <v>0</v>
      </c>
      <c r="J164" s="69" t="n">
        <v>0</v>
      </c>
      <c r="K164" s="71"/>
      <c r="L164" s="14"/>
    </row>
    <row r="165" customFormat="false" ht="13.8" hidden="false" customHeight="false" outlineLevel="0" collapsed="false">
      <c r="A165" s="68" t="s">
        <v>172</v>
      </c>
      <c r="B165" s="68" t="n">
        <v>12</v>
      </c>
      <c r="C165" s="69" t="n">
        <v>459</v>
      </c>
      <c r="D165" s="69" t="n">
        <v>85500524</v>
      </c>
      <c r="E165" s="69" t="n">
        <v>30</v>
      </c>
      <c r="F165" s="69" t="n">
        <v>5655270</v>
      </c>
      <c r="G165" s="69" t="n">
        <v>0</v>
      </c>
      <c r="H165" s="69" t="n">
        <f aca="false">D165+F165-J165</f>
        <v>0</v>
      </c>
      <c r="I165" s="69" t="n">
        <v>489</v>
      </c>
      <c r="J165" s="69" t="n">
        <v>91155794</v>
      </c>
      <c r="K165" s="71" t="n">
        <f aca="false">J165/I165</f>
        <v>186412.666666667</v>
      </c>
      <c r="L165" s="14"/>
    </row>
    <row r="166" customFormat="false" ht="13.8" hidden="false" customHeight="false" outlineLevel="0" collapsed="false">
      <c r="A166" s="68" t="s">
        <v>173</v>
      </c>
      <c r="B166" s="68" t="n">
        <v>12</v>
      </c>
      <c r="C166" s="69" t="n">
        <v>484</v>
      </c>
      <c r="D166" s="69" t="n">
        <v>88893600</v>
      </c>
      <c r="E166" s="69" t="n">
        <v>13</v>
      </c>
      <c r="F166" s="69" t="n">
        <v>4712725</v>
      </c>
      <c r="G166" s="69" t="n">
        <v>0</v>
      </c>
      <c r="H166" s="69" t="n">
        <f aca="false">D166+F166-J166</f>
        <v>0</v>
      </c>
      <c r="I166" s="69" t="n">
        <v>497</v>
      </c>
      <c r="J166" s="69" t="n">
        <v>93606325</v>
      </c>
      <c r="K166" s="71" t="n">
        <f aca="false">J166/I166</f>
        <v>188342.706237425</v>
      </c>
      <c r="L166" s="14"/>
    </row>
    <row r="167" customFormat="false" ht="13.8" hidden="false" customHeight="false" outlineLevel="0" collapsed="false">
      <c r="A167" s="68" t="s">
        <v>174</v>
      </c>
      <c r="B167" s="68" t="n">
        <v>12</v>
      </c>
      <c r="C167" s="69" t="n">
        <v>5</v>
      </c>
      <c r="D167" s="69" t="n">
        <v>1372892</v>
      </c>
      <c r="E167" s="69" t="n">
        <v>0</v>
      </c>
      <c r="F167" s="69" t="n">
        <v>0</v>
      </c>
      <c r="G167" s="69" t="n">
        <v>0</v>
      </c>
      <c r="H167" s="69" t="n">
        <f aca="false">D167+F167-J167</f>
        <v>0</v>
      </c>
      <c r="I167" s="69" t="n">
        <v>5</v>
      </c>
      <c r="J167" s="69" t="n">
        <v>1372892</v>
      </c>
      <c r="K167" s="71" t="n">
        <f aca="false">J167/I167</f>
        <v>274578.4</v>
      </c>
      <c r="L167" s="14"/>
    </row>
    <row r="168" customFormat="false" ht="13.8" hidden="false" customHeight="false" outlineLevel="0" collapsed="false">
      <c r="A168" s="68" t="s">
        <v>175</v>
      </c>
      <c r="B168" s="68" t="n">
        <v>12</v>
      </c>
      <c r="C168" s="69" t="n">
        <v>0</v>
      </c>
      <c r="D168" s="69" t="n">
        <v>0</v>
      </c>
      <c r="E168" s="69" t="n">
        <v>0</v>
      </c>
      <c r="F168" s="69" t="n">
        <v>0</v>
      </c>
      <c r="G168" s="69" t="n">
        <v>0</v>
      </c>
      <c r="H168" s="69" t="n">
        <f aca="false">D168+F168-J168</f>
        <v>0</v>
      </c>
      <c r="I168" s="69" t="n">
        <v>0</v>
      </c>
      <c r="J168" s="69" t="n">
        <v>0</v>
      </c>
      <c r="K168" s="71"/>
      <c r="L168" s="14"/>
    </row>
    <row r="169" customFormat="false" ht="13.8" hidden="false" customHeight="false" outlineLevel="0" collapsed="false">
      <c r="A169" s="68" t="s">
        <v>176</v>
      </c>
      <c r="B169" s="68" t="n">
        <v>12</v>
      </c>
      <c r="C169" s="69" t="n">
        <v>0</v>
      </c>
      <c r="D169" s="69" t="n">
        <v>0</v>
      </c>
      <c r="E169" s="69" t="n">
        <v>0</v>
      </c>
      <c r="F169" s="69" t="n">
        <v>0</v>
      </c>
      <c r="G169" s="69" t="n">
        <v>0</v>
      </c>
      <c r="H169" s="69" t="n">
        <f aca="false">D169+F169-J169</f>
        <v>0</v>
      </c>
      <c r="I169" s="69" t="n">
        <v>0</v>
      </c>
      <c r="J169" s="69" t="n">
        <v>0</v>
      </c>
      <c r="K169" s="71"/>
      <c r="L169" s="14"/>
    </row>
    <row r="170" customFormat="false" ht="13.8" hidden="false" customHeight="false" outlineLevel="0" collapsed="false">
      <c r="A170" s="68" t="s">
        <v>177</v>
      </c>
      <c r="B170" s="68" t="n">
        <v>12</v>
      </c>
      <c r="C170" s="69" t="n">
        <v>1</v>
      </c>
      <c r="D170" s="69" t="n">
        <v>537037</v>
      </c>
      <c r="E170" s="69" t="n">
        <v>0</v>
      </c>
      <c r="F170" s="69" t="n">
        <v>0</v>
      </c>
      <c r="G170" s="69" t="n">
        <v>0</v>
      </c>
      <c r="H170" s="69" t="n">
        <f aca="false">D170+F170-J170</f>
        <v>0</v>
      </c>
      <c r="I170" s="69" t="n">
        <v>1</v>
      </c>
      <c r="J170" s="69" t="n">
        <v>537037</v>
      </c>
      <c r="K170" s="71" t="n">
        <f aca="false">J170/I170</f>
        <v>537037</v>
      </c>
      <c r="L170" s="14"/>
    </row>
    <row r="171" customFormat="false" ht="13.8" hidden="false" customHeight="false" outlineLevel="0" collapsed="false">
      <c r="A171" s="68" t="s">
        <v>178</v>
      </c>
      <c r="B171" s="68" t="n">
        <v>12</v>
      </c>
      <c r="C171" s="69" t="n">
        <v>144</v>
      </c>
      <c r="D171" s="69" t="n">
        <v>8408880</v>
      </c>
      <c r="E171" s="69" t="n">
        <v>874</v>
      </c>
      <c r="F171" s="69" t="n">
        <v>31937917.4852652</v>
      </c>
      <c r="G171" s="69" t="n">
        <v>0</v>
      </c>
      <c r="H171" s="69" t="n">
        <f aca="false">D171+F171-J171</f>
        <v>3146797.48526523</v>
      </c>
      <c r="I171" s="69" t="n">
        <v>1018</v>
      </c>
      <c r="J171" s="69" t="n">
        <v>37200000</v>
      </c>
      <c r="K171" s="71" t="n">
        <f aca="false">J171/I171</f>
        <v>36542.2396856582</v>
      </c>
      <c r="L171" s="14"/>
    </row>
    <row r="172" customFormat="false" ht="13.8" hidden="false" customHeight="false" outlineLevel="0" collapsed="false">
      <c r="A172" s="68" t="s">
        <v>179</v>
      </c>
      <c r="B172" s="68" t="n">
        <v>12</v>
      </c>
      <c r="C172" s="69" t="n">
        <v>24797</v>
      </c>
      <c r="D172" s="69" t="n">
        <v>127113973</v>
      </c>
      <c r="E172" s="69" t="n">
        <v>15719</v>
      </c>
      <c r="F172" s="69" t="n">
        <v>82006560</v>
      </c>
      <c r="G172" s="69" t="n">
        <v>14610</v>
      </c>
      <c r="H172" s="69" t="n">
        <f aca="false">D172+F172-J172</f>
        <v>74541385</v>
      </c>
      <c r="I172" s="69" t="n">
        <v>25906</v>
      </c>
      <c r="J172" s="69" t="n">
        <v>134579148</v>
      </c>
      <c r="K172" s="71" t="n">
        <f aca="false">J172/I172</f>
        <v>5194.9026480352</v>
      </c>
      <c r="L172" s="14"/>
    </row>
    <row r="173" customFormat="false" ht="13.8" hidden="false" customHeight="false" outlineLevel="0" collapsed="false">
      <c r="A173" s="68" t="s">
        <v>180</v>
      </c>
      <c r="B173" s="68" t="n">
        <v>12</v>
      </c>
      <c r="C173" s="69" t="n">
        <v>1056</v>
      </c>
      <c r="D173" s="69" t="n">
        <v>82980480</v>
      </c>
      <c r="E173" s="69" t="n">
        <v>360</v>
      </c>
      <c r="F173" s="69" t="n">
        <v>27106680</v>
      </c>
      <c r="G173" s="69" t="n">
        <v>1416</v>
      </c>
      <c r="H173" s="69" t="n">
        <f aca="false">D173+F173-J173</f>
        <v>110087160</v>
      </c>
      <c r="I173" s="69" t="n">
        <v>0</v>
      </c>
      <c r="J173" s="69" t="n">
        <v>0</v>
      </c>
      <c r="K173" s="71"/>
      <c r="L173" s="14"/>
    </row>
    <row r="174" customFormat="false" ht="13.8" hidden="false" customHeight="false" outlineLevel="0" collapsed="false">
      <c r="A174" s="68" t="s">
        <v>181</v>
      </c>
      <c r="B174" s="68" t="n">
        <v>12</v>
      </c>
      <c r="C174" s="69" t="n">
        <v>432</v>
      </c>
      <c r="D174" s="69" t="n">
        <v>22188108</v>
      </c>
      <c r="E174" s="69" t="n">
        <v>375</v>
      </c>
      <c r="F174" s="69" t="n">
        <v>19270875</v>
      </c>
      <c r="G174" s="69" t="n">
        <v>501</v>
      </c>
      <c r="H174" s="69" t="n">
        <f aca="false">D174+F174-J174</f>
        <v>25738476</v>
      </c>
      <c r="I174" s="69" t="n">
        <v>306</v>
      </c>
      <c r="J174" s="69" t="n">
        <v>15720507</v>
      </c>
      <c r="K174" s="71" t="n">
        <f aca="false">J174/I174</f>
        <v>51374.2058823529</v>
      </c>
      <c r="L174" s="14"/>
    </row>
    <row r="175" customFormat="false" ht="13.8" hidden="false" customHeight="false" outlineLevel="0" collapsed="false">
      <c r="A175" s="68" t="s">
        <v>182</v>
      </c>
      <c r="B175" s="68" t="n">
        <v>12</v>
      </c>
      <c r="C175" s="69" t="n">
        <v>0</v>
      </c>
      <c r="D175" s="69" t="n">
        <v>0</v>
      </c>
      <c r="E175" s="69" t="n">
        <v>180</v>
      </c>
      <c r="F175" s="69" t="n">
        <v>11127420</v>
      </c>
      <c r="G175" s="69" t="n">
        <v>180</v>
      </c>
      <c r="H175" s="69" t="n">
        <f aca="false">D175+F175-J175</f>
        <v>11127420</v>
      </c>
      <c r="I175" s="69" t="n">
        <v>0</v>
      </c>
      <c r="J175" s="69" t="n">
        <v>0</v>
      </c>
      <c r="K175" s="71"/>
      <c r="L175" s="14"/>
    </row>
    <row r="176" customFormat="false" ht="13.8" hidden="false" customHeight="false" outlineLevel="0" collapsed="false">
      <c r="A176" s="68" t="s">
        <v>183</v>
      </c>
      <c r="B176" s="68" t="n">
        <v>12</v>
      </c>
      <c r="C176" s="69" t="n">
        <v>2751</v>
      </c>
      <c r="D176" s="69" t="n">
        <v>148297433</v>
      </c>
      <c r="E176" s="69" t="n">
        <v>306</v>
      </c>
      <c r="F176" s="69" t="n">
        <v>16321556</v>
      </c>
      <c r="G176" s="69" t="n">
        <v>284</v>
      </c>
      <c r="H176" s="69" t="n">
        <f aca="false">D176+F176-J176</f>
        <v>13731712</v>
      </c>
      <c r="I176" s="69" t="n">
        <v>2773</v>
      </c>
      <c r="J176" s="69" t="n">
        <v>150887277</v>
      </c>
      <c r="K176" s="71" t="n">
        <f aca="false">J176/I176</f>
        <v>54413.0100973675</v>
      </c>
      <c r="L176" s="14"/>
    </row>
    <row r="177" customFormat="false" ht="13.8" hidden="false" customHeight="false" outlineLevel="0" collapsed="false">
      <c r="A177" s="68" t="s">
        <v>184</v>
      </c>
      <c r="B177" s="68" t="n">
        <v>12</v>
      </c>
      <c r="C177" s="69" t="n">
        <v>2074</v>
      </c>
      <c r="D177" s="69" t="n">
        <v>111994520</v>
      </c>
      <c r="E177" s="69" t="n">
        <v>408</v>
      </c>
      <c r="F177" s="69" t="n">
        <v>21762074</v>
      </c>
      <c r="G177" s="69" t="n">
        <v>900</v>
      </c>
      <c r="H177" s="69" t="n">
        <f aca="false">D177+F177-J177</f>
        <v>47693225</v>
      </c>
      <c r="I177" s="69" t="n">
        <v>1582</v>
      </c>
      <c r="J177" s="69" t="n">
        <v>86063369</v>
      </c>
      <c r="K177" s="71" t="n">
        <f aca="false">J177/I177</f>
        <v>54401.6238938053</v>
      </c>
      <c r="L177" s="14"/>
    </row>
    <row r="178" customFormat="false" ht="13.8" hidden="false" customHeight="false" outlineLevel="0" collapsed="false">
      <c r="A178" s="68" t="s">
        <v>185</v>
      </c>
      <c r="B178" s="68" t="n">
        <v>12</v>
      </c>
      <c r="C178" s="69" t="n">
        <v>770</v>
      </c>
      <c r="D178" s="69" t="n">
        <v>141860096</v>
      </c>
      <c r="E178" s="69" t="n">
        <v>400</v>
      </c>
      <c r="F178" s="69" t="n">
        <v>72675000</v>
      </c>
      <c r="G178" s="69" t="n">
        <v>229</v>
      </c>
      <c r="H178" s="69" t="n">
        <f aca="false">D178+F178-J178</f>
        <v>44862468</v>
      </c>
      <c r="I178" s="69" t="n">
        <v>941</v>
      </c>
      <c r="J178" s="69" t="n">
        <v>169672628</v>
      </c>
      <c r="K178" s="71" t="n">
        <f aca="false">J178/I178</f>
        <v>180310.975557917</v>
      </c>
      <c r="L178" s="14"/>
    </row>
    <row r="179" customFormat="false" ht="13.8" hidden="false" customHeight="false" outlineLevel="0" collapsed="false">
      <c r="A179" s="68" t="s">
        <v>186</v>
      </c>
      <c r="B179" s="68" t="n">
        <v>12</v>
      </c>
      <c r="C179" s="69" t="n">
        <v>1555</v>
      </c>
      <c r="D179" s="69" t="n">
        <v>69495853</v>
      </c>
      <c r="E179" s="69" t="n">
        <v>7668</v>
      </c>
      <c r="F179" s="69" t="n">
        <v>332611379.81491</v>
      </c>
      <c r="G179" s="69" t="n">
        <v>4555</v>
      </c>
      <c r="H179" s="69" t="n">
        <f aca="false">D179+F179-J179</f>
        <v>199625500.81491</v>
      </c>
      <c r="I179" s="69" t="n">
        <v>4668</v>
      </c>
      <c r="J179" s="69" t="n">
        <v>202481732</v>
      </c>
      <c r="K179" s="71" t="n">
        <f aca="false">J179/I179</f>
        <v>43376.5492716367</v>
      </c>
      <c r="L179" s="14"/>
    </row>
    <row r="180" customFormat="false" ht="13.8" hidden="false" customHeight="false" outlineLevel="0" collapsed="false">
      <c r="A180" s="68" t="s">
        <v>187</v>
      </c>
      <c r="B180" s="68" t="n">
        <v>12</v>
      </c>
      <c r="C180" s="69" t="n">
        <v>973</v>
      </c>
      <c r="D180" s="69" t="n">
        <v>34563746</v>
      </c>
      <c r="E180" s="69" t="n">
        <v>0</v>
      </c>
      <c r="F180" s="69" t="n">
        <v>43376.5492716367</v>
      </c>
      <c r="G180" s="69" t="n">
        <v>130</v>
      </c>
      <c r="H180" s="69" t="n">
        <f aca="false">D180+F180-J180</f>
        <v>4733268.54927164</v>
      </c>
      <c r="I180" s="69" t="n">
        <v>843</v>
      </c>
      <c r="J180" s="69" t="n">
        <v>29873854</v>
      </c>
      <c r="K180" s="71" t="n">
        <f aca="false">J180/I180</f>
        <v>35437.5492289443</v>
      </c>
      <c r="L180" s="14"/>
    </row>
    <row r="181" customFormat="false" ht="13.8" hidden="false" customHeight="false" outlineLevel="0" collapsed="false">
      <c r="A181" s="68" t="s">
        <v>188</v>
      </c>
      <c r="B181" s="68" t="n">
        <v>12</v>
      </c>
      <c r="C181" s="69" t="n">
        <v>7616</v>
      </c>
      <c r="D181" s="69" t="n">
        <v>1284172909</v>
      </c>
      <c r="E181" s="69" t="n">
        <v>4500</v>
      </c>
      <c r="F181" s="69" t="n">
        <v>816216250</v>
      </c>
      <c r="G181" s="69" t="n">
        <v>4573</v>
      </c>
      <c r="H181" s="69" t="n">
        <f aca="false">D181+F181-J181</f>
        <v>754127000</v>
      </c>
      <c r="I181" s="69" t="n">
        <v>7543</v>
      </c>
      <c r="J181" s="69" t="n">
        <v>1346262159</v>
      </c>
      <c r="K181" s="71" t="n">
        <f aca="false">J181/I181</f>
        <v>178478.345353308</v>
      </c>
      <c r="L181" s="14"/>
    </row>
    <row r="182" customFormat="false" ht="13.8" hidden="false" customHeight="false" outlineLevel="0" collapsed="false">
      <c r="A182" s="68" t="s">
        <v>189</v>
      </c>
      <c r="B182" s="68" t="n">
        <v>12</v>
      </c>
      <c r="C182" s="69" t="n">
        <v>690</v>
      </c>
      <c r="D182" s="69" t="n">
        <v>30148907</v>
      </c>
      <c r="E182" s="69" t="n">
        <v>0</v>
      </c>
      <c r="F182" s="69" t="n">
        <v>0</v>
      </c>
      <c r="G182" s="69" t="n">
        <v>144</v>
      </c>
      <c r="H182" s="69" t="n">
        <f aca="false">D182+F182-J182</f>
        <v>5958168</v>
      </c>
      <c r="I182" s="69" t="n">
        <v>546</v>
      </c>
      <c r="J182" s="69" t="n">
        <v>24190739</v>
      </c>
      <c r="K182" s="71" t="n">
        <f aca="false">J182/I182</f>
        <v>44305.3827838828</v>
      </c>
      <c r="L182" s="14"/>
    </row>
    <row r="183" customFormat="false" ht="13.8" hidden="false" customHeight="false" outlineLevel="0" collapsed="false">
      <c r="A183" s="68" t="s">
        <v>190</v>
      </c>
      <c r="B183" s="68" t="n">
        <v>12</v>
      </c>
      <c r="C183" s="69" t="n">
        <v>11502</v>
      </c>
      <c r="D183" s="69" t="n">
        <v>332240556</v>
      </c>
      <c r="E183" s="69" t="n">
        <v>3150</v>
      </c>
      <c r="F183" s="69" t="n">
        <v>90972000</v>
      </c>
      <c r="G183" s="69" t="n">
        <v>9809</v>
      </c>
      <c r="H183" s="69" t="n">
        <f aca="false">D183+F183-J183</f>
        <v>286291540</v>
      </c>
      <c r="I183" s="69" t="n">
        <v>4843</v>
      </c>
      <c r="J183" s="69" t="n">
        <v>136921016</v>
      </c>
      <c r="K183" s="71" t="n">
        <f aca="false">J183/I183</f>
        <v>28271.9421845963</v>
      </c>
      <c r="L183" s="14"/>
    </row>
    <row r="184" customFormat="false" ht="13.8" hidden="false" customHeight="false" outlineLevel="0" collapsed="false">
      <c r="A184" s="68" t="s">
        <v>191</v>
      </c>
      <c r="B184" s="68" t="n">
        <v>12</v>
      </c>
      <c r="C184" s="69" t="n">
        <v>15969</v>
      </c>
      <c r="D184" s="69" t="n">
        <v>459112502</v>
      </c>
      <c r="E184" s="69" t="n">
        <v>65615</v>
      </c>
      <c r="F184" s="69" t="n">
        <v>1833319500</v>
      </c>
      <c r="G184" s="69" t="n">
        <v>40229</v>
      </c>
      <c r="H184" s="69" t="n">
        <f aca="false">D184+F184-J184</f>
        <v>1123236500</v>
      </c>
      <c r="I184" s="69" t="n">
        <v>41355</v>
      </c>
      <c r="J184" s="69" t="n">
        <v>1169195502</v>
      </c>
      <c r="K184" s="71" t="n">
        <f aca="false">J184/I184</f>
        <v>28272.1678636199</v>
      </c>
      <c r="L184" s="14"/>
    </row>
    <row r="185" customFormat="false" ht="13.8" hidden="false" customHeight="false" outlineLevel="0" collapsed="false">
      <c r="A185" s="68" t="s">
        <v>192</v>
      </c>
      <c r="B185" s="68" t="n">
        <v>12</v>
      </c>
      <c r="C185" s="69" t="n">
        <v>10975</v>
      </c>
      <c r="D185" s="69" t="n">
        <v>79007874</v>
      </c>
      <c r="E185" s="69" t="n">
        <v>0</v>
      </c>
      <c r="F185" s="69" t="n">
        <v>0</v>
      </c>
      <c r="G185" s="69" t="n">
        <v>4660</v>
      </c>
      <c r="H185" s="69" t="n">
        <f aca="false">D185+F185-J185</f>
        <v>33402873</v>
      </c>
      <c r="I185" s="69" t="n">
        <v>6315</v>
      </c>
      <c r="J185" s="69" t="n">
        <v>45605001</v>
      </c>
      <c r="K185" s="71" t="n">
        <f aca="false">J185/I185</f>
        <v>7221.6945368171</v>
      </c>
      <c r="L185" s="14"/>
    </row>
    <row r="186" customFormat="false" ht="13.8" hidden="false" customHeight="false" outlineLevel="0" collapsed="false">
      <c r="A186" s="68" t="s">
        <v>193</v>
      </c>
      <c r="B186" s="68" t="n">
        <v>12</v>
      </c>
      <c r="C186" s="69" t="n">
        <v>0</v>
      </c>
      <c r="D186" s="69" t="n">
        <v>0</v>
      </c>
      <c r="E186" s="69" t="n">
        <v>250</v>
      </c>
      <c r="F186" s="69" t="n">
        <v>53642625</v>
      </c>
      <c r="G186" s="69" t="n">
        <v>0</v>
      </c>
      <c r="H186" s="69" t="n">
        <f aca="false">D186+F186-J186</f>
        <v>0</v>
      </c>
      <c r="I186" s="69" t="n">
        <v>250</v>
      </c>
      <c r="J186" s="69" t="n">
        <v>53642625</v>
      </c>
      <c r="K186" s="71" t="n">
        <f aca="false">J186/I186</f>
        <v>214570.5</v>
      </c>
      <c r="L186" s="47"/>
    </row>
    <row r="187" customFormat="false" ht="13.8" hidden="false" customHeight="false" outlineLevel="0" collapsed="false">
      <c r="A187" s="68" t="s">
        <v>194</v>
      </c>
      <c r="B187" s="68" t="n">
        <v>12</v>
      </c>
      <c r="C187" s="69" t="n">
        <v>131535</v>
      </c>
      <c r="D187" s="69" t="n">
        <v>626836099</v>
      </c>
      <c r="E187" s="69" t="n">
        <v>273861</v>
      </c>
      <c r="F187" s="69" t="n">
        <v>1931160000</v>
      </c>
      <c r="G187" s="69" t="n">
        <v>227875</v>
      </c>
      <c r="H187" s="69" t="n">
        <f aca="false">D187+F187-J187</f>
        <v>1303281000</v>
      </c>
      <c r="I187" s="69" t="n">
        <v>177521</v>
      </c>
      <c r="J187" s="69" t="n">
        <v>1254715099</v>
      </c>
      <c r="K187" s="71" t="n">
        <f aca="false">J187/I187</f>
        <v>7067.98124728905</v>
      </c>
      <c r="L187" s="14"/>
    </row>
    <row r="188" customFormat="false" ht="13.8" hidden="false" customHeight="false" outlineLevel="0" collapsed="false">
      <c r="A188" s="68" t="s">
        <v>195</v>
      </c>
      <c r="B188" s="68" t="n">
        <v>12</v>
      </c>
      <c r="C188" s="69" t="n">
        <v>0</v>
      </c>
      <c r="D188" s="69" t="n">
        <v>0</v>
      </c>
      <c r="E188" s="69" t="n">
        <v>11200</v>
      </c>
      <c r="F188" s="69" t="n">
        <v>2411276207</v>
      </c>
      <c r="G188" s="69" t="n">
        <v>1333</v>
      </c>
      <c r="H188" s="69" t="n">
        <f aca="false">D188+F188-J188</f>
        <v>303268263</v>
      </c>
      <c r="I188" s="69" t="n">
        <v>9867</v>
      </c>
      <c r="J188" s="69" t="n">
        <v>2108007944</v>
      </c>
      <c r="K188" s="71" t="n">
        <f aca="false">J188/I188</f>
        <v>213642.236140671</v>
      </c>
      <c r="L188" s="14"/>
    </row>
    <row r="189" customFormat="false" ht="13.8" hidden="false" customHeight="false" outlineLevel="0" collapsed="false">
      <c r="A189" s="68" t="s">
        <v>196</v>
      </c>
      <c r="B189" s="68" t="n">
        <v>12</v>
      </c>
      <c r="C189" s="69" t="n">
        <v>0</v>
      </c>
      <c r="D189" s="69" t="n">
        <v>0</v>
      </c>
      <c r="E189" s="69" t="n">
        <v>0</v>
      </c>
      <c r="F189" s="69" t="n">
        <v>0</v>
      </c>
      <c r="G189" s="69" t="n">
        <v>0</v>
      </c>
      <c r="H189" s="69" t="n">
        <f aca="false">D189+F189-J189</f>
        <v>0</v>
      </c>
      <c r="I189" s="69" t="n">
        <v>0</v>
      </c>
      <c r="J189" s="69" t="n">
        <v>0</v>
      </c>
      <c r="K189" s="71"/>
      <c r="L189" s="14"/>
    </row>
    <row r="190" customFormat="false" ht="13.8" hidden="false" customHeight="false" outlineLevel="0" collapsed="false">
      <c r="A190" s="68" t="s">
        <v>197</v>
      </c>
      <c r="B190" s="68" t="n">
        <v>12</v>
      </c>
      <c r="C190" s="69" t="n">
        <v>1170</v>
      </c>
      <c r="D190" s="69" t="n">
        <v>8433374</v>
      </c>
      <c r="E190" s="69" t="n">
        <v>0</v>
      </c>
      <c r="F190" s="69" t="n">
        <v>0</v>
      </c>
      <c r="G190" s="69" t="n">
        <v>20</v>
      </c>
      <c r="H190" s="69" t="n">
        <f aca="false">D190+F190-J190</f>
        <v>144160</v>
      </c>
      <c r="I190" s="69" t="n">
        <v>1150</v>
      </c>
      <c r="J190" s="69" t="n">
        <v>8289214</v>
      </c>
      <c r="K190" s="71" t="n">
        <f aca="false">J190/I190</f>
        <v>7208.01217391304</v>
      </c>
      <c r="L190" s="14"/>
    </row>
    <row r="191" customFormat="false" ht="13.8" hidden="false" customHeight="false" outlineLevel="0" collapsed="false">
      <c r="A191" s="68" t="s">
        <v>198</v>
      </c>
      <c r="B191" s="68" t="n">
        <v>12</v>
      </c>
      <c r="C191" s="69" t="n">
        <v>0</v>
      </c>
      <c r="D191" s="69" t="n">
        <v>0</v>
      </c>
      <c r="E191" s="69" t="n">
        <v>0</v>
      </c>
      <c r="F191" s="69" t="n">
        <v>0</v>
      </c>
      <c r="G191" s="69" t="n">
        <v>0</v>
      </c>
      <c r="H191" s="69" t="n">
        <f aca="false">D191+F191-J191</f>
        <v>0</v>
      </c>
      <c r="I191" s="69" t="n">
        <v>0</v>
      </c>
      <c r="J191" s="69" t="n">
        <v>0</v>
      </c>
      <c r="K191" s="71"/>
      <c r="L191" s="14"/>
    </row>
    <row r="192" customFormat="false" ht="13.8" hidden="false" customHeight="false" outlineLevel="0" collapsed="false">
      <c r="A192" s="68" t="s">
        <v>199</v>
      </c>
      <c r="B192" s="68" t="n">
        <v>12</v>
      </c>
      <c r="C192" s="69" t="n">
        <v>77684</v>
      </c>
      <c r="D192" s="69" t="n">
        <v>588888</v>
      </c>
      <c r="E192" s="69" t="n">
        <v>24</v>
      </c>
      <c r="F192" s="69" t="n">
        <v>588888</v>
      </c>
      <c r="G192" s="69" t="n">
        <v>0</v>
      </c>
      <c r="H192" s="69" t="n">
        <f aca="false">D192+F192-J192</f>
        <v>0</v>
      </c>
      <c r="I192" s="69" t="n">
        <v>77708</v>
      </c>
      <c r="J192" s="69" t="n">
        <v>1177776</v>
      </c>
      <c r="K192" s="71" t="n">
        <f aca="false">J192/I192</f>
        <v>15.1564317702167</v>
      </c>
      <c r="L192" s="14"/>
    </row>
    <row r="193" customFormat="false" ht="13.8" hidden="false" customHeight="false" outlineLevel="0" collapsed="false">
      <c r="A193" s="68" t="s">
        <v>200</v>
      </c>
      <c r="B193" s="68" t="n">
        <v>12</v>
      </c>
      <c r="C193" s="69" t="n">
        <v>144</v>
      </c>
      <c r="D193" s="69" t="n">
        <v>1037304</v>
      </c>
      <c r="E193" s="69" t="n">
        <v>0</v>
      </c>
      <c r="F193" s="69" t="n">
        <v>0</v>
      </c>
      <c r="G193" s="69" t="n">
        <v>0</v>
      </c>
      <c r="H193" s="69" t="n">
        <f aca="false">D193+F193-J193</f>
        <v>0</v>
      </c>
      <c r="I193" s="69" t="n">
        <v>144</v>
      </c>
      <c r="J193" s="69" t="n">
        <v>1037304</v>
      </c>
      <c r="K193" s="71" t="n">
        <f aca="false">J193/I193</f>
        <v>7203.5</v>
      </c>
      <c r="L193" s="14"/>
    </row>
    <row r="194" customFormat="false" ht="13.8" hidden="false" customHeight="false" outlineLevel="0" collapsed="false">
      <c r="A194" s="68" t="s">
        <v>201</v>
      </c>
      <c r="B194" s="68" t="n">
        <v>12</v>
      </c>
      <c r="C194" s="69" t="n">
        <v>1032</v>
      </c>
      <c r="D194" s="69" t="n">
        <v>16267839</v>
      </c>
      <c r="E194" s="69" t="n">
        <v>180</v>
      </c>
      <c r="F194" s="69" t="n">
        <v>2916720</v>
      </c>
      <c r="G194" s="69" t="n">
        <v>720</v>
      </c>
      <c r="H194" s="69" t="n">
        <f aca="false">D194+F194-J194</f>
        <v>11396768</v>
      </c>
      <c r="I194" s="69" t="n">
        <v>492</v>
      </c>
      <c r="J194" s="69" t="n">
        <v>7787791</v>
      </c>
      <c r="K194" s="71" t="n">
        <f aca="false">J194/I194</f>
        <v>15828.843495935</v>
      </c>
      <c r="L194" s="14"/>
    </row>
    <row r="195" customFormat="false" ht="13.8" hidden="false" customHeight="false" outlineLevel="0" collapsed="false">
      <c r="A195" s="68" t="s">
        <v>202</v>
      </c>
      <c r="B195" s="68" t="n">
        <v>12</v>
      </c>
      <c r="C195" s="69" t="n">
        <v>0</v>
      </c>
      <c r="D195" s="69" t="n">
        <v>0</v>
      </c>
      <c r="E195" s="69" t="n">
        <v>72</v>
      </c>
      <c r="F195" s="69" t="n">
        <v>1857744</v>
      </c>
      <c r="G195" s="69" t="n">
        <v>0</v>
      </c>
      <c r="H195" s="69" t="n">
        <f aca="false">D195+F195-J195</f>
        <v>0</v>
      </c>
      <c r="I195" s="69" t="n">
        <v>72</v>
      </c>
      <c r="J195" s="69" t="n">
        <v>1857744</v>
      </c>
      <c r="K195" s="71" t="n">
        <f aca="false">J195/I195</f>
        <v>25802</v>
      </c>
      <c r="L195" s="14"/>
    </row>
    <row r="196" customFormat="false" ht="13.8" hidden="false" customHeight="false" outlineLevel="0" collapsed="false">
      <c r="A196" s="68" t="s">
        <v>203</v>
      </c>
      <c r="B196" s="68" t="n">
        <v>12</v>
      </c>
      <c r="C196" s="69" t="n">
        <v>5208</v>
      </c>
      <c r="D196" s="69" t="n">
        <v>58948499</v>
      </c>
      <c r="E196" s="69" t="n">
        <v>360</v>
      </c>
      <c r="F196" s="69" t="n">
        <v>4225320</v>
      </c>
      <c r="G196" s="69" t="n">
        <v>4681</v>
      </c>
      <c r="H196" s="69" t="n">
        <f aca="false">D196+F196-J196</f>
        <v>52758308</v>
      </c>
      <c r="I196" s="69" t="n">
        <v>887</v>
      </c>
      <c r="J196" s="69" t="n">
        <v>10415511</v>
      </c>
      <c r="K196" s="71" t="n">
        <f aca="false">J196/I196</f>
        <v>11742.4024802706</v>
      </c>
      <c r="L196" s="14"/>
    </row>
    <row r="197" customFormat="false" ht="13.8" hidden="false" customHeight="false" outlineLevel="0" collapsed="false">
      <c r="A197" s="68" t="s">
        <v>204</v>
      </c>
      <c r="B197" s="68" t="n">
        <v>12</v>
      </c>
      <c r="C197" s="69" t="n">
        <v>12491</v>
      </c>
      <c r="D197" s="69" t="n">
        <v>384147850</v>
      </c>
      <c r="E197" s="69"/>
      <c r="F197" s="69" t="n">
        <v>0</v>
      </c>
      <c r="G197" s="69" t="n">
        <v>5514</v>
      </c>
      <c r="H197" s="69" t="n">
        <f aca="false">D197+F197-J197</f>
        <v>160810000</v>
      </c>
      <c r="I197" s="69" t="n">
        <v>6977</v>
      </c>
      <c r="J197" s="69" t="n">
        <v>223337850</v>
      </c>
      <c r="K197" s="71" t="n">
        <f aca="false">J197/I197</f>
        <v>32010.5847785581</v>
      </c>
      <c r="L197" s="14"/>
    </row>
    <row r="198" customFormat="false" ht="13.8" hidden="false" customHeight="false" outlineLevel="0" collapsed="false">
      <c r="A198" s="68" t="s">
        <v>205</v>
      </c>
      <c r="B198" s="68" t="n">
        <v>12</v>
      </c>
      <c r="C198" s="69" t="n">
        <v>820</v>
      </c>
      <c r="D198" s="69" t="n">
        <v>49022428</v>
      </c>
      <c r="E198" s="69" t="n">
        <v>0</v>
      </c>
      <c r="F198" s="69" t="n">
        <v>0</v>
      </c>
      <c r="G198" s="69" t="n">
        <v>651</v>
      </c>
      <c r="H198" s="69" t="n">
        <f aca="false">D198+F198-J198</f>
        <v>37663574</v>
      </c>
      <c r="I198" s="69" t="n">
        <v>169</v>
      </c>
      <c r="J198" s="69" t="n">
        <v>11358854</v>
      </c>
      <c r="K198" s="71" t="n">
        <f aca="false">J198/I198</f>
        <v>67212.1538461538</v>
      </c>
      <c r="L198" s="14"/>
    </row>
    <row r="199" customFormat="false" ht="13.8" hidden="false" customHeight="false" outlineLevel="0" collapsed="false">
      <c r="A199" s="68" t="s">
        <v>206</v>
      </c>
      <c r="B199" s="68" t="n">
        <v>12</v>
      </c>
      <c r="C199" s="69" t="n">
        <v>814</v>
      </c>
      <c r="D199" s="69" t="n">
        <v>26110276</v>
      </c>
      <c r="E199" s="69" t="n">
        <v>192</v>
      </c>
      <c r="F199" s="69" t="n">
        <v>6309812</v>
      </c>
      <c r="G199" s="69" t="n">
        <v>646</v>
      </c>
      <c r="H199" s="69" t="n">
        <f aca="false">D199+F199-J199</f>
        <v>20818466</v>
      </c>
      <c r="I199" s="69" t="n">
        <v>360</v>
      </c>
      <c r="J199" s="69" t="n">
        <v>11601622</v>
      </c>
      <c r="K199" s="71" t="n">
        <f aca="false">J199/I199</f>
        <v>32226.7277777778</v>
      </c>
      <c r="L199" s="14"/>
    </row>
    <row r="200" customFormat="false" ht="13.8" hidden="false" customHeight="false" outlineLevel="0" collapsed="false">
      <c r="A200" s="68" t="s">
        <v>207</v>
      </c>
      <c r="B200" s="68" t="n">
        <v>12</v>
      </c>
      <c r="C200" s="69" t="n">
        <v>1728</v>
      </c>
      <c r="D200" s="69" t="n">
        <v>3454644</v>
      </c>
      <c r="E200" s="69"/>
      <c r="F200" s="69" t="n">
        <v>0</v>
      </c>
      <c r="G200" s="69" t="n">
        <v>1461</v>
      </c>
      <c r="H200" s="69" t="n">
        <f aca="false">D200+F200-J200</f>
        <v>38904</v>
      </c>
      <c r="I200" s="69" t="n">
        <v>267</v>
      </c>
      <c r="J200" s="69" t="n">
        <v>3415740</v>
      </c>
      <c r="K200" s="71" t="n">
        <f aca="false">J200/I200</f>
        <v>12793.0337078652</v>
      </c>
      <c r="L200" s="14"/>
    </row>
    <row r="201" customFormat="false" ht="13.8" hidden="false" customHeight="false" outlineLevel="0" collapsed="false">
      <c r="A201" s="68" t="s">
        <v>208</v>
      </c>
      <c r="B201" s="68" t="n">
        <v>12</v>
      </c>
      <c r="C201" s="69" t="n">
        <v>13</v>
      </c>
      <c r="D201" s="69" t="n">
        <v>107765</v>
      </c>
      <c r="E201" s="69" t="n">
        <v>432</v>
      </c>
      <c r="F201" s="69" t="n">
        <v>4525632</v>
      </c>
      <c r="G201" s="69" t="n">
        <v>240</v>
      </c>
      <c r="H201" s="69" t="n">
        <f aca="false">D201+F201-J201</f>
        <v>2498911</v>
      </c>
      <c r="I201" s="69" t="n">
        <v>205</v>
      </c>
      <c r="J201" s="69" t="n">
        <v>2134486</v>
      </c>
      <c r="K201" s="71" t="n">
        <f aca="false">J201/I201</f>
        <v>10412.1268292683</v>
      </c>
      <c r="L201" s="14"/>
    </row>
    <row r="202" customFormat="false" ht="13.8" hidden="false" customHeight="false" outlineLevel="0" collapsed="false">
      <c r="A202" s="68" t="s">
        <v>209</v>
      </c>
      <c r="B202" s="68" t="n">
        <v>12</v>
      </c>
      <c r="C202" s="69" t="n">
        <v>60</v>
      </c>
      <c r="D202" s="69" t="n">
        <v>3504600</v>
      </c>
      <c r="E202" s="69" t="n">
        <v>36</v>
      </c>
      <c r="F202" s="69" t="n">
        <v>2102760</v>
      </c>
      <c r="G202" s="69" t="n">
        <v>20</v>
      </c>
      <c r="H202" s="69" t="n">
        <f aca="false">D202+F202-J202</f>
        <v>1168200</v>
      </c>
      <c r="I202" s="69" t="n">
        <v>76</v>
      </c>
      <c r="J202" s="69" t="n">
        <v>4439160</v>
      </c>
      <c r="K202" s="71" t="n">
        <f aca="false">J202/I202</f>
        <v>58410</v>
      </c>
      <c r="L202" s="14"/>
    </row>
    <row r="203" customFormat="false" ht="13.8" hidden="false" customHeight="false" outlineLevel="0" collapsed="false">
      <c r="A203" s="68" t="s">
        <v>210</v>
      </c>
      <c r="B203" s="68" t="n">
        <v>12</v>
      </c>
      <c r="C203" s="69" t="n">
        <v>625</v>
      </c>
      <c r="D203" s="69" t="n">
        <v>6930861</v>
      </c>
      <c r="E203" s="69" t="n">
        <v>0</v>
      </c>
      <c r="F203" s="69" t="n">
        <v>0</v>
      </c>
      <c r="G203" s="69" t="n">
        <v>0</v>
      </c>
      <c r="H203" s="69" t="n">
        <f aca="false">D203+F203-J203</f>
        <v>0</v>
      </c>
      <c r="I203" s="69" t="n">
        <v>625</v>
      </c>
      <c r="J203" s="69" t="n">
        <v>6930861</v>
      </c>
      <c r="K203" s="71" t="n">
        <f aca="false">J203/I203</f>
        <v>11089.3776</v>
      </c>
      <c r="L203" s="14"/>
    </row>
    <row r="204" customFormat="false" ht="13.8" hidden="false" customHeight="false" outlineLevel="0" collapsed="false">
      <c r="A204" s="68" t="s">
        <v>211</v>
      </c>
      <c r="B204" s="68" t="n">
        <v>12</v>
      </c>
      <c r="C204" s="69" t="n">
        <v>0</v>
      </c>
      <c r="D204" s="69" t="n">
        <v>0</v>
      </c>
      <c r="E204" s="69" t="n">
        <v>115</v>
      </c>
      <c r="F204" s="69" t="n">
        <v>2133360</v>
      </c>
      <c r="G204" s="69" t="n">
        <v>0</v>
      </c>
      <c r="H204" s="69" t="n">
        <f aca="false">D204+F204-J204</f>
        <v>0</v>
      </c>
      <c r="I204" s="69" t="n">
        <v>115</v>
      </c>
      <c r="J204" s="69" t="n">
        <v>2133360</v>
      </c>
      <c r="K204" s="71" t="n">
        <f aca="false">J204/I204</f>
        <v>18550.9565217391</v>
      </c>
      <c r="L204" s="14"/>
    </row>
    <row r="205" customFormat="false" ht="13.8" hidden="false" customHeight="false" outlineLevel="0" collapsed="false">
      <c r="A205" s="68" t="s">
        <v>212</v>
      </c>
      <c r="B205" s="68" t="n">
        <v>12</v>
      </c>
      <c r="C205" s="69" t="n">
        <v>33249</v>
      </c>
      <c r="D205" s="69" t="n">
        <v>411726334</v>
      </c>
      <c r="E205" s="69" t="n">
        <v>6084</v>
      </c>
      <c r="F205" s="69" t="n">
        <v>40227840</v>
      </c>
      <c r="G205" s="69" t="n">
        <v>21793</v>
      </c>
      <c r="H205" s="69" t="n">
        <f aca="false">D205+F205-J205</f>
        <v>234183600</v>
      </c>
      <c r="I205" s="69" t="n">
        <v>17540</v>
      </c>
      <c r="J205" s="69" t="n">
        <v>217770574</v>
      </c>
      <c r="K205" s="71" t="n">
        <f aca="false">J205/I205</f>
        <v>12415.6541619156</v>
      </c>
      <c r="L205" s="14"/>
    </row>
    <row r="206" customFormat="false" ht="13.8" hidden="false" customHeight="false" outlineLevel="0" collapsed="false">
      <c r="A206" s="68" t="s">
        <v>213</v>
      </c>
      <c r="B206" s="68" t="n">
        <v>12</v>
      </c>
      <c r="C206" s="69" t="n">
        <v>3820</v>
      </c>
      <c r="D206" s="69" t="n">
        <v>76529330</v>
      </c>
      <c r="E206" s="69" t="n">
        <v>0</v>
      </c>
      <c r="F206" s="69" t="n">
        <v>0</v>
      </c>
      <c r="G206" s="69" t="n">
        <v>2430</v>
      </c>
      <c r="H206" s="69" t="n">
        <f aca="false">D206+F206-J206</f>
        <v>46999426</v>
      </c>
      <c r="I206" s="69" t="n">
        <v>1390</v>
      </c>
      <c r="J206" s="69" t="n">
        <v>29529904</v>
      </c>
      <c r="K206" s="71" t="n">
        <f aca="false">J206/I206</f>
        <v>21244.5352517986</v>
      </c>
      <c r="L206" s="14"/>
    </row>
    <row r="207" customFormat="false" ht="13.8" hidden="false" customHeight="false" outlineLevel="0" collapsed="false">
      <c r="A207" s="68" t="s">
        <v>214</v>
      </c>
      <c r="B207" s="68" t="n">
        <v>12</v>
      </c>
      <c r="C207" s="69" t="n">
        <v>9946</v>
      </c>
      <c r="D207" s="69" t="n">
        <v>217056384</v>
      </c>
      <c r="E207" s="69" t="n">
        <v>11664</v>
      </c>
      <c r="F207" s="69" t="n">
        <v>287377632</v>
      </c>
      <c r="G207" s="69" t="n">
        <v>11949</v>
      </c>
      <c r="H207" s="69" t="n">
        <f aca="false">D207+F207-J207</f>
        <v>266401600</v>
      </c>
      <c r="I207" s="69" t="n">
        <v>9661</v>
      </c>
      <c r="J207" s="69" t="n">
        <v>238032416</v>
      </c>
      <c r="K207" s="71" t="n">
        <f aca="false">J207/I207</f>
        <v>24638.4862850637</v>
      </c>
      <c r="L207" s="14"/>
    </row>
    <row r="208" customFormat="false" ht="13.8" hidden="false" customHeight="false" outlineLevel="0" collapsed="false">
      <c r="A208" s="68" t="s">
        <v>215</v>
      </c>
      <c r="B208" s="68" t="n">
        <v>12</v>
      </c>
      <c r="C208" s="69" t="n">
        <v>2800</v>
      </c>
      <c r="D208" s="69" t="n">
        <v>111956379</v>
      </c>
      <c r="E208" s="69" t="n">
        <v>0</v>
      </c>
      <c r="F208" s="69" t="n">
        <v>0</v>
      </c>
      <c r="G208" s="69" t="n">
        <v>2241</v>
      </c>
      <c r="H208" s="69" t="n">
        <f aca="false">D208+F208-J208</f>
        <v>88085680</v>
      </c>
      <c r="I208" s="69" t="n">
        <v>559</v>
      </c>
      <c r="J208" s="69" t="n">
        <v>23870699</v>
      </c>
      <c r="K208" s="71" t="n">
        <f aca="false">J208/I208</f>
        <v>42702.5026833632</v>
      </c>
      <c r="L208" s="14"/>
    </row>
    <row r="209" customFormat="false" ht="13.8" hidden="false" customHeight="false" outlineLevel="0" collapsed="false">
      <c r="A209" s="68" t="s">
        <v>216</v>
      </c>
      <c r="B209" s="68" t="n">
        <v>12</v>
      </c>
      <c r="C209" s="69" t="n">
        <v>0</v>
      </c>
      <c r="D209" s="69" t="n">
        <v>0</v>
      </c>
      <c r="E209" s="69" t="n">
        <v>160</v>
      </c>
      <c r="F209" s="69" t="n">
        <v>2778080</v>
      </c>
      <c r="G209" s="69" t="n">
        <v>160</v>
      </c>
      <c r="H209" s="69" t="n">
        <f aca="false">D209+F209-J209</f>
        <v>2778080</v>
      </c>
      <c r="I209" s="69" t="n">
        <v>0</v>
      </c>
      <c r="J209" s="69" t="n">
        <v>0</v>
      </c>
      <c r="K209" s="71"/>
      <c r="L209" s="14"/>
    </row>
    <row r="210" customFormat="false" ht="13.8" hidden="false" customHeight="false" outlineLevel="0" collapsed="false">
      <c r="A210" s="68" t="s">
        <v>217</v>
      </c>
      <c r="B210" s="68" t="n">
        <v>12</v>
      </c>
      <c r="C210" s="69" t="n">
        <v>10</v>
      </c>
      <c r="D210" s="69" t="n">
        <v>1775003</v>
      </c>
      <c r="E210" s="69" t="n">
        <v>80</v>
      </c>
      <c r="F210" s="69" t="n">
        <v>14456000</v>
      </c>
      <c r="G210" s="69" t="n">
        <v>0</v>
      </c>
      <c r="H210" s="69" t="n">
        <f aca="false">D210+F210-J210</f>
        <v>0</v>
      </c>
      <c r="I210" s="69" t="n">
        <v>90</v>
      </c>
      <c r="J210" s="69" t="n">
        <v>16231003</v>
      </c>
      <c r="K210" s="71" t="n">
        <f aca="false">J210/I210</f>
        <v>180344.477777778</v>
      </c>
      <c r="L210" s="14"/>
    </row>
    <row r="211" customFormat="false" ht="13.8" hidden="false" customHeight="false" outlineLevel="0" collapsed="false">
      <c r="A211" s="68" t="s">
        <v>218</v>
      </c>
      <c r="B211" s="68" t="n">
        <v>12</v>
      </c>
      <c r="C211" s="69" t="n">
        <v>0</v>
      </c>
      <c r="D211" s="69" t="n">
        <v>0</v>
      </c>
      <c r="E211" s="69" t="n">
        <v>50</v>
      </c>
      <c r="F211" s="69" t="n">
        <v>11800000</v>
      </c>
      <c r="G211" s="69" t="n">
        <v>0</v>
      </c>
      <c r="H211" s="69" t="n">
        <f aca="false">D211+F211-J211</f>
        <v>0</v>
      </c>
      <c r="I211" s="69" t="n">
        <v>50</v>
      </c>
      <c r="J211" s="69" t="n">
        <v>11800000</v>
      </c>
      <c r="K211" s="71" t="n">
        <f aca="false">J211/I211</f>
        <v>236000</v>
      </c>
      <c r="L211" s="14"/>
    </row>
    <row r="212" customFormat="false" ht="13.8" hidden="false" customHeight="false" outlineLevel="0" collapsed="false">
      <c r="A212" s="68" t="s">
        <v>219</v>
      </c>
      <c r="B212" s="68" t="n">
        <v>12</v>
      </c>
      <c r="C212" s="69" t="n">
        <v>0</v>
      </c>
      <c r="D212" s="69" t="n">
        <v>0</v>
      </c>
      <c r="E212" s="69" t="n">
        <v>30</v>
      </c>
      <c r="F212" s="69" t="n">
        <v>7080000</v>
      </c>
      <c r="G212" s="69" t="n">
        <v>0</v>
      </c>
      <c r="H212" s="69" t="n">
        <f aca="false">D212+F212-J212</f>
        <v>0</v>
      </c>
      <c r="I212" s="69" t="n">
        <v>30</v>
      </c>
      <c r="J212" s="69" t="n">
        <v>7080000</v>
      </c>
      <c r="K212" s="71" t="n">
        <f aca="false">J212/I212</f>
        <v>236000</v>
      </c>
      <c r="L212" s="14"/>
    </row>
    <row r="213" customFormat="false" ht="13.8" hidden="false" customHeight="false" outlineLevel="0" collapsed="false">
      <c r="A213" s="68" t="s">
        <v>220</v>
      </c>
      <c r="B213" s="68" t="n">
        <v>12</v>
      </c>
      <c r="C213" s="69" t="n">
        <v>0</v>
      </c>
      <c r="D213" s="69" t="n">
        <v>0</v>
      </c>
      <c r="E213" s="69" t="n">
        <v>72</v>
      </c>
      <c r="F213" s="69" t="n">
        <v>1847966</v>
      </c>
      <c r="G213" s="69" t="n">
        <v>0</v>
      </c>
      <c r="H213" s="69" t="n">
        <f aca="false">D213+F213-J213</f>
        <v>0</v>
      </c>
      <c r="I213" s="69" t="n">
        <v>72</v>
      </c>
      <c r="J213" s="69" t="n">
        <v>1847966</v>
      </c>
      <c r="K213" s="71" t="n">
        <f aca="false">J213/I213</f>
        <v>25666.1944444444</v>
      </c>
      <c r="L213" s="14"/>
    </row>
    <row r="214" customFormat="false" ht="13.8" hidden="false" customHeight="false" outlineLevel="0" collapsed="false">
      <c r="A214" s="68" t="s">
        <v>221</v>
      </c>
      <c r="B214" s="68" t="n">
        <v>12</v>
      </c>
      <c r="C214" s="69" t="n">
        <v>4178</v>
      </c>
      <c r="D214" s="69" t="n">
        <v>81823781</v>
      </c>
      <c r="E214" s="69" t="n">
        <v>1656</v>
      </c>
      <c r="F214" s="69" t="n">
        <v>32608296</v>
      </c>
      <c r="G214" s="69" t="n">
        <v>1904</v>
      </c>
      <c r="H214" s="69" t="n">
        <f aca="false">D214+F214-J214</f>
        <v>37346362</v>
      </c>
      <c r="I214" s="69" t="n">
        <v>3930</v>
      </c>
      <c r="J214" s="69" t="n">
        <v>77085715</v>
      </c>
      <c r="K214" s="71" t="n">
        <f aca="false">J214/I214</f>
        <v>19614.6857506361</v>
      </c>
      <c r="L214" s="14"/>
    </row>
    <row r="215" customFormat="false" ht="13.8" hidden="false" customHeight="false" outlineLevel="0" collapsed="false">
      <c r="A215" s="68" t="s">
        <v>222</v>
      </c>
      <c r="B215" s="68" t="n">
        <v>12</v>
      </c>
      <c r="C215" s="69" t="n">
        <v>1066</v>
      </c>
      <c r="D215" s="69" t="n">
        <v>22876165</v>
      </c>
      <c r="E215" s="69" t="n">
        <v>0</v>
      </c>
      <c r="F215" s="69" t="n">
        <v>0</v>
      </c>
      <c r="G215" s="69" t="n">
        <v>304</v>
      </c>
      <c r="H215" s="69" t="n">
        <f aca="false">D215+F215-J215</f>
        <v>3734008</v>
      </c>
      <c r="I215" s="69" t="n">
        <v>762</v>
      </c>
      <c r="J215" s="69" t="n">
        <v>19142157</v>
      </c>
      <c r="K215" s="71" t="n">
        <f aca="false">J215/I215</f>
        <v>25120.9409448819</v>
      </c>
      <c r="L215" s="14"/>
    </row>
    <row r="216" customFormat="false" ht="13.8" hidden="false" customHeight="false" outlineLevel="0" collapsed="false">
      <c r="A216" s="68" t="s">
        <v>223</v>
      </c>
      <c r="B216" s="68" t="n">
        <v>12</v>
      </c>
      <c r="C216" s="69" t="n">
        <v>337</v>
      </c>
      <c r="D216" s="69" t="n">
        <v>14575142</v>
      </c>
      <c r="E216" s="69" t="n">
        <v>0</v>
      </c>
      <c r="F216" s="69" t="n">
        <v>0</v>
      </c>
      <c r="G216" s="69" t="n">
        <v>90</v>
      </c>
      <c r="H216" s="69" t="n">
        <f aca="false">D216+F216-J216</f>
        <v>3892471</v>
      </c>
      <c r="I216" s="69" t="n">
        <v>247</v>
      </c>
      <c r="J216" s="69" t="n">
        <v>10682671</v>
      </c>
      <c r="K216" s="71" t="n">
        <f aca="false">J216/I216</f>
        <v>43249.6801619433</v>
      </c>
      <c r="L216" s="14"/>
    </row>
    <row r="217" customFormat="false" ht="13.8" hidden="false" customHeight="false" outlineLevel="0" collapsed="false">
      <c r="A217" s="68" t="s">
        <v>224</v>
      </c>
      <c r="B217" s="68" t="n">
        <v>12</v>
      </c>
      <c r="C217" s="69" t="n">
        <v>0</v>
      </c>
      <c r="D217" s="69" t="n">
        <v>0</v>
      </c>
      <c r="E217" s="69" t="n">
        <v>0</v>
      </c>
      <c r="F217" s="69" t="n">
        <v>0</v>
      </c>
      <c r="G217" s="69" t="n">
        <v>0</v>
      </c>
      <c r="H217" s="69" t="n">
        <f aca="false">D217+F217-J217</f>
        <v>0</v>
      </c>
      <c r="I217" s="69" t="n">
        <v>0</v>
      </c>
      <c r="J217" s="69" t="n">
        <v>0</v>
      </c>
      <c r="K217" s="71"/>
      <c r="L217" s="14"/>
    </row>
    <row r="218" customFormat="false" ht="13.8" hidden="false" customHeight="false" outlineLevel="0" collapsed="false">
      <c r="A218" s="68" t="s">
        <v>225</v>
      </c>
      <c r="B218" s="68" t="n">
        <v>12</v>
      </c>
      <c r="C218" s="69" t="n">
        <v>268</v>
      </c>
      <c r="D218" s="69" t="n">
        <v>5622934</v>
      </c>
      <c r="E218" s="69" t="n">
        <v>144</v>
      </c>
      <c r="F218" s="69" t="n">
        <v>3021278</v>
      </c>
      <c r="G218" s="69" t="n">
        <v>180</v>
      </c>
      <c r="H218" s="69" t="n">
        <f aca="false">D218+F218-J218</f>
        <v>3776597</v>
      </c>
      <c r="I218" s="69" t="n">
        <v>232</v>
      </c>
      <c r="J218" s="69" t="n">
        <v>4867615</v>
      </c>
      <c r="K218" s="71" t="n">
        <f aca="false">J218/I218</f>
        <v>20981.099137931</v>
      </c>
      <c r="L218" s="14"/>
    </row>
    <row r="219" customFormat="false" ht="13.8" hidden="false" customHeight="false" outlineLevel="0" collapsed="false">
      <c r="A219" s="68" t="s">
        <v>226</v>
      </c>
      <c r="B219" s="68" t="n">
        <v>12</v>
      </c>
      <c r="C219" s="69" t="n">
        <v>0</v>
      </c>
      <c r="D219" s="69" t="n">
        <v>0</v>
      </c>
      <c r="E219" s="69" t="n">
        <v>0</v>
      </c>
      <c r="F219" s="69" t="n">
        <v>0</v>
      </c>
      <c r="G219" s="69" t="n">
        <v>0</v>
      </c>
      <c r="H219" s="69" t="n">
        <f aca="false">D219+F219-J219</f>
        <v>0</v>
      </c>
      <c r="I219" s="69" t="n">
        <v>0</v>
      </c>
      <c r="J219" s="69" t="n">
        <v>0</v>
      </c>
      <c r="K219" s="71"/>
      <c r="L219" s="14"/>
    </row>
    <row r="220" customFormat="false" ht="13.8" hidden="false" customHeight="false" outlineLevel="0" collapsed="false">
      <c r="A220" s="68" t="s">
        <v>227</v>
      </c>
      <c r="B220" s="68" t="n">
        <v>12</v>
      </c>
      <c r="C220" s="69" t="n">
        <v>470</v>
      </c>
      <c r="D220" s="69" t="n">
        <v>0</v>
      </c>
      <c r="E220" s="69"/>
      <c r="F220" s="69" t="n">
        <v>0</v>
      </c>
      <c r="G220" s="69" t="n">
        <v>0</v>
      </c>
      <c r="H220" s="69" t="n">
        <f aca="false">D220+F220-J220</f>
        <v>0</v>
      </c>
      <c r="I220" s="69"/>
      <c r="J220" s="69" t="n">
        <v>0</v>
      </c>
      <c r="K220" s="71"/>
      <c r="L220" s="14"/>
    </row>
    <row r="221" customFormat="false" ht="13.8" hidden="false" customHeight="false" outlineLevel="0" collapsed="false">
      <c r="A221" s="68" t="s">
        <v>228</v>
      </c>
      <c r="B221" s="68" t="n">
        <v>12</v>
      </c>
      <c r="C221" s="69" t="n">
        <v>67</v>
      </c>
      <c r="D221" s="69" t="n">
        <v>5925955</v>
      </c>
      <c r="E221" s="69" t="n">
        <v>56</v>
      </c>
      <c r="F221" s="69" t="n">
        <v>4917248</v>
      </c>
      <c r="G221" s="69" t="n">
        <v>0</v>
      </c>
      <c r="H221" s="69" t="n">
        <f aca="false">D221+F221-J221</f>
        <v>0</v>
      </c>
      <c r="I221" s="69" t="n">
        <v>123</v>
      </c>
      <c r="J221" s="69" t="n">
        <v>10843203</v>
      </c>
      <c r="K221" s="71" t="n">
        <f aca="false">J221/I221</f>
        <v>88156.1219512195</v>
      </c>
      <c r="L221" s="14"/>
    </row>
    <row r="222" customFormat="false" ht="13.8" hidden="false" customHeight="false" outlineLevel="0" collapsed="false">
      <c r="A222" s="68" t="s">
        <v>229</v>
      </c>
      <c r="B222" s="68" t="n">
        <v>12</v>
      </c>
      <c r="C222" s="69" t="n">
        <v>2747</v>
      </c>
      <c r="D222" s="69" t="n">
        <v>247783362</v>
      </c>
      <c r="E222" s="69" t="n">
        <v>412</v>
      </c>
      <c r="F222" s="69" t="n">
        <v>36610448</v>
      </c>
      <c r="G222" s="69" t="n">
        <v>2933</v>
      </c>
      <c r="H222" s="69" t="n">
        <f aca="false">D222+F222-J222</f>
        <v>263286766</v>
      </c>
      <c r="I222" s="69" t="n">
        <v>226</v>
      </c>
      <c r="J222" s="69" t="n">
        <v>21107044</v>
      </c>
      <c r="K222" s="71" t="n">
        <f aca="false">J222/I222</f>
        <v>93394</v>
      </c>
      <c r="L222" s="14"/>
    </row>
    <row r="223" customFormat="false" ht="13.8" hidden="false" customHeight="false" outlineLevel="0" collapsed="false">
      <c r="A223" s="68" t="s">
        <v>230</v>
      </c>
      <c r="B223" s="68" t="n">
        <v>12</v>
      </c>
      <c r="C223" s="69" t="n">
        <v>1429</v>
      </c>
      <c r="D223" s="69" t="n">
        <v>91033464</v>
      </c>
      <c r="E223" s="69" t="n">
        <v>924</v>
      </c>
      <c r="F223" s="69" t="n">
        <v>52136000</v>
      </c>
      <c r="G223" s="69" t="n">
        <v>2107</v>
      </c>
      <c r="H223" s="69" t="n">
        <f aca="false">D223+F223-J223</f>
        <v>127167097</v>
      </c>
      <c r="I223" s="69" t="n">
        <v>246</v>
      </c>
      <c r="J223" s="69" t="n">
        <v>16002367</v>
      </c>
      <c r="K223" s="71" t="n">
        <f aca="false">J223/I223</f>
        <v>65050.2723577236</v>
      </c>
      <c r="L223" s="14"/>
    </row>
    <row r="224" customFormat="false" ht="13.8" hidden="false" customHeight="false" outlineLevel="0" collapsed="false">
      <c r="A224" s="68" t="s">
        <v>231</v>
      </c>
      <c r="B224" s="68" t="n">
        <v>12</v>
      </c>
      <c r="C224" s="69" t="n">
        <v>0</v>
      </c>
      <c r="D224" s="69" t="n">
        <v>0</v>
      </c>
      <c r="E224" s="69" t="n">
        <v>0</v>
      </c>
      <c r="F224" s="69" t="n">
        <v>0</v>
      </c>
      <c r="G224" s="69" t="n">
        <v>0</v>
      </c>
      <c r="H224" s="69" t="n">
        <f aca="false">D224+F224-J224</f>
        <v>0</v>
      </c>
      <c r="I224" s="69" t="n">
        <v>0</v>
      </c>
      <c r="J224" s="69" t="n">
        <v>0</v>
      </c>
      <c r="K224" s="71" t="e">
        <f aca="false">J224/I224</f>
        <v>#DIV/0!</v>
      </c>
      <c r="L224" s="14"/>
    </row>
    <row r="225" customFormat="false" ht="13.8" hidden="false" customHeight="false" outlineLevel="0" collapsed="false">
      <c r="A225" s="68" t="s">
        <v>232</v>
      </c>
      <c r="B225" s="68" t="n">
        <v>12</v>
      </c>
      <c r="C225" s="69" t="n">
        <v>897</v>
      </c>
      <c r="D225" s="69" t="n">
        <v>54866918</v>
      </c>
      <c r="E225" s="69" t="n">
        <v>389</v>
      </c>
      <c r="F225" s="69" t="n">
        <v>22866732</v>
      </c>
      <c r="G225" s="69" t="n">
        <v>665</v>
      </c>
      <c r="H225" s="69" t="n">
        <f aca="false">D225+F225-J225</f>
        <v>40196639</v>
      </c>
      <c r="I225" s="69" t="n">
        <v>621</v>
      </c>
      <c r="J225" s="69" t="n">
        <v>37537011</v>
      </c>
      <c r="K225" s="71" t="n">
        <f aca="false">J225/I225</f>
        <v>60446.0724637681</v>
      </c>
      <c r="L225" s="14"/>
    </row>
    <row r="226" customFormat="false" ht="13.8" hidden="false" customHeight="false" outlineLevel="0" collapsed="false">
      <c r="A226" s="68" t="s">
        <v>233</v>
      </c>
      <c r="B226" s="68" t="n">
        <v>12</v>
      </c>
      <c r="C226" s="69" t="n">
        <v>5775</v>
      </c>
      <c r="D226" s="69" t="n">
        <v>348275500</v>
      </c>
      <c r="E226" s="69" t="n">
        <v>2032</v>
      </c>
      <c r="F226" s="69" t="n">
        <v>100352000</v>
      </c>
      <c r="G226" s="69" t="n">
        <v>5082</v>
      </c>
      <c r="H226" s="69" t="n">
        <f aca="false">D226+F226-J226</f>
        <v>277727259</v>
      </c>
      <c r="I226" s="69" t="n">
        <v>2725</v>
      </c>
      <c r="J226" s="69" t="n">
        <v>170900241</v>
      </c>
      <c r="K226" s="71" t="n">
        <f aca="false">J226/I226</f>
        <v>62715.6847706422</v>
      </c>
      <c r="L226" s="14"/>
    </row>
    <row r="227" customFormat="false" ht="13.8" hidden="false" customHeight="false" outlineLevel="0" collapsed="false">
      <c r="A227" s="68" t="s">
        <v>234</v>
      </c>
      <c r="B227" s="68" t="n">
        <v>12</v>
      </c>
      <c r="C227" s="69" t="n">
        <v>22923</v>
      </c>
      <c r="D227" s="69" t="n">
        <v>1293167657</v>
      </c>
      <c r="E227" s="69" t="n">
        <v>17433</v>
      </c>
      <c r="F227" s="69" t="n">
        <v>905972760</v>
      </c>
      <c r="G227" s="69" t="n">
        <v>25056</v>
      </c>
      <c r="H227" s="69" t="n">
        <f aca="false">D227+F227-J227</f>
        <v>1286033703</v>
      </c>
      <c r="I227" s="69" t="n">
        <v>15300</v>
      </c>
      <c r="J227" s="69" t="n">
        <v>913106714</v>
      </c>
      <c r="K227" s="71" t="n">
        <f aca="false">J227/I227</f>
        <v>59680.1773856209</v>
      </c>
      <c r="L227" s="14"/>
    </row>
    <row r="228" customFormat="false" ht="13.8" hidden="false" customHeight="false" outlineLevel="0" collapsed="false">
      <c r="A228" s="68" t="s">
        <v>235</v>
      </c>
      <c r="B228" s="68" t="n">
        <v>12</v>
      </c>
      <c r="C228" s="69" t="n">
        <v>322</v>
      </c>
      <c r="D228" s="69" t="n">
        <v>22632087</v>
      </c>
      <c r="E228" s="69" t="n">
        <v>120</v>
      </c>
      <c r="F228" s="69" t="n">
        <v>8467200</v>
      </c>
      <c r="G228" s="69" t="n">
        <v>298</v>
      </c>
      <c r="H228" s="69" t="n">
        <f aca="false">D228+F228-J228</f>
        <v>20967393</v>
      </c>
      <c r="I228" s="69" t="n">
        <v>144</v>
      </c>
      <c r="J228" s="69" t="n">
        <v>10131894</v>
      </c>
      <c r="K228" s="71" t="n">
        <f aca="false">J228/I228</f>
        <v>70360.375</v>
      </c>
      <c r="L228" s="14"/>
    </row>
    <row r="229" customFormat="false" ht="13.8" hidden="false" customHeight="false" outlineLevel="0" collapsed="false">
      <c r="A229" s="68" t="s">
        <v>236</v>
      </c>
      <c r="B229" s="68" t="n">
        <v>12</v>
      </c>
      <c r="C229" s="69" t="n">
        <v>252</v>
      </c>
      <c r="D229" s="69" t="n">
        <v>16163532</v>
      </c>
      <c r="E229" s="69" t="n">
        <v>612</v>
      </c>
      <c r="F229" s="69" t="n">
        <v>37714908</v>
      </c>
      <c r="G229" s="69" t="n">
        <v>463</v>
      </c>
      <c r="H229" s="69" t="n">
        <f aca="false">D229+F229-J229</f>
        <v>28186406</v>
      </c>
      <c r="I229" s="69" t="n">
        <v>401</v>
      </c>
      <c r="J229" s="69" t="n">
        <v>25692034</v>
      </c>
      <c r="K229" s="71" t="n">
        <f aca="false">J229/I229</f>
        <v>64069.9102244389</v>
      </c>
      <c r="L229" s="14"/>
    </row>
    <row r="230" customFormat="false" ht="13.8" hidden="false" customHeight="false" outlineLevel="0" collapsed="false">
      <c r="A230" s="68" t="s">
        <v>237</v>
      </c>
      <c r="B230" s="68" t="n">
        <v>12</v>
      </c>
      <c r="C230" s="69" t="n">
        <v>235</v>
      </c>
      <c r="D230" s="69" t="n">
        <v>1918332</v>
      </c>
      <c r="E230" s="69" t="n">
        <v>235</v>
      </c>
      <c r="F230" s="69" t="n">
        <v>13933150</v>
      </c>
      <c r="G230" s="69" t="n">
        <v>235</v>
      </c>
      <c r="H230" s="69" t="n">
        <f aca="false">D230+F230-J230</f>
        <v>1918332</v>
      </c>
      <c r="I230" s="69" t="n">
        <v>235</v>
      </c>
      <c r="J230" s="69" t="n">
        <v>13933150</v>
      </c>
      <c r="K230" s="71" t="n">
        <f aca="false">J230/I230</f>
        <v>59290</v>
      </c>
      <c r="L230" s="14"/>
    </row>
    <row r="231" customFormat="false" ht="13.8" hidden="false" customHeight="false" outlineLevel="0" collapsed="false">
      <c r="A231" s="68" t="s">
        <v>238</v>
      </c>
      <c r="B231" s="68" t="n">
        <v>12</v>
      </c>
      <c r="C231" s="69" t="n">
        <v>942</v>
      </c>
      <c r="D231" s="69" t="n">
        <v>53507694</v>
      </c>
      <c r="E231" s="69" t="n">
        <v>0</v>
      </c>
      <c r="F231" s="69" t="n">
        <v>0</v>
      </c>
      <c r="G231" s="69" t="n">
        <v>543</v>
      </c>
      <c r="H231" s="69" t="n">
        <f aca="false">D231+F231-J231</f>
        <v>7497893</v>
      </c>
      <c r="I231" s="69" t="n">
        <v>399</v>
      </c>
      <c r="J231" s="69" t="n">
        <v>46009801</v>
      </c>
      <c r="K231" s="71" t="n">
        <f aca="false">J231/I231</f>
        <v>115312.784461153</v>
      </c>
      <c r="L231" s="14"/>
    </row>
    <row r="232" customFormat="false" ht="13.8" hidden="false" customHeight="false" outlineLevel="0" collapsed="false">
      <c r="A232" s="68" t="s">
        <v>239</v>
      </c>
      <c r="B232" s="68" t="n">
        <v>12</v>
      </c>
      <c r="C232" s="69" t="n">
        <v>0</v>
      </c>
      <c r="D232" s="69" t="n">
        <v>0</v>
      </c>
      <c r="E232" s="69" t="n">
        <v>0</v>
      </c>
      <c r="F232" s="69" t="n">
        <v>0</v>
      </c>
      <c r="G232" s="69" t="n">
        <v>0</v>
      </c>
      <c r="H232" s="69" t="n">
        <f aca="false">D232+F232-J232</f>
        <v>0</v>
      </c>
      <c r="I232" s="69" t="n">
        <v>0</v>
      </c>
      <c r="J232" s="69" t="n">
        <v>0</v>
      </c>
      <c r="K232" s="71"/>
      <c r="L232" s="14"/>
    </row>
    <row r="233" customFormat="false" ht="13.8" hidden="false" customHeight="false" outlineLevel="0" collapsed="false">
      <c r="A233" s="68" t="s">
        <v>240</v>
      </c>
      <c r="B233" s="68" t="n">
        <v>12</v>
      </c>
      <c r="C233" s="69" t="n">
        <v>25</v>
      </c>
      <c r="D233" s="69" t="n">
        <v>2337348</v>
      </c>
      <c r="E233" s="69" t="n">
        <v>2030</v>
      </c>
      <c r="F233" s="69" t="n">
        <v>189788760</v>
      </c>
      <c r="G233" s="69" t="n">
        <v>1506</v>
      </c>
      <c r="H233" s="69" t="n">
        <f aca="false">D233+F233-J233</f>
        <v>140798987</v>
      </c>
      <c r="I233" s="69" t="n">
        <v>549</v>
      </c>
      <c r="J233" s="69" t="n">
        <v>51327121</v>
      </c>
      <c r="K233" s="71" t="n">
        <f aca="false">J233/I233</f>
        <v>93492.0236794171</v>
      </c>
      <c r="L233" s="14"/>
    </row>
    <row r="234" customFormat="false" ht="13.8" hidden="false" customHeight="false" outlineLevel="0" collapsed="false">
      <c r="A234" s="68" t="s">
        <v>241</v>
      </c>
      <c r="B234" s="68" t="n">
        <v>12</v>
      </c>
      <c r="C234" s="69" t="n">
        <v>1186</v>
      </c>
      <c r="D234" s="69" t="n">
        <v>91489935</v>
      </c>
      <c r="E234" s="69" t="n">
        <v>464</v>
      </c>
      <c r="F234" s="69" t="n">
        <v>32792760</v>
      </c>
      <c r="G234" s="69" t="n">
        <v>769</v>
      </c>
      <c r="H234" s="69" t="n">
        <f aca="false">D234+F234-J234</f>
        <v>51294858</v>
      </c>
      <c r="I234" s="69" t="n">
        <v>881</v>
      </c>
      <c r="J234" s="69" t="n">
        <v>72987837</v>
      </c>
      <c r="K234" s="71" t="n">
        <f aca="false">J234/I234</f>
        <v>82846.5800227015</v>
      </c>
      <c r="L234" s="14"/>
    </row>
    <row r="235" customFormat="false" ht="13.8" hidden="false" customHeight="false" outlineLevel="0" collapsed="false">
      <c r="A235" s="68" t="s">
        <v>242</v>
      </c>
      <c r="B235" s="68" t="n">
        <v>12</v>
      </c>
      <c r="C235" s="69" t="n">
        <v>137</v>
      </c>
      <c r="D235" s="69" t="n">
        <v>9584186</v>
      </c>
      <c r="E235" s="69" t="n">
        <v>54</v>
      </c>
      <c r="F235" s="69" t="n">
        <v>3797010</v>
      </c>
      <c r="G235" s="69" t="n">
        <v>38</v>
      </c>
      <c r="H235" s="69" t="n">
        <f aca="false">D235+F235-J235</f>
        <v>2311934</v>
      </c>
      <c r="I235" s="69" t="n">
        <v>153</v>
      </c>
      <c r="J235" s="69" t="n">
        <v>11069262</v>
      </c>
      <c r="K235" s="71" t="n">
        <f aca="false">J235/I235</f>
        <v>72348.1176470588</v>
      </c>
      <c r="L235" s="14"/>
    </row>
    <row r="236" customFormat="false" ht="13.8" hidden="false" customHeight="false" outlineLevel="0" collapsed="false">
      <c r="A236" s="68" t="s">
        <v>243</v>
      </c>
      <c r="B236" s="68" t="n">
        <v>12</v>
      </c>
      <c r="C236" s="69" t="n">
        <v>1575</v>
      </c>
      <c r="D236" s="69" t="n">
        <v>144885570</v>
      </c>
      <c r="E236" s="69" t="n">
        <v>171</v>
      </c>
      <c r="F236" s="69" t="n">
        <v>15690192</v>
      </c>
      <c r="G236" s="69" t="n">
        <v>1617</v>
      </c>
      <c r="H236" s="69" t="n">
        <f aca="false">D236+F236-J236</f>
        <v>148711917</v>
      </c>
      <c r="I236" s="69" t="n">
        <v>129</v>
      </c>
      <c r="J236" s="69" t="n">
        <v>11863845</v>
      </c>
      <c r="K236" s="71" t="n">
        <f aca="false">J236/I236</f>
        <v>91967.7906976744</v>
      </c>
      <c r="L236" s="14"/>
    </row>
    <row r="237" customFormat="false" ht="13.8" hidden="false" customHeight="false" outlineLevel="0" collapsed="false">
      <c r="A237" s="68" t="s">
        <v>244</v>
      </c>
      <c r="B237" s="68" t="n">
        <v>12</v>
      </c>
      <c r="C237" s="69" t="n">
        <v>4</v>
      </c>
      <c r="D237" s="69" t="n">
        <v>351232</v>
      </c>
      <c r="E237" s="69" t="n">
        <v>48</v>
      </c>
      <c r="F237" s="69" t="n">
        <v>4214784</v>
      </c>
      <c r="G237" s="69" t="n">
        <v>52</v>
      </c>
      <c r="H237" s="69" t="n">
        <f aca="false">D237+F237-J237</f>
        <v>4566016</v>
      </c>
      <c r="I237" s="69" t="n">
        <v>0</v>
      </c>
      <c r="J237" s="69" t="n">
        <v>0</v>
      </c>
      <c r="K237" s="71"/>
      <c r="L237" s="14"/>
    </row>
    <row r="238" customFormat="false" ht="13.8" hidden="false" customHeight="false" outlineLevel="0" collapsed="false">
      <c r="A238" s="68" t="s">
        <v>245</v>
      </c>
      <c r="B238" s="68" t="n">
        <v>12</v>
      </c>
      <c r="C238" s="69" t="n">
        <v>0</v>
      </c>
      <c r="D238" s="69" t="n">
        <v>0</v>
      </c>
      <c r="E238" s="69" t="n">
        <v>0</v>
      </c>
      <c r="F238" s="69" t="n">
        <v>0</v>
      </c>
      <c r="G238" s="69" t="n">
        <v>0</v>
      </c>
      <c r="H238" s="69" t="n">
        <f aca="false">D238+F238-J238</f>
        <v>0</v>
      </c>
      <c r="I238" s="69" t="n">
        <v>0</v>
      </c>
      <c r="J238" s="69" t="n">
        <v>0</v>
      </c>
      <c r="K238" s="71"/>
      <c r="L238" s="14"/>
    </row>
    <row r="239" customFormat="false" ht="13.8" hidden="false" customHeight="false" outlineLevel="0" collapsed="false">
      <c r="A239" s="68" t="s">
        <v>246</v>
      </c>
      <c r="B239" s="68" t="n">
        <v>12</v>
      </c>
      <c r="C239" s="69" t="n">
        <v>8756</v>
      </c>
      <c r="D239" s="69" t="n">
        <v>62408741</v>
      </c>
      <c r="E239" s="69" t="n">
        <v>1920</v>
      </c>
      <c r="F239" s="69" t="n">
        <v>13684878</v>
      </c>
      <c r="G239" s="69" t="n">
        <v>135</v>
      </c>
      <c r="H239" s="69" t="n">
        <f aca="false">D239+F239-J239</f>
        <v>962218</v>
      </c>
      <c r="I239" s="69" t="n">
        <v>10541</v>
      </c>
      <c r="J239" s="69" t="n">
        <v>75131401</v>
      </c>
      <c r="K239" s="71" t="n">
        <f aca="false">J239/I239</f>
        <v>7127.54017645385</v>
      </c>
      <c r="L239" s="14"/>
    </row>
    <row r="240" customFormat="false" ht="13.8" hidden="false" customHeight="false" outlineLevel="0" collapsed="false">
      <c r="A240" s="68" t="s">
        <v>247</v>
      </c>
      <c r="B240" s="68" t="n">
        <v>12</v>
      </c>
      <c r="C240" s="69" t="n">
        <v>43404</v>
      </c>
      <c r="D240" s="69" t="n">
        <v>288267066</v>
      </c>
      <c r="E240" s="69" t="n">
        <v>2880</v>
      </c>
      <c r="F240" s="69" t="n">
        <v>20527315</v>
      </c>
      <c r="G240" s="69" t="n">
        <v>3104</v>
      </c>
      <c r="H240" s="69" t="n">
        <f aca="false">D240+F240-J240</f>
        <v>1027447</v>
      </c>
      <c r="I240" s="69" t="n">
        <v>43180</v>
      </c>
      <c r="J240" s="69" t="n">
        <v>307766934</v>
      </c>
      <c r="K240" s="71" t="n">
        <f aca="false">J240/I240</f>
        <v>7127.53436776285</v>
      </c>
      <c r="L240" s="14"/>
    </row>
    <row r="241" customFormat="false" ht="13.8" hidden="false" customHeight="false" outlineLevel="0" collapsed="false">
      <c r="A241" s="68" t="s">
        <v>248</v>
      </c>
      <c r="B241" s="68" t="n">
        <v>12</v>
      </c>
      <c r="C241" s="69" t="n">
        <v>384</v>
      </c>
      <c r="D241" s="69" t="n">
        <v>1852721</v>
      </c>
      <c r="E241" s="69" t="n">
        <v>0</v>
      </c>
      <c r="F241" s="69" t="n">
        <v>0</v>
      </c>
      <c r="G241" s="69" t="n">
        <v>0</v>
      </c>
      <c r="H241" s="69" t="n">
        <f aca="false">D241+F241-J241</f>
        <v>0</v>
      </c>
      <c r="I241" s="69" t="n">
        <v>384</v>
      </c>
      <c r="J241" s="69" t="n">
        <v>1852721</v>
      </c>
      <c r="K241" s="71" t="n">
        <f aca="false">J241/I241</f>
        <v>4824.79427083333</v>
      </c>
      <c r="L241" s="14"/>
    </row>
    <row r="242" customFormat="false" ht="13.8" hidden="false" customHeight="false" outlineLevel="0" collapsed="false">
      <c r="A242" s="68" t="s">
        <v>249</v>
      </c>
      <c r="B242" s="68" t="n">
        <v>12</v>
      </c>
      <c r="C242" s="69" t="n">
        <v>420</v>
      </c>
      <c r="D242" s="69" t="n">
        <v>1974630</v>
      </c>
      <c r="E242" s="69" t="n">
        <v>271</v>
      </c>
      <c r="F242" s="69" t="n">
        <v>0</v>
      </c>
      <c r="G242" s="69" t="n">
        <v>0</v>
      </c>
      <c r="H242" s="69" t="n">
        <f aca="false">D242+F242-J242</f>
        <v>0</v>
      </c>
      <c r="I242" s="69" t="n">
        <v>691</v>
      </c>
      <c r="J242" s="69" t="n">
        <v>1974630</v>
      </c>
      <c r="K242" s="71" t="n">
        <f aca="false">J242/I242</f>
        <v>2857.64109985528</v>
      </c>
      <c r="L242" s="14"/>
    </row>
    <row r="243" customFormat="false" ht="13.8" hidden="false" customHeight="false" outlineLevel="0" collapsed="false">
      <c r="A243" s="68" t="s">
        <v>250</v>
      </c>
      <c r="B243" s="68" t="n">
        <v>12</v>
      </c>
      <c r="C243" s="69" t="n">
        <v>16561</v>
      </c>
      <c r="D243" s="69" t="n">
        <v>169801355</v>
      </c>
      <c r="E243" s="69" t="n">
        <v>20781</v>
      </c>
      <c r="F243" s="69" t="n">
        <v>199603082</v>
      </c>
      <c r="G243" s="69" t="n">
        <v>11497</v>
      </c>
      <c r="H243" s="69" t="n">
        <f aca="false">D243+F243-J243</f>
        <v>185196842</v>
      </c>
      <c r="I243" s="69" t="n">
        <v>25845</v>
      </c>
      <c r="J243" s="69" t="n">
        <v>184207595</v>
      </c>
      <c r="K243" s="71" t="n">
        <f aca="false">J243/I243</f>
        <v>7127.3977558522</v>
      </c>
      <c r="L243" s="14"/>
    </row>
    <row r="244" customFormat="false" ht="13.8" hidden="false" customHeight="false" outlineLevel="0" collapsed="false">
      <c r="A244" s="68" t="s">
        <v>251</v>
      </c>
      <c r="B244" s="68" t="n">
        <v>12</v>
      </c>
      <c r="C244" s="69" t="n">
        <v>0</v>
      </c>
      <c r="D244" s="69"/>
      <c r="E244" s="69"/>
      <c r="F244" s="69"/>
      <c r="G244" s="69"/>
      <c r="H244" s="69" t="n">
        <f aca="false">D244+F244-J244</f>
        <v>0</v>
      </c>
      <c r="I244" s="69"/>
      <c r="J244" s="69"/>
      <c r="K244" s="71"/>
      <c r="L244" s="14"/>
    </row>
    <row r="245" customFormat="false" ht="13.8" hidden="false" customHeight="false" outlineLevel="0" collapsed="false">
      <c r="A245" s="68" t="s">
        <v>252</v>
      </c>
      <c r="B245" s="68" t="n">
        <v>12</v>
      </c>
      <c r="C245" s="69" t="n">
        <v>0</v>
      </c>
      <c r="D245" s="69" t="n">
        <v>0</v>
      </c>
      <c r="E245" s="69" t="n">
        <v>0</v>
      </c>
      <c r="F245" s="69" t="n">
        <v>0</v>
      </c>
      <c r="G245" s="69" t="n">
        <v>0</v>
      </c>
      <c r="H245" s="69" t="n">
        <f aca="false">D245+F245-J245</f>
        <v>0</v>
      </c>
      <c r="I245" s="69" t="n">
        <v>0</v>
      </c>
      <c r="J245" s="69" t="n">
        <v>0</v>
      </c>
      <c r="K245" s="71"/>
      <c r="L245" s="14"/>
    </row>
    <row r="246" customFormat="false" ht="13.8" hidden="false" customHeight="false" outlineLevel="0" collapsed="false">
      <c r="A246" s="68" t="s">
        <v>253</v>
      </c>
      <c r="B246" s="68" t="n">
        <v>12</v>
      </c>
      <c r="C246" s="69" t="n">
        <v>0</v>
      </c>
      <c r="D246" s="69" t="n">
        <v>0</v>
      </c>
      <c r="E246" s="69" t="n">
        <v>0</v>
      </c>
      <c r="F246" s="69" t="n">
        <v>0</v>
      </c>
      <c r="G246" s="69" t="n">
        <v>0</v>
      </c>
      <c r="H246" s="69" t="n">
        <f aca="false">D246+F246-J246</f>
        <v>0</v>
      </c>
      <c r="I246" s="69" t="n">
        <v>0</v>
      </c>
      <c r="J246" s="69" t="n">
        <v>0</v>
      </c>
      <c r="K246" s="71"/>
      <c r="L246" s="14"/>
    </row>
    <row r="247" customFormat="false" ht="13.8" hidden="false" customHeight="false" outlineLevel="0" collapsed="false">
      <c r="A247" s="68" t="s">
        <v>254</v>
      </c>
      <c r="B247" s="68" t="n">
        <v>12</v>
      </c>
      <c r="C247" s="69" t="n">
        <v>178</v>
      </c>
      <c r="D247" s="69" t="n">
        <v>6117278</v>
      </c>
      <c r="E247" s="69" t="n">
        <v>62</v>
      </c>
      <c r="F247" s="69" t="n">
        <v>2130804</v>
      </c>
      <c r="G247" s="69" t="n">
        <v>240</v>
      </c>
      <c r="H247" s="69" t="n">
        <f aca="false">D247+F247-J247</f>
        <v>8248082</v>
      </c>
      <c r="I247" s="69" t="n">
        <v>0</v>
      </c>
      <c r="J247" s="69" t="n">
        <v>0</v>
      </c>
      <c r="K247" s="71"/>
      <c r="L247" s="14"/>
    </row>
    <row r="248" customFormat="false" ht="13.8" hidden="false" customHeight="false" outlineLevel="0" collapsed="false">
      <c r="A248" s="68" t="s">
        <v>255</v>
      </c>
      <c r="B248" s="68" t="n">
        <v>12</v>
      </c>
      <c r="C248" s="69" t="n">
        <v>0</v>
      </c>
      <c r="D248" s="69" t="n">
        <v>884858</v>
      </c>
      <c r="E248" s="69" t="n">
        <v>40</v>
      </c>
      <c r="F248" s="69" t="n">
        <v>3487564</v>
      </c>
      <c r="G248" s="69" t="n">
        <v>40</v>
      </c>
      <c r="H248" s="69" t="n">
        <f aca="false">D248+F248-J248</f>
        <v>4372422</v>
      </c>
      <c r="I248" s="69" t="n">
        <v>0</v>
      </c>
      <c r="J248" s="69" t="n">
        <v>0</v>
      </c>
      <c r="K248" s="71"/>
      <c r="L248" s="14"/>
    </row>
    <row r="249" customFormat="false" ht="13.8" hidden="false" customHeight="false" outlineLevel="0" collapsed="false">
      <c r="A249" s="68" t="s">
        <v>256</v>
      </c>
      <c r="B249" s="68" t="n">
        <v>12</v>
      </c>
      <c r="C249" s="69" t="n">
        <v>0</v>
      </c>
      <c r="D249" s="69" t="n">
        <v>0</v>
      </c>
      <c r="E249" s="69" t="n">
        <v>110</v>
      </c>
      <c r="F249" s="69" t="n">
        <v>4786700</v>
      </c>
      <c r="G249" s="69" t="n">
        <v>110</v>
      </c>
      <c r="H249" s="69" t="n">
        <f aca="false">D249+F249-J249</f>
        <v>4786700</v>
      </c>
      <c r="I249" s="69" t="n">
        <v>0</v>
      </c>
      <c r="J249" s="69" t="n">
        <v>0</v>
      </c>
      <c r="K249" s="71"/>
      <c r="L249" s="14"/>
    </row>
    <row r="250" customFormat="false" ht="13.8" hidden="false" customHeight="false" outlineLevel="0" collapsed="false">
      <c r="A250" s="68" t="s">
        <v>257</v>
      </c>
      <c r="B250" s="68" t="n">
        <v>12</v>
      </c>
      <c r="C250" s="69" t="n">
        <v>26</v>
      </c>
      <c r="D250" s="69" t="n">
        <v>1423200</v>
      </c>
      <c r="E250" s="69" t="n">
        <v>24</v>
      </c>
      <c r="F250" s="69" t="n">
        <v>1313723</v>
      </c>
      <c r="G250" s="69" t="n">
        <v>50</v>
      </c>
      <c r="H250" s="69" t="n">
        <f aca="false">D250+F250-J250</f>
        <v>2736923</v>
      </c>
      <c r="I250" s="69" t="n">
        <v>0</v>
      </c>
      <c r="J250" s="69" t="n">
        <v>0</v>
      </c>
      <c r="K250" s="71"/>
      <c r="L250" s="14"/>
    </row>
    <row r="251" customFormat="false" ht="13.8" hidden="false" customHeight="false" outlineLevel="0" collapsed="false">
      <c r="A251" s="68" t="s">
        <v>258</v>
      </c>
      <c r="B251" s="68" t="n">
        <v>12</v>
      </c>
      <c r="C251" s="69" t="n">
        <v>1315</v>
      </c>
      <c r="D251" s="69" t="n">
        <v>5870462</v>
      </c>
      <c r="E251" s="69" t="n">
        <v>150</v>
      </c>
      <c r="F251" s="69" t="n">
        <v>2298240</v>
      </c>
      <c r="G251" s="69" t="n">
        <v>1126</v>
      </c>
      <c r="H251" s="69" t="n">
        <f aca="false">D251+F251-J251</f>
        <v>3829633</v>
      </c>
      <c r="I251" s="69" t="n">
        <v>339</v>
      </c>
      <c r="J251" s="69" t="n">
        <v>4339069</v>
      </c>
      <c r="K251" s="71" t="n">
        <f aca="false">J251/I251</f>
        <v>12799.6135693215</v>
      </c>
      <c r="L251" s="14"/>
    </row>
    <row r="252" customFormat="false" ht="13.8" hidden="false" customHeight="false" outlineLevel="0" collapsed="false">
      <c r="A252" s="68" t="s">
        <v>259</v>
      </c>
      <c r="B252" s="68" t="n">
        <v>12</v>
      </c>
      <c r="C252" s="69" t="n">
        <v>90</v>
      </c>
      <c r="D252" s="69" t="n">
        <v>1980663</v>
      </c>
      <c r="E252" s="69" t="n">
        <v>0</v>
      </c>
      <c r="F252" s="69" t="n">
        <v>0</v>
      </c>
      <c r="G252" s="69" t="n">
        <v>0</v>
      </c>
      <c r="H252" s="69" t="n">
        <f aca="false">D252+F252-J252</f>
        <v>0</v>
      </c>
      <c r="I252" s="69" t="n">
        <v>90</v>
      </c>
      <c r="J252" s="69" t="n">
        <v>1980663</v>
      </c>
      <c r="K252" s="71" t="n">
        <f aca="false">J252/I252</f>
        <v>22007.3666666667</v>
      </c>
      <c r="L252" s="14"/>
    </row>
    <row r="253" customFormat="false" ht="13.8" hidden="false" customHeight="false" outlineLevel="0" collapsed="false">
      <c r="A253" s="68" t="s">
        <v>260</v>
      </c>
      <c r="B253" s="68" t="n">
        <v>12</v>
      </c>
      <c r="C253" s="69" t="n">
        <v>7</v>
      </c>
      <c r="D253" s="69" t="n">
        <v>460192</v>
      </c>
      <c r="E253" s="69" t="n">
        <v>0</v>
      </c>
      <c r="F253" s="69" t="n">
        <v>0</v>
      </c>
      <c r="G253" s="69" t="n">
        <v>0</v>
      </c>
      <c r="H253" s="69" t="n">
        <f aca="false">D253+F253-J253</f>
        <v>0</v>
      </c>
      <c r="I253" s="69" t="n">
        <v>7</v>
      </c>
      <c r="J253" s="69" t="n">
        <v>460192</v>
      </c>
      <c r="K253" s="71" t="n">
        <f aca="false">J253/I253</f>
        <v>65741.7142857143</v>
      </c>
      <c r="L253" s="14"/>
    </row>
    <row r="254" customFormat="false" ht="13.8" hidden="false" customHeight="false" outlineLevel="0" collapsed="false">
      <c r="A254" s="68" t="s">
        <v>261</v>
      </c>
      <c r="B254" s="68" t="n">
        <v>12</v>
      </c>
      <c r="C254" s="69" t="n">
        <v>0</v>
      </c>
      <c r="D254" s="69" t="n">
        <v>0</v>
      </c>
      <c r="E254" s="69" t="n">
        <v>0</v>
      </c>
      <c r="F254" s="69" t="n">
        <v>0</v>
      </c>
      <c r="G254" s="69" t="n">
        <v>0</v>
      </c>
      <c r="H254" s="69" t="n">
        <f aca="false">D254+F254-J254</f>
        <v>0</v>
      </c>
      <c r="I254" s="69" t="n">
        <v>0</v>
      </c>
      <c r="J254" s="69" t="n">
        <v>0</v>
      </c>
      <c r="K254" s="71"/>
      <c r="L254" s="14"/>
    </row>
    <row r="255" customFormat="false" ht="13.8" hidden="false" customHeight="false" outlineLevel="0" collapsed="false">
      <c r="A255" s="68" t="s">
        <v>262</v>
      </c>
      <c r="B255" s="68" t="n">
        <v>12</v>
      </c>
      <c r="C255" s="69" t="n">
        <v>4</v>
      </c>
      <c r="D255" s="69" t="n">
        <v>330624</v>
      </c>
      <c r="E255" s="69" t="n">
        <v>0</v>
      </c>
      <c r="F255" s="69" t="n">
        <v>0</v>
      </c>
      <c r="G255" s="69" t="n">
        <v>0</v>
      </c>
      <c r="H255" s="69" t="n">
        <f aca="false">D255+F255-J255</f>
        <v>0</v>
      </c>
      <c r="I255" s="69" t="n">
        <v>4</v>
      </c>
      <c r="J255" s="69" t="n">
        <v>330624</v>
      </c>
      <c r="K255" s="71" t="n">
        <f aca="false">J255/I255</f>
        <v>82656</v>
      </c>
      <c r="L255" s="14"/>
    </row>
    <row r="256" customFormat="false" ht="13.8" hidden="false" customHeight="false" outlineLevel="0" collapsed="false">
      <c r="A256" s="68" t="s">
        <v>263</v>
      </c>
      <c r="B256" s="68" t="n">
        <v>12</v>
      </c>
      <c r="C256" s="69" t="n">
        <v>0</v>
      </c>
      <c r="D256" s="69" t="n">
        <v>0</v>
      </c>
      <c r="E256" s="69" t="n">
        <v>0</v>
      </c>
      <c r="F256" s="69" t="n">
        <v>0</v>
      </c>
      <c r="G256" s="69" t="n">
        <v>0</v>
      </c>
      <c r="H256" s="69" t="n">
        <f aca="false">D256+F256-J256</f>
        <v>0</v>
      </c>
      <c r="I256" s="69" t="n">
        <v>0</v>
      </c>
      <c r="J256" s="69" t="n">
        <v>0</v>
      </c>
      <c r="K256" s="71"/>
      <c r="L256" s="14"/>
    </row>
    <row r="257" customFormat="false" ht="13.8" hidden="false" customHeight="false" outlineLevel="0" collapsed="false">
      <c r="A257" s="68" t="s">
        <v>264</v>
      </c>
      <c r="B257" s="68" t="n">
        <v>12</v>
      </c>
      <c r="C257" s="69" t="n">
        <v>0</v>
      </c>
      <c r="D257" s="69" t="n">
        <v>0</v>
      </c>
      <c r="E257" s="69" t="n">
        <v>0</v>
      </c>
      <c r="F257" s="69" t="n">
        <v>0</v>
      </c>
      <c r="G257" s="69" t="n">
        <v>0</v>
      </c>
      <c r="H257" s="69" t="n">
        <f aca="false">D257+F257-J257</f>
        <v>0</v>
      </c>
      <c r="I257" s="69" t="n">
        <v>0</v>
      </c>
      <c r="J257" s="69" t="n">
        <v>0</v>
      </c>
      <c r="K257" s="71"/>
      <c r="L257" s="14"/>
    </row>
    <row r="258" customFormat="false" ht="13.8" hidden="false" customHeight="false" outlineLevel="0" collapsed="false">
      <c r="A258" s="68" t="s">
        <v>265</v>
      </c>
      <c r="B258" s="68" t="n">
        <v>12</v>
      </c>
      <c r="C258" s="69" t="n">
        <v>5</v>
      </c>
      <c r="D258" s="69" t="n">
        <v>412800</v>
      </c>
      <c r="E258" s="69" t="n">
        <v>0</v>
      </c>
      <c r="F258" s="69" t="n">
        <v>0</v>
      </c>
      <c r="G258" s="69" t="n">
        <v>0</v>
      </c>
      <c r="H258" s="69" t="n">
        <f aca="false">D258+F258-J258</f>
        <v>0</v>
      </c>
      <c r="I258" s="69" t="n">
        <v>5</v>
      </c>
      <c r="J258" s="69" t="n">
        <v>412800</v>
      </c>
      <c r="K258" s="71" t="n">
        <f aca="false">J258/I258</f>
        <v>82560</v>
      </c>
      <c r="L258" s="14"/>
    </row>
    <row r="259" customFormat="false" ht="13.8" hidden="false" customHeight="false" outlineLevel="0" collapsed="false">
      <c r="A259" s="68" t="s">
        <v>266</v>
      </c>
      <c r="B259" s="68" t="n">
        <v>12</v>
      </c>
      <c r="C259" s="69" t="n">
        <v>5</v>
      </c>
      <c r="D259" s="69" t="n">
        <v>441600</v>
      </c>
      <c r="E259" s="69" t="n">
        <v>0</v>
      </c>
      <c r="F259" s="69" t="n">
        <v>0</v>
      </c>
      <c r="G259" s="69" t="n">
        <v>0</v>
      </c>
      <c r="H259" s="69" t="n">
        <f aca="false">D259+F259-J259</f>
        <v>0</v>
      </c>
      <c r="I259" s="69" t="n">
        <v>5</v>
      </c>
      <c r="J259" s="69" t="n">
        <v>441600</v>
      </c>
      <c r="K259" s="71" t="n">
        <f aca="false">J259/I259</f>
        <v>88320</v>
      </c>
      <c r="L259" s="14"/>
    </row>
    <row r="260" customFormat="false" ht="13.8" hidden="false" customHeight="false" outlineLevel="0" collapsed="false">
      <c r="A260" s="68" t="s">
        <v>267</v>
      </c>
      <c r="B260" s="68" t="n">
        <v>12</v>
      </c>
      <c r="C260" s="69" t="n">
        <v>6</v>
      </c>
      <c r="D260" s="69" t="n">
        <v>447000</v>
      </c>
      <c r="E260" s="69"/>
      <c r="F260" s="69" t="n">
        <v>0</v>
      </c>
      <c r="G260" s="69"/>
      <c r="H260" s="69" t="n">
        <f aca="false">D260+F260-J260</f>
        <v>0</v>
      </c>
      <c r="I260" s="69" t="n">
        <v>6</v>
      </c>
      <c r="J260" s="69" t="n">
        <v>447000</v>
      </c>
      <c r="K260" s="71" t="n">
        <f aca="false">J260/I260</f>
        <v>74500</v>
      </c>
      <c r="L260" s="14"/>
    </row>
    <row r="261" customFormat="false" ht="13.8" hidden="false" customHeight="false" outlineLevel="0" collapsed="false">
      <c r="A261" s="68" t="s">
        <v>268</v>
      </c>
      <c r="B261" s="68" t="n">
        <v>12</v>
      </c>
      <c r="C261" s="69" t="n">
        <v>0</v>
      </c>
      <c r="D261" s="69" t="n">
        <v>0</v>
      </c>
      <c r="E261" s="69" t="n">
        <v>0</v>
      </c>
      <c r="F261" s="69" t="n">
        <v>0</v>
      </c>
      <c r="G261" s="69" t="n">
        <v>0</v>
      </c>
      <c r="H261" s="69" t="n">
        <f aca="false">D261+F261-J261</f>
        <v>0</v>
      </c>
      <c r="I261" s="69" t="n">
        <v>0</v>
      </c>
      <c r="J261" s="69" t="n">
        <v>0</v>
      </c>
      <c r="K261" s="71"/>
      <c r="L261" s="14"/>
    </row>
    <row r="262" customFormat="false" ht="13.8" hidden="false" customHeight="false" outlineLevel="0" collapsed="false">
      <c r="A262" s="68" t="s">
        <v>269</v>
      </c>
      <c r="B262" s="68" t="n">
        <v>12</v>
      </c>
      <c r="C262" s="69" t="n">
        <v>0</v>
      </c>
      <c r="D262" s="69" t="n">
        <v>0</v>
      </c>
      <c r="E262" s="69" t="n">
        <v>0</v>
      </c>
      <c r="F262" s="69" t="n">
        <v>0</v>
      </c>
      <c r="G262" s="69" t="n">
        <v>0</v>
      </c>
      <c r="H262" s="69" t="n">
        <f aca="false">D262+F262-J262</f>
        <v>0</v>
      </c>
      <c r="I262" s="69" t="n">
        <v>0</v>
      </c>
      <c r="J262" s="69" t="n">
        <v>0</v>
      </c>
      <c r="K262" s="71"/>
      <c r="L262" s="14"/>
    </row>
    <row r="263" customFormat="false" ht="13.8" hidden="false" customHeight="false" outlineLevel="0" collapsed="false">
      <c r="A263" s="68" t="s">
        <v>270</v>
      </c>
      <c r="B263" s="68" t="n">
        <v>12</v>
      </c>
      <c r="C263" s="69" t="n">
        <v>0</v>
      </c>
      <c r="D263" s="69" t="n">
        <v>0</v>
      </c>
      <c r="E263" s="69" t="n">
        <v>0</v>
      </c>
      <c r="F263" s="69" t="n">
        <v>0</v>
      </c>
      <c r="G263" s="69" t="n">
        <v>0</v>
      </c>
      <c r="H263" s="69" t="n">
        <f aca="false">D263+F263-J263</f>
        <v>0</v>
      </c>
      <c r="I263" s="69" t="n">
        <v>0</v>
      </c>
      <c r="J263" s="69" t="n">
        <v>0</v>
      </c>
      <c r="K263" s="71"/>
      <c r="L263" s="14"/>
    </row>
    <row r="264" customFormat="false" ht="13.8" hidden="false" customHeight="false" outlineLevel="0" collapsed="false">
      <c r="A264" s="68" t="s">
        <v>271</v>
      </c>
      <c r="B264" s="68" t="n">
        <v>12</v>
      </c>
      <c r="C264" s="69" t="n">
        <v>0</v>
      </c>
      <c r="D264" s="69" t="n">
        <v>0</v>
      </c>
      <c r="E264" s="69" t="n">
        <v>0</v>
      </c>
      <c r="F264" s="69" t="n">
        <v>0</v>
      </c>
      <c r="G264" s="69" t="n">
        <v>0</v>
      </c>
      <c r="H264" s="69" t="n">
        <f aca="false">D264+F264-J264</f>
        <v>0</v>
      </c>
      <c r="I264" s="69" t="n">
        <v>0</v>
      </c>
      <c r="J264" s="69" t="n">
        <v>0</v>
      </c>
      <c r="K264" s="71"/>
      <c r="L264" s="14"/>
    </row>
    <row r="265" customFormat="false" ht="13.8" hidden="false" customHeight="false" outlineLevel="0" collapsed="false">
      <c r="A265" s="68" t="s">
        <v>272</v>
      </c>
      <c r="B265" s="68" t="n">
        <v>12</v>
      </c>
      <c r="C265" s="69" t="n">
        <v>0</v>
      </c>
      <c r="D265" s="69" t="n">
        <v>0</v>
      </c>
      <c r="E265" s="69" t="n">
        <v>0</v>
      </c>
      <c r="F265" s="69" t="n">
        <v>0</v>
      </c>
      <c r="G265" s="69" t="n">
        <v>0</v>
      </c>
      <c r="H265" s="69" t="n">
        <f aca="false">D265+F265-J265</f>
        <v>0</v>
      </c>
      <c r="I265" s="69" t="n">
        <v>0</v>
      </c>
      <c r="J265" s="69" t="n">
        <v>0</v>
      </c>
      <c r="K265" s="71"/>
      <c r="L265" s="14"/>
    </row>
    <row r="266" customFormat="false" ht="13.8" hidden="false" customHeight="false" outlineLevel="0" collapsed="false">
      <c r="A266" s="68" t="s">
        <v>273</v>
      </c>
      <c r="B266" s="68" t="n">
        <v>12</v>
      </c>
      <c r="C266" s="69" t="n">
        <v>0</v>
      </c>
      <c r="D266" s="69" t="n">
        <v>0</v>
      </c>
      <c r="E266" s="69" t="n">
        <v>0</v>
      </c>
      <c r="F266" s="69" t="n">
        <v>0</v>
      </c>
      <c r="G266" s="69" t="n">
        <v>0</v>
      </c>
      <c r="H266" s="69" t="n">
        <f aca="false">D266+F266-J266</f>
        <v>0</v>
      </c>
      <c r="I266" s="69" t="n">
        <v>0</v>
      </c>
      <c r="J266" s="69" t="n">
        <v>0</v>
      </c>
      <c r="K266" s="71"/>
      <c r="L266" s="14"/>
    </row>
    <row r="267" customFormat="false" ht="13.8" hidden="false" customHeight="false" outlineLevel="0" collapsed="false">
      <c r="A267" s="68" t="s">
        <v>274</v>
      </c>
      <c r="B267" s="68" t="n">
        <v>12</v>
      </c>
      <c r="C267" s="69" t="n">
        <v>14</v>
      </c>
      <c r="D267" s="69" t="n">
        <v>473144</v>
      </c>
      <c r="E267" s="69" t="n">
        <v>0</v>
      </c>
      <c r="F267" s="69" t="n">
        <v>0</v>
      </c>
      <c r="G267" s="69" t="n">
        <v>0</v>
      </c>
      <c r="H267" s="69" t="n">
        <f aca="false">D267+F267-J267</f>
        <v>0</v>
      </c>
      <c r="I267" s="69" t="n">
        <v>14</v>
      </c>
      <c r="J267" s="69" t="n">
        <v>473144</v>
      </c>
      <c r="K267" s="71" t="n">
        <f aca="false">J267/I267</f>
        <v>33796</v>
      </c>
      <c r="L267" s="14"/>
    </row>
    <row r="268" customFormat="false" ht="13.8" hidden="false" customHeight="false" outlineLevel="0" collapsed="false">
      <c r="A268" s="68" t="s">
        <v>275</v>
      </c>
      <c r="B268" s="68" t="n">
        <v>12</v>
      </c>
      <c r="C268" s="69" t="n">
        <v>0</v>
      </c>
      <c r="D268" s="69" t="n">
        <v>0</v>
      </c>
      <c r="E268" s="69" t="n">
        <v>0</v>
      </c>
      <c r="F268" s="69" t="n">
        <v>0</v>
      </c>
      <c r="G268" s="69" t="n">
        <v>0</v>
      </c>
      <c r="H268" s="69" t="n">
        <f aca="false">D268+F268-J268</f>
        <v>0</v>
      </c>
      <c r="I268" s="69" t="n">
        <v>0</v>
      </c>
      <c r="J268" s="69" t="n">
        <v>0</v>
      </c>
      <c r="K268" s="71"/>
      <c r="L268" s="14"/>
    </row>
    <row r="269" customFormat="false" ht="13.8" hidden="false" customHeight="false" outlineLevel="0" collapsed="false">
      <c r="A269" s="68" t="s">
        <v>276</v>
      </c>
      <c r="B269" s="68" t="n">
        <v>12</v>
      </c>
      <c r="C269" s="69" t="n">
        <v>0</v>
      </c>
      <c r="D269" s="69" t="n">
        <v>0</v>
      </c>
      <c r="E269" s="69" t="n">
        <v>0</v>
      </c>
      <c r="F269" s="69" t="n">
        <v>0</v>
      </c>
      <c r="G269" s="69" t="n">
        <v>0</v>
      </c>
      <c r="H269" s="69" t="n">
        <f aca="false">D269+F269-J269</f>
        <v>0</v>
      </c>
      <c r="I269" s="69" t="n">
        <v>0</v>
      </c>
      <c r="J269" s="69" t="n">
        <v>0</v>
      </c>
      <c r="K269" s="71"/>
      <c r="L269" s="14"/>
    </row>
    <row r="270" customFormat="false" ht="13.8" hidden="false" customHeight="false" outlineLevel="0" collapsed="false">
      <c r="A270" s="68" t="s">
        <v>277</v>
      </c>
      <c r="B270" s="68" t="n">
        <v>12</v>
      </c>
      <c r="C270" s="69" t="n">
        <v>0</v>
      </c>
      <c r="D270" s="69" t="n">
        <v>0</v>
      </c>
      <c r="E270" s="69" t="n">
        <v>0</v>
      </c>
      <c r="F270" s="69" t="n">
        <v>0</v>
      </c>
      <c r="G270" s="69" t="n">
        <v>0</v>
      </c>
      <c r="H270" s="69" t="n">
        <f aca="false">D270+F270-J270</f>
        <v>0</v>
      </c>
      <c r="I270" s="69" t="n">
        <v>0</v>
      </c>
      <c r="J270" s="69" t="n">
        <v>0</v>
      </c>
      <c r="K270" s="71"/>
      <c r="L270" s="14"/>
    </row>
    <row r="271" customFormat="false" ht="13.8" hidden="false" customHeight="false" outlineLevel="0" collapsed="false">
      <c r="A271" s="68" t="s">
        <v>278</v>
      </c>
      <c r="B271" s="68" t="n">
        <v>12</v>
      </c>
      <c r="C271" s="69" t="n">
        <v>0</v>
      </c>
      <c r="D271" s="69" t="n">
        <v>0</v>
      </c>
      <c r="E271" s="69" t="n">
        <v>0</v>
      </c>
      <c r="F271" s="69" t="n">
        <v>0</v>
      </c>
      <c r="G271" s="69" t="n">
        <v>0</v>
      </c>
      <c r="H271" s="69" t="n">
        <f aca="false">D271+F271-J271</f>
        <v>0</v>
      </c>
      <c r="I271" s="69" t="n">
        <v>0</v>
      </c>
      <c r="J271" s="69" t="n">
        <v>0</v>
      </c>
      <c r="K271" s="71"/>
      <c r="L271" s="14"/>
    </row>
    <row r="272" customFormat="false" ht="13.8" hidden="false" customHeight="false" outlineLevel="0" collapsed="false">
      <c r="A272" s="68" t="s">
        <v>279</v>
      </c>
      <c r="B272" s="68" t="n">
        <v>12</v>
      </c>
      <c r="C272" s="69" t="n">
        <v>0</v>
      </c>
      <c r="D272" s="69" t="n">
        <v>0</v>
      </c>
      <c r="E272" s="69" t="n">
        <v>0</v>
      </c>
      <c r="F272" s="69" t="n">
        <v>0</v>
      </c>
      <c r="G272" s="69" t="n">
        <v>0</v>
      </c>
      <c r="H272" s="69" t="n">
        <f aca="false">D272+F272-J272</f>
        <v>0</v>
      </c>
      <c r="I272" s="69" t="n">
        <v>0</v>
      </c>
      <c r="J272" s="69" t="n">
        <v>0</v>
      </c>
      <c r="K272" s="71"/>
      <c r="L272" s="14"/>
    </row>
    <row r="273" customFormat="false" ht="13.8" hidden="false" customHeight="false" outlineLevel="0" collapsed="false">
      <c r="A273" s="68" t="s">
        <v>280</v>
      </c>
      <c r="B273" s="68" t="n">
        <v>12</v>
      </c>
      <c r="C273" s="69" t="n">
        <v>0</v>
      </c>
      <c r="D273" s="69" t="n">
        <v>0</v>
      </c>
      <c r="E273" s="69" t="n">
        <v>0</v>
      </c>
      <c r="F273" s="69" t="n">
        <v>0</v>
      </c>
      <c r="G273" s="69" t="n">
        <v>0</v>
      </c>
      <c r="H273" s="69" t="n">
        <f aca="false">D273+F273-J273</f>
        <v>0</v>
      </c>
      <c r="I273" s="69" t="n">
        <v>0</v>
      </c>
      <c r="J273" s="69" t="n">
        <v>0</v>
      </c>
      <c r="K273" s="71"/>
      <c r="L273" s="14"/>
    </row>
    <row r="274" customFormat="false" ht="13.8" hidden="false" customHeight="false" outlineLevel="0" collapsed="false">
      <c r="A274" s="68" t="s">
        <v>281</v>
      </c>
      <c r="B274" s="68" t="n">
        <v>12</v>
      </c>
      <c r="C274" s="69" t="n">
        <v>115</v>
      </c>
      <c r="D274" s="69" t="n">
        <v>1984968</v>
      </c>
      <c r="E274" s="69" t="n">
        <v>52</v>
      </c>
      <c r="F274" s="69" t="n">
        <v>882000</v>
      </c>
      <c r="G274" s="69" t="n">
        <v>0</v>
      </c>
      <c r="H274" s="69" t="n">
        <f aca="false">D274+F274-J274</f>
        <v>0</v>
      </c>
      <c r="I274" s="69" t="n">
        <v>167</v>
      </c>
      <c r="J274" s="69" t="n">
        <v>2866968</v>
      </c>
      <c r="K274" s="71" t="n">
        <f aca="false">J274/I274</f>
        <v>17167.4730538922</v>
      </c>
      <c r="L274" s="14"/>
    </row>
    <row r="275" customFormat="false" ht="13.8" hidden="false" customHeight="false" outlineLevel="0" collapsed="false">
      <c r="A275" s="68" t="s">
        <v>282</v>
      </c>
      <c r="B275" s="68" t="n">
        <v>12</v>
      </c>
      <c r="C275" s="69" t="n">
        <v>0</v>
      </c>
      <c r="D275" s="69" t="n">
        <v>0</v>
      </c>
      <c r="E275" s="69" t="n">
        <v>28</v>
      </c>
      <c r="F275" s="69" t="n">
        <v>1940400</v>
      </c>
      <c r="G275" s="69" t="n">
        <v>3</v>
      </c>
      <c r="H275" s="69" t="n">
        <f aca="false">D275+F275-J275</f>
        <v>1044761</v>
      </c>
      <c r="I275" s="69" t="n">
        <v>25</v>
      </c>
      <c r="J275" s="69" t="n">
        <v>895639</v>
      </c>
      <c r="K275" s="71" t="n">
        <f aca="false">J275/I275</f>
        <v>35825.56</v>
      </c>
      <c r="L275" s="14"/>
    </row>
    <row r="276" customFormat="false" ht="13.8" hidden="false" customHeight="false" outlineLevel="0" collapsed="false">
      <c r="A276" s="68" t="s">
        <v>283</v>
      </c>
      <c r="B276" s="68" t="n">
        <v>12</v>
      </c>
      <c r="C276" s="69" t="n">
        <v>2650</v>
      </c>
      <c r="D276" s="69" t="n">
        <v>60362629</v>
      </c>
      <c r="E276" s="69" t="n">
        <v>1138</v>
      </c>
      <c r="F276" s="69" t="n">
        <v>39547200</v>
      </c>
      <c r="G276" s="69" t="n">
        <v>3132</v>
      </c>
      <c r="H276" s="69" t="n">
        <f aca="false">D276+F276-J276</f>
        <v>76338900</v>
      </c>
      <c r="I276" s="69" t="n">
        <v>656</v>
      </c>
      <c r="J276" s="69" t="n">
        <v>23570929</v>
      </c>
      <c r="K276" s="71" t="n">
        <f aca="false">J276/I276</f>
        <v>35931.2942073171</v>
      </c>
      <c r="L276" s="14"/>
    </row>
    <row r="277" customFormat="false" ht="13.8" hidden="false" customHeight="false" outlineLevel="0" collapsed="false">
      <c r="A277" s="68" t="s">
        <v>284</v>
      </c>
      <c r="B277" s="68" t="n">
        <v>12</v>
      </c>
      <c r="C277" s="69" t="n">
        <v>170</v>
      </c>
      <c r="D277" s="69" t="n">
        <v>7787064</v>
      </c>
      <c r="E277" s="69" t="n">
        <v>14</v>
      </c>
      <c r="F277" s="69" t="n">
        <v>598416</v>
      </c>
      <c r="G277" s="69" t="n">
        <v>0</v>
      </c>
      <c r="H277" s="69" t="n">
        <f aca="false">D277+F277-J277</f>
        <v>0</v>
      </c>
      <c r="I277" s="69" t="n">
        <v>184</v>
      </c>
      <c r="J277" s="69" t="n">
        <v>8385480</v>
      </c>
      <c r="K277" s="71" t="n">
        <f aca="false">J277/I277</f>
        <v>45573.2608695652</v>
      </c>
      <c r="L277" s="14"/>
    </row>
    <row r="278" customFormat="false" ht="13.8" hidden="false" customHeight="false" outlineLevel="0" collapsed="false">
      <c r="A278" s="68" t="s">
        <v>285</v>
      </c>
      <c r="B278" s="68" t="n">
        <v>12</v>
      </c>
      <c r="C278" s="69" t="n">
        <v>0</v>
      </c>
      <c r="D278" s="69" t="n">
        <v>0</v>
      </c>
      <c r="E278" s="69" t="n">
        <v>0</v>
      </c>
      <c r="F278" s="69" t="n">
        <v>0</v>
      </c>
      <c r="G278" s="69" t="n">
        <v>0</v>
      </c>
      <c r="H278" s="69" t="n">
        <f aca="false">D278+F278-J278</f>
        <v>0</v>
      </c>
      <c r="I278" s="69" t="n">
        <v>0</v>
      </c>
      <c r="J278" s="69" t="n">
        <v>0</v>
      </c>
      <c r="K278" s="71"/>
      <c r="L278" s="14"/>
    </row>
    <row r="279" customFormat="false" ht="13.8" hidden="false" customHeight="false" outlineLevel="0" collapsed="false">
      <c r="A279" s="68" t="s">
        <v>286</v>
      </c>
      <c r="B279" s="68" t="n">
        <v>12</v>
      </c>
      <c r="C279" s="69" t="n">
        <v>0</v>
      </c>
      <c r="D279" s="69" t="n">
        <v>0</v>
      </c>
      <c r="E279" s="69" t="n">
        <v>0</v>
      </c>
      <c r="F279" s="69" t="n">
        <v>0</v>
      </c>
      <c r="G279" s="69" t="n">
        <v>0</v>
      </c>
      <c r="H279" s="69" t="n">
        <f aca="false">D279+F279-J279</f>
        <v>0</v>
      </c>
      <c r="I279" s="69" t="n">
        <v>0</v>
      </c>
      <c r="J279" s="69" t="n">
        <v>0</v>
      </c>
      <c r="K279" s="71"/>
      <c r="L279" s="14"/>
    </row>
    <row r="280" customFormat="false" ht="13.8" hidden="false" customHeight="false" outlineLevel="0" collapsed="false">
      <c r="A280" s="68" t="s">
        <v>287</v>
      </c>
      <c r="B280" s="68" t="n">
        <v>12</v>
      </c>
      <c r="C280" s="69" t="n">
        <v>8</v>
      </c>
      <c r="D280" s="69" t="n">
        <v>888480</v>
      </c>
      <c r="E280" s="69" t="n">
        <v>0</v>
      </c>
      <c r="F280" s="69" t="n">
        <v>0</v>
      </c>
      <c r="G280" s="69" t="n">
        <v>0</v>
      </c>
      <c r="H280" s="69" t="n">
        <f aca="false">D280+F280-J280</f>
        <v>0</v>
      </c>
      <c r="I280" s="69" t="n">
        <v>8</v>
      </c>
      <c r="J280" s="69" t="n">
        <v>888480</v>
      </c>
      <c r="K280" s="71" t="n">
        <f aca="false">J280/I280</f>
        <v>111060</v>
      </c>
      <c r="L280" s="14"/>
    </row>
    <row r="281" customFormat="false" ht="13.8" hidden="false" customHeight="false" outlineLevel="0" collapsed="false">
      <c r="A281" s="68" t="s">
        <v>288</v>
      </c>
      <c r="B281" s="68" t="n">
        <v>12</v>
      </c>
      <c r="C281" s="69" t="n">
        <v>72</v>
      </c>
      <c r="D281" s="69" t="n">
        <v>1717560</v>
      </c>
      <c r="E281" s="69" t="n">
        <v>2768</v>
      </c>
      <c r="F281" s="69"/>
      <c r="G281" s="69" t="n">
        <v>0</v>
      </c>
      <c r="H281" s="69" t="n">
        <f aca="false">D281+F281-J281</f>
        <v>0</v>
      </c>
      <c r="I281" s="69" t="n">
        <v>72</v>
      </c>
      <c r="J281" s="69" t="n">
        <v>1717560</v>
      </c>
      <c r="K281" s="71" t="n">
        <f aca="false">J281/I281</f>
        <v>23855</v>
      </c>
      <c r="L281" s="14"/>
    </row>
    <row r="282" customFormat="false" ht="13.8" hidden="false" customHeight="false" outlineLevel="0" collapsed="false">
      <c r="A282" s="68" t="s">
        <v>289</v>
      </c>
      <c r="B282" s="68" t="n">
        <v>12</v>
      </c>
      <c r="C282" s="69" t="n">
        <v>5453</v>
      </c>
      <c r="D282" s="69" t="n">
        <v>18544800</v>
      </c>
      <c r="E282" s="69" t="n">
        <v>3249</v>
      </c>
      <c r="F282" s="69" t="n">
        <v>26723118.9017341</v>
      </c>
      <c r="G282" s="69" t="n">
        <v>5934</v>
      </c>
      <c r="H282" s="69" t="n">
        <f aca="false">D282+F282-J282</f>
        <v>22501038.9017341</v>
      </c>
      <c r="I282" s="69" t="n">
        <v>2768</v>
      </c>
      <c r="J282" s="69" t="n">
        <v>22766880</v>
      </c>
      <c r="K282" s="71" t="n">
        <f aca="false">J282/I282</f>
        <v>8225.0289017341</v>
      </c>
      <c r="L282" s="14"/>
    </row>
    <row r="283" customFormat="false" ht="13.8" hidden="false" customHeight="false" outlineLevel="0" collapsed="false">
      <c r="A283" s="68" t="s">
        <v>290</v>
      </c>
      <c r="B283" s="68" t="n">
        <v>12</v>
      </c>
      <c r="C283" s="69" t="n">
        <v>294</v>
      </c>
      <c r="D283" s="69" t="n">
        <v>26161598</v>
      </c>
      <c r="E283" s="69" t="n">
        <v>612</v>
      </c>
      <c r="F283" s="69" t="n">
        <v>54458208</v>
      </c>
      <c r="G283" s="69" t="n">
        <v>462</v>
      </c>
      <c r="H283" s="69" t="n">
        <f aca="false">D283+F283-J283</f>
        <v>41110762</v>
      </c>
      <c r="I283" s="69" t="n">
        <v>444</v>
      </c>
      <c r="J283" s="69" t="n">
        <v>39509044</v>
      </c>
      <c r="K283" s="71" t="n">
        <f aca="false">J283/I283</f>
        <v>88984.3333333333</v>
      </c>
      <c r="L283" s="14"/>
    </row>
    <row r="284" customFormat="false" ht="13.8" hidden="false" customHeight="false" outlineLevel="0" collapsed="false">
      <c r="A284" s="68" t="s">
        <v>291</v>
      </c>
      <c r="B284" s="68" t="n">
        <v>12</v>
      </c>
      <c r="C284" s="69" t="n">
        <v>580</v>
      </c>
      <c r="D284" s="69" t="n">
        <v>54183265</v>
      </c>
      <c r="E284" s="69" t="n">
        <v>1120</v>
      </c>
      <c r="F284" s="69" t="n">
        <v>104711040</v>
      </c>
      <c r="G284" s="69" t="n">
        <v>821</v>
      </c>
      <c r="H284" s="69" t="n">
        <f aca="false">D284+F284-J284</f>
        <v>76736603</v>
      </c>
      <c r="I284" s="69" t="n">
        <v>879</v>
      </c>
      <c r="J284" s="69" t="n">
        <v>82157702</v>
      </c>
      <c r="K284" s="71" t="n">
        <f aca="false">J284/I284</f>
        <v>93467.2377701934</v>
      </c>
      <c r="L284" s="14"/>
    </row>
    <row r="285" customFormat="false" ht="13.8" hidden="false" customHeight="false" outlineLevel="0" collapsed="false">
      <c r="A285" s="68" t="s">
        <v>292</v>
      </c>
      <c r="B285" s="68" t="n">
        <v>12</v>
      </c>
      <c r="C285" s="69" t="n">
        <v>0</v>
      </c>
      <c r="D285" s="69" t="n">
        <v>0</v>
      </c>
      <c r="E285" s="69" t="n">
        <v>394</v>
      </c>
      <c r="F285" s="69" t="n">
        <v>34234181</v>
      </c>
      <c r="G285" s="69" t="n">
        <v>394</v>
      </c>
      <c r="H285" s="69" t="n">
        <f aca="false">D285+F285-J285</f>
        <v>34234181</v>
      </c>
      <c r="I285" s="69" t="n">
        <v>0</v>
      </c>
      <c r="J285" s="69" t="n">
        <v>0</v>
      </c>
      <c r="K285" s="71"/>
      <c r="L285" s="14"/>
    </row>
    <row r="286" s="81" customFormat="true" ht="13.8" hidden="false" customHeight="false" outlineLevel="0" collapsed="false">
      <c r="A286" s="65"/>
      <c r="B286" s="65"/>
      <c r="C286" s="79"/>
      <c r="D286" s="79" t="n">
        <f aca="false">SUM(D4:D285)</f>
        <v>15757074952.4896</v>
      </c>
      <c r="E286" s="79"/>
      <c r="F286" s="79" t="n">
        <f aca="false">SUM(F4:F285)</f>
        <v>24085377822.2958</v>
      </c>
      <c r="G286" s="79"/>
      <c r="H286" s="79" t="n">
        <f aca="false">SUM(H4:H285)</f>
        <v>24081221251.7854</v>
      </c>
      <c r="I286" s="79"/>
      <c r="J286" s="79" t="n">
        <f aca="false">SUM(J4:J285)</f>
        <v>15761231523</v>
      </c>
      <c r="K286" s="67"/>
      <c r="L286" s="14"/>
    </row>
    <row r="287" customFormat="false" ht="13.8" hidden="false" customHeight="false" outlineLevel="0" collapsed="false">
      <c r="J287" s="78" t="n">
        <f aca="false">D286+F286-H286</f>
        <v>15761231523</v>
      </c>
      <c r="L287" s="14"/>
    </row>
    <row r="288" customFormat="false" ht="15" hidden="false" customHeight="false" outlineLevel="0" collapsed="false">
      <c r="L288" s="14"/>
    </row>
    <row r="289" customFormat="false" ht="15" hidden="false" customHeight="false" outlineLevel="0" collapsed="false">
      <c r="L289" s="14"/>
    </row>
    <row r="290" customFormat="false" ht="15" hidden="false" customHeight="false" outlineLevel="0" collapsed="false">
      <c r="L290" s="14"/>
    </row>
    <row r="291" customFormat="false" ht="15" hidden="false" customHeight="false" outlineLevel="0" collapsed="false">
      <c r="L291" s="14"/>
    </row>
    <row r="292" customFormat="false" ht="15" hidden="false" customHeight="false" outlineLevel="0" collapsed="false">
      <c r="L292" s="14"/>
    </row>
    <row r="293" customFormat="false" ht="15" hidden="false" customHeight="false" outlineLevel="0" collapsed="false">
      <c r="L293" s="14"/>
    </row>
    <row r="294" customFormat="false" ht="15" hidden="false" customHeight="false" outlineLevel="0" collapsed="false">
      <c r="L294" s="14"/>
    </row>
    <row r="295" customFormat="false" ht="15" hidden="false" customHeight="false" outlineLevel="0" collapsed="false">
      <c r="L295" s="14"/>
    </row>
    <row r="296" customFormat="false" ht="15" hidden="false" customHeight="false" outlineLevel="0" collapsed="false">
      <c r="L296" s="14"/>
    </row>
    <row r="297" customFormat="false" ht="15" hidden="false" customHeight="false" outlineLevel="0" collapsed="false">
      <c r="L297" s="14"/>
    </row>
    <row r="298" customFormat="false" ht="15" hidden="false" customHeight="false" outlineLevel="0" collapsed="false">
      <c r="L298" s="14"/>
    </row>
    <row r="299" customFormat="false" ht="15" hidden="false" customHeight="false" outlineLevel="0" collapsed="false">
      <c r="L299" s="14"/>
    </row>
    <row r="300" customFormat="false" ht="15" hidden="false" customHeight="false" outlineLevel="0" collapsed="false">
      <c r="L300" s="14"/>
    </row>
    <row r="301" customFormat="false" ht="15" hidden="false" customHeight="false" outlineLevel="0" collapsed="false">
      <c r="L301" s="14"/>
    </row>
    <row r="302" customFormat="false" ht="15" hidden="false" customHeight="false" outlineLevel="0" collapsed="false">
      <c r="L302" s="14"/>
    </row>
    <row r="303" customFormat="false" ht="15" hidden="false" customHeight="false" outlineLevel="0" collapsed="false">
      <c r="L303" s="14"/>
    </row>
    <row r="304" customFormat="false" ht="15" hidden="false" customHeight="false" outlineLevel="0" collapsed="false">
      <c r="L304" s="14"/>
    </row>
    <row r="305" customFormat="false" ht="15" hidden="false" customHeight="false" outlineLevel="0" collapsed="false">
      <c r="L305" s="14"/>
    </row>
    <row r="306" customFormat="false" ht="15" hidden="false" customHeight="false" outlineLevel="0" collapsed="false">
      <c r="L306" s="14"/>
    </row>
    <row r="307" customFormat="false" ht="15" hidden="false" customHeight="false" outlineLevel="0" collapsed="false">
      <c r="L307" s="14"/>
    </row>
    <row r="308" customFormat="false" ht="15" hidden="false" customHeight="false" outlineLevel="0" collapsed="false">
      <c r="L308" s="14"/>
    </row>
    <row r="309" customFormat="false" ht="15" hidden="false" customHeight="false" outlineLevel="0" collapsed="false">
      <c r="L309" s="14"/>
    </row>
    <row r="310" customFormat="false" ht="15" hidden="false" customHeight="false" outlineLevel="0" collapsed="false">
      <c r="L310" s="14"/>
    </row>
    <row r="311" customFormat="false" ht="15" hidden="false" customHeight="false" outlineLevel="0" collapsed="false">
      <c r="L311" s="14"/>
    </row>
    <row r="312" customFormat="false" ht="15" hidden="false" customHeight="false" outlineLevel="0" collapsed="false">
      <c r="L312" s="14"/>
    </row>
    <row r="313" customFormat="false" ht="15" hidden="false" customHeight="false" outlineLevel="0" collapsed="false">
      <c r="L313" s="14"/>
    </row>
    <row r="314" customFormat="false" ht="15" hidden="false" customHeight="false" outlineLevel="0" collapsed="false">
      <c r="L314" s="14"/>
    </row>
    <row r="315" customFormat="false" ht="15" hidden="false" customHeight="false" outlineLevel="0" collapsed="false">
      <c r="L315" s="14"/>
    </row>
    <row r="316" customFormat="false" ht="15" hidden="false" customHeight="false" outlineLevel="0" collapsed="false">
      <c r="L316" s="14"/>
    </row>
    <row r="317" customFormat="false" ht="15" hidden="false" customHeight="false" outlineLevel="0" collapsed="false">
      <c r="L317" s="14"/>
    </row>
    <row r="318" customFormat="false" ht="15" hidden="false" customHeight="false" outlineLevel="0" collapsed="false">
      <c r="L318" s="14"/>
    </row>
    <row r="319" customFormat="false" ht="15" hidden="false" customHeight="false" outlineLevel="0" collapsed="false">
      <c r="L319" s="14"/>
    </row>
    <row r="320" customFormat="false" ht="15" hidden="false" customHeight="false" outlineLevel="0" collapsed="false">
      <c r="L320" s="14"/>
    </row>
    <row r="321" customFormat="false" ht="15" hidden="false" customHeight="false" outlineLevel="0" collapsed="false">
      <c r="L321" s="14"/>
    </row>
    <row r="322" customFormat="false" ht="15" hidden="false" customHeight="false" outlineLevel="0" collapsed="false">
      <c r="L322" s="14"/>
    </row>
    <row r="323" customFormat="false" ht="15" hidden="false" customHeight="false" outlineLevel="0" collapsed="false">
      <c r="L323" s="14"/>
    </row>
    <row r="324" customFormat="false" ht="15" hidden="false" customHeight="false" outlineLevel="0" collapsed="false">
      <c r="L324" s="14"/>
    </row>
    <row r="325" customFormat="false" ht="15" hidden="false" customHeight="false" outlineLevel="0" collapsed="false">
      <c r="L325" s="14"/>
    </row>
    <row r="326" customFormat="false" ht="15" hidden="false" customHeight="false" outlineLevel="0" collapsed="false">
      <c r="L326" s="14"/>
    </row>
    <row r="327" customFormat="false" ht="15" hidden="false" customHeight="false" outlineLevel="0" collapsed="false">
      <c r="L327" s="14"/>
    </row>
    <row r="328" customFormat="false" ht="15" hidden="false" customHeight="false" outlineLevel="0" collapsed="false">
      <c r="L328" s="14"/>
    </row>
    <row r="329" customFormat="false" ht="15" hidden="false" customHeight="false" outlineLevel="0" collapsed="false">
      <c r="L329" s="14"/>
    </row>
    <row r="330" customFormat="false" ht="15" hidden="false" customHeight="false" outlineLevel="0" collapsed="false">
      <c r="L330" s="14"/>
    </row>
    <row r="331" customFormat="false" ht="15" hidden="false" customHeight="false" outlineLevel="0" collapsed="false">
      <c r="L331" s="14"/>
    </row>
    <row r="332" customFormat="false" ht="15" hidden="false" customHeight="false" outlineLevel="0" collapsed="false">
      <c r="L332" s="14"/>
    </row>
    <row r="333" customFormat="false" ht="15" hidden="false" customHeight="false" outlineLevel="0" collapsed="false">
      <c r="L333" s="14"/>
    </row>
    <row r="334" customFormat="false" ht="15" hidden="false" customHeight="false" outlineLevel="0" collapsed="false">
      <c r="L334" s="14"/>
    </row>
    <row r="335" customFormat="false" ht="15" hidden="false" customHeight="false" outlineLevel="0" collapsed="false">
      <c r="L335" s="14"/>
    </row>
    <row r="336" customFormat="false" ht="15" hidden="false" customHeight="false" outlineLevel="0" collapsed="false">
      <c r="L336" s="14"/>
    </row>
    <row r="337" customFormat="false" ht="15" hidden="false" customHeight="false" outlineLevel="0" collapsed="false">
      <c r="L337" s="14"/>
    </row>
    <row r="338" customFormat="false" ht="15" hidden="false" customHeight="false" outlineLevel="0" collapsed="false">
      <c r="L338" s="14"/>
    </row>
    <row r="339" customFormat="false" ht="15" hidden="false" customHeight="false" outlineLevel="0" collapsed="false">
      <c r="L339" s="14"/>
    </row>
    <row r="340" customFormat="false" ht="15" hidden="false" customHeight="false" outlineLevel="0" collapsed="false">
      <c r="L340" s="14"/>
    </row>
    <row r="341" customFormat="false" ht="15" hidden="false" customHeight="false" outlineLevel="0" collapsed="false">
      <c r="L341" s="14"/>
    </row>
    <row r="342" customFormat="false" ht="15" hidden="false" customHeight="false" outlineLevel="0" collapsed="false">
      <c r="L342" s="14"/>
    </row>
    <row r="343" customFormat="false" ht="15" hidden="false" customHeight="false" outlineLevel="0" collapsed="false">
      <c r="L343" s="14"/>
    </row>
    <row r="344" customFormat="false" ht="15" hidden="false" customHeight="false" outlineLevel="0" collapsed="false">
      <c r="L344" s="14"/>
    </row>
    <row r="345" customFormat="false" ht="15" hidden="false" customHeight="false" outlineLevel="0" collapsed="false">
      <c r="L345" s="14"/>
    </row>
    <row r="346" customFormat="false" ht="15" hidden="false" customHeight="false" outlineLevel="0" collapsed="false">
      <c r="L346" s="14"/>
    </row>
    <row r="347" customFormat="false" ht="15" hidden="false" customHeight="false" outlineLevel="0" collapsed="false">
      <c r="L347" s="14"/>
    </row>
    <row r="348" customFormat="false" ht="15" hidden="false" customHeight="false" outlineLevel="0" collapsed="false">
      <c r="L348" s="14"/>
    </row>
    <row r="349" customFormat="false" ht="15" hidden="false" customHeight="false" outlineLevel="0" collapsed="false">
      <c r="L349" s="14"/>
    </row>
    <row r="350" customFormat="false" ht="15" hidden="false" customHeight="false" outlineLevel="0" collapsed="false">
      <c r="L350" s="14"/>
    </row>
    <row r="351" customFormat="false" ht="15" hidden="false" customHeight="false" outlineLevel="0" collapsed="false">
      <c r="L351" s="14"/>
    </row>
    <row r="352" customFormat="false" ht="15" hidden="false" customHeight="false" outlineLevel="0" collapsed="false">
      <c r="L352" s="14"/>
    </row>
    <row r="353" customFormat="false" ht="15" hidden="false" customHeight="false" outlineLevel="0" collapsed="false">
      <c r="L353" s="14"/>
    </row>
    <row r="354" customFormat="false" ht="15" hidden="false" customHeight="false" outlineLevel="0" collapsed="false">
      <c r="L354" s="14"/>
    </row>
    <row r="355" customFormat="false" ht="15" hidden="false" customHeight="false" outlineLevel="0" collapsed="false">
      <c r="L355" s="14"/>
    </row>
    <row r="356" customFormat="false" ht="15" hidden="false" customHeight="false" outlineLevel="0" collapsed="false">
      <c r="L356" s="14"/>
    </row>
    <row r="357" customFormat="false" ht="15" hidden="false" customHeight="false" outlineLevel="0" collapsed="false">
      <c r="L357" s="14"/>
    </row>
    <row r="358" customFormat="false" ht="15" hidden="false" customHeight="false" outlineLevel="0" collapsed="false">
      <c r="L358" s="14"/>
    </row>
    <row r="359" customFormat="false" ht="15" hidden="false" customHeight="false" outlineLevel="0" collapsed="false">
      <c r="L359" s="14"/>
    </row>
    <row r="360" customFormat="false" ht="15" hidden="false" customHeight="false" outlineLevel="0" collapsed="false">
      <c r="L360" s="14"/>
    </row>
    <row r="361" customFormat="false" ht="15" hidden="false" customHeight="false" outlineLevel="0" collapsed="false">
      <c r="L361" s="14"/>
    </row>
    <row r="362" customFormat="false" ht="15" hidden="false" customHeight="false" outlineLevel="0" collapsed="false">
      <c r="L362" s="14"/>
    </row>
    <row r="363" customFormat="false" ht="15" hidden="false" customHeight="false" outlineLevel="0" collapsed="false">
      <c r="L363" s="14"/>
    </row>
    <row r="364" customFormat="false" ht="15" hidden="false" customHeight="false" outlineLevel="0" collapsed="false">
      <c r="L364" s="14"/>
    </row>
    <row r="365" customFormat="false" ht="15" hidden="false" customHeight="false" outlineLevel="0" collapsed="false">
      <c r="L365" s="14"/>
    </row>
    <row r="366" customFormat="false" ht="15" hidden="false" customHeight="false" outlineLevel="0" collapsed="false">
      <c r="L366" s="14"/>
    </row>
    <row r="367" customFormat="false" ht="15" hidden="false" customHeight="false" outlineLevel="0" collapsed="false">
      <c r="L367" s="14"/>
    </row>
    <row r="368" customFormat="false" ht="15" hidden="false" customHeight="false" outlineLevel="0" collapsed="false">
      <c r="L368" s="14"/>
    </row>
    <row r="369" customFormat="false" ht="15" hidden="false" customHeight="false" outlineLevel="0" collapsed="false">
      <c r="L369" s="14"/>
    </row>
    <row r="370" customFormat="false" ht="15" hidden="false" customHeight="false" outlineLevel="0" collapsed="false">
      <c r="L370" s="14"/>
    </row>
    <row r="371" customFormat="false" ht="15" hidden="false" customHeight="false" outlineLevel="0" collapsed="false">
      <c r="L371" s="14"/>
    </row>
    <row r="372" customFormat="false" ht="15" hidden="false" customHeight="false" outlineLevel="0" collapsed="false">
      <c r="L372" s="14"/>
    </row>
    <row r="373" customFormat="false" ht="15" hidden="false" customHeight="false" outlineLevel="0" collapsed="false">
      <c r="L373" s="14"/>
    </row>
    <row r="374" customFormat="false" ht="15" hidden="false" customHeight="false" outlineLevel="0" collapsed="false">
      <c r="L374" s="14"/>
    </row>
    <row r="375" customFormat="false" ht="15" hidden="false" customHeight="false" outlineLevel="0" collapsed="false">
      <c r="L375" s="14"/>
    </row>
    <row r="376" customFormat="false" ht="15" hidden="false" customHeight="false" outlineLevel="0" collapsed="false">
      <c r="L376" s="14"/>
    </row>
    <row r="377" customFormat="false" ht="15" hidden="false" customHeight="false" outlineLevel="0" collapsed="false">
      <c r="L377" s="14"/>
    </row>
    <row r="378" customFormat="false" ht="15" hidden="false" customHeight="false" outlineLevel="0" collapsed="false">
      <c r="L378" s="14"/>
    </row>
    <row r="379" customFormat="false" ht="15" hidden="false" customHeight="false" outlineLevel="0" collapsed="false">
      <c r="L379" s="14"/>
    </row>
    <row r="380" customFormat="false" ht="15" hidden="false" customHeight="false" outlineLevel="0" collapsed="false">
      <c r="L380" s="14"/>
    </row>
    <row r="381" customFormat="false" ht="15" hidden="false" customHeight="false" outlineLevel="0" collapsed="false">
      <c r="L381" s="14"/>
    </row>
    <row r="382" customFormat="false" ht="15" hidden="false" customHeight="false" outlineLevel="0" collapsed="false">
      <c r="L382" s="14"/>
    </row>
    <row r="383" customFormat="false" ht="15" hidden="false" customHeight="false" outlineLevel="0" collapsed="false">
      <c r="L383" s="14"/>
    </row>
    <row r="384" customFormat="false" ht="15" hidden="false" customHeight="false" outlineLevel="0" collapsed="false">
      <c r="L384" s="14"/>
    </row>
    <row r="385" customFormat="false" ht="15" hidden="false" customHeight="false" outlineLevel="0" collapsed="false">
      <c r="L385" s="14"/>
    </row>
    <row r="386" customFormat="false" ht="15" hidden="false" customHeight="false" outlineLevel="0" collapsed="false">
      <c r="L386" s="14"/>
    </row>
    <row r="387" customFormat="false" ht="15" hidden="false" customHeight="false" outlineLevel="0" collapsed="false">
      <c r="L387" s="14"/>
    </row>
    <row r="388" customFormat="false" ht="15" hidden="false" customHeight="false" outlineLevel="0" collapsed="false">
      <c r="L388" s="14"/>
    </row>
    <row r="389" customFormat="false" ht="15" hidden="false" customHeight="false" outlineLevel="0" collapsed="false">
      <c r="L389" s="14"/>
    </row>
    <row r="390" customFormat="false" ht="15" hidden="false" customHeight="false" outlineLevel="0" collapsed="false">
      <c r="L390" s="14"/>
    </row>
    <row r="391" customFormat="false" ht="15" hidden="false" customHeight="false" outlineLevel="0" collapsed="false">
      <c r="L391" s="14"/>
    </row>
    <row r="392" customFormat="false" ht="15" hidden="false" customHeight="false" outlineLevel="0" collapsed="false">
      <c r="L392" s="14"/>
    </row>
    <row r="393" customFormat="false" ht="15" hidden="false" customHeight="false" outlineLevel="0" collapsed="false">
      <c r="L393" s="14"/>
    </row>
    <row r="394" customFormat="false" ht="15" hidden="false" customHeight="false" outlineLevel="0" collapsed="false">
      <c r="L394" s="14"/>
    </row>
    <row r="395" customFormat="false" ht="15" hidden="false" customHeight="false" outlineLevel="0" collapsed="false">
      <c r="L395" s="14"/>
    </row>
    <row r="396" customFormat="false" ht="15" hidden="false" customHeight="false" outlineLevel="0" collapsed="false">
      <c r="L396" s="14"/>
    </row>
    <row r="397" customFormat="false" ht="15" hidden="false" customHeight="false" outlineLevel="0" collapsed="false">
      <c r="L397" s="14"/>
    </row>
    <row r="398" customFormat="false" ht="15" hidden="false" customHeight="false" outlineLevel="0" collapsed="false">
      <c r="L398" s="14"/>
    </row>
    <row r="399" customFormat="false" ht="15" hidden="false" customHeight="false" outlineLevel="0" collapsed="false">
      <c r="L399" s="14"/>
    </row>
    <row r="400" customFormat="false" ht="15" hidden="false" customHeight="false" outlineLevel="0" collapsed="false">
      <c r="L400" s="14"/>
    </row>
    <row r="401" customFormat="false" ht="15" hidden="false" customHeight="false" outlineLevel="0" collapsed="false">
      <c r="L401" s="14"/>
    </row>
    <row r="402" customFormat="false" ht="15" hidden="false" customHeight="false" outlineLevel="0" collapsed="false">
      <c r="L402" s="14"/>
    </row>
    <row r="403" customFormat="false" ht="15" hidden="false" customHeight="false" outlineLevel="0" collapsed="false">
      <c r="L403" s="14"/>
    </row>
    <row r="404" customFormat="false" ht="15" hidden="false" customHeight="false" outlineLevel="0" collapsed="false">
      <c r="L404" s="14"/>
    </row>
    <row r="405" customFormat="false" ht="15" hidden="false" customHeight="false" outlineLevel="0" collapsed="false">
      <c r="L405" s="14"/>
    </row>
    <row r="406" customFormat="false" ht="15" hidden="false" customHeight="false" outlineLevel="0" collapsed="false">
      <c r="L406" s="14"/>
    </row>
    <row r="407" customFormat="false" ht="15" hidden="false" customHeight="false" outlineLevel="0" collapsed="false">
      <c r="L407" s="14"/>
    </row>
    <row r="408" customFormat="false" ht="15" hidden="false" customHeight="false" outlineLevel="0" collapsed="false">
      <c r="L408" s="14"/>
    </row>
  </sheetData>
  <mergeCells count="1">
    <mergeCell ref="A1:J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409"/>
  <sheetViews>
    <sheetView showFormulas="false" showGridLines="true" showRowColHeaders="true" showZeros="true" rightToLeft="false" tabSelected="false" showOutlineSymbols="true" defaultGridColor="true" view="normal" topLeftCell="A271" colorId="64" zoomScale="89" zoomScaleNormal="89" zoomScalePageLayoutView="100" workbookViewId="0">
      <selection pane="topLeft" activeCell="K214" activeCellId="0" sqref="K214"/>
    </sheetView>
  </sheetViews>
  <sheetFormatPr defaultColWidth="12.5703125" defaultRowHeight="14.25" customHeight="false" zeroHeight="false" outlineLevelRow="0" outlineLevelCol="0"/>
  <cols>
    <col collapsed="false" customWidth="true" hidden="false" outlineLevel="0" max="1" min="1" style="148" width="49.29"/>
    <col collapsed="false" customWidth="true" hidden="false" outlineLevel="0" max="2" min="2" style="148" width="6"/>
    <col collapsed="false" customWidth="true" hidden="false" outlineLevel="0" max="3" min="3" style="148" width="12.71"/>
    <col collapsed="false" customWidth="true" hidden="false" outlineLevel="0" max="4" min="4" style="148" width="16.14"/>
    <col collapsed="false" customWidth="true" hidden="false" outlineLevel="0" max="5" min="5" style="148" width="12.71"/>
    <col collapsed="false" customWidth="true" hidden="false" outlineLevel="0" max="6" min="6" style="148" width="16.57"/>
    <col collapsed="false" customWidth="true" hidden="false" outlineLevel="0" max="7" min="7" style="148" width="10.71"/>
    <col collapsed="false" customWidth="true" hidden="false" outlineLevel="0" max="8" min="8" style="148" width="16.29"/>
    <col collapsed="false" customWidth="true" hidden="false" outlineLevel="0" max="9" min="9" style="148" width="12.71"/>
    <col collapsed="false" customWidth="true" hidden="false" outlineLevel="0" max="10" min="10" style="148" width="15.71"/>
    <col collapsed="false" customWidth="true" hidden="false" outlineLevel="0" max="11" min="11" style="148" width="19.29"/>
    <col collapsed="false" customWidth="true" hidden="false" outlineLevel="0" max="12" min="12" style="148" width="5.42"/>
    <col collapsed="false" customWidth="true" hidden="false" outlineLevel="0" max="13" min="13" style="148" width="9.71"/>
    <col collapsed="false" customWidth="true" hidden="false" outlineLevel="0" max="14" min="14" style="149" width="17.86"/>
    <col collapsed="false" customWidth="true" hidden="false" outlineLevel="0" max="16" min="15" style="148" width="12.71"/>
    <col collapsed="false" customWidth="true" hidden="false" outlineLevel="0" max="17" min="17" style="148" width="17.15"/>
    <col collapsed="false" customWidth="true" hidden="false" outlineLevel="0" max="18" min="18" style="149" width="17.86"/>
    <col collapsed="false" customWidth="true" hidden="false" outlineLevel="0" max="19" min="19" style="148" width="20.57"/>
    <col collapsed="false" customWidth="true" hidden="false" outlineLevel="0" max="20" min="20" style="149" width="18.57"/>
    <col collapsed="false" customWidth="false" hidden="false" outlineLevel="0" max="23" min="21" style="148" width="12.57"/>
    <col collapsed="false" customWidth="true" hidden="false" outlineLevel="0" max="24" min="24" style="148" width="12.71"/>
    <col collapsed="false" customWidth="true" hidden="false" outlineLevel="0" max="25" min="25" style="148" width="13.71"/>
    <col collapsed="false" customWidth="false" hidden="false" outlineLevel="0" max="16384" min="26" style="148" width="12.57"/>
  </cols>
  <sheetData>
    <row r="1" customFormat="false" ht="14.25" hidden="false" customHeight="false" outlineLevel="0" collapsed="false">
      <c r="A1" s="150"/>
      <c r="B1" s="151"/>
      <c r="C1" s="152" t="s">
        <v>0</v>
      </c>
      <c r="D1" s="152"/>
      <c r="E1" s="152" t="s">
        <v>1</v>
      </c>
      <c r="F1" s="152"/>
      <c r="G1" s="152" t="s">
        <v>2</v>
      </c>
      <c r="H1" s="152"/>
      <c r="I1" s="152" t="s">
        <v>3</v>
      </c>
      <c r="J1" s="152"/>
      <c r="N1" s="153"/>
      <c r="O1" s="150"/>
      <c r="P1" s="150"/>
      <c r="Q1" s="150"/>
      <c r="R1" s="153"/>
      <c r="S1" s="150"/>
      <c r="T1" s="153"/>
      <c r="U1" s="150"/>
      <c r="V1" s="150"/>
      <c r="W1" s="150"/>
      <c r="X1" s="150"/>
      <c r="Y1" s="150"/>
      <c r="Z1" s="150"/>
    </row>
    <row r="2" customFormat="false" ht="14.25" hidden="false" customHeight="false" outlineLevel="0" collapsed="false">
      <c r="A2" s="154" t="s">
        <v>4</v>
      </c>
      <c r="B2" s="155" t="s">
        <v>5</v>
      </c>
      <c r="C2" s="156" t="s">
        <v>6</v>
      </c>
      <c r="D2" s="156" t="s">
        <v>7</v>
      </c>
      <c r="E2" s="156" t="s">
        <v>8</v>
      </c>
      <c r="F2" s="156" t="s">
        <v>9</v>
      </c>
      <c r="G2" s="156" t="s">
        <v>6</v>
      </c>
      <c r="H2" s="156" t="s">
        <v>10</v>
      </c>
      <c r="I2" s="156" t="s">
        <v>6</v>
      </c>
      <c r="J2" s="156" t="s">
        <v>9</v>
      </c>
      <c r="K2" s="157"/>
      <c r="L2" s="157"/>
      <c r="M2" s="157"/>
      <c r="N2" s="153"/>
      <c r="O2" s="150"/>
      <c r="P2" s="150"/>
      <c r="Q2" s="150"/>
      <c r="R2" s="153"/>
      <c r="S2" s="150"/>
      <c r="T2" s="153"/>
      <c r="U2" s="150"/>
      <c r="V2" s="150"/>
      <c r="W2" s="150"/>
      <c r="X2" s="150"/>
      <c r="Y2" s="150"/>
      <c r="Z2" s="150"/>
    </row>
    <row r="3" customFormat="false" ht="14.25" hidden="false" customHeight="false" outlineLevel="0" collapsed="false">
      <c r="A3" s="30" t="s">
        <v>11</v>
      </c>
      <c r="B3" s="30" t="n">
        <v>12</v>
      </c>
      <c r="C3" s="158" t="n">
        <v>226</v>
      </c>
      <c r="D3" s="158" t="n">
        <v>6255676</v>
      </c>
      <c r="E3" s="158" t="n">
        <v>100</v>
      </c>
      <c r="F3" s="158" t="n">
        <v>2774400</v>
      </c>
      <c r="G3" s="158" t="n">
        <v>100</v>
      </c>
      <c r="H3" s="158" t="n">
        <v>2769962</v>
      </c>
      <c r="I3" s="158" t="n">
        <v>226</v>
      </c>
      <c r="J3" s="158" t="n">
        <v>6260114</v>
      </c>
      <c r="K3" s="159" t="s">
        <v>892</v>
      </c>
      <c r="L3" s="159" t="s">
        <v>327</v>
      </c>
      <c r="M3" s="159" t="n">
        <v>3</v>
      </c>
      <c r="N3" s="160" t="n">
        <v>0</v>
      </c>
      <c r="O3" s="22"/>
      <c r="P3" s="22"/>
      <c r="Q3" s="23" t="n">
        <f aca="false">O3*P3</f>
        <v>0</v>
      </c>
      <c r="R3" s="149" t="n">
        <f aca="false">J3-Q274</f>
        <v>-10030</v>
      </c>
    </row>
    <row r="4" customFormat="false" ht="14.25" hidden="false" customHeight="false" outlineLevel="0" collapsed="false">
      <c r="A4" s="161" t="s">
        <v>12</v>
      </c>
      <c r="B4" s="161" t="n">
        <v>12</v>
      </c>
      <c r="C4" s="162" t="n">
        <v>0</v>
      </c>
      <c r="D4" s="162" t="n">
        <v>0</v>
      </c>
      <c r="E4" s="162" t="n">
        <v>60</v>
      </c>
      <c r="F4" s="162" t="n">
        <v>1188660</v>
      </c>
      <c r="G4" s="162" t="n">
        <v>60</v>
      </c>
      <c r="H4" s="162" t="n">
        <v>1188660</v>
      </c>
      <c r="I4" s="162" t="n">
        <v>0</v>
      </c>
      <c r="J4" s="162" t="n">
        <v>0</v>
      </c>
      <c r="K4" s="148" t="s">
        <v>893</v>
      </c>
      <c r="L4" s="148" t="s">
        <v>327</v>
      </c>
      <c r="M4" s="148" t="n">
        <v>30</v>
      </c>
      <c r="N4" s="149" t="n">
        <v>0</v>
      </c>
      <c r="O4" s="22"/>
      <c r="P4" s="22"/>
      <c r="Q4" s="23" t="n">
        <f aca="false">O4*P4</f>
        <v>0</v>
      </c>
    </row>
    <row r="5" s="159" customFormat="true" ht="14.25" hidden="false" customHeight="false" outlineLevel="0" collapsed="false">
      <c r="A5" s="30" t="s">
        <v>13</v>
      </c>
      <c r="B5" s="30" t="n">
        <v>12</v>
      </c>
      <c r="C5" s="158" t="n">
        <v>587</v>
      </c>
      <c r="D5" s="158" t="n">
        <v>19248466</v>
      </c>
      <c r="E5" s="158" t="n">
        <v>0</v>
      </c>
      <c r="F5" s="158" t="n">
        <v>0</v>
      </c>
      <c r="G5" s="158" t="n">
        <f aca="false">455-117</f>
        <v>338</v>
      </c>
      <c r="H5" s="158" t="n">
        <f aca="false">G5*N5</f>
        <v>0</v>
      </c>
      <c r="I5" s="158" t="n">
        <f aca="false">C5-G5</f>
        <v>249</v>
      </c>
      <c r="J5" s="158" t="n">
        <v>4317124</v>
      </c>
      <c r="K5" s="159" t="s">
        <v>894</v>
      </c>
      <c r="L5" s="159" t="s">
        <v>327</v>
      </c>
      <c r="M5" s="159" t="n">
        <v>495</v>
      </c>
      <c r="N5" s="160" t="n">
        <v>0</v>
      </c>
      <c r="O5" s="24"/>
      <c r="P5" s="24"/>
      <c r="Q5" s="25" t="n">
        <f aca="false">O5*P5</f>
        <v>0</v>
      </c>
      <c r="R5" s="160" t="n">
        <f aca="false">J5-Q6</f>
        <v>2024640.4</v>
      </c>
      <c r="S5" s="163" t="n">
        <f aca="false">R5-I5</f>
        <v>2024391.4</v>
      </c>
      <c r="T5" s="160"/>
      <c r="V5" s="159" t="s">
        <v>892</v>
      </c>
      <c r="W5" s="159" t="s">
        <v>327</v>
      </c>
      <c r="X5" s="159" t="n">
        <v>3</v>
      </c>
      <c r="Y5" s="159" t="n">
        <v>0</v>
      </c>
    </row>
    <row r="6" customFormat="false" ht="14.25" hidden="false" customHeight="false" outlineLevel="0" collapsed="false">
      <c r="A6" s="161" t="s">
        <v>14</v>
      </c>
      <c r="B6" s="161" t="n">
        <v>12</v>
      </c>
      <c r="C6" s="162" t="n">
        <v>120</v>
      </c>
      <c r="D6" s="162" t="n">
        <v>35752144</v>
      </c>
      <c r="E6" s="162" t="n">
        <v>0</v>
      </c>
      <c r="F6" s="162" t="n">
        <v>0</v>
      </c>
      <c r="G6" s="162" t="n">
        <v>120</v>
      </c>
      <c r="H6" s="162" t="n">
        <v>35752144</v>
      </c>
      <c r="I6" s="162" t="n">
        <v>0</v>
      </c>
      <c r="J6" s="162" t="n">
        <v>0</v>
      </c>
      <c r="K6" s="159" t="s">
        <v>338</v>
      </c>
      <c r="L6" s="159" t="s">
        <v>303</v>
      </c>
      <c r="M6" s="159" t="n">
        <v>729</v>
      </c>
      <c r="N6" s="160" t="n">
        <v>46436382.0750372</v>
      </c>
      <c r="O6" s="27" t="n">
        <v>132</v>
      </c>
      <c r="P6" s="28" t="n">
        <v>17367.3</v>
      </c>
      <c r="Q6" s="25" t="n">
        <f aca="false">O6*P6</f>
        <v>2292483.6</v>
      </c>
      <c r="V6" s="148" t="s">
        <v>893</v>
      </c>
      <c r="W6" s="148" t="s">
        <v>327</v>
      </c>
      <c r="X6" s="148" t="n">
        <v>30</v>
      </c>
      <c r="Y6" s="148" t="n">
        <v>0</v>
      </c>
    </row>
    <row r="7" s="159" customFormat="true" ht="14.25" hidden="false" customHeight="false" outlineLevel="0" collapsed="false">
      <c r="A7" s="30" t="s">
        <v>15</v>
      </c>
      <c r="B7" s="30" t="n">
        <v>12</v>
      </c>
      <c r="C7" s="158" t="n">
        <v>504</v>
      </c>
      <c r="D7" s="158" t="n">
        <v>68557545</v>
      </c>
      <c r="E7" s="158" t="n">
        <v>0</v>
      </c>
      <c r="F7" s="158" t="n">
        <v>0</v>
      </c>
      <c r="G7" s="158" t="n">
        <f aca="false">C7-I7</f>
        <v>134</v>
      </c>
      <c r="H7" s="158" t="n">
        <v>37679444</v>
      </c>
      <c r="I7" s="158" t="n">
        <v>370</v>
      </c>
      <c r="J7" s="158" t="n">
        <v>30878101</v>
      </c>
      <c r="K7" s="148" t="s">
        <v>342</v>
      </c>
      <c r="L7" s="148" t="s">
        <v>303</v>
      </c>
      <c r="M7" s="148" t="n">
        <v>120</v>
      </c>
      <c r="N7" s="149" t="n">
        <v>8907278</v>
      </c>
      <c r="O7" s="24"/>
      <c r="P7" s="24"/>
      <c r="Q7" s="25" t="n">
        <f aca="false">O7*P7</f>
        <v>0</v>
      </c>
      <c r="R7" s="160"/>
      <c r="S7" s="163" t="n">
        <f aca="false">R7-I7</f>
        <v>-370</v>
      </c>
      <c r="T7" s="160"/>
      <c r="V7" s="159" t="s">
        <v>894</v>
      </c>
      <c r="W7" s="159" t="s">
        <v>327</v>
      </c>
      <c r="X7" s="159" t="n">
        <v>495</v>
      </c>
      <c r="Y7" s="159" t="n">
        <v>0</v>
      </c>
    </row>
    <row r="8" s="159" customFormat="true" ht="14.25" hidden="false" customHeight="false" outlineLevel="0" collapsed="false">
      <c r="A8" s="30" t="s">
        <v>16</v>
      </c>
      <c r="B8" s="30" t="n">
        <v>12</v>
      </c>
      <c r="C8" s="158" t="n">
        <v>344</v>
      </c>
      <c r="D8" s="158" t="n">
        <v>53839916</v>
      </c>
      <c r="E8" s="158" t="n">
        <v>0</v>
      </c>
      <c r="F8" s="158" t="n">
        <v>0</v>
      </c>
      <c r="G8" s="158" t="n">
        <f aca="false">C8-I8</f>
        <v>34</v>
      </c>
      <c r="H8" s="158" t="n">
        <f aca="false">G8*N8</f>
        <v>3869899343.10005</v>
      </c>
      <c r="I8" s="158" t="n">
        <v>310</v>
      </c>
      <c r="J8" s="158" t="n">
        <v>23476708</v>
      </c>
      <c r="K8" s="148" t="s">
        <v>344</v>
      </c>
      <c r="L8" s="148" t="s">
        <v>303</v>
      </c>
      <c r="M8" s="148" t="n">
        <v>3377</v>
      </c>
      <c r="N8" s="149" t="n">
        <v>113820568.914707</v>
      </c>
      <c r="O8" s="24"/>
      <c r="P8" s="24"/>
      <c r="Q8" s="25" t="n">
        <f aca="false">O8*P8</f>
        <v>0</v>
      </c>
      <c r="R8" s="160"/>
      <c r="S8" s="163" t="n">
        <f aca="false">R8-I8</f>
        <v>-310</v>
      </c>
      <c r="T8" s="160"/>
      <c r="V8" s="159" t="s">
        <v>338</v>
      </c>
      <c r="W8" s="159" t="s">
        <v>303</v>
      </c>
      <c r="X8" s="159" t="n">
        <v>729</v>
      </c>
      <c r="Y8" s="159" t="n">
        <v>46436382.0750372</v>
      </c>
    </row>
    <row r="9" customFormat="false" ht="14.25" hidden="false" customHeight="false" outlineLevel="0" collapsed="false">
      <c r="A9" s="161" t="s">
        <v>17</v>
      </c>
      <c r="B9" s="161" t="n">
        <v>12</v>
      </c>
      <c r="C9" s="162" t="n">
        <v>153</v>
      </c>
      <c r="D9" s="162" t="n">
        <v>36613751</v>
      </c>
      <c r="E9" s="162" t="n">
        <v>0</v>
      </c>
      <c r="F9" s="162" t="n">
        <v>0</v>
      </c>
      <c r="G9" s="162" t="n">
        <v>153</v>
      </c>
      <c r="H9" s="162" t="n">
        <v>36613751</v>
      </c>
      <c r="I9" s="162" t="n">
        <v>0</v>
      </c>
      <c r="J9" s="162" t="n">
        <v>0</v>
      </c>
      <c r="K9" s="159" t="s">
        <v>42</v>
      </c>
      <c r="L9" s="159" t="s">
        <v>327</v>
      </c>
      <c r="M9" s="159" t="n">
        <v>130</v>
      </c>
      <c r="N9" s="160" t="n">
        <v>7391638.08</v>
      </c>
      <c r="O9" s="29" t="n">
        <v>227</v>
      </c>
      <c r="P9" s="28" t="n">
        <v>83500.2</v>
      </c>
      <c r="Q9" s="25" t="n">
        <f aca="false">O9*P9</f>
        <v>18954545.4</v>
      </c>
      <c r="R9" s="149" t="n">
        <f aca="false">J7-Q9</f>
        <v>11923555.6</v>
      </c>
      <c r="V9" s="148" t="s">
        <v>342</v>
      </c>
      <c r="W9" s="148" t="s">
        <v>303</v>
      </c>
      <c r="X9" s="148" t="n">
        <v>120</v>
      </c>
      <c r="Y9" s="148" t="n">
        <v>8907278</v>
      </c>
    </row>
    <row r="10" customFormat="false" ht="14.25" hidden="false" customHeight="false" outlineLevel="0" collapsed="false">
      <c r="A10" s="30" t="s">
        <v>18</v>
      </c>
      <c r="B10" s="30" t="n">
        <v>12</v>
      </c>
      <c r="C10" s="158" t="n">
        <v>554</v>
      </c>
      <c r="D10" s="158" t="n">
        <v>12063982</v>
      </c>
      <c r="E10" s="158" t="n">
        <v>0</v>
      </c>
      <c r="F10" s="158" t="n">
        <v>0</v>
      </c>
      <c r="G10" s="158" t="n">
        <f aca="false">C10-I10</f>
        <v>344</v>
      </c>
      <c r="H10" s="158" t="n">
        <f aca="false">G10*P14</f>
        <v>4142138.4</v>
      </c>
      <c r="I10" s="158" t="n">
        <v>210</v>
      </c>
      <c r="J10" s="158" t="n">
        <v>2526032</v>
      </c>
      <c r="K10" s="148" t="s">
        <v>44</v>
      </c>
      <c r="L10" s="148" t="s">
        <v>327</v>
      </c>
      <c r="M10" s="148" t="n">
        <v>750</v>
      </c>
      <c r="N10" s="149" t="n">
        <v>32158734.9583333</v>
      </c>
      <c r="O10" s="29" t="n">
        <v>150</v>
      </c>
      <c r="P10" s="28" t="n">
        <v>75700.8</v>
      </c>
      <c r="Q10" s="25" t="n">
        <f aca="false">O10*P10</f>
        <v>11355120</v>
      </c>
      <c r="R10" s="149" t="n">
        <f aca="false">J8-Q10</f>
        <v>12121588</v>
      </c>
      <c r="V10" s="148" t="s">
        <v>344</v>
      </c>
      <c r="W10" s="148" t="s">
        <v>303</v>
      </c>
      <c r="X10" s="148" t="n">
        <v>3377</v>
      </c>
      <c r="Y10" s="148" t="n">
        <v>113820568.914707</v>
      </c>
    </row>
    <row r="11" s="159" customFormat="true" ht="14.25" hidden="false" customHeight="false" outlineLevel="0" collapsed="false">
      <c r="A11" s="30" t="s">
        <v>19</v>
      </c>
      <c r="B11" s="30" t="n">
        <v>12</v>
      </c>
      <c r="C11" s="158" t="n">
        <v>180</v>
      </c>
      <c r="D11" s="158" t="n">
        <v>3904035</v>
      </c>
      <c r="E11" s="158" t="n">
        <v>0</v>
      </c>
      <c r="F11" s="158" t="n">
        <v>0</v>
      </c>
      <c r="G11" s="158" t="n">
        <f aca="false">C11-I11</f>
        <v>40</v>
      </c>
      <c r="H11" s="158" t="n">
        <f aca="false">G11*N11</f>
        <v>358491226.4</v>
      </c>
      <c r="I11" s="158" t="n">
        <v>140</v>
      </c>
      <c r="J11" s="158" t="n">
        <v>1691748</v>
      </c>
      <c r="K11" s="159" t="s">
        <v>45</v>
      </c>
      <c r="L11" s="159" t="s">
        <v>327</v>
      </c>
      <c r="M11" s="159" t="n">
        <v>245</v>
      </c>
      <c r="N11" s="160" t="n">
        <v>8962280.66</v>
      </c>
      <c r="O11" s="30" t="n">
        <v>0</v>
      </c>
      <c r="P11" s="30"/>
      <c r="Q11" s="25" t="n">
        <f aca="false">O11*P11</f>
        <v>0</v>
      </c>
      <c r="R11" s="160"/>
      <c r="T11" s="160"/>
      <c r="V11" s="159" t="s">
        <v>42</v>
      </c>
      <c r="W11" s="159" t="s">
        <v>327</v>
      </c>
      <c r="X11" s="159" t="n">
        <v>130</v>
      </c>
      <c r="Y11" s="159" t="n">
        <v>7391638.08</v>
      </c>
    </row>
    <row r="12" customFormat="false" ht="14.25" hidden="false" customHeight="false" outlineLevel="0" collapsed="false">
      <c r="A12" s="161" t="s">
        <v>20</v>
      </c>
      <c r="B12" s="161" t="n">
        <v>12</v>
      </c>
      <c r="C12" s="162" t="n">
        <v>295</v>
      </c>
      <c r="D12" s="162" t="n">
        <v>31404753</v>
      </c>
      <c r="E12" s="162" t="n">
        <v>0</v>
      </c>
      <c r="F12" s="162" t="n">
        <v>0</v>
      </c>
      <c r="G12" s="162" t="n">
        <v>277</v>
      </c>
      <c r="H12" s="162" t="n">
        <v>29488531</v>
      </c>
      <c r="I12" s="162" t="n">
        <v>18</v>
      </c>
      <c r="J12" s="162" t="n">
        <v>1916222</v>
      </c>
      <c r="K12" s="148" t="s">
        <v>46</v>
      </c>
      <c r="L12" s="148" t="s">
        <v>327</v>
      </c>
      <c r="M12" s="148" t="n">
        <v>125</v>
      </c>
      <c r="N12" s="149" t="n">
        <v>3982983.4</v>
      </c>
      <c r="O12" s="22"/>
      <c r="P12" s="22"/>
      <c r="Q12" s="23" t="n">
        <f aca="false">O12*P12</f>
        <v>0</v>
      </c>
      <c r="V12" s="148" t="s">
        <v>44</v>
      </c>
      <c r="W12" s="148" t="s">
        <v>327</v>
      </c>
      <c r="X12" s="148" t="n">
        <v>750</v>
      </c>
      <c r="Y12" s="148" t="n">
        <v>32158734.9583333</v>
      </c>
    </row>
    <row r="13" s="159" customFormat="true" ht="14.25" hidden="false" customHeight="false" outlineLevel="0" collapsed="false">
      <c r="A13" s="30" t="s">
        <v>21</v>
      </c>
      <c r="B13" s="30" t="n">
        <v>12</v>
      </c>
      <c r="C13" s="158" t="n">
        <v>170</v>
      </c>
      <c r="D13" s="158" t="n">
        <v>40681945</v>
      </c>
      <c r="E13" s="158" t="n">
        <v>0</v>
      </c>
      <c r="F13" s="158" t="n">
        <v>0</v>
      </c>
      <c r="G13" s="158" t="n">
        <f aca="false">C13-I13</f>
        <v>88</v>
      </c>
      <c r="H13" s="158" t="n">
        <f aca="false">G13*N13</f>
        <v>1949736504.32</v>
      </c>
      <c r="I13" s="158" t="n">
        <v>82</v>
      </c>
      <c r="J13" s="158" t="n">
        <v>11486667</v>
      </c>
      <c r="K13" s="148" t="s">
        <v>346</v>
      </c>
      <c r="L13" s="148" t="s">
        <v>327</v>
      </c>
      <c r="M13" s="148" t="n">
        <v>399</v>
      </c>
      <c r="N13" s="149" t="n">
        <v>22156096.64</v>
      </c>
      <c r="O13" s="24"/>
      <c r="P13" s="24"/>
      <c r="Q13" s="25" t="n">
        <f aca="false">O13*P13</f>
        <v>0</v>
      </c>
      <c r="R13" s="160"/>
      <c r="T13" s="160"/>
      <c r="V13" s="159" t="s">
        <v>45</v>
      </c>
      <c r="W13" s="159" t="s">
        <v>327</v>
      </c>
      <c r="X13" s="159" t="n">
        <v>245</v>
      </c>
      <c r="Y13" s="159" t="n">
        <v>8962280.66</v>
      </c>
    </row>
    <row r="14" customFormat="false" ht="14.25" hidden="false" customHeight="false" outlineLevel="0" collapsed="false">
      <c r="A14" s="161" t="s">
        <v>22</v>
      </c>
      <c r="B14" s="161" t="n">
        <v>12</v>
      </c>
      <c r="C14" s="162" t="n">
        <v>18</v>
      </c>
      <c r="D14" s="162" t="n">
        <v>407934</v>
      </c>
      <c r="E14" s="162" t="n">
        <v>0</v>
      </c>
      <c r="F14" s="162" t="n">
        <v>0</v>
      </c>
      <c r="G14" s="162" t="n">
        <v>18</v>
      </c>
      <c r="H14" s="162" t="n">
        <v>407934</v>
      </c>
      <c r="I14" s="162" t="n">
        <v>0</v>
      </c>
      <c r="J14" s="162" t="n">
        <v>0</v>
      </c>
      <c r="K14" s="148" t="s">
        <v>348</v>
      </c>
      <c r="L14" s="148" t="s">
        <v>327</v>
      </c>
      <c r="M14" s="148" t="n">
        <v>486</v>
      </c>
      <c r="N14" s="149" t="n">
        <v>18690968.44</v>
      </c>
      <c r="O14" s="29" t="n">
        <v>116</v>
      </c>
      <c r="P14" s="28" t="n">
        <v>12041.1</v>
      </c>
      <c r="Q14" s="25" t="n">
        <f aca="false">O14*P14</f>
        <v>1396767.6</v>
      </c>
      <c r="R14" s="149" t="n">
        <f aca="false">J10-Q14</f>
        <v>1129264.4</v>
      </c>
      <c r="V14" s="148" t="s">
        <v>46</v>
      </c>
      <c r="W14" s="148" t="s">
        <v>327</v>
      </c>
      <c r="X14" s="148" t="n">
        <v>125</v>
      </c>
      <c r="Y14" s="148" t="n">
        <v>3982983.4</v>
      </c>
    </row>
    <row r="15" customFormat="false" ht="14.25" hidden="false" customHeight="false" outlineLevel="0" collapsed="false">
      <c r="A15" s="161" t="s">
        <v>23</v>
      </c>
      <c r="B15" s="161" t="n">
        <v>12</v>
      </c>
      <c r="C15" s="162" t="n">
        <v>0</v>
      </c>
      <c r="D15" s="162" t="n">
        <v>0</v>
      </c>
      <c r="E15" s="162" t="n">
        <v>3</v>
      </c>
      <c r="F15" s="162" t="n">
        <v>57891</v>
      </c>
      <c r="G15" s="162" t="n">
        <v>3</v>
      </c>
      <c r="H15" s="162" t="n">
        <v>57891</v>
      </c>
      <c r="I15" s="162" t="n">
        <v>0</v>
      </c>
      <c r="J15" s="162" t="n">
        <v>0</v>
      </c>
      <c r="K15" s="159" t="s">
        <v>570</v>
      </c>
      <c r="L15" s="159" t="s">
        <v>327</v>
      </c>
      <c r="M15" s="159" t="n">
        <v>558</v>
      </c>
      <c r="N15" s="160" t="n">
        <v>0</v>
      </c>
      <c r="O15" s="29" t="n">
        <v>78</v>
      </c>
      <c r="P15" s="28" t="n">
        <v>12041.1</v>
      </c>
      <c r="Q15" s="25" t="n">
        <f aca="false">O15*P15</f>
        <v>939205.8</v>
      </c>
      <c r="R15" s="149" t="n">
        <f aca="false">J11-Q15</f>
        <v>752542.2</v>
      </c>
      <c r="V15" s="148" t="s">
        <v>346</v>
      </c>
      <c r="W15" s="148" t="s">
        <v>327</v>
      </c>
      <c r="X15" s="148" t="n">
        <v>399</v>
      </c>
      <c r="Y15" s="148" t="n">
        <v>22156096.64</v>
      </c>
    </row>
    <row r="16" customFormat="false" ht="14.25" hidden="false" customHeight="false" outlineLevel="0" collapsed="false">
      <c r="A16" s="161" t="s">
        <v>24</v>
      </c>
      <c r="B16" s="161" t="n">
        <v>12</v>
      </c>
      <c r="C16" s="162" t="n">
        <v>0</v>
      </c>
      <c r="D16" s="162" t="n">
        <v>0</v>
      </c>
      <c r="E16" s="162" t="n">
        <v>12</v>
      </c>
      <c r="F16" s="162" t="n">
        <v>231564</v>
      </c>
      <c r="G16" s="162" t="n">
        <v>12</v>
      </c>
      <c r="H16" s="162" t="n">
        <v>231564</v>
      </c>
      <c r="I16" s="162" t="n">
        <v>0</v>
      </c>
      <c r="J16" s="162" t="n">
        <v>0</v>
      </c>
      <c r="K16" s="159" t="s">
        <v>49</v>
      </c>
      <c r="L16" s="159" t="s">
        <v>327</v>
      </c>
      <c r="M16" s="159" t="n">
        <v>1070</v>
      </c>
      <c r="N16" s="160" t="n">
        <v>5573167.56235669</v>
      </c>
      <c r="O16" s="22"/>
      <c r="P16" s="22"/>
      <c r="Q16" s="23" t="n">
        <f aca="false">O16*P16</f>
        <v>0</v>
      </c>
      <c r="R16" s="149" t="n">
        <f aca="false">J13-Q18</f>
        <v>4802979</v>
      </c>
      <c r="V16" s="148" t="s">
        <v>348</v>
      </c>
      <c r="W16" s="148" t="s">
        <v>327</v>
      </c>
      <c r="X16" s="148" t="n">
        <v>486</v>
      </c>
      <c r="Y16" s="148" t="n">
        <v>18690968.44</v>
      </c>
    </row>
    <row r="17" s="159" customFormat="true" ht="14.25" hidden="false" customHeight="false" outlineLevel="0" collapsed="false">
      <c r="A17" s="30" t="s">
        <v>25</v>
      </c>
      <c r="B17" s="30" t="n">
        <v>12</v>
      </c>
      <c r="C17" s="158" t="n">
        <v>72</v>
      </c>
      <c r="D17" s="158" t="n">
        <v>1533524</v>
      </c>
      <c r="E17" s="158" t="n">
        <v>35</v>
      </c>
      <c r="F17" s="158" t="n">
        <v>745360</v>
      </c>
      <c r="G17" s="158" t="n">
        <f aca="false">C17+E17-I17</f>
        <v>67</v>
      </c>
      <c r="H17" s="158" t="n">
        <f aca="false">G17*N17</f>
        <v>0</v>
      </c>
      <c r="I17" s="158" t="n">
        <v>40</v>
      </c>
      <c r="J17" s="158" t="n">
        <v>788278</v>
      </c>
      <c r="K17" s="159" t="s">
        <v>895</v>
      </c>
      <c r="L17" s="159" t="s">
        <v>393</v>
      </c>
      <c r="M17" s="159" t="n">
        <v>5</v>
      </c>
      <c r="N17" s="160" t="n">
        <v>0</v>
      </c>
      <c r="O17" s="24"/>
      <c r="P17" s="24"/>
      <c r="Q17" s="25" t="n">
        <f aca="false">O17*P17</f>
        <v>0</v>
      </c>
      <c r="R17" s="160" t="n">
        <f aca="false">J17-Q49</f>
        <v>59422.4</v>
      </c>
      <c r="T17" s="160"/>
      <c r="V17" s="159" t="s">
        <v>570</v>
      </c>
      <c r="W17" s="159" t="s">
        <v>327</v>
      </c>
      <c r="X17" s="159" t="n">
        <v>558</v>
      </c>
      <c r="Y17" s="159" t="n">
        <v>0</v>
      </c>
    </row>
    <row r="18" s="159" customFormat="true" ht="14.25" hidden="false" customHeight="false" outlineLevel="0" collapsed="false">
      <c r="A18" s="30" t="s">
        <v>26</v>
      </c>
      <c r="B18" s="30" t="n">
        <v>12</v>
      </c>
      <c r="C18" s="158" t="n">
        <v>96</v>
      </c>
      <c r="D18" s="158" t="n">
        <v>2486575</v>
      </c>
      <c r="E18" s="158" t="n">
        <v>51</v>
      </c>
      <c r="F18" s="158" t="n">
        <v>1322226</v>
      </c>
      <c r="G18" s="158" t="n">
        <f aca="false">C18+E18-I18</f>
        <v>4</v>
      </c>
      <c r="H18" s="158" t="n">
        <f aca="false">G18*N18</f>
        <v>0</v>
      </c>
      <c r="I18" s="158" t="n">
        <v>143</v>
      </c>
      <c r="J18" s="158" t="n">
        <v>3420148</v>
      </c>
      <c r="K18" s="148" t="s">
        <v>897</v>
      </c>
      <c r="L18" s="148" t="s">
        <v>393</v>
      </c>
      <c r="M18" s="148" t="n">
        <v>2</v>
      </c>
      <c r="N18" s="149" t="n">
        <v>0</v>
      </c>
      <c r="O18" s="32" t="n">
        <v>48</v>
      </c>
      <c r="P18" s="28" t="n">
        <v>139243.5</v>
      </c>
      <c r="Q18" s="25" t="n">
        <f aca="false">O18*P18</f>
        <v>6683688</v>
      </c>
      <c r="R18" s="160" t="n">
        <f aca="false">J18-Q50</f>
        <v>254583.4</v>
      </c>
      <c r="T18" s="160"/>
      <c r="V18" s="159" t="s">
        <v>49</v>
      </c>
      <c r="W18" s="159" t="s">
        <v>327</v>
      </c>
      <c r="X18" s="159" t="n">
        <v>1070</v>
      </c>
      <c r="Y18" s="159" t="n">
        <v>5573167.56235669</v>
      </c>
    </row>
    <row r="19" s="159" customFormat="true" ht="14.25" hidden="false" customHeight="false" outlineLevel="0" collapsed="false">
      <c r="A19" s="30" t="s">
        <v>27</v>
      </c>
      <c r="B19" s="30" t="n">
        <v>12</v>
      </c>
      <c r="C19" s="158" t="n">
        <v>67</v>
      </c>
      <c r="D19" s="158" t="n">
        <v>2083589</v>
      </c>
      <c r="E19" s="158" t="n">
        <v>0</v>
      </c>
      <c r="F19" s="158" t="n">
        <v>0</v>
      </c>
      <c r="G19" s="158" t="n">
        <f aca="false">C19-I19</f>
        <v>1</v>
      </c>
      <c r="H19" s="158" t="n">
        <f aca="false">G19*N19</f>
        <v>0</v>
      </c>
      <c r="I19" s="158" t="n">
        <v>66</v>
      </c>
      <c r="J19" s="158" t="n">
        <v>1928097</v>
      </c>
      <c r="K19" s="148" t="s">
        <v>898</v>
      </c>
      <c r="L19" s="148" t="s">
        <v>393</v>
      </c>
      <c r="M19" s="148" t="n">
        <v>24</v>
      </c>
      <c r="N19" s="149" t="n">
        <v>0</v>
      </c>
      <c r="O19" s="24"/>
      <c r="P19" s="24"/>
      <c r="Q19" s="25" t="n">
        <f aca="false">O19*P19</f>
        <v>0</v>
      </c>
      <c r="R19" s="160" t="n">
        <f aca="false">J19-Q36</f>
        <v>122661.96</v>
      </c>
      <c r="T19" s="160"/>
      <c r="V19" s="159" t="s">
        <v>895</v>
      </c>
      <c r="W19" s="159" t="s">
        <v>393</v>
      </c>
      <c r="X19" s="159" t="n">
        <v>5</v>
      </c>
      <c r="Y19" s="159" t="n">
        <v>0</v>
      </c>
    </row>
    <row r="20" customFormat="false" ht="14.25" hidden="false" customHeight="false" outlineLevel="0" collapsed="false">
      <c r="A20" s="161" t="s">
        <v>28</v>
      </c>
      <c r="B20" s="161" t="n">
        <v>12</v>
      </c>
      <c r="C20" s="162" t="n">
        <v>650</v>
      </c>
      <c r="D20" s="162" t="n">
        <v>74700000</v>
      </c>
      <c r="E20" s="162" t="n">
        <v>160</v>
      </c>
      <c r="F20" s="162" t="n">
        <v>18432000</v>
      </c>
      <c r="G20" s="162" t="n">
        <v>0</v>
      </c>
      <c r="H20" s="162" t="n">
        <v>0</v>
      </c>
      <c r="I20" s="162" t="n">
        <v>810</v>
      </c>
      <c r="J20" s="162" t="n">
        <v>93132000</v>
      </c>
      <c r="K20" s="148" t="s">
        <v>899</v>
      </c>
      <c r="L20" s="148" t="s">
        <v>393</v>
      </c>
      <c r="M20" s="148" t="n">
        <v>3</v>
      </c>
      <c r="N20" s="149" t="n">
        <v>0</v>
      </c>
      <c r="O20" s="22"/>
      <c r="P20" s="22"/>
      <c r="Q20" s="23" t="n">
        <f aca="false">O20*P20</f>
        <v>0</v>
      </c>
      <c r="V20" s="148" t="s">
        <v>897</v>
      </c>
      <c r="W20" s="148" t="s">
        <v>393</v>
      </c>
      <c r="X20" s="148" t="n">
        <v>2</v>
      </c>
      <c r="Y20" s="148" t="n">
        <v>0</v>
      </c>
    </row>
    <row r="21" customFormat="false" ht="14.25" hidden="false" customHeight="false" outlineLevel="0" collapsed="false">
      <c r="A21" s="161" t="s">
        <v>29</v>
      </c>
      <c r="B21" s="161" t="n">
        <v>12</v>
      </c>
      <c r="C21" s="162" t="n">
        <v>280</v>
      </c>
      <c r="D21" s="162" t="n">
        <v>74052080</v>
      </c>
      <c r="E21" s="162" t="n">
        <v>0</v>
      </c>
      <c r="F21" s="162" t="n">
        <v>0</v>
      </c>
      <c r="G21" s="162" t="n">
        <v>0</v>
      </c>
      <c r="H21" s="162" t="n">
        <v>0</v>
      </c>
      <c r="I21" s="162" t="n">
        <v>280</v>
      </c>
      <c r="J21" s="162" t="n">
        <v>74052080</v>
      </c>
      <c r="K21" s="148" t="s">
        <v>900</v>
      </c>
      <c r="L21" s="148" t="s">
        <v>393</v>
      </c>
      <c r="M21" s="148" t="n">
        <v>16</v>
      </c>
      <c r="N21" s="149" t="n">
        <v>0</v>
      </c>
      <c r="O21" s="22"/>
      <c r="P21" s="22"/>
      <c r="Q21" s="23" t="n">
        <f aca="false">O21*P21</f>
        <v>0</v>
      </c>
      <c r="V21" s="148" t="s">
        <v>898</v>
      </c>
      <c r="W21" s="148" t="s">
        <v>393</v>
      </c>
      <c r="X21" s="148" t="n">
        <v>24</v>
      </c>
      <c r="Y21" s="148" t="n">
        <v>0</v>
      </c>
    </row>
    <row r="22" customFormat="false" ht="14.25" hidden="false" customHeight="false" outlineLevel="0" collapsed="false">
      <c r="A22" s="161" t="s">
        <v>30</v>
      </c>
      <c r="B22" s="161" t="n">
        <v>12</v>
      </c>
      <c r="C22" s="162" t="n">
        <v>102</v>
      </c>
      <c r="D22" s="162" t="n">
        <v>19779439</v>
      </c>
      <c r="E22" s="162" t="n">
        <v>0</v>
      </c>
      <c r="F22" s="162" t="n">
        <v>0</v>
      </c>
      <c r="G22" s="162" t="n">
        <v>100</v>
      </c>
      <c r="H22" s="162" t="n">
        <v>19391607</v>
      </c>
      <c r="I22" s="162" t="n">
        <v>2</v>
      </c>
      <c r="J22" s="162" t="n">
        <v>387832</v>
      </c>
      <c r="K22" s="148" t="s">
        <v>901</v>
      </c>
      <c r="L22" s="148" t="s">
        <v>451</v>
      </c>
      <c r="M22" s="148" t="n">
        <v>30</v>
      </c>
      <c r="N22" s="149" t="n">
        <v>0</v>
      </c>
      <c r="O22" s="22"/>
      <c r="P22" s="22"/>
      <c r="Q22" s="23" t="n">
        <f aca="false">O22*P22</f>
        <v>0</v>
      </c>
      <c r="V22" s="148" t="s">
        <v>899</v>
      </c>
      <c r="W22" s="148" t="s">
        <v>393</v>
      </c>
      <c r="X22" s="148" t="n">
        <v>3</v>
      </c>
      <c r="Y22" s="148" t="n">
        <v>0</v>
      </c>
    </row>
    <row r="23" customFormat="false" ht="14.25" hidden="false" customHeight="false" outlineLevel="0" collapsed="false">
      <c r="A23" s="161" t="s">
        <v>31</v>
      </c>
      <c r="B23" s="161" t="n">
        <v>12</v>
      </c>
      <c r="C23" s="162" t="n">
        <v>0</v>
      </c>
      <c r="D23" s="162" t="n">
        <v>0</v>
      </c>
      <c r="E23" s="162" t="n">
        <v>50</v>
      </c>
      <c r="F23" s="162" t="n">
        <v>8509100</v>
      </c>
      <c r="G23" s="162" t="n">
        <v>0</v>
      </c>
      <c r="H23" s="162" t="n">
        <v>0</v>
      </c>
      <c r="I23" s="162" t="n">
        <v>50</v>
      </c>
      <c r="J23" s="162" t="n">
        <v>8509100</v>
      </c>
      <c r="K23" s="148" t="s">
        <v>902</v>
      </c>
      <c r="L23" s="148" t="s">
        <v>393</v>
      </c>
      <c r="M23" s="148" t="n">
        <v>8</v>
      </c>
      <c r="N23" s="149" t="n">
        <v>0</v>
      </c>
      <c r="O23" s="22"/>
      <c r="P23" s="22"/>
      <c r="Q23" s="23" t="n">
        <f aca="false">O23*P23</f>
        <v>0</v>
      </c>
      <c r="V23" s="148" t="s">
        <v>900</v>
      </c>
      <c r="W23" s="148" t="s">
        <v>393</v>
      </c>
      <c r="X23" s="148" t="n">
        <v>16</v>
      </c>
      <c r="Y23" s="148" t="n">
        <v>0</v>
      </c>
    </row>
    <row r="24" customFormat="false" ht="14.25" hidden="false" customHeight="false" outlineLevel="0" collapsed="false">
      <c r="A24" s="164" t="s">
        <v>32</v>
      </c>
      <c r="B24" s="164" t="n">
        <v>12</v>
      </c>
      <c r="C24" s="165" t="n">
        <v>137</v>
      </c>
      <c r="D24" s="165" t="n">
        <v>22821826</v>
      </c>
      <c r="E24" s="165" t="n">
        <v>0</v>
      </c>
      <c r="F24" s="165" t="n">
        <v>0</v>
      </c>
      <c r="G24" s="165" t="n">
        <v>20</v>
      </c>
      <c r="H24" s="165" t="n">
        <v>3331653</v>
      </c>
      <c r="I24" s="165" t="n">
        <v>117</v>
      </c>
      <c r="J24" s="165" t="n">
        <v>19490173</v>
      </c>
      <c r="K24" s="148" t="s">
        <v>903</v>
      </c>
      <c r="L24" s="148" t="s">
        <v>393</v>
      </c>
      <c r="M24" s="148" t="n">
        <v>6</v>
      </c>
      <c r="N24" s="149" t="n">
        <v>0</v>
      </c>
      <c r="O24" s="22"/>
      <c r="P24" s="22"/>
      <c r="Q24" s="23" t="n">
        <f aca="false">O24*P24</f>
        <v>0</v>
      </c>
      <c r="V24" s="148" t="s">
        <v>901</v>
      </c>
      <c r="W24" s="148" t="s">
        <v>451</v>
      </c>
      <c r="X24" s="148" t="n">
        <v>30</v>
      </c>
      <c r="Y24" s="148" t="n">
        <v>0</v>
      </c>
    </row>
    <row r="25" customFormat="false" ht="14.25" hidden="false" customHeight="false" outlineLevel="0" collapsed="false">
      <c r="A25" s="30" t="s">
        <v>33</v>
      </c>
      <c r="B25" s="30" t="n">
        <v>12</v>
      </c>
      <c r="C25" s="158" t="n">
        <v>106</v>
      </c>
      <c r="D25" s="158" t="n">
        <v>16323470</v>
      </c>
      <c r="E25" s="158" t="n">
        <v>45</v>
      </c>
      <c r="F25" s="158" t="n">
        <v>10556505</v>
      </c>
      <c r="G25" s="158" t="n">
        <f aca="false">C25+E25-I25</f>
        <v>58</v>
      </c>
      <c r="H25" s="158" t="n">
        <f aca="false">D25+F25-J25</f>
        <v>4984366</v>
      </c>
      <c r="I25" s="158" t="n">
        <v>93</v>
      </c>
      <c r="J25" s="158" t="n">
        <v>21895609</v>
      </c>
      <c r="K25" s="148" t="s">
        <v>904</v>
      </c>
      <c r="L25" s="148" t="s">
        <v>393</v>
      </c>
      <c r="M25" s="148" t="n">
        <v>138</v>
      </c>
      <c r="N25" s="149" t="n">
        <v>0</v>
      </c>
      <c r="O25" s="32" t="n">
        <v>273485</v>
      </c>
      <c r="P25" s="33" t="n">
        <v>31208</v>
      </c>
      <c r="Q25" s="25" t="n">
        <f aca="false">O25*P25</f>
        <v>8534919880</v>
      </c>
      <c r="R25" s="149" t="n">
        <f aca="false">J25-Q191</f>
        <v>-6958838</v>
      </c>
      <c r="V25" s="148" t="s">
        <v>902</v>
      </c>
      <c r="W25" s="148" t="s">
        <v>393</v>
      </c>
      <c r="X25" s="148" t="n">
        <v>8</v>
      </c>
      <c r="Y25" s="148" t="n">
        <v>0</v>
      </c>
    </row>
    <row r="26" customFormat="false" ht="14.25" hidden="false" customHeight="false" outlineLevel="0" collapsed="false">
      <c r="A26" s="30" t="s">
        <v>34</v>
      </c>
      <c r="B26" s="30" t="n">
        <v>12</v>
      </c>
      <c r="C26" s="158" t="n">
        <v>94</v>
      </c>
      <c r="D26" s="158" t="n">
        <v>17372116</v>
      </c>
      <c r="E26" s="158" t="n">
        <v>40</v>
      </c>
      <c r="F26" s="158" t="n">
        <v>9383560</v>
      </c>
      <c r="G26" s="158" t="n">
        <f aca="false">C26+E26-I26</f>
        <v>63</v>
      </c>
      <c r="H26" s="158" t="n">
        <f aca="false">D26+F26-J26</f>
        <v>9983461</v>
      </c>
      <c r="I26" s="158" t="n">
        <v>71</v>
      </c>
      <c r="J26" s="158" t="n">
        <v>16772215</v>
      </c>
      <c r="K26" s="166" t="s">
        <v>905</v>
      </c>
      <c r="L26" s="166" t="s">
        <v>393</v>
      </c>
      <c r="M26" s="166" t="n">
        <v>119</v>
      </c>
      <c r="N26" s="167" t="n">
        <v>0</v>
      </c>
      <c r="O26" s="22"/>
      <c r="P26" s="22"/>
      <c r="Q26" s="23" t="n">
        <f aca="false">O26*P26</f>
        <v>0</v>
      </c>
      <c r="R26" s="149" t="n">
        <f aca="false">J26-Q197</f>
        <v>-2933261</v>
      </c>
      <c r="V26" s="148" t="s">
        <v>903</v>
      </c>
      <c r="W26" s="148" t="s">
        <v>393</v>
      </c>
      <c r="X26" s="148" t="n">
        <v>6</v>
      </c>
      <c r="Y26" s="148" t="n">
        <v>0</v>
      </c>
    </row>
    <row r="27" customFormat="false" ht="14.25" hidden="false" customHeight="false" outlineLevel="0" collapsed="false">
      <c r="A27" s="164" t="s">
        <v>35</v>
      </c>
      <c r="B27" s="164" t="n">
        <v>12</v>
      </c>
      <c r="C27" s="165" t="n">
        <v>351</v>
      </c>
      <c r="D27" s="165" t="n">
        <v>40194000</v>
      </c>
      <c r="E27" s="165" t="n">
        <v>0</v>
      </c>
      <c r="F27" s="165" t="n">
        <v>0</v>
      </c>
      <c r="G27" s="165" t="n">
        <v>0</v>
      </c>
      <c r="H27" s="165" t="n">
        <v>0</v>
      </c>
      <c r="I27" s="165" t="n">
        <v>351</v>
      </c>
      <c r="J27" s="165" t="n">
        <v>40194000</v>
      </c>
      <c r="K27" s="148" t="s">
        <v>906</v>
      </c>
      <c r="L27" s="148" t="s">
        <v>393</v>
      </c>
      <c r="M27" s="148" t="n">
        <v>156</v>
      </c>
      <c r="N27" s="149" t="n">
        <v>0</v>
      </c>
      <c r="O27" s="22"/>
      <c r="P27" s="22"/>
      <c r="Q27" s="23" t="n">
        <f aca="false">O27*P27</f>
        <v>0</v>
      </c>
      <c r="V27" s="148" t="s">
        <v>904</v>
      </c>
      <c r="W27" s="148" t="s">
        <v>393</v>
      </c>
      <c r="X27" s="148" t="n">
        <v>138</v>
      </c>
      <c r="Y27" s="148" t="n">
        <v>0</v>
      </c>
    </row>
    <row r="28" s="166" customFormat="true" ht="14.25" hidden="false" customHeight="false" outlineLevel="0" collapsed="false">
      <c r="A28" s="168" t="s">
        <v>36</v>
      </c>
      <c r="B28" s="168" t="n">
        <v>12</v>
      </c>
      <c r="C28" s="169" t="n">
        <v>40</v>
      </c>
      <c r="D28" s="169" t="n">
        <v>1818200</v>
      </c>
      <c r="E28" s="169" t="n">
        <v>0</v>
      </c>
      <c r="F28" s="169" t="n">
        <v>0</v>
      </c>
      <c r="G28" s="169" t="n">
        <v>0</v>
      </c>
      <c r="H28" s="169" t="n">
        <v>0</v>
      </c>
      <c r="I28" s="169" t="n">
        <v>40</v>
      </c>
      <c r="J28" s="169" t="n">
        <v>1818200</v>
      </c>
      <c r="K28" s="159" t="s">
        <v>907</v>
      </c>
      <c r="L28" s="159" t="s">
        <v>327</v>
      </c>
      <c r="M28" s="159" t="n">
        <v>12</v>
      </c>
      <c r="N28" s="160" t="n">
        <v>0</v>
      </c>
      <c r="O28" s="170"/>
      <c r="P28" s="170"/>
      <c r="Q28" s="171" t="n">
        <f aca="false">O28*P28</f>
        <v>0</v>
      </c>
      <c r="R28" s="167"/>
      <c r="T28" s="167"/>
      <c r="V28" s="166" t="s">
        <v>905</v>
      </c>
      <c r="W28" s="166" t="s">
        <v>393</v>
      </c>
      <c r="X28" s="166" t="n">
        <v>119</v>
      </c>
      <c r="Y28" s="166" t="n">
        <v>0</v>
      </c>
    </row>
    <row r="29" customFormat="false" ht="14.25" hidden="false" customHeight="false" outlineLevel="0" collapsed="false">
      <c r="A29" s="161" t="s">
        <v>37</v>
      </c>
      <c r="B29" s="161" t="n">
        <v>12</v>
      </c>
      <c r="C29" s="162" t="n">
        <v>833</v>
      </c>
      <c r="D29" s="162" t="n">
        <v>46378988</v>
      </c>
      <c r="E29" s="162" t="n">
        <v>4571</v>
      </c>
      <c r="F29" s="162" t="n">
        <v>254508576</v>
      </c>
      <c r="G29" s="162" t="n">
        <v>5404</v>
      </c>
      <c r="H29" s="162" t="n">
        <v>300887564</v>
      </c>
      <c r="I29" s="162" t="n">
        <v>0</v>
      </c>
      <c r="J29" s="162" t="n">
        <v>0</v>
      </c>
      <c r="K29" s="159" t="s">
        <v>908</v>
      </c>
      <c r="L29" s="159" t="s">
        <v>393</v>
      </c>
      <c r="M29" s="159" t="n">
        <v>6</v>
      </c>
      <c r="N29" s="160" t="n">
        <v>0</v>
      </c>
      <c r="O29" s="22"/>
      <c r="P29" s="22"/>
      <c r="Q29" s="23" t="n">
        <f aca="false">O29*P29</f>
        <v>0</v>
      </c>
      <c r="V29" s="148" t="s">
        <v>906</v>
      </c>
      <c r="W29" s="148" t="s">
        <v>393</v>
      </c>
      <c r="X29" s="148" t="n">
        <v>156</v>
      </c>
      <c r="Y29" s="148" t="n">
        <v>0</v>
      </c>
    </row>
    <row r="30" s="159" customFormat="true" ht="14.25" hidden="false" customHeight="false" outlineLevel="0" collapsed="false">
      <c r="A30" s="30" t="s">
        <v>38</v>
      </c>
      <c r="B30" s="30" t="n">
        <v>12</v>
      </c>
      <c r="C30" s="158" t="n">
        <v>273867</v>
      </c>
      <c r="D30" s="158" t="n">
        <v>255643095</v>
      </c>
      <c r="E30" s="158" t="n">
        <v>8568</v>
      </c>
      <c r="F30" s="158" t="n">
        <v>267390144</v>
      </c>
      <c r="G30" s="158" t="n">
        <f aca="false">C30+E30-I30</f>
        <v>274625</v>
      </c>
      <c r="H30" s="158" t="n">
        <f aca="false">G30*N30</f>
        <v>0</v>
      </c>
      <c r="I30" s="158" t="n">
        <v>7810</v>
      </c>
      <c r="J30" s="158" t="n">
        <v>243721640</v>
      </c>
      <c r="K30" s="148" t="s">
        <v>909</v>
      </c>
      <c r="L30" s="148" t="s">
        <v>327</v>
      </c>
      <c r="M30" s="148" t="n">
        <v>45</v>
      </c>
      <c r="N30" s="149" t="n">
        <v>0</v>
      </c>
      <c r="O30" s="172" t="n">
        <v>306</v>
      </c>
      <c r="P30" s="173" t="n">
        <v>51389</v>
      </c>
      <c r="Q30" s="171" t="n">
        <f aca="false">O30*P30</f>
        <v>15725034</v>
      </c>
      <c r="R30" s="160" t="n">
        <f aca="false">J30-Q25</f>
        <v>-8291198240</v>
      </c>
      <c r="S30" s="174" t="n">
        <f aca="false">I30-R30</f>
        <v>8291206050</v>
      </c>
      <c r="T30" s="160"/>
      <c r="V30" s="159" t="s">
        <v>907</v>
      </c>
      <c r="W30" s="159" t="s">
        <v>327</v>
      </c>
      <c r="X30" s="159" t="n">
        <v>12</v>
      </c>
      <c r="Y30" s="159" t="n">
        <v>0</v>
      </c>
    </row>
    <row r="31" s="159" customFormat="true" ht="14.25" hidden="false" customHeight="false" outlineLevel="0" collapsed="false">
      <c r="A31" s="30" t="s">
        <v>39</v>
      </c>
      <c r="B31" s="30" t="n">
        <v>12</v>
      </c>
      <c r="C31" s="158" t="n">
        <v>25915</v>
      </c>
      <c r="D31" s="158" t="n">
        <v>50321430</v>
      </c>
      <c r="E31" s="158" t="n">
        <v>1500</v>
      </c>
      <c r="F31" s="158" t="n">
        <v>54276000</v>
      </c>
      <c r="G31" s="158" t="n">
        <f aca="false">C31+E31-I31</f>
        <v>26863</v>
      </c>
      <c r="H31" s="158" t="n">
        <f aca="false">G31*N31</f>
        <v>0</v>
      </c>
      <c r="I31" s="158" t="n">
        <v>552</v>
      </c>
      <c r="J31" s="158" t="n">
        <v>19963055</v>
      </c>
      <c r="K31" s="148" t="s">
        <v>910</v>
      </c>
      <c r="L31" s="148" t="s">
        <v>451</v>
      </c>
      <c r="M31" s="148" t="n">
        <v>1</v>
      </c>
      <c r="N31" s="149" t="n">
        <v>0</v>
      </c>
      <c r="O31" s="29" t="n">
        <v>25076</v>
      </c>
      <c r="P31" s="33" t="n">
        <v>36184</v>
      </c>
      <c r="Q31" s="25" t="n">
        <f aca="false">O31*P31</f>
        <v>907349984</v>
      </c>
      <c r="R31" s="160" t="n">
        <f aca="false">J31-Q31</f>
        <v>-887386929</v>
      </c>
      <c r="S31" s="174" t="n">
        <f aca="false">I31-R31</f>
        <v>887387481</v>
      </c>
      <c r="T31" s="160"/>
      <c r="V31" s="159" t="s">
        <v>908</v>
      </c>
      <c r="W31" s="159" t="s">
        <v>393</v>
      </c>
      <c r="X31" s="159" t="n">
        <v>6</v>
      </c>
      <c r="Y31" s="159" t="n">
        <v>0</v>
      </c>
    </row>
    <row r="32" customFormat="false" ht="14.25" hidden="false" customHeight="false" outlineLevel="0" collapsed="false">
      <c r="A32" s="164" t="s">
        <v>40</v>
      </c>
      <c r="B32" s="164" t="n">
        <v>12</v>
      </c>
      <c r="C32" s="165" t="n">
        <v>2430</v>
      </c>
      <c r="D32" s="165" t="n">
        <v>87927120</v>
      </c>
      <c r="E32" s="165" t="n">
        <v>0</v>
      </c>
      <c r="F32" s="165" t="n">
        <v>0</v>
      </c>
      <c r="G32" s="165" t="n">
        <f aca="false">C32-I32</f>
        <v>0</v>
      </c>
      <c r="H32" s="165" t="n">
        <f aca="false">D32-J32</f>
        <v>0</v>
      </c>
      <c r="I32" s="165" t="n">
        <v>2430</v>
      </c>
      <c r="J32" s="165" t="n">
        <f aca="false">D32</f>
        <v>87927120</v>
      </c>
      <c r="K32" s="159" t="s">
        <v>50</v>
      </c>
      <c r="L32" s="159" t="s">
        <v>327</v>
      </c>
      <c r="M32" s="159" t="n">
        <v>750</v>
      </c>
      <c r="N32" s="160" t="n">
        <v>2579771.5</v>
      </c>
      <c r="O32" s="29" t="n">
        <v>130</v>
      </c>
      <c r="P32" s="33" t="n">
        <v>52485</v>
      </c>
      <c r="Q32" s="25" t="n">
        <f aca="false">O32*P32</f>
        <v>6823050</v>
      </c>
      <c r="R32" s="149" t="n">
        <f aca="false">J32-Q185</f>
        <v>-9394380</v>
      </c>
      <c r="S32" s="148" t="s">
        <v>952</v>
      </c>
      <c r="V32" s="148" t="s">
        <v>909</v>
      </c>
      <c r="W32" s="148" t="s">
        <v>327</v>
      </c>
      <c r="X32" s="148" t="n">
        <v>45</v>
      </c>
      <c r="Y32" s="148" t="n">
        <v>0</v>
      </c>
    </row>
    <row r="33" customFormat="false" ht="14.25" hidden="false" customHeight="false" outlineLevel="0" collapsed="false">
      <c r="A33" s="161" t="s">
        <v>41</v>
      </c>
      <c r="B33" s="161" t="n">
        <v>12</v>
      </c>
      <c r="C33" s="162" t="n">
        <v>0</v>
      </c>
      <c r="D33" s="162" t="n">
        <v>189538</v>
      </c>
      <c r="E33" s="162" t="n">
        <v>0</v>
      </c>
      <c r="F33" s="162" t="n">
        <v>0</v>
      </c>
      <c r="G33" s="162" t="n">
        <v>0</v>
      </c>
      <c r="H33" s="162" t="n">
        <v>0</v>
      </c>
      <c r="I33" s="162" t="n">
        <v>0</v>
      </c>
      <c r="J33" s="162" t="n">
        <v>189538</v>
      </c>
      <c r="K33" s="148" t="s">
        <v>360</v>
      </c>
      <c r="L33" s="148" t="s">
        <v>327</v>
      </c>
      <c r="M33" s="148" t="n">
        <v>995</v>
      </c>
      <c r="N33" s="149" t="n">
        <v>5095966.75</v>
      </c>
      <c r="O33" s="22"/>
      <c r="P33" s="22"/>
      <c r="Q33" s="23" t="n">
        <f aca="false">O33*P33</f>
        <v>0</v>
      </c>
      <c r="V33" s="148" t="s">
        <v>910</v>
      </c>
      <c r="W33" s="148" t="s">
        <v>451</v>
      </c>
      <c r="X33" s="148" t="n">
        <v>1</v>
      </c>
      <c r="Y33" s="148" t="n">
        <v>0</v>
      </c>
    </row>
    <row r="34" s="159" customFormat="true" ht="14.25" hidden="false" customHeight="false" outlineLevel="0" collapsed="false">
      <c r="A34" s="30" t="s">
        <v>42</v>
      </c>
      <c r="B34" s="30" t="n">
        <v>12</v>
      </c>
      <c r="C34" s="158" t="n">
        <v>160</v>
      </c>
      <c r="D34" s="158" t="n">
        <v>8538638</v>
      </c>
      <c r="E34" s="158" t="n">
        <v>0</v>
      </c>
      <c r="F34" s="158" t="n">
        <v>0</v>
      </c>
      <c r="G34" s="158" t="n">
        <f aca="false">C34-I34</f>
        <v>26</v>
      </c>
      <c r="H34" s="158" t="n">
        <f aca="false">G34*N34</f>
        <v>84027625.5</v>
      </c>
      <c r="I34" s="158" t="n">
        <v>134</v>
      </c>
      <c r="J34" s="158" t="n">
        <v>7012055</v>
      </c>
      <c r="K34" s="148" t="s">
        <v>51</v>
      </c>
      <c r="L34" s="148" t="s">
        <v>327</v>
      </c>
      <c r="M34" s="148" t="n">
        <v>770</v>
      </c>
      <c r="N34" s="149" t="n">
        <v>3231831.75</v>
      </c>
      <c r="O34" s="24"/>
      <c r="P34" s="24"/>
      <c r="Q34" s="25" t="n">
        <f aca="false">O34*P34</f>
        <v>0</v>
      </c>
      <c r="R34" s="160" t="n">
        <f aca="false">J34-Q32</f>
        <v>189005</v>
      </c>
      <c r="T34" s="160"/>
      <c r="V34" s="159" t="s">
        <v>50</v>
      </c>
      <c r="W34" s="159" t="s">
        <v>327</v>
      </c>
      <c r="X34" s="159" t="n">
        <v>750</v>
      </c>
      <c r="Y34" s="159" t="n">
        <v>2579771.5</v>
      </c>
    </row>
    <row r="35" customFormat="false" ht="14.25" hidden="false" customHeight="false" outlineLevel="0" collapsed="false">
      <c r="A35" s="161" t="s">
        <v>43</v>
      </c>
      <c r="B35" s="161" t="n">
        <v>12</v>
      </c>
      <c r="C35" s="162" t="n">
        <v>0</v>
      </c>
      <c r="D35" s="162" t="n">
        <v>0</v>
      </c>
      <c r="E35" s="162" t="n">
        <v>0</v>
      </c>
      <c r="F35" s="162" t="n">
        <v>0</v>
      </c>
      <c r="G35" s="162" t="n">
        <v>0</v>
      </c>
      <c r="H35" s="162" t="n">
        <v>0</v>
      </c>
      <c r="I35" s="162" t="n">
        <v>0</v>
      </c>
      <c r="J35" s="162" t="n">
        <v>0</v>
      </c>
      <c r="K35" s="148" t="s">
        <v>52</v>
      </c>
      <c r="L35" s="148" t="s">
        <v>303</v>
      </c>
      <c r="M35" s="148" t="n">
        <v>1612</v>
      </c>
      <c r="N35" s="149" t="n">
        <v>37680207.1939525</v>
      </c>
      <c r="O35" s="22"/>
      <c r="P35" s="22"/>
      <c r="Q35" s="23" t="n">
        <f aca="false">O35*P35</f>
        <v>0</v>
      </c>
      <c r="V35" s="148" t="s">
        <v>360</v>
      </c>
      <c r="W35" s="148" t="s">
        <v>327</v>
      </c>
      <c r="X35" s="148" t="n">
        <v>995</v>
      </c>
      <c r="Y35" s="148" t="n">
        <v>5095966.75</v>
      </c>
    </row>
    <row r="36" customFormat="false" ht="14.25" hidden="false" customHeight="false" outlineLevel="0" collapsed="false">
      <c r="A36" s="30" t="s">
        <v>44</v>
      </c>
      <c r="B36" s="30" t="n">
        <v>12</v>
      </c>
      <c r="C36" s="158" t="n">
        <v>9485</v>
      </c>
      <c r="D36" s="158" t="n">
        <v>33640650</v>
      </c>
      <c r="E36" s="158" t="n">
        <v>1050</v>
      </c>
      <c r="F36" s="158" t="n">
        <v>37993200</v>
      </c>
      <c r="G36" s="158" t="n">
        <f aca="false">C36+E36-I36</f>
        <v>9635</v>
      </c>
      <c r="H36" s="158" t="n">
        <f aca="false">D36+F36-J36</f>
        <v>39077621</v>
      </c>
      <c r="I36" s="158" t="n">
        <v>900</v>
      </c>
      <c r="J36" s="158" t="n">
        <v>32556229</v>
      </c>
      <c r="K36" s="148" t="s">
        <v>364</v>
      </c>
      <c r="L36" s="148" t="s">
        <v>303</v>
      </c>
      <c r="M36" s="148" t="n">
        <v>96</v>
      </c>
      <c r="N36" s="149" t="n">
        <v>2378641</v>
      </c>
      <c r="O36" s="29" t="n">
        <v>62</v>
      </c>
      <c r="P36" s="33" t="n">
        <v>29119.92</v>
      </c>
      <c r="Q36" s="25" t="n">
        <f aca="false">O36*P36</f>
        <v>1805435.04</v>
      </c>
      <c r="R36" s="160" t="n">
        <f aca="false">J36-Q187</f>
        <v>-309563491</v>
      </c>
      <c r="V36" s="148" t="s">
        <v>51</v>
      </c>
      <c r="W36" s="148" t="s">
        <v>327</v>
      </c>
      <c r="X36" s="148" t="n">
        <v>770</v>
      </c>
      <c r="Y36" s="148" t="n">
        <v>3231831.75</v>
      </c>
    </row>
    <row r="37" customFormat="false" ht="14.25" hidden="false" customHeight="false" outlineLevel="0" collapsed="false">
      <c r="A37" s="164" t="s">
        <v>45</v>
      </c>
      <c r="B37" s="164" t="n">
        <v>12</v>
      </c>
      <c r="C37" s="165" t="n">
        <v>320</v>
      </c>
      <c r="D37" s="165" t="n">
        <v>11571799</v>
      </c>
      <c r="E37" s="165" t="n">
        <v>405</v>
      </c>
      <c r="F37" s="165" t="n">
        <v>14654520</v>
      </c>
      <c r="G37" s="165" t="n">
        <v>630</v>
      </c>
      <c r="H37" s="165" t="n">
        <v>22789767</v>
      </c>
      <c r="I37" s="165" t="n">
        <v>95</v>
      </c>
      <c r="J37" s="165" t="n">
        <v>3436552</v>
      </c>
      <c r="K37" s="159" t="s">
        <v>373</v>
      </c>
      <c r="L37" s="159" t="s">
        <v>303</v>
      </c>
      <c r="M37" s="159" t="n">
        <v>48</v>
      </c>
      <c r="N37" s="160" t="n">
        <v>897623</v>
      </c>
      <c r="O37" s="29" t="n">
        <v>750</v>
      </c>
      <c r="P37" s="33" t="n">
        <v>3463.24</v>
      </c>
      <c r="Q37" s="25" t="n">
        <f aca="false">O37*P37</f>
        <v>2597430</v>
      </c>
      <c r="V37" s="148" t="s">
        <v>52</v>
      </c>
      <c r="W37" s="148" t="s">
        <v>303</v>
      </c>
      <c r="X37" s="148" t="n">
        <v>1612</v>
      </c>
      <c r="Y37" s="148" t="n">
        <v>37680207.1939525</v>
      </c>
    </row>
    <row r="38" customFormat="false" ht="14.25" hidden="false" customHeight="false" outlineLevel="0" collapsed="false">
      <c r="A38" s="30" t="s">
        <v>46</v>
      </c>
      <c r="B38" s="30" t="n">
        <v>12</v>
      </c>
      <c r="C38" s="158" t="n">
        <v>270</v>
      </c>
      <c r="D38" s="158" t="n">
        <v>9896208</v>
      </c>
      <c r="E38" s="158" t="n">
        <v>120</v>
      </c>
      <c r="F38" s="158" t="n">
        <v>4342080</v>
      </c>
      <c r="G38" s="158" t="n">
        <f aca="false">C38+E38-I38</f>
        <v>319</v>
      </c>
      <c r="H38" s="158" t="n">
        <f aca="false">D38+F38-J38</f>
        <v>11669303</v>
      </c>
      <c r="I38" s="158" t="n">
        <v>71</v>
      </c>
      <c r="J38" s="158" t="n">
        <v>2568985</v>
      </c>
      <c r="K38" s="148" t="s">
        <v>375</v>
      </c>
      <c r="L38" s="148" t="s">
        <v>303</v>
      </c>
      <c r="M38" s="148" t="n">
        <v>48</v>
      </c>
      <c r="N38" s="149" t="n">
        <v>897623</v>
      </c>
      <c r="O38" s="29" t="n">
        <v>995</v>
      </c>
      <c r="P38" s="33" t="n">
        <v>4761.96</v>
      </c>
      <c r="Q38" s="25" t="n">
        <f aca="false">O38*P38</f>
        <v>4738150.2</v>
      </c>
      <c r="R38" s="160" t="n">
        <f aca="false">J38-Q189</f>
        <v>217025</v>
      </c>
      <c r="V38" s="148" t="s">
        <v>364</v>
      </c>
      <c r="W38" s="148" t="s">
        <v>303</v>
      </c>
      <c r="X38" s="148" t="n">
        <v>96</v>
      </c>
      <c r="Y38" s="148" t="n">
        <v>2378641</v>
      </c>
    </row>
    <row r="39" s="159" customFormat="true" ht="14.25" hidden="false" customHeight="false" outlineLevel="0" collapsed="false">
      <c r="A39" s="30" t="s">
        <v>47</v>
      </c>
      <c r="B39" s="30" t="n">
        <v>12</v>
      </c>
      <c r="C39" s="158" t="n">
        <v>1500</v>
      </c>
      <c r="D39" s="158" t="n">
        <v>7597338</v>
      </c>
      <c r="E39" s="158" t="n">
        <v>250</v>
      </c>
      <c r="F39" s="158" t="n">
        <v>1273250</v>
      </c>
      <c r="G39" s="158" t="n">
        <f aca="false">C39+E39-I39</f>
        <v>691</v>
      </c>
      <c r="H39" s="158" t="n">
        <f aca="false">G39*N39</f>
        <v>651238478</v>
      </c>
      <c r="I39" s="158" t="n">
        <v>1059</v>
      </c>
      <c r="J39" s="158" t="n">
        <v>5043562</v>
      </c>
      <c r="K39" s="148" t="s">
        <v>377</v>
      </c>
      <c r="L39" s="148" t="s">
        <v>303</v>
      </c>
      <c r="M39" s="148" t="n">
        <v>48</v>
      </c>
      <c r="N39" s="149" t="n">
        <v>942458</v>
      </c>
      <c r="O39" s="29" t="n">
        <v>770</v>
      </c>
      <c r="P39" s="33" t="n">
        <v>3896.14</v>
      </c>
      <c r="Q39" s="25" t="n">
        <f aca="false">O39*P39</f>
        <v>3000027.8</v>
      </c>
      <c r="R39" s="160" t="n">
        <f aca="false">J39-Q38</f>
        <v>305411.8</v>
      </c>
      <c r="T39" s="160"/>
      <c r="V39" s="159" t="s">
        <v>373</v>
      </c>
      <c r="W39" s="159" t="s">
        <v>303</v>
      </c>
      <c r="X39" s="159" t="n">
        <v>48</v>
      </c>
      <c r="Y39" s="159" t="n">
        <v>897623</v>
      </c>
    </row>
    <row r="40" customFormat="false" ht="14.25" hidden="false" customHeight="false" outlineLevel="0" collapsed="false">
      <c r="A40" s="161" t="s">
        <v>48</v>
      </c>
      <c r="B40" s="161" t="n">
        <v>12</v>
      </c>
      <c r="C40" s="162" t="n">
        <v>192</v>
      </c>
      <c r="D40" s="162" t="n">
        <v>4111968</v>
      </c>
      <c r="E40" s="162" t="n">
        <v>48</v>
      </c>
      <c r="F40" s="162" t="n">
        <v>933312</v>
      </c>
      <c r="G40" s="162" t="n">
        <v>0</v>
      </c>
      <c r="H40" s="162" t="n">
        <v>0</v>
      </c>
      <c r="I40" s="162" t="n">
        <v>240</v>
      </c>
      <c r="J40" s="162" t="n">
        <v>5045280</v>
      </c>
      <c r="K40" s="159" t="s">
        <v>53</v>
      </c>
      <c r="L40" s="159" t="s">
        <v>303</v>
      </c>
      <c r="M40" s="159" t="n">
        <v>3590</v>
      </c>
      <c r="N40" s="160" t="n">
        <v>38600935.5</v>
      </c>
      <c r="O40" s="29" t="n">
        <v>1708</v>
      </c>
      <c r="P40" s="33" t="n">
        <v>21643.38</v>
      </c>
      <c r="Q40" s="25" t="n">
        <f aca="false">O40*P40</f>
        <v>36966893.04</v>
      </c>
      <c r="R40" s="160" t="n">
        <f aca="false">J44-Q40</f>
        <v>2435462.96</v>
      </c>
      <c r="V40" s="148" t="s">
        <v>375</v>
      </c>
      <c r="W40" s="148" t="s">
        <v>303</v>
      </c>
      <c r="X40" s="148" t="n">
        <v>48</v>
      </c>
      <c r="Y40" s="148" t="n">
        <v>897623</v>
      </c>
    </row>
    <row r="41" customFormat="false" ht="14.25" hidden="false" customHeight="false" outlineLevel="0" collapsed="false">
      <c r="A41" s="30" t="s">
        <v>49</v>
      </c>
      <c r="B41" s="30" t="n">
        <v>12</v>
      </c>
      <c r="C41" s="158" t="n">
        <v>4020</v>
      </c>
      <c r="D41" s="158" t="n">
        <v>19708744</v>
      </c>
      <c r="E41" s="158" t="n">
        <v>3360</v>
      </c>
      <c r="F41" s="158" t="n">
        <v>16487520</v>
      </c>
      <c r="G41" s="158" t="n">
        <f aca="false">C41+E41-I41</f>
        <v>5702</v>
      </c>
      <c r="H41" s="158" t="e">
        <f aca="false">G41*#REF!</f>
        <v>#REF!</v>
      </c>
      <c r="I41" s="158" t="n">
        <v>1678</v>
      </c>
      <c r="J41" s="158" t="n">
        <v>7700288</v>
      </c>
      <c r="K41" s="148" t="s">
        <v>54</v>
      </c>
      <c r="L41" s="148" t="s">
        <v>393</v>
      </c>
      <c r="M41" s="148" t="n">
        <v>2870</v>
      </c>
      <c r="N41" s="149" t="n">
        <v>43559984.1194118</v>
      </c>
      <c r="O41" s="22"/>
      <c r="P41" s="22"/>
      <c r="Q41" s="23" t="n">
        <f aca="false">O41*P41</f>
        <v>0</v>
      </c>
      <c r="R41" s="149" t="n">
        <f aca="false">J41-Q69</f>
        <v>497065.2</v>
      </c>
      <c r="V41" s="148" t="s">
        <v>377</v>
      </c>
      <c r="W41" s="148" t="s">
        <v>303</v>
      </c>
      <c r="X41" s="148" t="n">
        <v>48</v>
      </c>
      <c r="Y41" s="148" t="n">
        <v>942458</v>
      </c>
    </row>
    <row r="42" s="159" customFormat="true" ht="14.25" hidden="false" customHeight="false" outlineLevel="0" collapsed="false">
      <c r="A42" s="30" t="s">
        <v>50</v>
      </c>
      <c r="B42" s="30" t="n">
        <v>12</v>
      </c>
      <c r="C42" s="158" t="n">
        <v>750</v>
      </c>
      <c r="D42" s="158" t="n">
        <v>2517000</v>
      </c>
      <c r="E42" s="158" t="n">
        <v>0</v>
      </c>
      <c r="F42" s="158" t="n">
        <v>0</v>
      </c>
      <c r="G42" s="158" t="n">
        <f aca="false">C42-I42</f>
        <v>23</v>
      </c>
      <c r="H42" s="158" t="n">
        <f aca="false">G42*N42</f>
        <v>523700616.69</v>
      </c>
      <c r="I42" s="158" t="n">
        <v>727</v>
      </c>
      <c r="J42" s="158" t="n">
        <v>2517000</v>
      </c>
      <c r="K42" s="159" t="s">
        <v>55</v>
      </c>
      <c r="L42" s="159" t="s">
        <v>395</v>
      </c>
      <c r="M42" s="159" t="n">
        <v>255</v>
      </c>
      <c r="N42" s="160" t="n">
        <v>22769592.03</v>
      </c>
      <c r="O42" s="24"/>
      <c r="P42" s="24"/>
      <c r="Q42" s="25" t="n">
        <f aca="false">O42*P42</f>
        <v>0</v>
      </c>
      <c r="R42" s="160" t="n">
        <f aca="false">J42-Q37</f>
        <v>-80430</v>
      </c>
      <c r="T42" s="160"/>
      <c r="V42" s="159" t="s">
        <v>53</v>
      </c>
      <c r="W42" s="159" t="s">
        <v>303</v>
      </c>
      <c r="X42" s="159" t="n">
        <v>3590</v>
      </c>
      <c r="Y42" s="159" t="n">
        <v>38600935.5</v>
      </c>
    </row>
    <row r="43" customFormat="false" ht="14.25" hidden="false" customHeight="false" outlineLevel="0" collapsed="false">
      <c r="A43" s="161" t="s">
        <v>51</v>
      </c>
      <c r="B43" s="161" t="n">
        <v>12</v>
      </c>
      <c r="C43" s="162" t="n">
        <v>1350</v>
      </c>
      <c r="D43" s="162" t="n">
        <v>5561964</v>
      </c>
      <c r="E43" s="162" t="n">
        <v>200</v>
      </c>
      <c r="F43" s="162" t="n">
        <v>833400</v>
      </c>
      <c r="G43" s="162" t="n">
        <v>780</v>
      </c>
      <c r="H43" s="162" t="n">
        <v>3218313</v>
      </c>
      <c r="I43" s="162" t="n">
        <v>770</v>
      </c>
      <c r="J43" s="162" t="n">
        <v>3177051</v>
      </c>
      <c r="K43" s="175" t="s">
        <v>56</v>
      </c>
      <c r="L43" s="175" t="s">
        <v>393</v>
      </c>
      <c r="M43" s="175" t="n">
        <v>986</v>
      </c>
      <c r="N43" s="176" t="n">
        <v>9588240.92090909</v>
      </c>
      <c r="O43" s="22"/>
      <c r="P43" s="22"/>
      <c r="Q43" s="23" t="n">
        <f aca="false">O43*P43</f>
        <v>0</v>
      </c>
      <c r="V43" s="148" t="s">
        <v>54</v>
      </c>
      <c r="W43" s="148" t="s">
        <v>393</v>
      </c>
      <c r="X43" s="148" t="n">
        <v>2870</v>
      </c>
      <c r="Y43" s="148" t="n">
        <v>43559984.1194118</v>
      </c>
    </row>
    <row r="44" s="159" customFormat="true" ht="14.25" hidden="false" customHeight="false" outlineLevel="0" collapsed="false">
      <c r="A44" s="30" t="s">
        <v>52</v>
      </c>
      <c r="B44" s="30" t="n">
        <v>12</v>
      </c>
      <c r="C44" s="158" t="n">
        <v>1676</v>
      </c>
      <c r="D44" s="158" t="n">
        <v>38641471</v>
      </c>
      <c r="E44" s="158" t="n">
        <v>288</v>
      </c>
      <c r="F44" s="158" t="n">
        <v>6666624</v>
      </c>
      <c r="G44" s="158" t="n">
        <f aca="false">C44+E44-I44</f>
        <v>143</v>
      </c>
      <c r="H44" s="158" t="n">
        <f aca="false">G44*N44</f>
        <v>1927097915.6</v>
      </c>
      <c r="I44" s="158" t="n">
        <v>1821</v>
      </c>
      <c r="J44" s="158" t="n">
        <v>39402356</v>
      </c>
      <c r="K44" s="148" t="s">
        <v>57</v>
      </c>
      <c r="L44" s="148" t="s">
        <v>393</v>
      </c>
      <c r="M44" s="148" t="n">
        <v>766</v>
      </c>
      <c r="N44" s="149" t="n">
        <v>13476209.2</v>
      </c>
      <c r="O44" s="24"/>
      <c r="P44" s="24"/>
      <c r="Q44" s="25" t="n">
        <f aca="false">O44*P44</f>
        <v>0</v>
      </c>
      <c r="R44" s="160" t="n">
        <f aca="false">J44-Q40</f>
        <v>2435462.96</v>
      </c>
      <c r="T44" s="160"/>
      <c r="V44" s="159" t="s">
        <v>55</v>
      </c>
      <c r="W44" s="159" t="s">
        <v>395</v>
      </c>
      <c r="X44" s="159" t="n">
        <v>255</v>
      </c>
      <c r="Y44" s="159" t="n">
        <v>22769592.03</v>
      </c>
    </row>
    <row r="45" s="175" customFormat="true" ht="14.25" hidden="false" customHeight="false" outlineLevel="0" collapsed="false">
      <c r="A45" s="164" t="s">
        <v>890</v>
      </c>
      <c r="B45" s="164" t="n">
        <v>12</v>
      </c>
      <c r="C45" s="165" t="n">
        <v>0</v>
      </c>
      <c r="D45" s="165" t="n">
        <v>0</v>
      </c>
      <c r="E45" s="165" t="n">
        <v>3600</v>
      </c>
      <c r="F45" s="165" t="n">
        <v>38332800</v>
      </c>
      <c r="G45" s="165" t="n">
        <v>10</v>
      </c>
      <c r="H45" s="165" t="n">
        <v>106480</v>
      </c>
      <c r="I45" s="165" t="n">
        <v>3590</v>
      </c>
      <c r="J45" s="165" t="n">
        <v>38226320</v>
      </c>
      <c r="K45" s="148" t="s">
        <v>402</v>
      </c>
      <c r="L45" s="148" t="s">
        <v>393</v>
      </c>
      <c r="M45" s="148" t="n">
        <v>168</v>
      </c>
      <c r="N45" s="149" t="n">
        <v>6126111</v>
      </c>
      <c r="O45" s="177"/>
      <c r="P45" s="177"/>
      <c r="Q45" s="41" t="n">
        <f aca="false">O45*P45</f>
        <v>0</v>
      </c>
      <c r="R45" s="176"/>
      <c r="T45" s="176"/>
      <c r="V45" s="175" t="s">
        <v>56</v>
      </c>
      <c r="W45" s="175" t="s">
        <v>393</v>
      </c>
      <c r="X45" s="175" t="n">
        <v>986</v>
      </c>
      <c r="Y45" s="175" t="n">
        <v>9588240.92090909</v>
      </c>
    </row>
    <row r="46" customFormat="false" ht="14.25" hidden="false" customHeight="false" outlineLevel="0" collapsed="false">
      <c r="A46" s="30" t="s">
        <v>54</v>
      </c>
      <c r="B46" s="30" t="n">
        <v>12</v>
      </c>
      <c r="C46" s="158" t="n">
        <v>4478</v>
      </c>
      <c r="D46" s="158" t="n">
        <v>65694476</v>
      </c>
      <c r="E46" s="158" t="n">
        <v>9176</v>
      </c>
      <c r="F46" s="158" t="n">
        <v>133335000</v>
      </c>
      <c r="G46" s="158" t="n">
        <f aca="false">C46+E46-I46</f>
        <v>7664</v>
      </c>
      <c r="H46" s="158" t="n">
        <f aca="false">G46*N46</f>
        <v>171781663272.106</v>
      </c>
      <c r="I46" s="158" t="n">
        <v>5990</v>
      </c>
      <c r="J46" s="158" t="n">
        <v>82970249</v>
      </c>
      <c r="K46" s="148" t="s">
        <v>58</v>
      </c>
      <c r="L46" s="148" t="s">
        <v>393</v>
      </c>
      <c r="M46" s="148" t="n">
        <v>2592</v>
      </c>
      <c r="N46" s="149" t="n">
        <v>22414100.1137925</v>
      </c>
      <c r="O46" s="22"/>
      <c r="P46" s="22"/>
      <c r="Q46" s="23" t="n">
        <f aca="false">O46*P46</f>
        <v>0</v>
      </c>
      <c r="R46" s="160" t="n">
        <f aca="false">J46-Q58</f>
        <v>4124551.16</v>
      </c>
      <c r="V46" s="148" t="s">
        <v>57</v>
      </c>
      <c r="W46" s="148" t="s">
        <v>393</v>
      </c>
      <c r="X46" s="148" t="n">
        <v>766</v>
      </c>
      <c r="Y46" s="148" t="n">
        <v>13476209.2</v>
      </c>
    </row>
    <row r="47" customFormat="false" ht="14.25" hidden="false" customHeight="false" outlineLevel="0" collapsed="false">
      <c r="A47" s="30" t="s">
        <v>55</v>
      </c>
      <c r="B47" s="30" t="n">
        <v>12</v>
      </c>
      <c r="C47" s="158" t="n">
        <v>162</v>
      </c>
      <c r="D47" s="158" t="n">
        <v>14271796</v>
      </c>
      <c r="E47" s="158" t="n">
        <v>119</v>
      </c>
      <c r="F47" s="158" t="n">
        <f aca="false">E47*P59</f>
        <v>9838718.89</v>
      </c>
      <c r="G47" s="158" t="n">
        <v>6</v>
      </c>
      <c r="H47" s="158" t="n">
        <v>529347</v>
      </c>
      <c r="I47" s="158" t="n">
        <f aca="false">C47+E47-G47</f>
        <v>275</v>
      </c>
      <c r="J47" s="158" t="n">
        <v>22761901</v>
      </c>
      <c r="K47" s="148" t="s">
        <v>59</v>
      </c>
      <c r="L47" s="148" t="s">
        <v>393</v>
      </c>
      <c r="M47" s="148" t="n">
        <v>560</v>
      </c>
      <c r="N47" s="149" t="n">
        <v>9424959.96</v>
      </c>
      <c r="O47" s="29" t="n">
        <v>240</v>
      </c>
      <c r="P47" s="33" t="n">
        <v>18180.14</v>
      </c>
      <c r="Q47" s="25" t="n">
        <f aca="false">O47*P47</f>
        <v>4363233.6</v>
      </c>
      <c r="R47" s="149" t="n">
        <f aca="false">J47-Q59</f>
        <v>1430897.02</v>
      </c>
      <c r="V47" s="148" t="s">
        <v>402</v>
      </c>
      <c r="W47" s="148" t="s">
        <v>393</v>
      </c>
      <c r="X47" s="148" t="n">
        <v>168</v>
      </c>
      <c r="Y47" s="148" t="n">
        <v>6126111</v>
      </c>
    </row>
    <row r="48" customFormat="false" ht="14.25" hidden="false" customHeight="false" outlineLevel="0" collapsed="false">
      <c r="A48" s="30" t="s">
        <v>56</v>
      </c>
      <c r="B48" s="30" t="n">
        <v>12</v>
      </c>
      <c r="C48" s="158" t="n">
        <v>864</v>
      </c>
      <c r="D48" s="158" t="n">
        <v>8294400</v>
      </c>
      <c r="E48" s="158" t="n">
        <v>263</v>
      </c>
      <c r="F48" s="158" t="n">
        <f aca="false">E48*N48</f>
        <v>9207921359.29</v>
      </c>
      <c r="G48" s="158" t="n">
        <v>0</v>
      </c>
      <c r="H48" s="158" t="n">
        <v>0</v>
      </c>
      <c r="I48" s="158" t="n">
        <v>1127</v>
      </c>
      <c r="J48" s="158" t="n">
        <v>10143360</v>
      </c>
      <c r="K48" s="148" t="s">
        <v>60</v>
      </c>
      <c r="L48" s="148" t="s">
        <v>393</v>
      </c>
      <c r="M48" s="148" t="n">
        <v>966</v>
      </c>
      <c r="N48" s="149" t="n">
        <v>35011107.83</v>
      </c>
      <c r="O48" s="39" t="n">
        <v>3590</v>
      </c>
      <c r="P48" s="40" t="n">
        <v>9955.88</v>
      </c>
      <c r="Q48" s="41" t="n">
        <f aca="false">O48*P48</f>
        <v>35741609.2</v>
      </c>
      <c r="R48" s="149" t="n">
        <f aca="false">J48-Q62</f>
        <v>635083.200000001</v>
      </c>
      <c r="V48" s="148" t="s">
        <v>58</v>
      </c>
      <c r="W48" s="148" t="s">
        <v>393</v>
      </c>
      <c r="X48" s="148" t="n">
        <v>2592</v>
      </c>
      <c r="Y48" s="148" t="n">
        <v>22414100.1137925</v>
      </c>
    </row>
    <row r="49" customFormat="false" ht="14.25" hidden="false" customHeight="false" outlineLevel="0" collapsed="false">
      <c r="A49" s="30" t="s">
        <v>57</v>
      </c>
      <c r="B49" s="30" t="n">
        <v>12</v>
      </c>
      <c r="C49" s="158" t="n">
        <v>758</v>
      </c>
      <c r="D49" s="158" t="n">
        <v>13116517</v>
      </c>
      <c r="E49" s="158" t="n">
        <v>168</v>
      </c>
      <c r="F49" s="158" t="n">
        <v>2955624</v>
      </c>
      <c r="G49" s="158" t="n">
        <f aca="false">C49+E49-I49</f>
        <v>118</v>
      </c>
      <c r="H49" s="158" t="n">
        <f aca="false">G49*N49</f>
        <v>268614384.62</v>
      </c>
      <c r="I49" s="158" t="n">
        <v>808</v>
      </c>
      <c r="J49" s="158" t="n">
        <v>13295097</v>
      </c>
      <c r="K49" s="148" t="s">
        <v>380</v>
      </c>
      <c r="L49" s="148" t="s">
        <v>327</v>
      </c>
      <c r="M49" s="148" t="n">
        <v>107</v>
      </c>
      <c r="N49" s="149" t="n">
        <v>2276393.09</v>
      </c>
      <c r="O49" s="29" t="n">
        <v>37</v>
      </c>
      <c r="P49" s="33" t="n">
        <v>19698.8</v>
      </c>
      <c r="Q49" s="25" t="n">
        <f aca="false">O49*P49</f>
        <v>728855.6</v>
      </c>
      <c r="R49" s="149" t="n">
        <f aca="false">J49-Q63</f>
        <v>694810.640000001</v>
      </c>
      <c r="V49" s="148" t="s">
        <v>59</v>
      </c>
      <c r="W49" s="148" t="s">
        <v>393</v>
      </c>
      <c r="X49" s="148" t="n">
        <v>560</v>
      </c>
      <c r="Y49" s="148" t="n">
        <v>9424959.96</v>
      </c>
    </row>
    <row r="50" customFormat="false" ht="14.25" hidden="false" customHeight="false" outlineLevel="0" collapsed="false">
      <c r="A50" s="30" t="s">
        <v>58</v>
      </c>
      <c r="B50" s="30" t="n">
        <v>12</v>
      </c>
      <c r="C50" s="158" t="n">
        <v>3660</v>
      </c>
      <c r="D50" s="158" t="n">
        <v>31105758</v>
      </c>
      <c r="E50" s="158" t="n">
        <v>816</v>
      </c>
      <c r="F50" s="158" t="n">
        <v>7026576</v>
      </c>
      <c r="G50" s="158" t="n">
        <f aca="false">C50+E50-I50</f>
        <v>1416</v>
      </c>
      <c r="H50" s="158" t="n">
        <f aca="false">G50*N50</f>
        <v>4841032482</v>
      </c>
      <c r="I50" s="158" t="n">
        <v>3060</v>
      </c>
      <c r="J50" s="158" t="n">
        <v>24637781</v>
      </c>
      <c r="K50" s="148" t="s">
        <v>382</v>
      </c>
      <c r="L50" s="148" t="s">
        <v>327</v>
      </c>
      <c r="M50" s="148" t="n">
        <v>132</v>
      </c>
      <c r="N50" s="149" t="n">
        <v>3418808.25</v>
      </c>
      <c r="O50" s="29" t="n">
        <v>132</v>
      </c>
      <c r="P50" s="33" t="n">
        <v>23981.55</v>
      </c>
      <c r="Q50" s="25" t="n">
        <f aca="false">O50*P50</f>
        <v>3165564.6</v>
      </c>
      <c r="R50" s="149" t="n">
        <f aca="false">J50-Q65</f>
        <v>1353479.24</v>
      </c>
      <c r="V50" s="148" t="s">
        <v>60</v>
      </c>
      <c r="W50" s="148" t="s">
        <v>393</v>
      </c>
      <c r="X50" s="148" t="n">
        <v>966</v>
      </c>
      <c r="Y50" s="148" t="n">
        <v>35011107.83</v>
      </c>
    </row>
    <row r="51" customFormat="false" ht="14.25" hidden="false" customHeight="false" outlineLevel="0" collapsed="false">
      <c r="A51" s="30" t="s">
        <v>59</v>
      </c>
      <c r="B51" s="30" t="n">
        <v>12</v>
      </c>
      <c r="C51" s="158" t="n">
        <v>4076</v>
      </c>
      <c r="D51" s="158" t="n">
        <v>66900098</v>
      </c>
      <c r="E51" s="158" t="n">
        <v>2466</v>
      </c>
      <c r="F51" s="158" t="n">
        <v>30000600</v>
      </c>
      <c r="G51" s="158" t="n">
        <f aca="false">C51+E51-I51</f>
        <v>3835</v>
      </c>
      <c r="H51" s="158" t="n">
        <f aca="false">G51*N51</f>
        <v>6633498251.25</v>
      </c>
      <c r="I51" s="158" t="n">
        <v>2707</v>
      </c>
      <c r="J51" s="158" t="n">
        <v>42184835</v>
      </c>
      <c r="K51" s="148" t="s">
        <v>357</v>
      </c>
      <c r="L51" s="148" t="s">
        <v>327</v>
      </c>
      <c r="M51" s="148" t="n">
        <v>55</v>
      </c>
      <c r="N51" s="149" t="n">
        <v>1729725.75</v>
      </c>
      <c r="O51" s="178" t="n">
        <v>40</v>
      </c>
      <c r="P51" s="173" t="n">
        <v>42045.88</v>
      </c>
      <c r="Q51" s="171" t="n">
        <f aca="false">O51*P51</f>
        <v>1681835.2</v>
      </c>
      <c r="R51" s="149" t="n">
        <f aca="false">J51-Q66</f>
        <v>-2197371.72</v>
      </c>
      <c r="V51" s="148" t="s">
        <v>380</v>
      </c>
      <c r="W51" s="148" t="s">
        <v>327</v>
      </c>
      <c r="X51" s="148" t="n">
        <v>107</v>
      </c>
      <c r="Y51" s="148" t="n">
        <v>2276393.09</v>
      </c>
    </row>
    <row r="52" customFormat="false" ht="14.25" hidden="false" customHeight="false" outlineLevel="0" collapsed="false">
      <c r="A52" s="30" t="s">
        <v>60</v>
      </c>
      <c r="B52" s="30" t="n">
        <v>12</v>
      </c>
      <c r="C52" s="158" t="n">
        <v>3051</v>
      </c>
      <c r="D52" s="158" t="n">
        <v>99561656</v>
      </c>
      <c r="E52" s="158" t="n">
        <v>1476</v>
      </c>
      <c r="F52" s="158" t="n">
        <v>51966396</v>
      </c>
      <c r="G52" s="158" t="n">
        <f aca="false">C52+E52-I52</f>
        <v>2861</v>
      </c>
      <c r="H52" s="158" t="e">
        <f aca="false">G52*#REF!</f>
        <v>#REF!</v>
      </c>
      <c r="I52" s="158" t="n">
        <v>1666</v>
      </c>
      <c r="J52" s="158" t="n">
        <v>54793775</v>
      </c>
      <c r="K52" s="148" t="s">
        <v>384</v>
      </c>
      <c r="L52" s="148" t="s">
        <v>327</v>
      </c>
      <c r="M52" s="148" t="n">
        <v>40</v>
      </c>
      <c r="N52" s="149" t="n">
        <v>1850018</v>
      </c>
      <c r="O52" s="39" t="n">
        <v>15</v>
      </c>
      <c r="P52" s="40" t="n">
        <v>31689.58</v>
      </c>
      <c r="Q52" s="41" t="n">
        <f aca="false">O52*P52</f>
        <v>475343.7</v>
      </c>
      <c r="R52" s="149" t="n">
        <f aca="false">J52-Q67</f>
        <v>939781.739999995</v>
      </c>
      <c r="V52" s="148" t="s">
        <v>382</v>
      </c>
      <c r="W52" s="148" t="s">
        <v>327</v>
      </c>
      <c r="X52" s="148" t="n">
        <v>132</v>
      </c>
      <c r="Y52" s="148" t="n">
        <v>3418808.25</v>
      </c>
    </row>
    <row r="53" customFormat="false" ht="14.25" hidden="false" customHeight="false" outlineLevel="0" collapsed="false">
      <c r="A53" s="161" t="s">
        <v>61</v>
      </c>
      <c r="B53" s="161" t="n">
        <v>12</v>
      </c>
      <c r="C53" s="162" t="n">
        <v>0</v>
      </c>
      <c r="D53" s="162" t="n">
        <v>0</v>
      </c>
      <c r="E53" s="162" t="n">
        <v>0</v>
      </c>
      <c r="F53" s="162" t="n">
        <v>0</v>
      </c>
      <c r="G53" s="162" t="n">
        <v>0</v>
      </c>
      <c r="H53" s="162" t="n">
        <v>0</v>
      </c>
      <c r="I53" s="162" t="n">
        <v>0</v>
      </c>
      <c r="J53" s="162" t="n">
        <v>0</v>
      </c>
      <c r="K53" s="148" t="s">
        <v>129</v>
      </c>
      <c r="L53" s="148" t="s">
        <v>327</v>
      </c>
      <c r="M53" s="148" t="n">
        <v>15</v>
      </c>
      <c r="N53" s="149" t="n">
        <v>513370.5</v>
      </c>
      <c r="O53" s="29" t="n">
        <v>86</v>
      </c>
      <c r="P53" s="33" t="n">
        <v>44108.62</v>
      </c>
      <c r="Q53" s="25" t="n">
        <f aca="false">O53*P53</f>
        <v>3793341.32</v>
      </c>
      <c r="V53" s="148" t="s">
        <v>357</v>
      </c>
      <c r="W53" s="148" t="s">
        <v>327</v>
      </c>
      <c r="X53" s="148" t="n">
        <v>55</v>
      </c>
      <c r="Y53" s="148" t="n">
        <v>1729725.75</v>
      </c>
    </row>
    <row r="54" customFormat="false" ht="14.25" hidden="false" customHeight="false" outlineLevel="0" collapsed="false">
      <c r="A54" s="30" t="s">
        <v>62</v>
      </c>
      <c r="B54" s="30" t="n">
        <v>12</v>
      </c>
      <c r="C54" s="158" t="n">
        <v>4034</v>
      </c>
      <c r="D54" s="158" t="n">
        <v>19765883</v>
      </c>
      <c r="E54" s="158" t="n">
        <v>4080</v>
      </c>
      <c r="F54" s="158" t="n">
        <v>20020560</v>
      </c>
      <c r="G54" s="158" t="n">
        <f aca="false">C54+E54-I54</f>
        <v>6143</v>
      </c>
      <c r="H54" s="158" t="e">
        <f aca="false">G54*#REF!</f>
        <v>#REF!</v>
      </c>
      <c r="I54" s="158" t="n">
        <v>1971</v>
      </c>
      <c r="J54" s="158" t="n">
        <v>9041928</v>
      </c>
      <c r="K54" s="148" t="s">
        <v>130</v>
      </c>
      <c r="L54" s="148" t="s">
        <v>327</v>
      </c>
      <c r="M54" s="148" t="n">
        <v>86</v>
      </c>
      <c r="N54" s="149" t="n">
        <v>4096804.4</v>
      </c>
      <c r="O54" s="29" t="n">
        <v>36</v>
      </c>
      <c r="P54" s="33" t="n">
        <v>46250</v>
      </c>
      <c r="Q54" s="25" t="n">
        <f aca="false">O54*P54</f>
        <v>1665000</v>
      </c>
      <c r="R54" s="149" t="n">
        <f aca="false">J54-Q71</f>
        <v>581582.24</v>
      </c>
      <c r="V54" s="148" t="s">
        <v>384</v>
      </c>
      <c r="W54" s="148" t="s">
        <v>327</v>
      </c>
      <c r="X54" s="148" t="n">
        <v>40</v>
      </c>
      <c r="Y54" s="148" t="n">
        <v>1850018</v>
      </c>
    </row>
    <row r="55" customFormat="false" ht="14.25" hidden="false" customHeight="false" outlineLevel="0" collapsed="false">
      <c r="A55" s="161" t="s">
        <v>63</v>
      </c>
      <c r="B55" s="161" t="n">
        <v>12</v>
      </c>
      <c r="C55" s="162" t="n">
        <v>0</v>
      </c>
      <c r="D55" s="162" t="n">
        <v>0</v>
      </c>
      <c r="E55" s="162" t="n">
        <v>0</v>
      </c>
      <c r="F55" s="162" t="n">
        <v>0</v>
      </c>
      <c r="G55" s="162" t="n">
        <v>0</v>
      </c>
      <c r="H55" s="162" t="n">
        <v>0</v>
      </c>
      <c r="I55" s="162" t="n">
        <v>0</v>
      </c>
      <c r="J55" s="162" t="n">
        <v>0</v>
      </c>
      <c r="K55" s="148" t="s">
        <v>131</v>
      </c>
      <c r="L55" s="148" t="s">
        <v>327</v>
      </c>
      <c r="M55" s="148" t="n">
        <v>36</v>
      </c>
      <c r="N55" s="149" t="n">
        <v>1798200.23</v>
      </c>
      <c r="O55" s="29" t="n">
        <v>53</v>
      </c>
      <c r="P55" s="33" t="n">
        <v>41110.7</v>
      </c>
      <c r="Q55" s="25" t="n">
        <f aca="false">O55*P55</f>
        <v>2178867.1</v>
      </c>
      <c r="V55" s="148" t="s">
        <v>129</v>
      </c>
      <c r="W55" s="148" t="s">
        <v>327</v>
      </c>
      <c r="X55" s="148" t="n">
        <v>15</v>
      </c>
      <c r="Y55" s="148" t="n">
        <v>513370.5</v>
      </c>
    </row>
    <row r="56" customFormat="false" ht="14.25" hidden="false" customHeight="false" outlineLevel="0" collapsed="false">
      <c r="A56" s="164" t="s">
        <v>64</v>
      </c>
      <c r="B56" s="164" t="n">
        <v>12</v>
      </c>
      <c r="C56" s="165" t="n">
        <v>25</v>
      </c>
      <c r="D56" s="165" t="n">
        <v>4861100</v>
      </c>
      <c r="E56" s="165" t="n">
        <v>0</v>
      </c>
      <c r="F56" s="165" t="n">
        <v>0</v>
      </c>
      <c r="G56" s="165" t="n">
        <v>0</v>
      </c>
      <c r="H56" s="165" t="n">
        <v>0</v>
      </c>
      <c r="I56" s="165" t="n">
        <v>25</v>
      </c>
      <c r="J56" s="165" t="n">
        <v>4861100</v>
      </c>
      <c r="K56" s="148" t="s">
        <v>132</v>
      </c>
      <c r="L56" s="148" t="s">
        <v>327</v>
      </c>
      <c r="M56" s="148" t="n">
        <v>108</v>
      </c>
      <c r="N56" s="149" t="n">
        <v>4795151.63</v>
      </c>
      <c r="O56" s="22"/>
      <c r="P56" s="22"/>
      <c r="Q56" s="23" t="n">
        <f aca="false">O56*P56</f>
        <v>0</v>
      </c>
      <c r="V56" s="148" t="s">
        <v>130</v>
      </c>
      <c r="W56" s="148" t="s">
        <v>327</v>
      </c>
      <c r="X56" s="148" t="n">
        <v>86</v>
      </c>
      <c r="Y56" s="148" t="n">
        <v>4096804.4</v>
      </c>
    </row>
    <row r="57" customFormat="false" ht="14.25" hidden="false" customHeight="false" outlineLevel="0" collapsed="false">
      <c r="A57" s="164" t="s">
        <v>65</v>
      </c>
      <c r="B57" s="164" t="n">
        <v>12</v>
      </c>
      <c r="C57" s="165" t="n">
        <v>7</v>
      </c>
      <c r="D57" s="165" t="n">
        <v>1328705</v>
      </c>
      <c r="E57" s="165" t="n">
        <v>0</v>
      </c>
      <c r="F57" s="165" t="n">
        <v>0</v>
      </c>
      <c r="G57" s="165" t="n">
        <v>0</v>
      </c>
      <c r="H57" s="165" t="n">
        <v>0</v>
      </c>
      <c r="I57" s="165" t="n">
        <v>7</v>
      </c>
      <c r="J57" s="165" t="n">
        <v>1328705</v>
      </c>
      <c r="K57" s="148" t="s">
        <v>390</v>
      </c>
      <c r="L57" s="148" t="s">
        <v>327</v>
      </c>
      <c r="M57" s="148" t="n">
        <v>32</v>
      </c>
      <c r="N57" s="149" t="n">
        <v>1420786</v>
      </c>
      <c r="O57" s="29" t="n">
        <v>35</v>
      </c>
      <c r="P57" s="33" t="n">
        <v>35115.78</v>
      </c>
      <c r="Q57" s="23" t="n">
        <f aca="false">O57*P57</f>
        <v>1229052.3</v>
      </c>
      <c r="V57" s="148" t="s">
        <v>131</v>
      </c>
      <c r="W57" s="148" t="s">
        <v>327</v>
      </c>
      <c r="X57" s="148" t="n">
        <v>36</v>
      </c>
      <c r="Y57" s="148" t="n">
        <v>1798200.23</v>
      </c>
    </row>
    <row r="58" customFormat="false" ht="14.25" hidden="false" customHeight="false" outlineLevel="0" collapsed="false">
      <c r="A58" s="30" t="s">
        <v>66</v>
      </c>
      <c r="B58" s="30" t="n">
        <v>12</v>
      </c>
      <c r="C58" s="158" t="n">
        <v>3640</v>
      </c>
      <c r="D58" s="158" t="n">
        <v>56770482</v>
      </c>
      <c r="E58" s="158" t="n">
        <v>4421</v>
      </c>
      <c r="F58" s="158" t="n">
        <v>68567796</v>
      </c>
      <c r="G58" s="158" t="n">
        <f aca="false">C58+E58-I58</f>
        <v>6562</v>
      </c>
      <c r="H58" s="158" t="e">
        <f aca="false">G58*#REF!</f>
        <v>#REF!</v>
      </c>
      <c r="I58" s="158" t="n">
        <v>1499</v>
      </c>
      <c r="J58" s="158" t="n">
        <v>22063642</v>
      </c>
      <c r="K58" s="148" t="s">
        <v>133</v>
      </c>
      <c r="L58" s="148" t="s">
        <v>327</v>
      </c>
      <c r="M58" s="148" t="n">
        <v>19</v>
      </c>
      <c r="N58" s="149" t="n">
        <v>720574.88</v>
      </c>
      <c r="O58" s="29" t="n">
        <v>5692</v>
      </c>
      <c r="P58" s="33" t="n">
        <v>13852.02</v>
      </c>
      <c r="Q58" s="25" t="n">
        <f aca="false">O58*P58</f>
        <v>78845697.84</v>
      </c>
      <c r="R58" s="149" t="n">
        <f aca="false">J58-Q75</f>
        <v>1179027.04</v>
      </c>
      <c r="V58" s="148" t="s">
        <v>132</v>
      </c>
      <c r="W58" s="148" t="s">
        <v>327</v>
      </c>
      <c r="X58" s="148" t="n">
        <v>108</v>
      </c>
      <c r="Y58" s="148" t="n">
        <v>4795151.63</v>
      </c>
    </row>
    <row r="59" customFormat="false" ht="14.25" hidden="false" customHeight="false" outlineLevel="0" collapsed="false">
      <c r="A59" s="30" t="s">
        <v>67</v>
      </c>
      <c r="B59" s="30" t="n">
        <v>12</v>
      </c>
      <c r="C59" s="158" t="n">
        <v>170</v>
      </c>
      <c r="D59" s="158" t="n">
        <v>1385264</v>
      </c>
      <c r="E59" s="158" t="n">
        <v>24</v>
      </c>
      <c r="F59" s="158" t="n">
        <v>400008</v>
      </c>
      <c r="G59" s="158" t="n">
        <f aca="false">C59+E59-I59</f>
        <v>81</v>
      </c>
      <c r="H59" s="158" t="e">
        <f aca="false">G59*#REF!</f>
        <v>#REF!</v>
      </c>
      <c r="I59" s="158" t="n">
        <v>113</v>
      </c>
      <c r="J59" s="158" t="n">
        <v>1757665</v>
      </c>
      <c r="K59" s="148" t="s">
        <v>134</v>
      </c>
      <c r="L59" s="148" t="s">
        <v>327</v>
      </c>
      <c r="M59" s="148" t="n">
        <v>15</v>
      </c>
      <c r="N59" s="149" t="n">
        <v>437059.36</v>
      </c>
      <c r="O59" s="29" t="n">
        <v>258</v>
      </c>
      <c r="P59" s="33" t="n">
        <v>82678.31</v>
      </c>
      <c r="Q59" s="25" t="n">
        <f aca="false">O59*P59</f>
        <v>21331003.98</v>
      </c>
      <c r="R59" s="149" t="n">
        <f aca="false">J59-Q82</f>
        <v>-1218810.24</v>
      </c>
      <c r="V59" s="148" t="s">
        <v>390</v>
      </c>
      <c r="W59" s="148" t="s">
        <v>327</v>
      </c>
      <c r="X59" s="148" t="n">
        <v>32</v>
      </c>
      <c r="Y59" s="148" t="n">
        <v>1420786</v>
      </c>
    </row>
    <row r="60" customFormat="false" ht="14.25" hidden="false" customHeight="false" outlineLevel="0" collapsed="false">
      <c r="A60" s="30" t="s">
        <v>68</v>
      </c>
      <c r="B60" s="30" t="n">
        <v>12</v>
      </c>
      <c r="C60" s="158" t="n">
        <v>384</v>
      </c>
      <c r="D60" s="158" t="n">
        <v>17725913</v>
      </c>
      <c r="E60" s="158" t="n">
        <v>0</v>
      </c>
      <c r="F60" s="158" t="n">
        <v>0</v>
      </c>
      <c r="G60" s="158"/>
      <c r="H60" s="158"/>
      <c r="I60" s="158" t="n">
        <v>384</v>
      </c>
      <c r="J60" s="158" t="n">
        <v>16802688</v>
      </c>
      <c r="K60" s="148" t="s">
        <v>398</v>
      </c>
      <c r="L60" s="148" t="s">
        <v>327</v>
      </c>
      <c r="M60" s="148" t="n">
        <v>28</v>
      </c>
      <c r="N60" s="149" t="n">
        <v>945348</v>
      </c>
      <c r="O60" s="39" t="n">
        <v>15</v>
      </c>
      <c r="P60" s="40" t="n">
        <v>26979.48</v>
      </c>
      <c r="Q60" s="23" t="n">
        <f aca="false">O60*P60</f>
        <v>404692.2</v>
      </c>
      <c r="R60" s="149" t="n">
        <f aca="false">J60-Q83</f>
        <v>920043.040000001</v>
      </c>
      <c r="V60" s="148" t="s">
        <v>133</v>
      </c>
      <c r="W60" s="148" t="s">
        <v>327</v>
      </c>
      <c r="X60" s="148" t="n">
        <v>19</v>
      </c>
      <c r="Y60" s="148" t="n">
        <v>720574.88</v>
      </c>
    </row>
    <row r="61" customFormat="false" ht="14.25" hidden="false" customHeight="false" outlineLevel="0" collapsed="false">
      <c r="A61" s="30" t="s">
        <v>69</v>
      </c>
      <c r="B61" s="30" t="n">
        <v>12</v>
      </c>
      <c r="C61" s="158" t="n">
        <v>156</v>
      </c>
      <c r="D61" s="158" t="n">
        <v>16177824</v>
      </c>
      <c r="E61" s="158" t="n">
        <v>0</v>
      </c>
      <c r="F61" s="158" t="n">
        <v>0</v>
      </c>
      <c r="G61" s="158"/>
      <c r="H61" s="158"/>
      <c r="I61" s="158" t="n">
        <f aca="false">C61</f>
        <v>156</v>
      </c>
      <c r="J61" s="158" t="n">
        <v>15555600</v>
      </c>
      <c r="K61" s="148" t="s">
        <v>407</v>
      </c>
      <c r="L61" s="148" t="s">
        <v>327</v>
      </c>
      <c r="M61" s="148" t="n">
        <v>20</v>
      </c>
      <c r="N61" s="149" t="n">
        <v>693746</v>
      </c>
      <c r="O61" s="22"/>
      <c r="P61" s="22"/>
      <c r="Q61" s="23" t="n">
        <f aca="false">O61*P61</f>
        <v>0</v>
      </c>
      <c r="R61" s="149" t="n">
        <f aca="false">J61-Q84</f>
        <v>1011114</v>
      </c>
      <c r="V61" s="148" t="s">
        <v>134</v>
      </c>
      <c r="W61" s="148" t="s">
        <v>327</v>
      </c>
      <c r="X61" s="148" t="n">
        <v>15</v>
      </c>
      <c r="Y61" s="148" t="n">
        <v>437059.36</v>
      </c>
    </row>
    <row r="62" customFormat="false" ht="14.25" hidden="false" customHeight="false" outlineLevel="0" collapsed="false">
      <c r="A62" s="164" t="s">
        <v>70</v>
      </c>
      <c r="B62" s="164" t="n">
        <v>12</v>
      </c>
      <c r="C62" s="165" t="n">
        <v>84</v>
      </c>
      <c r="D62" s="165" t="n">
        <v>12133296</v>
      </c>
      <c r="E62" s="165"/>
      <c r="F62" s="165" t="n">
        <v>0</v>
      </c>
      <c r="G62" s="165"/>
      <c r="H62" s="165"/>
      <c r="I62" s="165" t="n">
        <v>84</v>
      </c>
      <c r="J62" s="165" t="n">
        <f aca="false">D62</f>
        <v>12133296</v>
      </c>
      <c r="K62" s="148" t="s">
        <v>62</v>
      </c>
      <c r="L62" s="148" t="s">
        <v>327</v>
      </c>
      <c r="M62" s="148" t="n">
        <v>1830</v>
      </c>
      <c r="N62" s="149" t="n">
        <v>9066877.655</v>
      </c>
      <c r="O62" s="29" t="n">
        <v>1056</v>
      </c>
      <c r="P62" s="33" t="n">
        <v>9004.05</v>
      </c>
      <c r="Q62" s="25" t="n">
        <f aca="false">O62*P62</f>
        <v>9508276.8</v>
      </c>
      <c r="R62" s="149" t="n">
        <f aca="false">J62-Q85</f>
        <v>1463939.94</v>
      </c>
      <c r="V62" s="148" t="s">
        <v>398</v>
      </c>
      <c r="W62" s="148" t="s">
        <v>327</v>
      </c>
      <c r="X62" s="148" t="n">
        <v>28</v>
      </c>
      <c r="Y62" s="148" t="n">
        <v>945348</v>
      </c>
    </row>
    <row r="63" customFormat="false" ht="14.25" hidden="false" customHeight="false" outlineLevel="0" collapsed="false">
      <c r="A63" s="30" t="s">
        <v>71</v>
      </c>
      <c r="B63" s="30" t="n">
        <v>12</v>
      </c>
      <c r="C63" s="158" t="n">
        <v>1608</v>
      </c>
      <c r="D63" s="158" t="n">
        <v>25016122</v>
      </c>
      <c r="E63" s="158" t="n">
        <v>552</v>
      </c>
      <c r="F63" s="158" t="n">
        <v>8689032</v>
      </c>
      <c r="G63" s="158" t="n">
        <f aca="false">C63+E63-I63</f>
        <v>1294</v>
      </c>
      <c r="H63" s="158" t="e">
        <f aca="false">G63*#REF!</f>
        <v>#REF!</v>
      </c>
      <c r="I63" s="158" t="n">
        <v>866</v>
      </c>
      <c r="J63" s="158" t="n">
        <v>12748662</v>
      </c>
      <c r="K63" s="148" t="s">
        <v>413</v>
      </c>
      <c r="L63" s="148" t="s">
        <v>303</v>
      </c>
      <c r="M63" s="148" t="n">
        <v>288</v>
      </c>
      <c r="N63" s="149" t="n">
        <v>4308529</v>
      </c>
      <c r="O63" s="29" t="n">
        <v>766</v>
      </c>
      <c r="P63" s="33" t="n">
        <v>16449.46</v>
      </c>
      <c r="Q63" s="25" t="n">
        <f aca="false">O63*P63</f>
        <v>12600286.36</v>
      </c>
      <c r="R63" s="149" t="n">
        <f aca="false">J63-Q86</f>
        <v>724186.720000001</v>
      </c>
      <c r="V63" s="148" t="s">
        <v>407</v>
      </c>
      <c r="W63" s="148" t="s">
        <v>327</v>
      </c>
      <c r="X63" s="148" t="n">
        <v>20</v>
      </c>
      <c r="Y63" s="148" t="n">
        <v>693746</v>
      </c>
    </row>
    <row r="64" customFormat="false" ht="14.25" hidden="false" customHeight="false" outlineLevel="0" collapsed="false">
      <c r="A64" s="30" t="s">
        <v>72</v>
      </c>
      <c r="B64" s="30" t="n">
        <v>12</v>
      </c>
      <c r="C64" s="158" t="n">
        <v>3852</v>
      </c>
      <c r="D64" s="158" t="n">
        <v>90280472</v>
      </c>
      <c r="E64" s="158" t="n">
        <v>648</v>
      </c>
      <c r="F64" s="158" t="n">
        <v>15599952</v>
      </c>
      <c r="G64" s="158" t="n">
        <f aca="false">C64+E64-I64</f>
        <v>2687</v>
      </c>
      <c r="H64" s="158" t="e">
        <f aca="false">G64*#REF!</f>
        <v>#REF!</v>
      </c>
      <c r="I64" s="158" t="n">
        <v>1813</v>
      </c>
      <c r="J64" s="158" t="n">
        <v>40799257</v>
      </c>
      <c r="K64" s="148" t="s">
        <v>64</v>
      </c>
      <c r="L64" s="148" t="s">
        <v>303</v>
      </c>
      <c r="M64" s="148" t="n">
        <v>25</v>
      </c>
      <c r="N64" s="149" t="n">
        <v>4908737.5</v>
      </c>
      <c r="O64" s="22"/>
      <c r="P64" s="22"/>
      <c r="Q64" s="23" t="n">
        <f aca="false">O64*P64</f>
        <v>0</v>
      </c>
      <c r="R64" s="149" t="n">
        <f aca="false">J64-Q88</f>
        <v>1768321.54</v>
      </c>
      <c r="V64" s="148" t="s">
        <v>62</v>
      </c>
      <c r="W64" s="148" t="s">
        <v>327</v>
      </c>
      <c r="X64" s="148" t="n">
        <v>1830</v>
      </c>
      <c r="Y64" s="148" t="n">
        <v>9066877.655</v>
      </c>
    </row>
    <row r="65" customFormat="false" ht="14.25" hidden="false" customHeight="false" outlineLevel="0" collapsed="false">
      <c r="A65" s="30" t="s">
        <v>73</v>
      </c>
      <c r="B65" s="30" t="n">
        <v>12</v>
      </c>
      <c r="C65" s="158" t="n">
        <v>4218</v>
      </c>
      <c r="D65" s="158" t="n">
        <v>143970514</v>
      </c>
      <c r="E65" s="158" t="n">
        <v>1800</v>
      </c>
      <c r="F65" s="158" t="n">
        <v>61666200</v>
      </c>
      <c r="G65" s="158" t="n">
        <f aca="false">C65+E65-I65</f>
        <v>4874</v>
      </c>
      <c r="H65" s="158" t="e">
        <f aca="false">G65*#REF!</f>
        <v>#REF!</v>
      </c>
      <c r="I65" s="158" t="n">
        <v>1144</v>
      </c>
      <c r="J65" s="158" t="n">
        <v>36630535</v>
      </c>
      <c r="K65" s="148" t="s">
        <v>65</v>
      </c>
      <c r="L65" s="148" t="s">
        <v>303</v>
      </c>
      <c r="M65" s="148" t="n">
        <v>7</v>
      </c>
      <c r="N65" s="149" t="n">
        <v>1341726</v>
      </c>
      <c r="O65" s="29" t="n">
        <v>2892</v>
      </c>
      <c r="P65" s="33" t="n">
        <v>8051.28</v>
      </c>
      <c r="Q65" s="25" t="n">
        <f aca="false">O65*P65</f>
        <v>23284301.76</v>
      </c>
      <c r="R65" s="149" t="n">
        <f aca="false">J65-Q90</f>
        <v>2292059.48</v>
      </c>
      <c r="V65" s="148" t="s">
        <v>413</v>
      </c>
      <c r="W65" s="148" t="s">
        <v>303</v>
      </c>
      <c r="X65" s="148" t="n">
        <v>288</v>
      </c>
      <c r="Y65" s="148" t="n">
        <v>4308529</v>
      </c>
    </row>
    <row r="66" customFormat="false" ht="14.25" hidden="false" customHeight="false" outlineLevel="0" collapsed="false">
      <c r="A66" s="30" t="s">
        <v>74</v>
      </c>
      <c r="B66" s="30" t="n">
        <v>12</v>
      </c>
      <c r="C66" s="158" t="n">
        <v>5136</v>
      </c>
      <c r="D66" s="158" t="n">
        <v>75745997</v>
      </c>
      <c r="E66" s="158" t="n">
        <v>1752</v>
      </c>
      <c r="F66" s="158" t="n">
        <v>25955880</v>
      </c>
      <c r="G66" s="158" t="n">
        <f aca="false">C66+E66-I66</f>
        <v>6059</v>
      </c>
      <c r="H66" s="158" t="e">
        <f aca="false">G66*#REF!</f>
        <v>#REF!</v>
      </c>
      <c r="I66" s="158" t="n">
        <v>829</v>
      </c>
      <c r="J66" s="158" t="n">
        <v>11487233</v>
      </c>
      <c r="K66" s="148" t="s">
        <v>66</v>
      </c>
      <c r="L66" s="148" t="s">
        <v>393</v>
      </c>
      <c r="M66" s="148" t="n">
        <v>882</v>
      </c>
      <c r="N66" s="149" t="n">
        <v>11162689.54</v>
      </c>
      <c r="O66" s="29" t="n">
        <v>2848</v>
      </c>
      <c r="P66" s="33" t="n">
        <v>15583.64</v>
      </c>
      <c r="Q66" s="23" t="n">
        <f aca="false">O66*P66</f>
        <v>44382206.72</v>
      </c>
      <c r="R66" s="149" t="n">
        <f aca="false">J66-Q95</f>
        <v>710361.44</v>
      </c>
      <c r="V66" s="148" t="s">
        <v>64</v>
      </c>
      <c r="W66" s="148" t="s">
        <v>303</v>
      </c>
      <c r="X66" s="148" t="n">
        <v>25</v>
      </c>
      <c r="Y66" s="148" t="n">
        <v>4908737.5</v>
      </c>
    </row>
    <row r="67" customFormat="false" ht="14.25" hidden="false" customHeight="false" outlineLevel="0" collapsed="false">
      <c r="A67" s="30" t="s">
        <v>75</v>
      </c>
      <c r="B67" s="30" t="n">
        <v>12</v>
      </c>
      <c r="C67" s="158" t="n">
        <v>10400</v>
      </c>
      <c r="D67" s="158" t="n">
        <v>3813333</v>
      </c>
      <c r="E67" s="158" t="n">
        <v>0</v>
      </c>
      <c r="F67" s="158" t="n">
        <v>0</v>
      </c>
      <c r="G67" s="158" t="n">
        <v>9600</v>
      </c>
      <c r="H67" s="158" t="n">
        <v>3520000</v>
      </c>
      <c r="I67" s="158" t="n">
        <v>800</v>
      </c>
      <c r="J67" s="158" t="n">
        <v>293333</v>
      </c>
      <c r="K67" s="148" t="s">
        <v>418</v>
      </c>
      <c r="L67" s="148" t="s">
        <v>393</v>
      </c>
      <c r="M67" s="148" t="n">
        <v>3262</v>
      </c>
      <c r="N67" s="149" t="n">
        <v>54048835.1640727</v>
      </c>
      <c r="O67" s="29" t="n">
        <v>1637</v>
      </c>
      <c r="P67" s="33" t="n">
        <v>32897.98</v>
      </c>
      <c r="Q67" s="25" t="n">
        <f aca="false">O67*P67</f>
        <v>53853993.26</v>
      </c>
      <c r="V67" s="148" t="s">
        <v>65</v>
      </c>
      <c r="W67" s="148" t="s">
        <v>303</v>
      </c>
      <c r="X67" s="148" t="n">
        <v>7</v>
      </c>
      <c r="Y67" s="148" t="n">
        <v>1341726</v>
      </c>
    </row>
    <row r="68" customFormat="false" ht="14.25" hidden="false" customHeight="false" outlineLevel="0" collapsed="false">
      <c r="A68" s="30" t="s">
        <v>76</v>
      </c>
      <c r="B68" s="30" t="n">
        <v>12</v>
      </c>
      <c r="C68" s="158" t="n">
        <v>168</v>
      </c>
      <c r="D68" s="158" t="n">
        <v>9544198</v>
      </c>
      <c r="E68" s="158" t="n">
        <f aca="false">8+271</f>
        <v>279</v>
      </c>
      <c r="F68" s="158" t="n">
        <v>4275018</v>
      </c>
      <c r="G68" s="158" t="n">
        <f aca="false">C68+E68-I68</f>
        <v>171</v>
      </c>
      <c r="H68" s="158" t="e">
        <f aca="false">G68*#REF!</f>
        <v>#REF!</v>
      </c>
      <c r="I68" s="158" t="n">
        <v>276</v>
      </c>
      <c r="J68" s="158" t="n">
        <v>13597221</v>
      </c>
      <c r="K68" s="148" t="s">
        <v>426</v>
      </c>
      <c r="L68" s="148" t="s">
        <v>393</v>
      </c>
      <c r="M68" s="148" t="n">
        <v>240</v>
      </c>
      <c r="N68" s="149" t="n">
        <v>9469661</v>
      </c>
      <c r="O68" s="22"/>
      <c r="P68" s="22"/>
      <c r="Q68" s="23" t="n">
        <f aca="false">O68*P68</f>
        <v>0</v>
      </c>
      <c r="R68" s="149" t="n">
        <f aca="false">J68-Q87</f>
        <v>1507100.65</v>
      </c>
      <c r="V68" s="148" t="s">
        <v>66</v>
      </c>
      <c r="W68" s="148" t="s">
        <v>393</v>
      </c>
      <c r="X68" s="148" t="n">
        <v>882</v>
      </c>
      <c r="Y68" s="148" t="n">
        <v>11162689.54</v>
      </c>
    </row>
    <row r="69" customFormat="false" ht="14.25" hidden="false" customHeight="false" outlineLevel="0" collapsed="false">
      <c r="A69" s="30" t="s">
        <v>77</v>
      </c>
      <c r="B69" s="30" t="n">
        <v>12</v>
      </c>
      <c r="C69" s="158" t="n">
        <v>1092</v>
      </c>
      <c r="D69" s="158" t="n">
        <v>6735333</v>
      </c>
      <c r="E69" s="158" t="n">
        <v>0</v>
      </c>
      <c r="F69" s="158" t="n">
        <v>0</v>
      </c>
      <c r="G69" s="158" t="n">
        <f aca="false">C69+E69-I69</f>
        <v>206</v>
      </c>
      <c r="H69" s="158" t="e">
        <f aca="false">G69*#REF!</f>
        <v>#REF!</v>
      </c>
      <c r="I69" s="158" t="n">
        <v>886</v>
      </c>
      <c r="J69" s="158" t="n">
        <v>5218033</v>
      </c>
      <c r="K69" s="148" t="s">
        <v>420</v>
      </c>
      <c r="L69" s="148" t="s">
        <v>393</v>
      </c>
      <c r="M69" s="148" t="n">
        <v>120</v>
      </c>
      <c r="N69" s="149" t="n">
        <v>6866679</v>
      </c>
      <c r="O69" s="29" t="n">
        <v>1570</v>
      </c>
      <c r="P69" s="33" t="n">
        <v>4588.04</v>
      </c>
      <c r="Q69" s="25" t="n">
        <f aca="false">O69*P69</f>
        <v>7203222.8</v>
      </c>
      <c r="R69" s="149" t="n">
        <f aca="false">J69-Q91</f>
        <v>237834.04</v>
      </c>
      <c r="V69" s="148" t="s">
        <v>418</v>
      </c>
      <c r="W69" s="148" t="s">
        <v>393</v>
      </c>
      <c r="X69" s="148" t="n">
        <v>3262</v>
      </c>
      <c r="Y69" s="148" t="n">
        <v>54048835.1640727</v>
      </c>
    </row>
    <row r="70" customFormat="false" ht="14.25" hidden="false" customHeight="false" outlineLevel="0" collapsed="false">
      <c r="A70" s="30" t="s">
        <v>78</v>
      </c>
      <c r="B70" s="30" t="n">
        <v>12</v>
      </c>
      <c r="C70" s="158" t="n">
        <v>7371</v>
      </c>
      <c r="D70" s="158" t="n">
        <v>66190155</v>
      </c>
      <c r="E70" s="158" t="n">
        <v>1920</v>
      </c>
      <c r="F70" s="158" t="n">
        <v>21333120</v>
      </c>
      <c r="G70" s="158" t="n">
        <f aca="false">C70+E70-I70</f>
        <v>4938</v>
      </c>
      <c r="H70" s="158" t="e">
        <f aca="false">G70*#REF!</f>
        <v>#REF!</v>
      </c>
      <c r="I70" s="158" t="n">
        <v>4353</v>
      </c>
      <c r="J70" s="158" t="n">
        <v>45226482</v>
      </c>
      <c r="K70" s="148" t="s">
        <v>428</v>
      </c>
      <c r="L70" s="148" t="s">
        <v>393</v>
      </c>
      <c r="M70" s="148" t="n">
        <v>240</v>
      </c>
      <c r="N70" s="149" t="n">
        <v>12656106</v>
      </c>
      <c r="O70" s="22"/>
      <c r="P70" s="22"/>
      <c r="Q70" s="23" t="n">
        <f aca="false">O70*P70</f>
        <v>0</v>
      </c>
      <c r="R70" s="149" t="n">
        <f aca="false">J70-Q92</f>
        <v>-4650050.78</v>
      </c>
      <c r="V70" s="148" t="s">
        <v>426</v>
      </c>
      <c r="W70" s="148" t="s">
        <v>393</v>
      </c>
      <c r="X70" s="148" t="n">
        <v>240</v>
      </c>
      <c r="Y70" s="148" t="n">
        <v>9469661</v>
      </c>
    </row>
    <row r="71" customFormat="false" ht="14.25" hidden="false" customHeight="false" outlineLevel="0" collapsed="false">
      <c r="A71" s="30" t="s">
        <v>79</v>
      </c>
      <c r="B71" s="30" t="n">
        <v>12</v>
      </c>
      <c r="C71" s="158" t="n">
        <v>1912</v>
      </c>
      <c r="D71" s="158" t="n">
        <v>38449684</v>
      </c>
      <c r="E71" s="158" t="n">
        <v>1560</v>
      </c>
      <c r="F71" s="158" t="n">
        <v>33221760</v>
      </c>
      <c r="G71" s="158" t="n">
        <f aca="false">C71+E71-I71</f>
        <v>3121</v>
      </c>
      <c r="H71" s="158" t="e">
        <f aca="false">G71*#REF!</f>
        <v>#REF!</v>
      </c>
      <c r="I71" s="158" t="n">
        <v>351</v>
      </c>
      <c r="J71" s="158" t="n">
        <v>6997874</v>
      </c>
      <c r="K71" s="148" t="s">
        <v>422</v>
      </c>
      <c r="L71" s="148" t="s">
        <v>393</v>
      </c>
      <c r="M71" s="148" t="n">
        <v>120</v>
      </c>
      <c r="N71" s="149" t="n">
        <v>8572111</v>
      </c>
      <c r="O71" s="29" t="n">
        <v>1844</v>
      </c>
      <c r="P71" s="33" t="n">
        <v>4588.04</v>
      </c>
      <c r="Q71" s="25" t="n">
        <f aca="false">O71*P71</f>
        <v>8460345.76</v>
      </c>
      <c r="R71" s="149" t="n">
        <f aca="false">J71-Q93</f>
        <v>247787.36</v>
      </c>
      <c r="V71" s="148" t="s">
        <v>420</v>
      </c>
      <c r="W71" s="148" t="s">
        <v>393</v>
      </c>
      <c r="X71" s="148" t="n">
        <v>120</v>
      </c>
      <c r="Y71" s="148" t="n">
        <v>6866679</v>
      </c>
    </row>
    <row r="72" customFormat="false" ht="14.25" hidden="false" customHeight="false" outlineLevel="0" collapsed="false">
      <c r="A72" s="30" t="s">
        <v>80</v>
      </c>
      <c r="B72" s="30" t="n">
        <v>12</v>
      </c>
      <c r="C72" s="158" t="n">
        <v>180</v>
      </c>
      <c r="D72" s="158" t="n">
        <v>2602954</v>
      </c>
      <c r="E72" s="158" t="n">
        <f aca="false">72+13</f>
        <v>85</v>
      </c>
      <c r="F72" s="158" t="e">
        <f aca="false">E72*#REF!</f>
        <v>#REF!</v>
      </c>
      <c r="G72" s="158" t="n">
        <f aca="false">C72+E72-I72</f>
        <v>0</v>
      </c>
      <c r="H72" s="158" t="n">
        <v>0</v>
      </c>
      <c r="I72" s="158" t="n">
        <v>265</v>
      </c>
      <c r="J72" s="158" t="n">
        <v>3669634</v>
      </c>
      <c r="K72" s="148" t="s">
        <v>67</v>
      </c>
      <c r="L72" s="148" t="s">
        <v>393</v>
      </c>
      <c r="M72" s="148" t="n">
        <v>45</v>
      </c>
      <c r="N72" s="149" t="n">
        <v>757364.84</v>
      </c>
      <c r="O72" s="22"/>
      <c r="P72" s="22"/>
      <c r="Q72" s="23" t="n">
        <f aca="false">O72*P72</f>
        <v>0</v>
      </c>
      <c r="R72" s="149" t="n">
        <f aca="false">J72-Q98</f>
        <v>178924.96</v>
      </c>
      <c r="V72" s="148" t="s">
        <v>428</v>
      </c>
      <c r="W72" s="148" t="s">
        <v>393</v>
      </c>
      <c r="X72" s="148" t="n">
        <v>240</v>
      </c>
      <c r="Y72" s="148" t="n">
        <v>12656106</v>
      </c>
    </row>
    <row r="73" customFormat="false" ht="14.25" hidden="false" customHeight="false" outlineLevel="0" collapsed="false">
      <c r="A73" s="30" t="s">
        <v>81</v>
      </c>
      <c r="B73" s="30" t="n">
        <v>12</v>
      </c>
      <c r="C73" s="158" t="n">
        <v>2052</v>
      </c>
      <c r="D73" s="158" t="n">
        <v>31426776</v>
      </c>
      <c r="E73" s="158" t="n">
        <v>504</v>
      </c>
      <c r="F73" s="158" t="n">
        <v>7933464</v>
      </c>
      <c r="G73" s="158" t="n">
        <f aca="false">C73+E73-I73</f>
        <v>2016</v>
      </c>
      <c r="H73" s="158" t="e">
        <f aca="false">G73*#REF!</f>
        <v>#REF!</v>
      </c>
      <c r="I73" s="158" t="n">
        <v>540</v>
      </c>
      <c r="J73" s="158" t="n">
        <v>7945964</v>
      </c>
      <c r="K73" s="148" t="s">
        <v>68</v>
      </c>
      <c r="L73" s="148" t="s">
        <v>393</v>
      </c>
      <c r="M73" s="148" t="n">
        <v>364</v>
      </c>
      <c r="N73" s="149" t="n">
        <v>17089776.4</v>
      </c>
      <c r="O73" s="39" t="n">
        <v>25</v>
      </c>
      <c r="P73" s="40" t="n">
        <v>181805.14</v>
      </c>
      <c r="Q73" s="41" t="n">
        <f aca="false">O73*P73</f>
        <v>4545128.5</v>
      </c>
      <c r="R73" s="149" t="n">
        <f aca="false">J73-Q99</f>
        <v>351558.56</v>
      </c>
      <c r="V73" s="148" t="s">
        <v>422</v>
      </c>
      <c r="W73" s="148" t="s">
        <v>393</v>
      </c>
      <c r="X73" s="148" t="n">
        <v>120</v>
      </c>
      <c r="Y73" s="148" t="n">
        <v>8572111</v>
      </c>
    </row>
    <row r="74" customFormat="false" ht="14.25" hidden="false" customHeight="false" outlineLevel="0" collapsed="false">
      <c r="A74" s="30" t="s">
        <v>82</v>
      </c>
      <c r="B74" s="30" t="n">
        <v>12</v>
      </c>
      <c r="C74" s="158" t="n">
        <v>5760</v>
      </c>
      <c r="D74" s="158" t="n">
        <v>42106565</v>
      </c>
      <c r="E74" s="158" t="n">
        <v>1368</v>
      </c>
      <c r="F74" s="158" t="n">
        <v>10132776</v>
      </c>
      <c r="G74" s="158" t="n">
        <f aca="false">C74+E74-I74</f>
        <v>4986</v>
      </c>
      <c r="H74" s="158" t="e">
        <f aca="false">G74*#REF!</f>
        <v>#REF!</v>
      </c>
      <c r="I74" s="158" t="n">
        <v>2142</v>
      </c>
      <c r="J74" s="158" t="n">
        <v>14833393</v>
      </c>
      <c r="K74" s="148" t="s">
        <v>69</v>
      </c>
      <c r="L74" s="148" t="s">
        <v>303</v>
      </c>
      <c r="M74" s="148" t="n">
        <v>150</v>
      </c>
      <c r="N74" s="149" t="n">
        <v>15708040.2</v>
      </c>
      <c r="O74" s="39" t="n">
        <v>7</v>
      </c>
      <c r="P74" s="40" t="n">
        <v>177477.02</v>
      </c>
      <c r="Q74" s="41" t="n">
        <f aca="false">O74*P74</f>
        <v>1242339.14</v>
      </c>
      <c r="R74" s="149" t="n">
        <f aca="false">J74-Q103</f>
        <v>816100.040000001</v>
      </c>
      <c r="V74" s="148" t="s">
        <v>67</v>
      </c>
      <c r="W74" s="148" t="s">
        <v>393</v>
      </c>
      <c r="X74" s="148" t="n">
        <v>45</v>
      </c>
      <c r="Y74" s="148" t="n">
        <v>757364.84</v>
      </c>
    </row>
    <row r="75" customFormat="false" ht="14.25" hidden="false" customHeight="false" outlineLevel="0" collapsed="false">
      <c r="A75" s="30" t="s">
        <v>83</v>
      </c>
      <c r="B75" s="30" t="n">
        <v>12</v>
      </c>
      <c r="C75" s="158" t="n">
        <v>2646</v>
      </c>
      <c r="D75" s="158" t="n">
        <v>20061031</v>
      </c>
      <c r="E75" s="158" t="n">
        <v>720</v>
      </c>
      <c r="F75" s="158" t="e">
        <f aca="false">E75*#REF!</f>
        <v>#REF!</v>
      </c>
      <c r="G75" s="158" t="n">
        <f aca="false">C75+E75-I75</f>
        <v>2586</v>
      </c>
      <c r="H75" s="158" t="n">
        <v>19989199</v>
      </c>
      <c r="I75" s="158" t="n">
        <v>780</v>
      </c>
      <c r="J75" s="158" t="n">
        <v>5671992</v>
      </c>
      <c r="K75" s="148" t="s">
        <v>70</v>
      </c>
      <c r="L75" s="148" t="s">
        <v>303</v>
      </c>
      <c r="M75" s="148" t="n">
        <v>79</v>
      </c>
      <c r="N75" s="149" t="n">
        <v>11522902.5</v>
      </c>
      <c r="O75" s="29" t="n">
        <v>1419</v>
      </c>
      <c r="P75" s="33" t="n">
        <v>14717.84</v>
      </c>
      <c r="Q75" s="25" t="n">
        <f aca="false">O75*P75</f>
        <v>20884614.96</v>
      </c>
      <c r="R75" s="149" t="n">
        <f aca="false">J75-Q104</f>
        <v>261304.08</v>
      </c>
      <c r="V75" s="148" t="s">
        <v>68</v>
      </c>
      <c r="W75" s="148" t="s">
        <v>393</v>
      </c>
      <c r="X75" s="148" t="n">
        <v>364</v>
      </c>
      <c r="Y75" s="148" t="n">
        <v>17089776.4</v>
      </c>
    </row>
    <row r="76" customFormat="false" ht="14.25" hidden="false" customHeight="false" outlineLevel="0" collapsed="false">
      <c r="A76" s="30" t="s">
        <v>84</v>
      </c>
      <c r="B76" s="30" t="n">
        <v>12</v>
      </c>
      <c r="C76" s="158" t="n">
        <v>21344</v>
      </c>
      <c r="D76" s="158" t="n">
        <v>656441651</v>
      </c>
      <c r="E76" s="158" t="n">
        <v>13870</v>
      </c>
      <c r="F76" s="158" t="n">
        <v>423104640</v>
      </c>
      <c r="G76" s="158" t="n">
        <f aca="false">C76+E76-I76</f>
        <v>25509</v>
      </c>
      <c r="H76" s="158" t="e">
        <f aca="false">G76*#REF!</f>
        <v>#REF!</v>
      </c>
      <c r="I76" s="158" t="n">
        <v>9705</v>
      </c>
      <c r="J76" s="158" t="n">
        <v>285659463</v>
      </c>
      <c r="K76" s="148" t="s">
        <v>71</v>
      </c>
      <c r="L76" s="148" t="s">
        <v>393</v>
      </c>
      <c r="M76" s="148" t="n">
        <v>817</v>
      </c>
      <c r="N76" s="149" t="n">
        <v>14224138.58</v>
      </c>
      <c r="O76" s="29" t="n">
        <v>5123</v>
      </c>
      <c r="P76" s="33" t="n">
        <v>14284.93</v>
      </c>
      <c r="Q76" s="25" t="n">
        <f aca="false">O76*P76</f>
        <v>73181696.39</v>
      </c>
      <c r="R76" s="149" t="n">
        <f aca="false">J76-Q105</f>
        <v>11386555.68</v>
      </c>
      <c r="V76" s="148" t="s">
        <v>69</v>
      </c>
      <c r="W76" s="148" t="s">
        <v>303</v>
      </c>
      <c r="X76" s="148" t="n">
        <v>150</v>
      </c>
      <c r="Y76" s="148" t="n">
        <v>15708040.2</v>
      </c>
    </row>
    <row r="77" customFormat="false" ht="14.25" hidden="false" customHeight="false" outlineLevel="0" collapsed="false">
      <c r="A77" s="30" t="s">
        <v>85</v>
      </c>
      <c r="B77" s="30" t="n">
        <v>12</v>
      </c>
      <c r="C77" s="158" t="n">
        <v>22711</v>
      </c>
      <c r="D77" s="158" t="n">
        <v>206800382</v>
      </c>
      <c r="E77" s="158" t="n">
        <v>8744</v>
      </c>
      <c r="F77" s="158" t="n">
        <v>79997760</v>
      </c>
      <c r="G77" s="158" t="n">
        <f aca="false">C77+E77-I77</f>
        <v>15601</v>
      </c>
      <c r="H77" s="158" t="e">
        <f aca="false">G77*#REF!</f>
        <v>#REF!</v>
      </c>
      <c r="I77" s="158" t="n">
        <v>15854</v>
      </c>
      <c r="J77" s="158" t="n">
        <v>137249163</v>
      </c>
      <c r="K77" s="148" t="s">
        <v>435</v>
      </c>
      <c r="L77" s="148" t="s">
        <v>395</v>
      </c>
      <c r="M77" s="148" t="n">
        <v>15</v>
      </c>
      <c r="N77" s="149" t="n">
        <v>2720855</v>
      </c>
      <c r="O77" s="22"/>
      <c r="P77" s="22"/>
      <c r="Q77" s="23" t="n">
        <f aca="false">O77*P77</f>
        <v>0</v>
      </c>
      <c r="R77" s="149" t="n">
        <f aca="false">J77-Q106</f>
        <v>6932782.99</v>
      </c>
      <c r="V77" s="148" t="s">
        <v>70</v>
      </c>
      <c r="W77" s="148" t="s">
        <v>303</v>
      </c>
      <c r="X77" s="148" t="n">
        <v>79</v>
      </c>
      <c r="Y77" s="148" t="n">
        <v>11522902.5</v>
      </c>
    </row>
    <row r="78" customFormat="false" ht="14.25" hidden="false" customHeight="false" outlineLevel="0" collapsed="false">
      <c r="A78" s="30" t="s">
        <v>86</v>
      </c>
      <c r="B78" s="30" t="n">
        <v>12</v>
      </c>
      <c r="C78" s="158" t="n">
        <v>51521</v>
      </c>
      <c r="D78" s="158" t="n">
        <v>363655744</v>
      </c>
      <c r="E78" s="158" t="n">
        <v>37214</v>
      </c>
      <c r="F78" s="158" t="n">
        <v>266652000</v>
      </c>
      <c r="G78" s="158" t="n">
        <v>41008</v>
      </c>
      <c r="H78" s="158" t="n">
        <v>295371958</v>
      </c>
      <c r="I78" s="158" t="n">
        <v>48362</v>
      </c>
      <c r="J78" s="158" t="n">
        <v>334935786</v>
      </c>
      <c r="K78" s="148" t="s">
        <v>438</v>
      </c>
      <c r="L78" s="148" t="s">
        <v>393</v>
      </c>
      <c r="M78" s="148" t="n">
        <v>48</v>
      </c>
      <c r="N78" s="149" t="n">
        <v>1166868</v>
      </c>
      <c r="O78" s="22"/>
      <c r="P78" s="22"/>
      <c r="Q78" s="23" t="n">
        <f aca="false">O78*P78</f>
        <v>0</v>
      </c>
      <c r="R78" s="149" t="n">
        <f aca="false">J78-Q107</f>
        <v>4400538.42000002</v>
      </c>
      <c r="V78" s="148" t="s">
        <v>71</v>
      </c>
      <c r="W78" s="148" t="s">
        <v>393</v>
      </c>
      <c r="X78" s="148" t="n">
        <v>817</v>
      </c>
      <c r="Y78" s="148" t="n">
        <v>14224138.58</v>
      </c>
    </row>
    <row r="79" customFormat="false" ht="14.25" hidden="false" customHeight="false" outlineLevel="0" collapsed="false">
      <c r="A79" s="30" t="s">
        <v>87</v>
      </c>
      <c r="B79" s="30" t="n">
        <v>12</v>
      </c>
      <c r="C79" s="158" t="n">
        <v>3195</v>
      </c>
      <c r="D79" s="158" t="n">
        <v>57619421</v>
      </c>
      <c r="E79" s="158" t="n">
        <v>7471</v>
      </c>
      <c r="F79" s="158" t="n">
        <v>133253280</v>
      </c>
      <c r="G79" s="158" t="n">
        <f aca="false">C79+E79-I79</f>
        <v>7687</v>
      </c>
      <c r="H79" s="158" t="e">
        <f aca="false">G79*#REF!</f>
        <v>#REF!</v>
      </c>
      <c r="I79" s="158" t="n">
        <v>2979</v>
      </c>
      <c r="J79" s="158" t="n">
        <v>50286170</v>
      </c>
      <c r="K79" s="148" t="s">
        <v>72</v>
      </c>
      <c r="L79" s="148" t="s">
        <v>393</v>
      </c>
      <c r="M79" s="148" t="n">
        <v>978</v>
      </c>
      <c r="N79" s="149" t="n">
        <v>19232457.95</v>
      </c>
      <c r="O79" s="22"/>
      <c r="P79" s="22"/>
      <c r="Q79" s="23" t="n">
        <f aca="false">O79*P79</f>
        <v>0</v>
      </c>
      <c r="R79" s="149" t="n">
        <f aca="false">J79-Q108</f>
        <v>2846738.4</v>
      </c>
      <c r="V79" s="148" t="s">
        <v>435</v>
      </c>
      <c r="W79" s="148" t="s">
        <v>395</v>
      </c>
      <c r="X79" s="148" t="n">
        <v>15</v>
      </c>
      <c r="Y79" s="148" t="n">
        <v>2720855</v>
      </c>
    </row>
    <row r="80" customFormat="false" ht="14.25" hidden="false" customHeight="false" outlineLevel="0" collapsed="false">
      <c r="A80" s="30" t="s">
        <v>88</v>
      </c>
      <c r="B80" s="30" t="n">
        <v>12</v>
      </c>
      <c r="C80" s="158" t="n">
        <v>618</v>
      </c>
      <c r="D80" s="158" t="n">
        <v>12921762</v>
      </c>
      <c r="E80" s="158" t="n">
        <v>0</v>
      </c>
      <c r="F80" s="158" t="n">
        <v>0</v>
      </c>
      <c r="G80" s="158" t="n">
        <f aca="false">C80-I80</f>
        <v>32</v>
      </c>
      <c r="H80" s="158" t="e">
        <f aca="false">G80*#REF!</f>
        <v>#REF!</v>
      </c>
      <c r="I80" s="158" t="n">
        <v>586</v>
      </c>
      <c r="J80" s="158" t="n">
        <v>11458132</v>
      </c>
      <c r="K80" s="148" t="s">
        <v>73</v>
      </c>
      <c r="L80" s="148" t="s">
        <v>393</v>
      </c>
      <c r="M80" s="148" t="n">
        <v>532</v>
      </c>
      <c r="N80" s="149" t="n">
        <v>23163948.97</v>
      </c>
      <c r="O80" s="35" t="n">
        <v>720</v>
      </c>
      <c r="P80" s="33" t="n">
        <v>36534.19</v>
      </c>
      <c r="Q80" s="25" t="n">
        <f aca="false">O80*P80</f>
        <v>26304616.8</v>
      </c>
      <c r="R80" s="149" t="n">
        <f aca="false">J80-Q124</f>
        <v>744775.840000002</v>
      </c>
      <c r="V80" s="148" t="s">
        <v>438</v>
      </c>
      <c r="W80" s="148" t="s">
        <v>393</v>
      </c>
      <c r="X80" s="148" t="n">
        <v>48</v>
      </c>
      <c r="Y80" s="148" t="n">
        <v>1166868</v>
      </c>
    </row>
    <row r="81" customFormat="false" ht="14.25" hidden="false" customHeight="false" outlineLevel="0" collapsed="false">
      <c r="A81" s="30" t="s">
        <v>89</v>
      </c>
      <c r="B81" s="30" t="n">
        <v>12</v>
      </c>
      <c r="C81" s="158" t="n">
        <v>564</v>
      </c>
      <c r="D81" s="158" t="n">
        <v>13801691</v>
      </c>
      <c r="E81" s="158" t="n">
        <v>216</v>
      </c>
      <c r="F81" s="158" t="n">
        <v>5299992</v>
      </c>
      <c r="G81" s="158" t="n">
        <f aca="false">C81+E81-I81</f>
        <v>306</v>
      </c>
      <c r="H81" s="158" t="e">
        <f aca="false">G81*#REF!</f>
        <v>#REF!</v>
      </c>
      <c r="I81" s="158" t="n">
        <v>474</v>
      </c>
      <c r="J81" s="158" t="n">
        <v>10873266</v>
      </c>
      <c r="K81" s="148" t="s">
        <v>77</v>
      </c>
      <c r="L81" s="148" t="s">
        <v>393</v>
      </c>
      <c r="M81" s="148" t="n">
        <v>846</v>
      </c>
      <c r="N81" s="149" t="n">
        <v>5286543.248</v>
      </c>
      <c r="O81" s="22"/>
      <c r="P81" s="22"/>
      <c r="Q81" s="23" t="n">
        <f aca="false">O81*P81</f>
        <v>0</v>
      </c>
      <c r="R81" s="149" t="n">
        <f aca="false">J81-Q111</f>
        <v>686973.600000002</v>
      </c>
      <c r="V81" s="148" t="s">
        <v>72</v>
      </c>
      <c r="W81" s="148" t="s">
        <v>393</v>
      </c>
      <c r="X81" s="148" t="n">
        <v>978</v>
      </c>
      <c r="Y81" s="148" t="n">
        <v>19232457.95</v>
      </c>
    </row>
    <row r="82" customFormat="false" ht="14.25" hidden="false" customHeight="false" outlineLevel="0" collapsed="false">
      <c r="A82" s="30" t="s">
        <v>90</v>
      </c>
      <c r="B82" s="30" t="n">
        <v>12</v>
      </c>
      <c r="C82" s="158" t="n">
        <v>1045</v>
      </c>
      <c r="D82" s="158" t="n">
        <v>55627273</v>
      </c>
      <c r="E82" s="158" t="n">
        <v>2820</v>
      </c>
      <c r="F82" s="158" t="n">
        <v>150139620</v>
      </c>
      <c r="G82" s="158" t="n">
        <f aca="false">C82+E82-I82</f>
        <v>3289</v>
      </c>
      <c r="H82" s="158" t="e">
        <f aca="false">G82*#REF!</f>
        <v>#REF!</v>
      </c>
      <c r="I82" s="158" t="n">
        <v>576</v>
      </c>
      <c r="J82" s="158" t="n">
        <v>28695563</v>
      </c>
      <c r="K82" s="148" t="s">
        <v>78</v>
      </c>
      <c r="L82" s="148" t="s">
        <v>393</v>
      </c>
      <c r="M82" s="148" t="n">
        <v>118</v>
      </c>
      <c r="N82" s="149" t="n">
        <v>1323940.58</v>
      </c>
      <c r="O82" s="29" t="n">
        <v>191</v>
      </c>
      <c r="P82" s="33" t="n">
        <v>15583.64</v>
      </c>
      <c r="Q82" s="25" t="n">
        <f aca="false">O82*P82</f>
        <v>2976475.24</v>
      </c>
      <c r="R82" s="149" t="n">
        <f aca="false">J82-Q112</f>
        <v>1863959.74</v>
      </c>
      <c r="V82" s="148" t="s">
        <v>73</v>
      </c>
      <c r="W82" s="148" t="s">
        <v>393</v>
      </c>
      <c r="X82" s="148" t="n">
        <v>532</v>
      </c>
      <c r="Y82" s="148" t="n">
        <v>23163948.97</v>
      </c>
    </row>
    <row r="83" customFormat="false" ht="14.25" hidden="false" customHeight="false" outlineLevel="0" collapsed="false">
      <c r="A83" s="30" t="s">
        <v>91</v>
      </c>
      <c r="B83" s="30" t="n">
        <v>12</v>
      </c>
      <c r="C83" s="158" t="n">
        <v>6789</v>
      </c>
      <c r="D83" s="158" t="n">
        <v>63245985</v>
      </c>
      <c r="E83" s="158" t="n">
        <v>4920</v>
      </c>
      <c r="F83" s="158" t="n">
        <v>44332320</v>
      </c>
      <c r="G83" s="158" t="n">
        <f aca="false">C83+E83-I83</f>
        <v>5799</v>
      </c>
      <c r="H83" s="158" t="e">
        <f aca="false">G83*#REF!</f>
        <v>#REF!</v>
      </c>
      <c r="I83" s="158" t="n">
        <v>5910</v>
      </c>
      <c r="J83" s="158" t="n">
        <v>53720245</v>
      </c>
      <c r="K83" s="148" t="s">
        <v>79</v>
      </c>
      <c r="L83" s="148" t="s">
        <v>393</v>
      </c>
      <c r="M83" s="148" t="n">
        <v>227</v>
      </c>
      <c r="N83" s="149" t="n">
        <v>5637564.71</v>
      </c>
      <c r="O83" s="29" t="n">
        <v>364</v>
      </c>
      <c r="P83" s="33" t="n">
        <v>43633.64</v>
      </c>
      <c r="Q83" s="25" t="n">
        <f aca="false">O83*P83</f>
        <v>15882644.96</v>
      </c>
      <c r="R83" s="149" t="n">
        <f aca="false">J83-Q113</f>
        <v>570605.710000001</v>
      </c>
      <c r="V83" s="148" t="s">
        <v>77</v>
      </c>
      <c r="W83" s="148" t="s">
        <v>393</v>
      </c>
      <c r="X83" s="148" t="n">
        <v>846</v>
      </c>
      <c r="Y83" s="148" t="n">
        <v>5286543.248</v>
      </c>
    </row>
    <row r="84" customFormat="false" ht="14.25" hidden="false" customHeight="false" outlineLevel="0" collapsed="false">
      <c r="A84" s="30" t="s">
        <v>92</v>
      </c>
      <c r="B84" s="30" t="n">
        <v>12</v>
      </c>
      <c r="C84" s="158" t="n">
        <v>50800</v>
      </c>
      <c r="D84" s="158" t="n">
        <v>24895116</v>
      </c>
      <c r="E84" s="158" t="n">
        <v>23200</v>
      </c>
      <c r="F84" s="158" t="n">
        <v>11391200</v>
      </c>
      <c r="G84" s="158" t="n">
        <f aca="false">C84+E84-I84</f>
        <v>33411</v>
      </c>
      <c r="H84" s="158" t="e">
        <f aca="false">G84*#REF!</f>
        <v>#REF!</v>
      </c>
      <c r="I84" s="158" t="n">
        <v>40589</v>
      </c>
      <c r="J84" s="158" t="n">
        <v>18633514</v>
      </c>
      <c r="K84" s="148" t="s">
        <v>445</v>
      </c>
      <c r="L84" s="148" t="s">
        <v>393</v>
      </c>
      <c r="M84" s="148" t="n">
        <v>538</v>
      </c>
      <c r="N84" s="149" t="n">
        <v>8840296.04</v>
      </c>
      <c r="O84" s="29" t="n">
        <v>150</v>
      </c>
      <c r="P84" s="33" t="n">
        <v>96963.24</v>
      </c>
      <c r="Q84" s="25" t="n">
        <f aca="false">O84*P84</f>
        <v>14544486</v>
      </c>
      <c r="R84" s="149" t="n">
        <f aca="false">J84-Q114</f>
        <v>1188474</v>
      </c>
      <c r="V84" s="148" t="s">
        <v>78</v>
      </c>
      <c r="W84" s="148" t="s">
        <v>393</v>
      </c>
      <c r="X84" s="148" t="n">
        <v>118</v>
      </c>
      <c r="Y84" s="148" t="n">
        <v>1323940.58</v>
      </c>
    </row>
    <row r="85" customFormat="false" ht="14.25" hidden="false" customHeight="false" outlineLevel="0" collapsed="false">
      <c r="A85" s="30" t="s">
        <v>93</v>
      </c>
      <c r="B85" s="30" t="n">
        <v>12</v>
      </c>
      <c r="C85" s="158" t="n">
        <v>444</v>
      </c>
      <c r="D85" s="158" t="n">
        <v>23449263</v>
      </c>
      <c r="E85" s="158" t="n">
        <v>96</v>
      </c>
      <c r="F85" s="158" t="n">
        <v>5111136</v>
      </c>
      <c r="G85" s="158" t="n">
        <f aca="false">C85+E85-I85</f>
        <v>502</v>
      </c>
      <c r="H85" s="158" t="e">
        <f aca="false">G85*#REF!</f>
        <v>#REF!</v>
      </c>
      <c r="I85" s="158" t="n">
        <v>38</v>
      </c>
      <c r="J85" s="158" t="n">
        <v>1904027</v>
      </c>
      <c r="K85" s="148" t="s">
        <v>75</v>
      </c>
      <c r="L85" s="148" t="s">
        <v>327</v>
      </c>
      <c r="M85" s="148" t="n">
        <v>800</v>
      </c>
      <c r="N85" s="149" t="n">
        <v>276800</v>
      </c>
      <c r="O85" s="39" t="n">
        <v>79</v>
      </c>
      <c r="P85" s="40" t="n">
        <v>135055.14</v>
      </c>
      <c r="Q85" s="41" t="n">
        <f aca="false">O85*P85</f>
        <v>10669356.06</v>
      </c>
      <c r="R85" s="149" t="n">
        <f aca="false">J85-Q116</f>
        <v>111934.76</v>
      </c>
      <c r="V85" s="148" t="s">
        <v>79</v>
      </c>
      <c r="W85" s="148" t="s">
        <v>393</v>
      </c>
      <c r="X85" s="148" t="n">
        <v>227</v>
      </c>
      <c r="Y85" s="148" t="n">
        <v>5637564.71</v>
      </c>
    </row>
    <row r="86" customFormat="false" ht="14.25" hidden="false" customHeight="false" outlineLevel="0" collapsed="false">
      <c r="A86" s="30" t="s">
        <v>94</v>
      </c>
      <c r="B86" s="30" t="n">
        <v>12</v>
      </c>
      <c r="C86" s="158" t="n">
        <v>408</v>
      </c>
      <c r="D86" s="158" t="n">
        <v>3857098</v>
      </c>
      <c r="E86" s="158" t="n">
        <v>0</v>
      </c>
      <c r="F86" s="158" t="n">
        <v>0</v>
      </c>
      <c r="G86" s="158" t="n">
        <f aca="false">C86-I86</f>
        <v>233</v>
      </c>
      <c r="H86" s="158" t="e">
        <f aca="false">G86*#REF!</f>
        <v>#REF!</v>
      </c>
      <c r="I86" s="158" t="n">
        <v>175</v>
      </c>
      <c r="J86" s="158" t="n">
        <v>1588217</v>
      </c>
      <c r="K86" s="148" t="s">
        <v>76</v>
      </c>
      <c r="L86" s="148" t="s">
        <v>395</v>
      </c>
      <c r="M86" s="148" t="n">
        <v>227</v>
      </c>
      <c r="N86" s="149" t="n">
        <v>12090481.21</v>
      </c>
      <c r="O86" s="29" t="n">
        <v>817</v>
      </c>
      <c r="P86" s="33" t="n">
        <v>14717.84</v>
      </c>
      <c r="Q86" s="25" t="n">
        <f aca="false">O86*P86</f>
        <v>12024475.28</v>
      </c>
      <c r="R86" s="149" t="n">
        <f aca="false">J86-Q115</f>
        <v>61085.24</v>
      </c>
      <c r="V86" s="148" t="s">
        <v>445</v>
      </c>
      <c r="W86" s="148" t="s">
        <v>393</v>
      </c>
      <c r="X86" s="148" t="n">
        <v>538</v>
      </c>
      <c r="Y86" s="148" t="n">
        <v>8840296.04</v>
      </c>
    </row>
    <row r="87" customFormat="false" ht="14.25" hidden="false" customHeight="false" outlineLevel="0" collapsed="false">
      <c r="A87" s="30" t="s">
        <v>95</v>
      </c>
      <c r="B87" s="30" t="n">
        <v>12</v>
      </c>
      <c r="C87" s="158" t="n">
        <v>900</v>
      </c>
      <c r="D87" s="158" t="n">
        <v>7404657</v>
      </c>
      <c r="E87" s="158" t="n">
        <v>468</v>
      </c>
      <c r="F87" s="158" t="n">
        <v>3899844</v>
      </c>
      <c r="G87" s="158" t="n">
        <f aca="false">C87+E87-I87</f>
        <v>1325</v>
      </c>
      <c r="H87" s="158" t="e">
        <f aca="false">G87*#REF!</f>
        <v>#REF!</v>
      </c>
      <c r="I87" s="158" t="n">
        <v>43</v>
      </c>
      <c r="J87" s="158" t="n">
        <f aca="false">I87*15151</f>
        <v>651493</v>
      </c>
      <c r="K87" s="148" t="s">
        <v>448</v>
      </c>
      <c r="L87" s="148" t="s">
        <v>393</v>
      </c>
      <c r="M87" s="148" t="n">
        <v>5018</v>
      </c>
      <c r="N87" s="149" t="n">
        <v>28153219.4621908</v>
      </c>
      <c r="O87" s="29" t="n">
        <v>245</v>
      </c>
      <c r="P87" s="33" t="n">
        <v>49347.43</v>
      </c>
      <c r="Q87" s="25" t="n">
        <f aca="false">O87*P87</f>
        <v>12090120.35</v>
      </c>
      <c r="R87" s="149" t="n">
        <f aca="false">J87-Q122</f>
        <v>-530264.72</v>
      </c>
      <c r="V87" s="148" t="s">
        <v>75</v>
      </c>
      <c r="W87" s="148" t="s">
        <v>327</v>
      </c>
      <c r="X87" s="148" t="n">
        <v>800</v>
      </c>
      <c r="Y87" s="148" t="n">
        <v>276800</v>
      </c>
    </row>
    <row r="88" s="159" customFormat="true" ht="14.25" hidden="false" customHeight="false" outlineLevel="0" collapsed="false">
      <c r="A88" s="30" t="s">
        <v>96</v>
      </c>
      <c r="B88" s="30" t="n">
        <v>12</v>
      </c>
      <c r="C88" s="158" t="n">
        <v>225</v>
      </c>
      <c r="D88" s="158" t="n">
        <v>25942946</v>
      </c>
      <c r="E88" s="158" t="n">
        <v>147</v>
      </c>
      <c r="F88" s="158" t="e">
        <f aca="false">E88*#REF!</f>
        <v>#REF!</v>
      </c>
      <c r="G88" s="158" t="n">
        <f aca="false">C88+E88-I88</f>
        <v>10</v>
      </c>
      <c r="H88" s="158" t="n">
        <v>3701070</v>
      </c>
      <c r="I88" s="158" t="n">
        <v>362</v>
      </c>
      <c r="J88" s="158" t="n">
        <v>39323864</v>
      </c>
      <c r="K88" s="159" t="s">
        <v>80</v>
      </c>
      <c r="L88" s="159" t="s">
        <v>393</v>
      </c>
      <c r="M88" s="159" t="n">
        <v>252</v>
      </c>
      <c r="N88" s="160" t="n">
        <v>3744289.16</v>
      </c>
      <c r="O88" s="29" t="n">
        <v>1734</v>
      </c>
      <c r="P88" s="33" t="n">
        <v>22509.19</v>
      </c>
      <c r="Q88" s="25" t="n">
        <f aca="false">O88*P88</f>
        <v>39030935.46</v>
      </c>
      <c r="R88" s="160" t="n">
        <f aca="false">J88-Q126</f>
        <v>2382612.4</v>
      </c>
      <c r="T88" s="160"/>
      <c r="V88" s="159" t="s">
        <v>76</v>
      </c>
      <c r="W88" s="159" t="s">
        <v>395</v>
      </c>
      <c r="X88" s="159" t="n">
        <v>227</v>
      </c>
      <c r="Y88" s="159" t="n">
        <v>12090481.21</v>
      </c>
    </row>
    <row r="89" customFormat="false" ht="14.25" hidden="false" customHeight="false" outlineLevel="0" collapsed="false">
      <c r="A89" s="30" t="s">
        <v>97</v>
      </c>
      <c r="B89" s="30" t="n">
        <v>12</v>
      </c>
      <c r="C89" s="158" t="n">
        <v>57200</v>
      </c>
      <c r="D89" s="158" t="n">
        <v>28035599</v>
      </c>
      <c r="E89" s="158" t="n">
        <v>24800</v>
      </c>
      <c r="F89" s="158" t="n">
        <v>12176800</v>
      </c>
      <c r="G89" s="158" t="n">
        <f aca="false">C89+E89-I89</f>
        <v>36280</v>
      </c>
      <c r="H89" s="158" t="e">
        <f aca="false">G89*#REF!</f>
        <v>#REF!</v>
      </c>
      <c r="I89" s="158" t="n">
        <v>45720</v>
      </c>
      <c r="J89" s="158" t="n">
        <v>20988911</v>
      </c>
      <c r="K89" s="148" t="s">
        <v>81</v>
      </c>
      <c r="L89" s="148" t="s">
        <v>451</v>
      </c>
      <c r="M89" s="148" t="n">
        <v>516</v>
      </c>
      <c r="N89" s="149" t="n">
        <v>8076157.92</v>
      </c>
      <c r="O89" s="22"/>
      <c r="P89" s="22"/>
      <c r="Q89" s="23" t="n">
        <f aca="false">O89*P89</f>
        <v>0</v>
      </c>
      <c r="R89" s="149" t="n">
        <f aca="false">J89-Q128</f>
        <v>1340287</v>
      </c>
      <c r="V89" s="148" t="s">
        <v>448</v>
      </c>
      <c r="W89" s="148" t="s">
        <v>393</v>
      </c>
      <c r="X89" s="148" t="n">
        <v>5018</v>
      </c>
      <c r="Y89" s="148" t="n">
        <v>28153219.4621908</v>
      </c>
    </row>
    <row r="90" customFormat="false" ht="14.25" hidden="false" customHeight="false" outlineLevel="0" collapsed="false">
      <c r="A90" s="30" t="s">
        <v>98</v>
      </c>
      <c r="B90" s="30" t="n">
        <v>12</v>
      </c>
      <c r="C90" s="158" t="n">
        <v>1920</v>
      </c>
      <c r="D90" s="158" t="n">
        <v>19627720</v>
      </c>
      <c r="E90" s="158" t="n">
        <v>192</v>
      </c>
      <c r="F90" s="158" t="n">
        <v>2026752</v>
      </c>
      <c r="G90" s="158" t="n">
        <f aca="false">C90+E90-I90</f>
        <v>1345</v>
      </c>
      <c r="H90" s="158" t="e">
        <f aca="false">G90*#REF!</f>
        <v>#REF!</v>
      </c>
      <c r="I90" s="158" t="n">
        <v>767</v>
      </c>
      <c r="J90" s="158" t="n">
        <v>7566762</v>
      </c>
      <c r="K90" s="148" t="s">
        <v>82</v>
      </c>
      <c r="L90" s="148" t="s">
        <v>451</v>
      </c>
      <c r="M90" s="148" t="n">
        <v>1808</v>
      </c>
      <c r="N90" s="149" t="n">
        <v>13455851.0532806</v>
      </c>
      <c r="O90" s="29" t="n">
        <v>1072</v>
      </c>
      <c r="P90" s="33" t="n">
        <v>32032.16</v>
      </c>
      <c r="Q90" s="25" t="n">
        <f aca="false">O90*P90</f>
        <v>34338475.52</v>
      </c>
      <c r="R90" s="149" t="n">
        <f aca="false">J90-Q129</f>
        <v>282805.319999999</v>
      </c>
      <c r="V90" s="148" t="s">
        <v>80</v>
      </c>
      <c r="W90" s="148" t="s">
        <v>393</v>
      </c>
      <c r="X90" s="148" t="n">
        <v>252</v>
      </c>
      <c r="Y90" s="148" t="n">
        <v>3744289.16</v>
      </c>
    </row>
    <row r="91" customFormat="false" ht="14.25" hidden="false" customHeight="false" outlineLevel="0" collapsed="false">
      <c r="A91" s="30" t="s">
        <v>99</v>
      </c>
      <c r="B91" s="30" t="n">
        <v>12</v>
      </c>
      <c r="C91" s="158" t="n">
        <v>96</v>
      </c>
      <c r="D91" s="158" t="n">
        <v>595584</v>
      </c>
      <c r="E91" s="158" t="n">
        <v>96</v>
      </c>
      <c r="F91" s="158" t="n">
        <v>595584</v>
      </c>
      <c r="G91" s="158" t="n">
        <f aca="false">C91+E91-I91</f>
        <v>8</v>
      </c>
      <c r="H91" s="158" t="e">
        <f aca="false">G91*#REF!</f>
        <v>#REF!</v>
      </c>
      <c r="I91" s="158" t="n">
        <v>184</v>
      </c>
      <c r="J91" s="158" t="n">
        <v>1067088</v>
      </c>
      <c r="K91" s="148" t="s">
        <v>83</v>
      </c>
      <c r="L91" s="148" t="s">
        <v>393</v>
      </c>
      <c r="M91" s="148" t="n">
        <v>618</v>
      </c>
      <c r="N91" s="149" t="n">
        <v>4689971.43</v>
      </c>
      <c r="O91" s="29" t="n">
        <v>846</v>
      </c>
      <c r="P91" s="33" t="n">
        <v>5886.76</v>
      </c>
      <c r="Q91" s="25" t="n">
        <f aca="false">O91*P91</f>
        <v>4980198.96</v>
      </c>
      <c r="R91" s="149" t="n">
        <f aca="false">J91-Q130</f>
        <v>69360.7200000001</v>
      </c>
      <c r="V91" s="148" t="s">
        <v>81</v>
      </c>
      <c r="W91" s="148" t="s">
        <v>451</v>
      </c>
      <c r="X91" s="148" t="n">
        <v>516</v>
      </c>
      <c r="Y91" s="148" t="n">
        <v>8076157.92</v>
      </c>
    </row>
    <row r="92" customFormat="false" ht="14.25" hidden="false" customHeight="false" outlineLevel="0" collapsed="false">
      <c r="A92" s="164" t="s">
        <v>100</v>
      </c>
      <c r="B92" s="164" t="n">
        <v>12</v>
      </c>
      <c r="C92" s="165" t="n">
        <v>2105</v>
      </c>
      <c r="D92" s="165" t="n">
        <v>108155379</v>
      </c>
      <c r="E92" s="165" t="n">
        <v>3340</v>
      </c>
      <c r="F92" s="165" t="n">
        <v>162917460</v>
      </c>
      <c r="G92" s="165" t="n">
        <v>3522</v>
      </c>
      <c r="H92" s="165" t="n">
        <v>175338575</v>
      </c>
      <c r="I92" s="165" t="n">
        <v>1923</v>
      </c>
      <c r="J92" s="165" t="n">
        <v>95734264</v>
      </c>
      <c r="K92" s="148" t="s">
        <v>84</v>
      </c>
      <c r="L92" s="148" t="s">
        <v>451</v>
      </c>
      <c r="M92" s="148" t="n">
        <v>2074</v>
      </c>
      <c r="N92" s="149" t="n">
        <v>93176574.1740404</v>
      </c>
      <c r="O92" s="29" t="n">
        <v>4801</v>
      </c>
      <c r="P92" s="33" t="n">
        <v>10388.78</v>
      </c>
      <c r="Q92" s="25" t="n">
        <f aca="false">O92*P92</f>
        <v>49876532.78</v>
      </c>
      <c r="R92" s="149" t="n">
        <f aca="false">J92-Q131</f>
        <v>6670.18000000715</v>
      </c>
      <c r="V92" s="148" t="s">
        <v>82</v>
      </c>
      <c r="W92" s="148" t="s">
        <v>451</v>
      </c>
      <c r="X92" s="148" t="n">
        <v>1808</v>
      </c>
      <c r="Y92" s="148" t="n">
        <v>13455851.0532806</v>
      </c>
    </row>
    <row r="93" customFormat="false" ht="14.25" hidden="false" customHeight="false" outlineLevel="0" collapsed="false">
      <c r="A93" s="30" t="s">
        <v>101</v>
      </c>
      <c r="B93" s="30" t="n">
        <v>12</v>
      </c>
      <c r="C93" s="158" t="n">
        <v>21454</v>
      </c>
      <c r="D93" s="158" t="n">
        <v>153225770</v>
      </c>
      <c r="E93" s="158" t="n">
        <v>9132</v>
      </c>
      <c r="F93" s="158" t="n">
        <v>39665760</v>
      </c>
      <c r="G93" s="158" t="n">
        <f aca="false">C93+E93-I93</f>
        <v>12151</v>
      </c>
      <c r="H93" s="158" t="e">
        <f aca="false">G93*#REF!</f>
        <v>#REF!</v>
      </c>
      <c r="I93" s="158" t="n">
        <v>18435</v>
      </c>
      <c r="J93" s="158" t="n">
        <v>167577118</v>
      </c>
      <c r="K93" s="148" t="s">
        <v>85</v>
      </c>
      <c r="L93" s="148" t="s">
        <v>393</v>
      </c>
      <c r="M93" s="148" t="n">
        <v>12424</v>
      </c>
      <c r="N93" s="149" t="n">
        <v>126894480.043297</v>
      </c>
      <c r="O93" s="29" t="n">
        <v>339</v>
      </c>
      <c r="P93" s="33" t="n">
        <v>19911.76</v>
      </c>
      <c r="Q93" s="25" t="n">
        <f aca="false">O93*P93</f>
        <v>6750086.64</v>
      </c>
      <c r="R93" s="149" t="n">
        <f aca="false">J93-Q133</f>
        <v>-73964222.04</v>
      </c>
      <c r="V93" s="148" t="s">
        <v>83</v>
      </c>
      <c r="W93" s="148" t="s">
        <v>393</v>
      </c>
      <c r="X93" s="148" t="n">
        <v>618</v>
      </c>
      <c r="Y93" s="148" t="n">
        <v>4689971.43</v>
      </c>
    </row>
    <row r="94" customFormat="false" ht="14.25" hidden="false" customHeight="false" outlineLevel="0" collapsed="false">
      <c r="A94" s="30" t="s">
        <v>102</v>
      </c>
      <c r="B94" s="30" t="n">
        <v>12</v>
      </c>
      <c r="C94" s="158" t="n">
        <v>540</v>
      </c>
      <c r="D94" s="158" t="n">
        <v>13238841</v>
      </c>
      <c r="E94" s="158" t="n">
        <v>588</v>
      </c>
      <c r="F94" s="158" t="n">
        <v>14427756</v>
      </c>
      <c r="G94" s="158" t="n">
        <f aca="false">C94+E94-I94</f>
        <v>605</v>
      </c>
      <c r="H94" s="158" t="e">
        <f aca="false">G94*#REF!</f>
        <v>#REF!</v>
      </c>
      <c r="I94" s="158" t="n">
        <v>523</v>
      </c>
      <c r="J94" s="158" t="n">
        <v>11993763</v>
      </c>
      <c r="K94" s="148" t="s">
        <v>86</v>
      </c>
      <c r="L94" s="148" t="s">
        <v>451</v>
      </c>
      <c r="M94" s="148" t="n">
        <v>17760</v>
      </c>
      <c r="N94" s="149" t="n">
        <v>165499947.97166</v>
      </c>
      <c r="O94" s="22"/>
      <c r="P94" s="22"/>
      <c r="Q94" s="23" t="n">
        <f aca="false">O94*P94</f>
        <v>0</v>
      </c>
      <c r="R94" s="149" t="n">
        <f aca="false">J94-Q134</f>
        <v>775076.100000002</v>
      </c>
      <c r="V94" s="148" t="s">
        <v>84</v>
      </c>
      <c r="W94" s="148" t="s">
        <v>451</v>
      </c>
      <c r="X94" s="148" t="n">
        <v>2074</v>
      </c>
      <c r="Y94" s="148" t="n">
        <v>93176574.1740404</v>
      </c>
    </row>
    <row r="95" customFormat="false" ht="14.25" hidden="false" customHeight="false" outlineLevel="0" collapsed="false">
      <c r="A95" s="30" t="s">
        <v>103</v>
      </c>
      <c r="B95" s="30" t="n">
        <v>12</v>
      </c>
      <c r="C95" s="158" t="n">
        <v>2454</v>
      </c>
      <c r="D95" s="158" t="n">
        <v>27075398</v>
      </c>
      <c r="E95" s="158" t="n">
        <v>342</v>
      </c>
      <c r="F95" s="158" t="n">
        <v>1333344</v>
      </c>
      <c r="G95" s="158" t="n">
        <f aca="false">C95+E95-I95</f>
        <v>1829</v>
      </c>
      <c r="H95" s="158" t="e">
        <f aca="false">G95*#REF!</f>
        <v>#REF!</v>
      </c>
      <c r="I95" s="158" t="n">
        <v>967</v>
      </c>
      <c r="J95" s="158" t="n">
        <v>12558371</v>
      </c>
      <c r="K95" s="148" t="s">
        <v>88</v>
      </c>
      <c r="L95" s="148" t="s">
        <v>311</v>
      </c>
      <c r="M95" s="148" t="n">
        <v>164</v>
      </c>
      <c r="N95" s="149" t="n">
        <v>3526805.8</v>
      </c>
      <c r="O95" s="29" t="n">
        <v>778</v>
      </c>
      <c r="P95" s="33" t="n">
        <v>13852.02</v>
      </c>
      <c r="Q95" s="25" t="n">
        <f aca="false">O95*P95</f>
        <v>10776871.56</v>
      </c>
      <c r="R95" s="149" t="n">
        <f aca="false">J95-Q135</f>
        <v>-3492596.92</v>
      </c>
      <c r="V95" s="148" t="s">
        <v>85</v>
      </c>
      <c r="W95" s="148" t="s">
        <v>393</v>
      </c>
      <c r="X95" s="148" t="n">
        <v>12424</v>
      </c>
      <c r="Y95" s="148" t="n">
        <v>126894480.043297</v>
      </c>
    </row>
    <row r="96" customFormat="false" ht="14.25" hidden="false" customHeight="false" outlineLevel="0" collapsed="false">
      <c r="A96" s="30" t="s">
        <v>104</v>
      </c>
      <c r="B96" s="30" t="n">
        <v>12</v>
      </c>
      <c r="C96" s="158" t="n">
        <v>192</v>
      </c>
      <c r="D96" s="158" t="n">
        <v>3657528</v>
      </c>
      <c r="E96" s="158" t="n">
        <f aca="false">96+13</f>
        <v>109</v>
      </c>
      <c r="F96" s="158" t="n">
        <f aca="false">1866624-57543</f>
        <v>1809081</v>
      </c>
      <c r="G96" s="158" t="n">
        <f aca="false">C96+E96-I96</f>
        <v>0</v>
      </c>
      <c r="H96" s="158" t="n">
        <f aca="false">J96-D96-F96</f>
        <v>0</v>
      </c>
      <c r="I96" s="158" t="n">
        <v>301</v>
      </c>
      <c r="J96" s="158" t="n">
        <v>5466609</v>
      </c>
      <c r="K96" s="148" t="s">
        <v>487</v>
      </c>
      <c r="L96" s="148" t="s">
        <v>311</v>
      </c>
      <c r="M96" s="148" t="n">
        <v>384</v>
      </c>
      <c r="N96" s="149" t="n">
        <v>8257886</v>
      </c>
      <c r="O96" s="29" t="n">
        <v>800</v>
      </c>
      <c r="P96" s="33" t="n">
        <v>345.95</v>
      </c>
      <c r="Q96" s="25" t="n">
        <f aca="false">O96*P96</f>
        <v>276760</v>
      </c>
      <c r="R96" s="149" t="n">
        <f aca="false">J96-Q136</f>
        <v>285269.100000001</v>
      </c>
      <c r="V96" s="148" t="s">
        <v>86</v>
      </c>
      <c r="W96" s="148" t="s">
        <v>451</v>
      </c>
      <c r="X96" s="148" t="n">
        <v>17760</v>
      </c>
      <c r="Y96" s="148" t="n">
        <v>165499947.97166</v>
      </c>
    </row>
    <row r="97" s="159" customFormat="true" ht="14.25" hidden="false" customHeight="false" outlineLevel="0" collapsed="false">
      <c r="A97" s="30" t="s">
        <v>105</v>
      </c>
      <c r="B97" s="30" t="n">
        <v>12</v>
      </c>
      <c r="C97" s="158" t="n">
        <v>258</v>
      </c>
      <c r="D97" s="158" t="n">
        <v>13370216</v>
      </c>
      <c r="E97" s="158" t="n">
        <v>174</v>
      </c>
      <c r="F97" s="158" t="n">
        <v>9263934</v>
      </c>
      <c r="G97" s="158" t="n">
        <f aca="false">C97+E97-I97</f>
        <v>400</v>
      </c>
      <c r="H97" s="158" t="e">
        <f aca="false">G97*#REF!</f>
        <v>#REF!</v>
      </c>
      <c r="I97" s="158" t="n">
        <v>32</v>
      </c>
      <c r="J97" s="158" t="n">
        <v>1571816</v>
      </c>
      <c r="K97" s="159" t="s">
        <v>89</v>
      </c>
      <c r="L97" s="159" t="s">
        <v>393</v>
      </c>
      <c r="M97" s="159" t="n">
        <v>444</v>
      </c>
      <c r="N97" s="160" t="n">
        <v>10992000.16</v>
      </c>
      <c r="O97" s="35" t="n">
        <v>26074</v>
      </c>
      <c r="P97" s="33" t="n">
        <v>5194.86</v>
      </c>
      <c r="Q97" s="25" t="n">
        <f aca="false">O97*P97</f>
        <v>135450779.64</v>
      </c>
      <c r="R97" s="160" t="n">
        <f aca="false">J97-Q137</f>
        <v>78405.8000000001</v>
      </c>
      <c r="T97" s="160"/>
      <c r="V97" s="159" t="s">
        <v>88</v>
      </c>
      <c r="W97" s="159" t="s">
        <v>311</v>
      </c>
      <c r="X97" s="159" t="n">
        <v>164</v>
      </c>
      <c r="Y97" s="159" t="n">
        <v>3526805.8</v>
      </c>
    </row>
    <row r="98" customFormat="false" ht="14.25" hidden="false" customHeight="false" outlineLevel="0" collapsed="false">
      <c r="A98" s="30" t="s">
        <v>106</v>
      </c>
      <c r="B98" s="30" t="n">
        <v>12</v>
      </c>
      <c r="C98" s="158" t="n">
        <v>1512</v>
      </c>
      <c r="D98" s="158" t="n">
        <v>14292784</v>
      </c>
      <c r="E98" s="158" t="n">
        <v>192</v>
      </c>
      <c r="F98" s="158" t="n">
        <v>1866624</v>
      </c>
      <c r="G98" s="158" t="n">
        <f aca="false">C98+E98-I98</f>
        <v>923</v>
      </c>
      <c r="H98" s="158" t="e">
        <f aca="false">G98*#REF!</f>
        <v>#REF!</v>
      </c>
      <c r="I98" s="158" t="n">
        <v>781</v>
      </c>
      <c r="J98" s="158" t="n">
        <v>7102932</v>
      </c>
      <c r="K98" s="148" t="s">
        <v>90</v>
      </c>
      <c r="L98" s="148" t="s">
        <v>393</v>
      </c>
      <c r="M98" s="148" t="n">
        <v>388.9</v>
      </c>
      <c r="N98" s="149" t="n">
        <v>58218125.758</v>
      </c>
      <c r="O98" s="29" t="n">
        <v>252</v>
      </c>
      <c r="P98" s="33" t="n">
        <v>13852.02</v>
      </c>
      <c r="Q98" s="25" t="n">
        <f aca="false">O98*P98</f>
        <v>3490709.04</v>
      </c>
      <c r="R98" s="149" t="n">
        <f aca="false">J98-Q138</f>
        <v>294469.57</v>
      </c>
      <c r="V98" s="148" t="s">
        <v>487</v>
      </c>
      <c r="W98" s="148" t="s">
        <v>311</v>
      </c>
      <c r="X98" s="148" t="n">
        <v>384</v>
      </c>
      <c r="Y98" s="148" t="n">
        <v>8257886</v>
      </c>
    </row>
    <row r="99" customFormat="false" ht="14.25" hidden="false" customHeight="false" outlineLevel="0" collapsed="false">
      <c r="A99" s="30" t="s">
        <v>107</v>
      </c>
      <c r="B99" s="30" t="n">
        <v>12</v>
      </c>
      <c r="C99" s="158" t="n">
        <v>1190</v>
      </c>
      <c r="D99" s="158" t="n">
        <v>4560276</v>
      </c>
      <c r="E99" s="158" t="n">
        <f aca="false">D99/C99</f>
        <v>3832.16470588235</v>
      </c>
      <c r="F99" s="158" t="n">
        <v>0</v>
      </c>
      <c r="G99" s="158" t="n">
        <f aca="false">C99-I99</f>
        <v>532</v>
      </c>
      <c r="H99" s="158" t="e">
        <f aca="false">G99*#REF!</f>
        <v>#REF!</v>
      </c>
      <c r="I99" s="158" t="n">
        <v>658</v>
      </c>
      <c r="J99" s="158" t="n">
        <v>4560276</v>
      </c>
      <c r="K99" s="159" t="s">
        <v>91</v>
      </c>
      <c r="L99" s="159" t="s">
        <v>393</v>
      </c>
      <c r="M99" s="159" t="n">
        <v>1566</v>
      </c>
      <c r="N99" s="160" t="n">
        <v>15373846.103</v>
      </c>
      <c r="O99" s="29" t="n">
        <v>516</v>
      </c>
      <c r="P99" s="33" t="n">
        <v>14717.84</v>
      </c>
      <c r="Q99" s="25" t="n">
        <f aca="false">O99*P99</f>
        <v>7594405.44</v>
      </c>
      <c r="R99" s="149" t="n">
        <f aca="false">J99-Q120</f>
        <v>-4927713.8</v>
      </c>
      <c r="V99" s="148" t="s">
        <v>89</v>
      </c>
      <c r="W99" s="148" t="s">
        <v>393</v>
      </c>
      <c r="X99" s="148" t="n">
        <v>444</v>
      </c>
      <c r="Y99" s="148" t="n">
        <v>10992000.16</v>
      </c>
    </row>
    <row r="100" customFormat="false" ht="14.25" hidden="false" customHeight="false" outlineLevel="0" collapsed="false">
      <c r="A100" s="30" t="s">
        <v>108</v>
      </c>
      <c r="B100" s="30" t="n">
        <v>12</v>
      </c>
      <c r="C100" s="158" t="n">
        <v>46476</v>
      </c>
      <c r="D100" s="158" t="n">
        <v>335124139</v>
      </c>
      <c r="E100" s="158" t="n">
        <v>977</v>
      </c>
      <c r="F100" s="158" t="e">
        <f aca="false">E100*#REF!</f>
        <v>#REF!</v>
      </c>
      <c r="G100" s="158" t="n">
        <f aca="false">C100+E100-I100</f>
        <v>45413</v>
      </c>
      <c r="H100" s="158" t="n">
        <f aca="false">G100*7200</f>
        <v>326973600</v>
      </c>
      <c r="I100" s="158" t="n">
        <v>2040</v>
      </c>
      <c r="J100" s="158" t="n">
        <v>92742043</v>
      </c>
      <c r="K100" s="148" t="s">
        <v>92</v>
      </c>
      <c r="L100" s="148" t="s">
        <v>327</v>
      </c>
      <c r="M100" s="148" t="n">
        <v>34300</v>
      </c>
      <c r="N100" s="149" t="n">
        <v>13834679.2698947</v>
      </c>
      <c r="O100" s="22"/>
      <c r="P100" s="22"/>
      <c r="Q100" s="23" t="n">
        <f aca="false">O100*P100</f>
        <v>0</v>
      </c>
      <c r="R100" s="149" t="n">
        <f aca="false">J100-Q121</f>
        <v>-565756101.64</v>
      </c>
      <c r="V100" s="148" t="s">
        <v>90</v>
      </c>
      <c r="W100" s="148" t="s">
        <v>393</v>
      </c>
      <c r="X100" s="148" t="n">
        <v>388.9</v>
      </c>
      <c r="Y100" s="148" t="n">
        <v>58218125.758</v>
      </c>
    </row>
    <row r="101" s="159" customFormat="true" ht="14.25" hidden="false" customHeight="false" outlineLevel="0" collapsed="false">
      <c r="A101" s="30" t="s">
        <v>109</v>
      </c>
      <c r="B101" s="30" t="n">
        <v>12</v>
      </c>
      <c r="C101" s="158" t="n">
        <v>48</v>
      </c>
      <c r="D101" s="158" t="n">
        <v>2333328</v>
      </c>
      <c r="E101" s="158" t="n">
        <f aca="false">I101-C101</f>
        <v>202</v>
      </c>
      <c r="F101" s="158" t="n">
        <v>1458330</v>
      </c>
      <c r="G101" s="158"/>
      <c r="H101" s="158"/>
      <c r="I101" s="158" t="n">
        <v>250</v>
      </c>
      <c r="J101" s="158" t="n">
        <v>3791658</v>
      </c>
      <c r="K101" s="148" t="s">
        <v>93</v>
      </c>
      <c r="L101" s="148" t="s">
        <v>393</v>
      </c>
      <c r="M101" s="148" t="n">
        <v>36</v>
      </c>
      <c r="N101" s="149" t="n">
        <v>1950810.72</v>
      </c>
      <c r="O101" s="22"/>
      <c r="P101" s="22"/>
      <c r="Q101" s="23" t="n">
        <f aca="false">O101*P101</f>
        <v>0</v>
      </c>
      <c r="R101" s="160"/>
      <c r="T101" s="160"/>
      <c r="V101" s="159" t="s">
        <v>91</v>
      </c>
      <c r="W101" s="159" t="s">
        <v>393</v>
      </c>
      <c r="X101" s="159" t="n">
        <v>1566</v>
      </c>
      <c r="Y101" s="159" t="n">
        <v>15373846.103</v>
      </c>
    </row>
    <row r="102" customFormat="false" ht="14.25" hidden="false" customHeight="false" outlineLevel="0" collapsed="false">
      <c r="A102" s="30" t="s">
        <v>110</v>
      </c>
      <c r="B102" s="30" t="n">
        <v>12</v>
      </c>
      <c r="C102" s="158" t="n">
        <v>864</v>
      </c>
      <c r="D102" s="158" t="n">
        <v>15351650</v>
      </c>
      <c r="E102" s="158" t="n">
        <v>684</v>
      </c>
      <c r="F102" s="158" t="n">
        <v>12350304</v>
      </c>
      <c r="G102" s="158" t="n">
        <f aca="false">C102+E102-I102</f>
        <v>1103</v>
      </c>
      <c r="H102" s="158" t="e">
        <f aca="false">G102*#REF!</f>
        <v>#REF!</v>
      </c>
      <c r="I102" s="158" t="n">
        <v>445</v>
      </c>
      <c r="J102" s="158" t="n">
        <v>7516034</v>
      </c>
      <c r="K102" s="148" t="s">
        <v>94</v>
      </c>
      <c r="L102" s="148" t="s">
        <v>393</v>
      </c>
      <c r="M102" s="148" t="n">
        <v>168</v>
      </c>
      <c r="N102" s="149" t="n">
        <v>1614283.36</v>
      </c>
      <c r="O102" s="22"/>
      <c r="P102" s="22"/>
      <c r="Q102" s="23" t="n">
        <f aca="false">O102*P102</f>
        <v>0</v>
      </c>
      <c r="R102" s="149" t="n">
        <f aca="false">J102-Q110</f>
        <v>425442.8</v>
      </c>
      <c r="V102" s="148" t="s">
        <v>92</v>
      </c>
      <c r="W102" s="148" t="s">
        <v>327</v>
      </c>
      <c r="X102" s="148" t="n">
        <v>34300</v>
      </c>
      <c r="Y102" s="148" t="n">
        <v>13834679.2698947</v>
      </c>
    </row>
    <row r="103" customFormat="false" ht="14.25" hidden="false" customHeight="false" outlineLevel="0" collapsed="false">
      <c r="A103" s="30" t="s">
        <v>111</v>
      </c>
      <c r="B103" s="30" t="n">
        <v>12</v>
      </c>
      <c r="C103" s="158" t="n">
        <v>7094</v>
      </c>
      <c r="D103" s="158" t="n">
        <v>57800393</v>
      </c>
      <c r="E103" s="158" t="n">
        <v>7800</v>
      </c>
      <c r="F103" s="158" t="n">
        <v>63554400</v>
      </c>
      <c r="G103" s="158" t="n">
        <f aca="false">C103+E103-I103</f>
        <v>13333</v>
      </c>
      <c r="H103" s="158" t="e">
        <f aca="false">G103*#REF!</f>
        <v>#REF!</v>
      </c>
      <c r="I103" s="158" t="n">
        <v>1561</v>
      </c>
      <c r="J103" s="158" t="n">
        <v>11895931</v>
      </c>
      <c r="K103" s="148" t="s">
        <v>475</v>
      </c>
      <c r="L103" s="148" t="s">
        <v>393</v>
      </c>
      <c r="M103" s="148" t="n">
        <v>48</v>
      </c>
      <c r="N103" s="149" t="n">
        <v>1189318</v>
      </c>
      <c r="O103" s="29" t="n">
        <v>2024</v>
      </c>
      <c r="P103" s="33" t="n">
        <v>6925.54</v>
      </c>
      <c r="Q103" s="25" t="n">
        <f aca="false">O103*P103</f>
        <v>14017292.96</v>
      </c>
      <c r="R103" s="149" t="n">
        <f aca="false">J103-Q140</f>
        <v>773096.199999999</v>
      </c>
      <c r="V103" s="148" t="s">
        <v>93</v>
      </c>
      <c r="W103" s="148" t="s">
        <v>393</v>
      </c>
      <c r="X103" s="148" t="n">
        <v>36</v>
      </c>
      <c r="Y103" s="148" t="n">
        <v>1950810.72</v>
      </c>
    </row>
    <row r="104" customFormat="false" ht="14.25" hidden="false" customHeight="false" outlineLevel="0" collapsed="false">
      <c r="A104" s="30" t="s">
        <v>112</v>
      </c>
      <c r="B104" s="30" t="n">
        <v>12</v>
      </c>
      <c r="C104" s="158" t="n">
        <v>2500</v>
      </c>
      <c r="D104" s="158" t="n">
        <v>20355350</v>
      </c>
      <c r="E104" s="158" t="n">
        <v>1320</v>
      </c>
      <c r="F104" s="158" t="n">
        <v>10755360</v>
      </c>
      <c r="G104" s="158" t="n">
        <f aca="false">C104+E104-I104</f>
        <v>2890</v>
      </c>
      <c r="H104" s="158" t="e">
        <f aca="false">G104*#REF!</f>
        <v>#REF!</v>
      </c>
      <c r="I104" s="158" t="n">
        <v>930</v>
      </c>
      <c r="J104" s="158" t="n">
        <v>7085423</v>
      </c>
      <c r="K104" s="148" t="s">
        <v>478</v>
      </c>
      <c r="L104" s="148" t="s">
        <v>393</v>
      </c>
      <c r="M104" s="148" t="n">
        <v>54</v>
      </c>
      <c r="N104" s="149" t="n">
        <v>2903190.02</v>
      </c>
      <c r="O104" s="29" t="n">
        <v>744</v>
      </c>
      <c r="P104" s="33" t="n">
        <v>7272.43</v>
      </c>
      <c r="Q104" s="25" t="n">
        <f aca="false">O104*P104</f>
        <v>5410687.92</v>
      </c>
      <c r="R104" s="149" t="n">
        <f aca="false">J104-Q139</f>
        <v>457432.399999999</v>
      </c>
      <c r="V104" s="148" t="s">
        <v>94</v>
      </c>
      <c r="W104" s="148" t="s">
        <v>393</v>
      </c>
      <c r="X104" s="148" t="n">
        <v>168</v>
      </c>
      <c r="Y104" s="148" t="n">
        <v>1614283.36</v>
      </c>
    </row>
    <row r="105" customFormat="false" ht="14.25" hidden="false" customHeight="false" outlineLevel="0" collapsed="false">
      <c r="A105" s="30" t="s">
        <v>113</v>
      </c>
      <c r="B105" s="30" t="n">
        <v>12</v>
      </c>
      <c r="C105" s="158" t="n">
        <v>240</v>
      </c>
      <c r="D105" s="158" t="n">
        <v>3935440</v>
      </c>
      <c r="E105" s="158" t="n">
        <f aca="false">72+18</f>
        <v>90</v>
      </c>
      <c r="F105" s="158" t="n">
        <v>1200024</v>
      </c>
      <c r="G105" s="158"/>
      <c r="H105" s="158"/>
      <c r="I105" s="158" t="n">
        <v>330</v>
      </c>
      <c r="J105" s="158" t="n">
        <v>5135464</v>
      </c>
      <c r="K105" s="148" t="s">
        <v>107</v>
      </c>
      <c r="L105" s="148" t="s">
        <v>393</v>
      </c>
      <c r="M105" s="148" t="n">
        <v>504</v>
      </c>
      <c r="N105" s="149" t="n">
        <v>4034563.04</v>
      </c>
      <c r="O105" s="29" t="n">
        <v>9318</v>
      </c>
      <c r="P105" s="33" t="n">
        <v>29434.74</v>
      </c>
      <c r="Q105" s="25" t="n">
        <f aca="false">O105*P105</f>
        <v>274272907.32</v>
      </c>
      <c r="V105" s="148" t="s">
        <v>475</v>
      </c>
      <c r="W105" s="148" t="s">
        <v>393</v>
      </c>
      <c r="X105" s="148" t="n">
        <v>48</v>
      </c>
      <c r="Y105" s="148" t="n">
        <v>1189318</v>
      </c>
    </row>
    <row r="106" s="159" customFormat="true" ht="14.25" hidden="false" customHeight="false" outlineLevel="0" collapsed="false">
      <c r="A106" s="30" t="s">
        <v>114</v>
      </c>
      <c r="B106" s="30" t="n">
        <v>12</v>
      </c>
      <c r="C106" s="158" t="n">
        <v>192</v>
      </c>
      <c r="D106" s="158" t="n">
        <v>3650221</v>
      </c>
      <c r="E106" s="158" t="n">
        <f aca="false">72+11</f>
        <v>83</v>
      </c>
      <c r="F106" s="158" t="n">
        <v>1342579</v>
      </c>
      <c r="G106" s="158" t="n">
        <f aca="false">J106-F106-D106</f>
        <v>0</v>
      </c>
      <c r="H106" s="158" t="n">
        <f aca="false">D106+F106</f>
        <v>4992800</v>
      </c>
      <c r="I106" s="158" t="n">
        <v>275</v>
      </c>
      <c r="J106" s="158" t="n">
        <v>4992800</v>
      </c>
      <c r="K106" s="159" t="s">
        <v>481</v>
      </c>
      <c r="L106" s="159" t="s">
        <v>393</v>
      </c>
      <c r="M106" s="159" t="n">
        <v>78</v>
      </c>
      <c r="N106" s="160" t="n">
        <v>3828815</v>
      </c>
      <c r="O106" s="29" t="n">
        <v>15053</v>
      </c>
      <c r="P106" s="33" t="n">
        <v>8657.17</v>
      </c>
      <c r="Q106" s="25" t="n">
        <f aca="false">O106*P106</f>
        <v>130316380.01</v>
      </c>
      <c r="R106" s="160" t="n">
        <f aca="false">J106-Q141</f>
        <v>247783.46</v>
      </c>
      <c r="T106" s="160"/>
      <c r="V106" s="159" t="s">
        <v>478</v>
      </c>
      <c r="W106" s="159" t="s">
        <v>393</v>
      </c>
      <c r="X106" s="159" t="n">
        <v>54</v>
      </c>
      <c r="Y106" s="159" t="n">
        <v>2903190.02</v>
      </c>
    </row>
    <row r="107" customFormat="false" ht="14.25" hidden="false" customHeight="false" outlineLevel="0" collapsed="false">
      <c r="A107" s="30" t="s">
        <v>115</v>
      </c>
      <c r="B107" s="30" t="n">
        <v>12</v>
      </c>
      <c r="C107" s="158" t="n">
        <v>4325</v>
      </c>
      <c r="D107" s="158" t="n">
        <v>27997920</v>
      </c>
      <c r="E107" s="158" t="n">
        <v>2412</v>
      </c>
      <c r="F107" s="158" t="n">
        <v>15554400</v>
      </c>
      <c r="G107" s="158" t="n">
        <f aca="false">C107+E107-I107</f>
        <v>4660</v>
      </c>
      <c r="H107" s="158" t="e">
        <f aca="false">G107*#REF!</f>
        <v>#REF!</v>
      </c>
      <c r="I107" s="158" t="n">
        <v>2077</v>
      </c>
      <c r="J107" s="158" t="n">
        <v>12586666</v>
      </c>
      <c r="K107" s="148" t="s">
        <v>108</v>
      </c>
      <c r="L107" s="148" t="s">
        <v>393</v>
      </c>
      <c r="M107" s="148" t="n">
        <v>5108</v>
      </c>
      <c r="N107" s="149" t="n">
        <v>37838097.5565391</v>
      </c>
      <c r="O107" s="29" t="n">
        <v>47727</v>
      </c>
      <c r="P107" s="33" t="n">
        <v>6925.54</v>
      </c>
      <c r="Q107" s="25" t="n">
        <f aca="false">O107*P107</f>
        <v>330535247.58</v>
      </c>
      <c r="R107" s="149" t="n">
        <f aca="false">J107-Q143</f>
        <v>788352.220000001</v>
      </c>
      <c r="V107" s="148" t="s">
        <v>107</v>
      </c>
      <c r="W107" s="148" t="s">
        <v>393</v>
      </c>
      <c r="X107" s="148" t="n">
        <v>504</v>
      </c>
      <c r="Y107" s="148" t="n">
        <v>4034563.04</v>
      </c>
    </row>
    <row r="108" customFormat="false" ht="14.25" hidden="false" customHeight="false" outlineLevel="0" collapsed="false">
      <c r="A108" s="30" t="s">
        <v>116</v>
      </c>
      <c r="B108" s="30" t="n">
        <v>12</v>
      </c>
      <c r="C108" s="158" t="n">
        <v>4565</v>
      </c>
      <c r="D108" s="158" t="n">
        <v>92887200</v>
      </c>
      <c r="E108" s="158" t="n">
        <v>0</v>
      </c>
      <c r="F108" s="158" t="n">
        <v>0</v>
      </c>
      <c r="G108" s="158" t="n">
        <f aca="false">C108-I108</f>
        <v>2461</v>
      </c>
      <c r="H108" s="158" t="e">
        <f aca="false">G108*#REF!</f>
        <v>#REF!</v>
      </c>
      <c r="I108" s="158" t="n">
        <v>2104</v>
      </c>
      <c r="J108" s="158" t="n">
        <v>40064600</v>
      </c>
      <c r="K108" s="148" t="s">
        <v>483</v>
      </c>
      <c r="L108" s="148" t="s">
        <v>393</v>
      </c>
      <c r="M108" s="148" t="n">
        <v>252</v>
      </c>
      <c r="N108" s="149" t="n">
        <v>4073762.04</v>
      </c>
      <c r="O108" s="29" t="n">
        <v>2810</v>
      </c>
      <c r="P108" s="33" t="n">
        <v>16882.36</v>
      </c>
      <c r="Q108" s="25" t="n">
        <f aca="false">O108*P108</f>
        <v>47439431.6</v>
      </c>
      <c r="R108" s="149" t="n">
        <f aca="false">J108-Q144</f>
        <v>2563124.45</v>
      </c>
      <c r="V108" s="148" t="s">
        <v>481</v>
      </c>
      <c r="W108" s="148" t="s">
        <v>393</v>
      </c>
      <c r="X108" s="148" t="n">
        <v>78</v>
      </c>
      <c r="Y108" s="148" t="n">
        <v>3828815</v>
      </c>
    </row>
    <row r="109" customFormat="false" ht="14.25" hidden="false" customHeight="false" outlineLevel="0" collapsed="false">
      <c r="A109" s="30" t="s">
        <v>117</v>
      </c>
      <c r="B109" s="30" t="n">
        <v>12</v>
      </c>
      <c r="C109" s="158" t="n">
        <v>336</v>
      </c>
      <c r="D109" s="158" t="n">
        <v>5841722</v>
      </c>
      <c r="E109" s="158" t="n">
        <v>312</v>
      </c>
      <c r="F109" s="158" t="n">
        <v>5489016</v>
      </c>
      <c r="G109" s="158" t="n">
        <f aca="false">C109+E109-I109</f>
        <v>148</v>
      </c>
      <c r="H109" s="158" t="e">
        <f aca="false">G109*#REF!</f>
        <v>#REF!</v>
      </c>
      <c r="I109" s="158" t="n">
        <v>500</v>
      </c>
      <c r="J109" s="158" t="n">
        <v>8218282</v>
      </c>
      <c r="K109" s="148" t="s">
        <v>95</v>
      </c>
      <c r="L109" s="148" t="s">
        <v>451</v>
      </c>
      <c r="M109" s="148" t="n">
        <v>78</v>
      </c>
      <c r="N109" s="149" t="n">
        <v>654635.298000001</v>
      </c>
      <c r="O109" s="29" t="n">
        <v>644</v>
      </c>
      <c r="P109" s="33" t="n">
        <v>41988.04</v>
      </c>
      <c r="Q109" s="25" t="n">
        <f aca="false">O109*P109</f>
        <v>27040297.76</v>
      </c>
      <c r="R109" s="149" t="n">
        <f aca="false">J109-Q145</f>
        <v>487035.800000001</v>
      </c>
      <c r="V109" s="148" t="s">
        <v>108</v>
      </c>
      <c r="W109" s="148" t="s">
        <v>393</v>
      </c>
      <c r="X109" s="148" t="n">
        <v>5108</v>
      </c>
      <c r="Y109" s="148" t="n">
        <v>37838097.5565391</v>
      </c>
    </row>
    <row r="110" customFormat="false" ht="14.25" hidden="false" customHeight="false" outlineLevel="0" collapsed="false">
      <c r="A110" s="30" t="s">
        <v>118</v>
      </c>
      <c r="B110" s="30" t="n">
        <v>12</v>
      </c>
      <c r="C110" s="158" t="n">
        <v>612</v>
      </c>
      <c r="D110" s="158" t="n">
        <v>25119032</v>
      </c>
      <c r="E110" s="158" t="n">
        <f aca="false">84+133+C110</f>
        <v>829</v>
      </c>
      <c r="F110" s="158" t="n">
        <v>3500028</v>
      </c>
      <c r="G110" s="158" t="n">
        <f aca="false">C110+E110-I110</f>
        <v>612</v>
      </c>
      <c r="H110" s="158" t="n">
        <f aca="false">D110+F110-J110</f>
        <v>16776690</v>
      </c>
      <c r="I110" s="158" t="n">
        <v>829</v>
      </c>
      <c r="J110" s="158" t="n">
        <v>11842370</v>
      </c>
      <c r="K110" s="148" t="s">
        <v>96</v>
      </c>
      <c r="L110" s="148" t="s">
        <v>395</v>
      </c>
      <c r="M110" s="148" t="n">
        <v>340</v>
      </c>
      <c r="N110" s="149" t="n">
        <v>39870081.3</v>
      </c>
      <c r="O110" s="29" t="n">
        <v>420</v>
      </c>
      <c r="P110" s="33" t="n">
        <v>16882.36</v>
      </c>
      <c r="Q110" s="25" t="n">
        <f aca="false">O110*P110</f>
        <v>7090591.2</v>
      </c>
      <c r="R110" s="149" t="n">
        <f aca="false">J110-Q146</f>
        <v>7728310.16</v>
      </c>
      <c r="V110" s="148" t="s">
        <v>483</v>
      </c>
      <c r="W110" s="148" t="s">
        <v>393</v>
      </c>
      <c r="X110" s="148" t="n">
        <v>252</v>
      </c>
      <c r="Y110" s="148" t="n">
        <v>4073762.04</v>
      </c>
    </row>
    <row r="111" customFormat="false" ht="14.25" hidden="false" customHeight="false" outlineLevel="0" collapsed="false">
      <c r="A111" s="30" t="s">
        <v>119</v>
      </c>
      <c r="B111" s="30" t="n">
        <v>12</v>
      </c>
      <c r="C111" s="158" t="n">
        <v>320</v>
      </c>
      <c r="D111" s="158" t="n">
        <v>7371274</v>
      </c>
      <c r="E111" s="158" t="n">
        <v>160</v>
      </c>
      <c r="F111" s="158" t="n">
        <v>3703680</v>
      </c>
      <c r="G111" s="158" t="n">
        <f aca="false">C111+E111-I111</f>
        <v>203</v>
      </c>
      <c r="H111" s="158" t="n">
        <f aca="false">D111+F111-J111</f>
        <v>5076021</v>
      </c>
      <c r="I111" s="158" t="n">
        <v>277</v>
      </c>
      <c r="J111" s="158" t="n">
        <v>5998933</v>
      </c>
      <c r="K111" s="148" t="s">
        <v>490</v>
      </c>
      <c r="L111" s="148" t="s">
        <v>393</v>
      </c>
      <c r="M111" s="148" t="n">
        <v>24</v>
      </c>
      <c r="N111" s="149" t="n">
        <v>235608</v>
      </c>
      <c r="O111" s="29" t="n">
        <v>444</v>
      </c>
      <c r="P111" s="33" t="n">
        <v>22942.1</v>
      </c>
      <c r="Q111" s="25" t="n">
        <f aca="false">O111*P111</f>
        <v>10186292.4</v>
      </c>
      <c r="R111" s="149" t="n">
        <f aca="false">J111-Q147</f>
        <v>371654.2</v>
      </c>
      <c r="V111" s="148" t="s">
        <v>95</v>
      </c>
      <c r="W111" s="148" t="s">
        <v>451</v>
      </c>
      <c r="X111" s="148" t="n">
        <v>78</v>
      </c>
      <c r="Y111" s="148" t="n">
        <v>654635.298000001</v>
      </c>
    </row>
    <row r="112" customFormat="false" ht="14.25" hidden="false" customHeight="false" outlineLevel="0" collapsed="false">
      <c r="A112" s="30" t="s">
        <v>120</v>
      </c>
      <c r="B112" s="30" t="n">
        <v>12</v>
      </c>
      <c r="C112" s="158" t="n">
        <v>120</v>
      </c>
      <c r="D112" s="158" t="n">
        <v>2654520</v>
      </c>
      <c r="E112" s="158" t="n">
        <v>80</v>
      </c>
      <c r="F112" s="158" t="n">
        <v>1777760</v>
      </c>
      <c r="G112" s="158" t="n">
        <f aca="false">C112+E112-I112</f>
        <v>115</v>
      </c>
      <c r="H112" s="158" t="n">
        <f aca="false">D112+F112-J112</f>
        <v>2659368</v>
      </c>
      <c r="I112" s="158" t="n">
        <v>85</v>
      </c>
      <c r="J112" s="158" t="n">
        <v>1772912</v>
      </c>
      <c r="K112" s="148" t="s">
        <v>97</v>
      </c>
      <c r="L112" s="148" t="s">
        <v>327</v>
      </c>
      <c r="M112" s="148" t="n">
        <v>40300</v>
      </c>
      <c r="N112" s="149" t="n">
        <v>18497700</v>
      </c>
      <c r="O112" s="29" t="n">
        <v>539</v>
      </c>
      <c r="P112" s="33" t="n">
        <v>49780.34</v>
      </c>
      <c r="Q112" s="25" t="n">
        <f aca="false">O112*P112</f>
        <v>26831603.26</v>
      </c>
      <c r="R112" s="149" t="n">
        <f aca="false">J112-Q148</f>
        <v>110706.4</v>
      </c>
      <c r="V112" s="148" t="s">
        <v>96</v>
      </c>
      <c r="W112" s="148" t="s">
        <v>395</v>
      </c>
      <c r="X112" s="148" t="n">
        <v>340</v>
      </c>
      <c r="Y112" s="148" t="n">
        <v>39870081.3</v>
      </c>
    </row>
    <row r="113" customFormat="false" ht="14.25" hidden="false" customHeight="false" outlineLevel="0" collapsed="false">
      <c r="A113" s="30" t="s">
        <v>121</v>
      </c>
      <c r="B113" s="30" t="n">
        <v>12</v>
      </c>
      <c r="C113" s="158" t="n">
        <v>2652</v>
      </c>
      <c r="D113" s="158" t="n">
        <v>31770271</v>
      </c>
      <c r="E113" s="158" t="n">
        <v>3648</v>
      </c>
      <c r="F113" s="158" t="n">
        <v>43333200</v>
      </c>
      <c r="G113" s="158" t="n">
        <f aca="false">C113+E113-I113</f>
        <v>3192</v>
      </c>
      <c r="H113" s="158" t="n">
        <f aca="false">D113+F113-J113</f>
        <v>40126712</v>
      </c>
      <c r="I113" s="158" t="n">
        <v>3108</v>
      </c>
      <c r="J113" s="158" t="n">
        <v>34976759</v>
      </c>
      <c r="K113" s="148" t="s">
        <v>98</v>
      </c>
      <c r="L113" s="148" t="s">
        <v>393</v>
      </c>
      <c r="M113" s="148" t="n">
        <v>738</v>
      </c>
      <c r="N113" s="149" t="n">
        <v>7704698.84</v>
      </c>
      <c r="O113" s="29" t="n">
        <v>5847</v>
      </c>
      <c r="P113" s="33" t="n">
        <v>9090.07</v>
      </c>
      <c r="Q113" s="25" t="n">
        <f aca="false">O113*P113</f>
        <v>53149639.29</v>
      </c>
      <c r="R113" s="149" t="n">
        <f aca="false">J113-Q149</f>
        <v>1955762.6</v>
      </c>
      <c r="V113" s="148" t="s">
        <v>490</v>
      </c>
      <c r="W113" s="148" t="s">
        <v>393</v>
      </c>
      <c r="X113" s="148" t="n">
        <v>24</v>
      </c>
      <c r="Y113" s="148" t="n">
        <v>235608</v>
      </c>
    </row>
    <row r="114" customFormat="false" ht="14.25" hidden="false" customHeight="false" outlineLevel="0" collapsed="false">
      <c r="A114" s="30" t="s">
        <v>122</v>
      </c>
      <c r="B114" s="30" t="n">
        <v>12</v>
      </c>
      <c r="C114" s="158" t="n">
        <v>4685</v>
      </c>
      <c r="D114" s="158" t="n">
        <v>40734720</v>
      </c>
      <c r="E114" s="158" t="n">
        <v>2400</v>
      </c>
      <c r="F114" s="158" t="n">
        <v>20889600</v>
      </c>
      <c r="G114" s="158" t="n">
        <f aca="false">C114+E114-I114</f>
        <v>6911</v>
      </c>
      <c r="H114" s="158" t="n">
        <f aca="false">D114+F114-J114</f>
        <v>60206569</v>
      </c>
      <c r="I114" s="158" t="n">
        <v>174</v>
      </c>
      <c r="J114" s="158" t="n">
        <v>1417751</v>
      </c>
      <c r="K114" s="148" t="s">
        <v>99</v>
      </c>
      <c r="L114" s="148" t="s">
        <v>393</v>
      </c>
      <c r="M114" s="148" t="n">
        <v>172</v>
      </c>
      <c r="N114" s="149" t="n">
        <v>1077544.2</v>
      </c>
      <c r="O114" s="29" t="n">
        <v>38000</v>
      </c>
      <c r="P114" s="33" t="n">
        <v>459.08</v>
      </c>
      <c r="Q114" s="25" t="n">
        <f aca="false">O114*P114</f>
        <v>17445040</v>
      </c>
      <c r="R114" s="149" t="n">
        <f aca="false">J114-Q150</f>
        <v>91217.8800000001</v>
      </c>
      <c r="V114" s="148" t="s">
        <v>97</v>
      </c>
      <c r="W114" s="148" t="s">
        <v>327</v>
      </c>
      <c r="X114" s="148" t="n">
        <v>40300</v>
      </c>
      <c r="Y114" s="148" t="n">
        <v>18497700</v>
      </c>
    </row>
    <row r="115" customFormat="false" ht="14.25" hidden="false" customHeight="false" outlineLevel="0" collapsed="false">
      <c r="A115" s="164" t="s">
        <v>123</v>
      </c>
      <c r="B115" s="164" t="n">
        <v>12</v>
      </c>
      <c r="C115" s="165" t="n">
        <v>216</v>
      </c>
      <c r="D115" s="165" t="n">
        <v>3755160</v>
      </c>
      <c r="E115" s="165" t="n">
        <v>36</v>
      </c>
      <c r="F115" s="165" t="n">
        <v>666684</v>
      </c>
      <c r="G115" s="165" t="n">
        <v>120</v>
      </c>
      <c r="H115" s="165" t="n">
        <v>2105640</v>
      </c>
      <c r="I115" s="165" t="n">
        <v>132</v>
      </c>
      <c r="J115" s="165" t="n">
        <v>2316204</v>
      </c>
      <c r="K115" s="148" t="s">
        <v>100</v>
      </c>
      <c r="L115" s="148" t="s">
        <v>393</v>
      </c>
      <c r="M115" s="148" t="n">
        <v>465</v>
      </c>
      <c r="N115" s="149" t="n">
        <v>42995478.35</v>
      </c>
      <c r="O115" s="29" t="n">
        <v>168</v>
      </c>
      <c r="P115" s="33" t="n">
        <v>9090.07</v>
      </c>
      <c r="Q115" s="25" t="n">
        <f aca="false">O115*P115</f>
        <v>1527131.76</v>
      </c>
      <c r="V115" s="148" t="s">
        <v>98</v>
      </c>
      <c r="W115" s="148" t="s">
        <v>393</v>
      </c>
      <c r="X115" s="148" t="n">
        <v>738</v>
      </c>
      <c r="Y115" s="148" t="n">
        <v>7704698.84</v>
      </c>
    </row>
    <row r="116" customFormat="false" ht="14.25" hidden="false" customHeight="false" outlineLevel="0" collapsed="false">
      <c r="A116" s="164" t="s">
        <v>124</v>
      </c>
      <c r="B116" s="164" t="n">
        <v>12</v>
      </c>
      <c r="C116" s="165" t="n">
        <v>72</v>
      </c>
      <c r="D116" s="165" t="n">
        <v>1333368</v>
      </c>
      <c r="E116" s="165" t="n">
        <v>36</v>
      </c>
      <c r="F116" s="165" t="n">
        <v>666684</v>
      </c>
      <c r="G116" s="165" t="n">
        <v>100</v>
      </c>
      <c r="H116" s="165" t="n">
        <v>1851900</v>
      </c>
      <c r="I116" s="165" t="n">
        <v>8</v>
      </c>
      <c r="J116" s="165" t="n">
        <v>148152</v>
      </c>
      <c r="K116" s="148" t="s">
        <v>101</v>
      </c>
      <c r="L116" s="148" t="s">
        <v>393</v>
      </c>
      <c r="M116" s="148" t="n">
        <v>1622</v>
      </c>
      <c r="N116" s="149" t="n">
        <v>15923619.5184143</v>
      </c>
      <c r="O116" s="29" t="n">
        <v>36</v>
      </c>
      <c r="P116" s="33" t="n">
        <v>49780.34</v>
      </c>
      <c r="Q116" s="25" t="n">
        <f aca="false">O116*P116</f>
        <v>1792092.24</v>
      </c>
      <c r="V116" s="148" t="s">
        <v>99</v>
      </c>
      <c r="W116" s="148" t="s">
        <v>393</v>
      </c>
      <c r="X116" s="148" t="n">
        <v>172</v>
      </c>
      <c r="Y116" s="148" t="n">
        <v>1077544.2</v>
      </c>
    </row>
    <row r="117" customFormat="false" ht="14.25" hidden="false" customHeight="false" outlineLevel="0" collapsed="false">
      <c r="A117" s="30" t="s">
        <v>125</v>
      </c>
      <c r="B117" s="30" t="n">
        <v>12</v>
      </c>
      <c r="C117" s="158" t="n">
        <v>944</v>
      </c>
      <c r="D117" s="158" t="n">
        <v>42152428</v>
      </c>
      <c r="E117" s="158" t="n">
        <v>840</v>
      </c>
      <c r="F117" s="158" t="n">
        <v>37721880</v>
      </c>
      <c r="G117" s="158" t="n">
        <f aca="false">C117+E117-I117</f>
        <v>1097</v>
      </c>
      <c r="H117" s="158" t="e">
        <f aca="false">G117*#REF!</f>
        <v>#REF!</v>
      </c>
      <c r="I117" s="158" t="n">
        <v>687</v>
      </c>
      <c r="J117" s="158" t="n">
        <v>28833551</v>
      </c>
      <c r="K117" s="148" t="s">
        <v>102</v>
      </c>
      <c r="L117" s="148" t="s">
        <v>393</v>
      </c>
      <c r="M117" s="148" t="n">
        <v>465</v>
      </c>
      <c r="N117" s="149" t="n">
        <v>11521289.82</v>
      </c>
      <c r="O117" s="22"/>
      <c r="P117" s="22"/>
      <c r="Q117" s="23" t="n">
        <f aca="false">O117*P117</f>
        <v>0</v>
      </c>
      <c r="R117" s="149" t="n">
        <f aca="false">J117-Q109</f>
        <v>1793253.24</v>
      </c>
      <c r="V117" s="148" t="s">
        <v>100</v>
      </c>
      <c r="W117" s="148" t="s">
        <v>393</v>
      </c>
      <c r="X117" s="148" t="n">
        <v>465</v>
      </c>
      <c r="Y117" s="148" t="n">
        <v>42995478.35</v>
      </c>
    </row>
    <row r="118" customFormat="false" ht="14.25" hidden="false" customHeight="false" outlineLevel="0" collapsed="false">
      <c r="A118" s="30" t="s">
        <v>126</v>
      </c>
      <c r="B118" s="30" t="n">
        <v>12</v>
      </c>
      <c r="C118" s="158" t="n">
        <v>33073</v>
      </c>
      <c r="D118" s="158" t="n">
        <v>182697004</v>
      </c>
      <c r="E118" s="158" t="n">
        <v>44511</v>
      </c>
      <c r="F118" s="158" t="n">
        <v>248485800</v>
      </c>
      <c r="G118" s="158" t="n">
        <f aca="false">C118+E118-I118</f>
        <v>45992</v>
      </c>
      <c r="H118" s="158" t="n">
        <f aca="false">D118+F118-J118</f>
        <v>258882160</v>
      </c>
      <c r="I118" s="158" t="n">
        <v>31592</v>
      </c>
      <c r="J118" s="158" t="n">
        <v>172300644</v>
      </c>
      <c r="K118" s="148" t="s">
        <v>496</v>
      </c>
      <c r="L118" s="148" t="s">
        <v>393</v>
      </c>
      <c r="M118" s="148" t="n">
        <v>144</v>
      </c>
      <c r="N118" s="149" t="n">
        <v>1056893</v>
      </c>
      <c r="O118" s="22"/>
      <c r="P118" s="22"/>
      <c r="Q118" s="23" t="n">
        <f aca="false">O118*P118</f>
        <v>0</v>
      </c>
      <c r="R118" s="149" t="n">
        <f aca="false">J118-Q156</f>
        <v>-13534181.64</v>
      </c>
      <c r="V118" s="148" t="s">
        <v>101</v>
      </c>
      <c r="W118" s="148" t="s">
        <v>393</v>
      </c>
      <c r="X118" s="148" t="n">
        <v>1622</v>
      </c>
      <c r="Y118" s="148" t="n">
        <v>15923619.5184143</v>
      </c>
    </row>
    <row r="119" customFormat="false" ht="14.25" hidden="false" customHeight="false" outlineLevel="0" collapsed="false">
      <c r="A119" s="30" t="s">
        <v>127</v>
      </c>
      <c r="B119" s="30" t="n">
        <v>12</v>
      </c>
      <c r="C119" s="158" t="n">
        <v>6123</v>
      </c>
      <c r="D119" s="158" t="n">
        <v>34229824</v>
      </c>
      <c r="E119" s="158" t="n">
        <v>2760</v>
      </c>
      <c r="F119" s="158" t="n">
        <v>16099080</v>
      </c>
      <c r="G119" s="158" t="n">
        <f aca="false">C119+E119-I119</f>
        <v>6324</v>
      </c>
      <c r="H119" s="158" t="n">
        <f aca="false">D119+F119-J119</f>
        <v>36374149</v>
      </c>
      <c r="I119" s="158" t="n">
        <v>2559</v>
      </c>
      <c r="J119" s="158" t="n">
        <v>13954755</v>
      </c>
      <c r="K119" s="179" t="s">
        <v>103</v>
      </c>
      <c r="L119" s="179" t="s">
        <v>393</v>
      </c>
      <c r="M119" s="179" t="n">
        <v>56</v>
      </c>
      <c r="N119" s="180" t="n">
        <v>783448.44</v>
      </c>
      <c r="O119" s="22"/>
      <c r="P119" s="22"/>
      <c r="Q119" s="23" t="n">
        <f aca="false">O119*P119</f>
        <v>0</v>
      </c>
      <c r="R119" s="149" t="n">
        <f aca="false">J119-Q157</f>
        <v>521897.82</v>
      </c>
      <c r="V119" s="148" t="s">
        <v>102</v>
      </c>
      <c r="W119" s="148" t="s">
        <v>393</v>
      </c>
      <c r="X119" s="148" t="n">
        <v>465</v>
      </c>
      <c r="Y119" s="148" t="n">
        <v>11521289.82</v>
      </c>
    </row>
    <row r="120" customFormat="false" ht="14.25" hidden="false" customHeight="false" outlineLevel="0" collapsed="false">
      <c r="A120" s="30" t="s">
        <v>128</v>
      </c>
      <c r="B120" s="30" t="n">
        <v>12</v>
      </c>
      <c r="C120" s="158" t="n">
        <v>374</v>
      </c>
      <c r="D120" s="158" t="n">
        <v>5702198</v>
      </c>
      <c r="E120" s="158" t="n">
        <v>200</v>
      </c>
      <c r="F120" s="158" t="n">
        <v>3055600</v>
      </c>
      <c r="G120" s="158" t="n">
        <f aca="false">C120+E120-I120</f>
        <v>89</v>
      </c>
      <c r="H120" s="158" t="n">
        <f aca="false">D120+F120-J120</f>
        <v>1830899</v>
      </c>
      <c r="I120" s="158" t="n">
        <v>485</v>
      </c>
      <c r="J120" s="158" t="n">
        <v>6926899</v>
      </c>
      <c r="K120" s="148" t="s">
        <v>104</v>
      </c>
      <c r="L120" s="148" t="s">
        <v>393</v>
      </c>
      <c r="M120" s="148" t="n">
        <v>285</v>
      </c>
      <c r="N120" s="149" t="n">
        <v>5540561.4</v>
      </c>
      <c r="O120" s="35" t="n">
        <v>1370</v>
      </c>
      <c r="P120" s="33" t="n">
        <v>6925.54</v>
      </c>
      <c r="Q120" s="25" t="n">
        <f aca="false">O120*P120</f>
        <v>9487989.8</v>
      </c>
      <c r="R120" s="149" t="n">
        <f aca="false">J120-Q158</f>
        <v>441540.78</v>
      </c>
      <c r="V120" s="148" t="s">
        <v>496</v>
      </c>
      <c r="W120" s="148" t="s">
        <v>393</v>
      </c>
      <c r="X120" s="148" t="n">
        <v>144</v>
      </c>
      <c r="Y120" s="148" t="n">
        <v>1056893</v>
      </c>
    </row>
    <row r="121" s="179" customFormat="true" ht="14.25" hidden="false" customHeight="false" outlineLevel="0" collapsed="false">
      <c r="A121" s="164" t="s">
        <v>129</v>
      </c>
      <c r="B121" s="164" t="n">
        <v>12</v>
      </c>
      <c r="C121" s="165" t="n">
        <v>20</v>
      </c>
      <c r="D121" s="165" t="n">
        <v>685180</v>
      </c>
      <c r="E121" s="165" t="n">
        <v>0</v>
      </c>
      <c r="F121" s="165" t="n">
        <v>0</v>
      </c>
      <c r="G121" s="165" t="n">
        <v>5</v>
      </c>
      <c r="H121" s="165" t="n">
        <v>171295</v>
      </c>
      <c r="I121" s="165" t="n">
        <v>15</v>
      </c>
      <c r="J121" s="165" t="n">
        <v>513885</v>
      </c>
      <c r="K121" s="148" t="s">
        <v>105</v>
      </c>
      <c r="L121" s="148" t="s">
        <v>393</v>
      </c>
      <c r="M121" s="148" t="n">
        <v>30</v>
      </c>
      <c r="N121" s="149" t="n">
        <v>1493400</v>
      </c>
      <c r="O121" s="29" t="n">
        <v>14488</v>
      </c>
      <c r="P121" s="33" t="n">
        <v>45451.28</v>
      </c>
      <c r="Q121" s="25" t="n">
        <f aca="false">O121*P121</f>
        <v>658498144.64</v>
      </c>
      <c r="R121" s="180"/>
      <c r="T121" s="180"/>
      <c r="V121" s="179" t="s">
        <v>103</v>
      </c>
      <c r="W121" s="179" t="s">
        <v>393</v>
      </c>
      <c r="X121" s="179" t="n">
        <v>56</v>
      </c>
      <c r="Y121" s="179" t="n">
        <v>783448.44</v>
      </c>
    </row>
    <row r="122" customFormat="false" ht="14.25" hidden="false" customHeight="false" outlineLevel="0" collapsed="false">
      <c r="A122" s="30" t="s">
        <v>130</v>
      </c>
      <c r="B122" s="30" t="n">
        <v>12</v>
      </c>
      <c r="C122" s="158" t="n">
        <v>85</v>
      </c>
      <c r="D122" s="158" t="n">
        <v>4046541</v>
      </c>
      <c r="E122" s="158" t="n">
        <v>41</v>
      </c>
      <c r="F122" s="158" t="n">
        <v>1955085</v>
      </c>
      <c r="G122" s="158" t="n">
        <f aca="false">C122+E122-I122</f>
        <v>33</v>
      </c>
      <c r="H122" s="158" t="n">
        <f aca="false">G122*N122</f>
        <v>238467745.23</v>
      </c>
      <c r="I122" s="158" t="n">
        <v>93</v>
      </c>
      <c r="J122" s="158" t="n">
        <v>4096348</v>
      </c>
      <c r="K122" s="148" t="s">
        <v>106</v>
      </c>
      <c r="L122" s="148" t="s">
        <v>393</v>
      </c>
      <c r="M122" s="148" t="n">
        <v>749</v>
      </c>
      <c r="N122" s="149" t="n">
        <v>7226295.31</v>
      </c>
      <c r="O122" s="29" t="n">
        <v>78</v>
      </c>
      <c r="P122" s="33" t="n">
        <v>15150.74</v>
      </c>
      <c r="Q122" s="25" t="n">
        <f aca="false">O122*P122</f>
        <v>1181757.72</v>
      </c>
      <c r="R122" s="149" t="n">
        <f aca="false">J122-Q53</f>
        <v>303006.68</v>
      </c>
      <c r="V122" s="148" t="s">
        <v>104</v>
      </c>
      <c r="W122" s="148" t="s">
        <v>393</v>
      </c>
      <c r="X122" s="148" t="n">
        <v>285</v>
      </c>
      <c r="Y122" s="148" t="n">
        <v>5540561.4</v>
      </c>
    </row>
    <row r="123" customFormat="false" ht="14.25" hidden="false" customHeight="false" outlineLevel="0" collapsed="false">
      <c r="A123" s="30" t="s">
        <v>131</v>
      </c>
      <c r="B123" s="30" t="n">
        <v>12</v>
      </c>
      <c r="C123" s="158" t="n">
        <v>70</v>
      </c>
      <c r="D123" s="158" t="n">
        <v>3488402</v>
      </c>
      <c r="E123" s="158" t="n">
        <v>16</v>
      </c>
      <c r="F123" s="158" t="n">
        <v>800000</v>
      </c>
      <c r="G123" s="158" t="n">
        <f aca="false">C123+E123-I123</f>
        <v>47</v>
      </c>
      <c r="H123" s="158" t="n">
        <f aca="false">G123*N123</f>
        <v>358797034.62</v>
      </c>
      <c r="I123" s="158" t="n">
        <v>39</v>
      </c>
      <c r="J123" s="158" t="n">
        <v>1795145</v>
      </c>
      <c r="K123" s="148" t="s">
        <v>110</v>
      </c>
      <c r="L123" s="148" t="s">
        <v>451</v>
      </c>
      <c r="M123" s="148" t="n">
        <v>420</v>
      </c>
      <c r="N123" s="149" t="n">
        <v>7633979.46</v>
      </c>
      <c r="O123" s="39" t="n">
        <v>78</v>
      </c>
      <c r="P123" s="40" t="n">
        <v>108650.74</v>
      </c>
      <c r="Q123" s="41" t="n">
        <f aca="false">O123*P123</f>
        <v>8474757.72</v>
      </c>
      <c r="R123" s="149" t="n">
        <f aca="false">J123-Q54</f>
        <v>130145</v>
      </c>
      <c r="V123" s="148" t="s">
        <v>105</v>
      </c>
      <c r="W123" s="148" t="s">
        <v>393</v>
      </c>
      <c r="X123" s="148" t="n">
        <v>30</v>
      </c>
      <c r="Y123" s="148" t="n">
        <v>1493400</v>
      </c>
    </row>
    <row r="124" customFormat="false" ht="14.25" hidden="false" customHeight="false" outlineLevel="0" collapsed="false">
      <c r="A124" s="30" t="s">
        <v>132</v>
      </c>
      <c r="B124" s="30" t="n">
        <v>12</v>
      </c>
      <c r="C124" s="158" t="n">
        <v>98</v>
      </c>
      <c r="D124" s="158" t="n">
        <v>4356568</v>
      </c>
      <c r="E124" s="158" t="n">
        <v>255</v>
      </c>
      <c r="F124" s="158" t="n">
        <v>11333220</v>
      </c>
      <c r="G124" s="158" t="n">
        <f aca="false">C124+E124-I124</f>
        <v>296</v>
      </c>
      <c r="H124" s="158" t="n">
        <f aca="false">G124*N124</f>
        <v>3141352957.36</v>
      </c>
      <c r="I124" s="158" t="n">
        <v>57</v>
      </c>
      <c r="J124" s="158" t="n">
        <v>2356608</v>
      </c>
      <c r="K124" s="148" t="s">
        <v>111</v>
      </c>
      <c r="L124" s="148" t="s">
        <v>327</v>
      </c>
      <c r="M124" s="148" t="n">
        <v>1346</v>
      </c>
      <c r="N124" s="149" t="n">
        <v>10612678.91</v>
      </c>
      <c r="O124" s="29" t="n">
        <v>548</v>
      </c>
      <c r="P124" s="33" t="n">
        <v>19549.92</v>
      </c>
      <c r="Q124" s="25" t="n">
        <f aca="false">O124*P124</f>
        <v>10713356.16</v>
      </c>
      <c r="R124" s="149" t="n">
        <f aca="false">J124-Q55</f>
        <v>177740.9</v>
      </c>
      <c r="V124" s="148" t="s">
        <v>106</v>
      </c>
      <c r="W124" s="148" t="s">
        <v>393</v>
      </c>
      <c r="X124" s="148" t="n">
        <v>749</v>
      </c>
      <c r="Y124" s="148" t="n">
        <v>7226295.31</v>
      </c>
    </row>
    <row r="125" customFormat="false" ht="14.25" hidden="false" customHeight="false" outlineLevel="0" collapsed="false">
      <c r="A125" s="30" t="s">
        <v>133</v>
      </c>
      <c r="B125" s="30" t="n">
        <v>12</v>
      </c>
      <c r="C125" s="158" t="n">
        <v>119</v>
      </c>
      <c r="D125" s="158" t="n">
        <v>4585298</v>
      </c>
      <c r="E125" s="158" t="n">
        <v>66</v>
      </c>
      <c r="F125" s="158" t="n">
        <v>2609254</v>
      </c>
      <c r="G125" s="158" t="n">
        <f aca="false">C125+E125-I125</f>
        <v>146</v>
      </c>
      <c r="H125" s="158" t="n">
        <f aca="false">G125*N125</f>
        <v>1097752285.42</v>
      </c>
      <c r="I125" s="158" t="n">
        <v>39</v>
      </c>
      <c r="J125" s="158" t="n">
        <v>1361131</v>
      </c>
      <c r="K125" s="148" t="s">
        <v>112</v>
      </c>
      <c r="L125" s="148" t="s">
        <v>327</v>
      </c>
      <c r="M125" s="148" t="n">
        <v>870</v>
      </c>
      <c r="N125" s="149" t="n">
        <v>7518851.27</v>
      </c>
      <c r="O125" s="22"/>
      <c r="P125" s="22"/>
      <c r="Q125" s="23" t="n">
        <f aca="false">O125*P125</f>
        <v>0</v>
      </c>
      <c r="R125" s="149" t="n">
        <f aca="false">J125-Q57</f>
        <v>132078.7</v>
      </c>
      <c r="V125" s="148" t="s">
        <v>110</v>
      </c>
      <c r="W125" s="148" t="s">
        <v>451</v>
      </c>
      <c r="X125" s="148" t="n">
        <v>420</v>
      </c>
      <c r="Y125" s="148" t="n">
        <v>7633979.46</v>
      </c>
    </row>
    <row r="126" customFormat="false" ht="14.25" hidden="false" customHeight="false" outlineLevel="0" collapsed="false">
      <c r="A126" s="164" t="s">
        <v>134</v>
      </c>
      <c r="B126" s="164" t="n">
        <v>12</v>
      </c>
      <c r="C126" s="165" t="n">
        <v>15</v>
      </c>
      <c r="D126" s="165" t="n">
        <v>431794</v>
      </c>
      <c r="E126" s="165" t="n">
        <v>0</v>
      </c>
      <c r="F126" s="165" t="n">
        <v>0</v>
      </c>
      <c r="G126" s="165" t="n">
        <v>0</v>
      </c>
      <c r="H126" s="165" t="n">
        <v>0</v>
      </c>
      <c r="I126" s="165" t="n">
        <v>15</v>
      </c>
      <c r="J126" s="165" t="n">
        <v>431794</v>
      </c>
      <c r="K126" s="148" t="s">
        <v>113</v>
      </c>
      <c r="L126" s="148" t="s">
        <v>393</v>
      </c>
      <c r="M126" s="148" t="n">
        <v>312</v>
      </c>
      <c r="N126" s="149" t="n">
        <v>5201203.32</v>
      </c>
      <c r="O126" s="29" t="n">
        <v>340</v>
      </c>
      <c r="P126" s="33" t="n">
        <v>108650.74</v>
      </c>
      <c r="Q126" s="25" t="n">
        <f aca="false">O126*P126</f>
        <v>36941251.6</v>
      </c>
      <c r="V126" s="148" t="s">
        <v>111</v>
      </c>
      <c r="W126" s="148" t="s">
        <v>327</v>
      </c>
      <c r="X126" s="148" t="n">
        <v>1346</v>
      </c>
      <c r="Y126" s="148" t="n">
        <v>10612678.91</v>
      </c>
    </row>
    <row r="127" customFormat="false" ht="14.25" hidden="false" customHeight="false" outlineLevel="0" collapsed="false">
      <c r="A127" s="161" t="s">
        <v>135</v>
      </c>
      <c r="B127" s="161" t="n">
        <v>12</v>
      </c>
      <c r="C127" s="162" t="n">
        <v>155</v>
      </c>
      <c r="D127" s="162" t="n">
        <v>28475986</v>
      </c>
      <c r="E127" s="162" t="n">
        <v>770</v>
      </c>
      <c r="F127" s="162" t="n">
        <v>137740260</v>
      </c>
      <c r="G127" s="162" t="n">
        <v>15</v>
      </c>
      <c r="H127" s="162" t="n">
        <v>2695399</v>
      </c>
      <c r="I127" s="162" t="n">
        <v>910</v>
      </c>
      <c r="J127" s="162" t="n">
        <v>163520847</v>
      </c>
      <c r="K127" s="148" t="s">
        <v>114</v>
      </c>
      <c r="L127" s="148" t="s">
        <v>393</v>
      </c>
      <c r="M127" s="148" t="n">
        <v>261</v>
      </c>
      <c r="N127" s="149" t="n">
        <v>5065650.03</v>
      </c>
      <c r="O127" s="22"/>
      <c r="P127" s="22"/>
      <c r="Q127" s="23" t="n">
        <f aca="false">O127*P127</f>
        <v>0</v>
      </c>
      <c r="V127" s="148" t="s">
        <v>112</v>
      </c>
      <c r="W127" s="148" t="s">
        <v>327</v>
      </c>
      <c r="X127" s="148" t="n">
        <v>870</v>
      </c>
      <c r="Y127" s="148" t="n">
        <v>7518851.27</v>
      </c>
    </row>
    <row r="128" customFormat="false" ht="14.25" hidden="false" customHeight="false" outlineLevel="0" collapsed="false">
      <c r="A128" s="30" t="s">
        <v>136</v>
      </c>
      <c r="B128" s="30" t="n">
        <v>12</v>
      </c>
      <c r="C128" s="158" t="n">
        <v>4853</v>
      </c>
      <c r="D128" s="158" t="n">
        <v>73565457</v>
      </c>
      <c r="E128" s="158" t="n">
        <v>5768</v>
      </c>
      <c r="F128" s="158" t="n">
        <v>86167920</v>
      </c>
      <c r="G128" s="158" t="n">
        <f aca="false">C128+E128-I128</f>
        <v>5227</v>
      </c>
      <c r="H128" s="158" t="e">
        <f aca="false">G128*#REF!</f>
        <v>#REF!</v>
      </c>
      <c r="I128" s="158" t="n">
        <v>5394</v>
      </c>
      <c r="J128" s="158" t="n">
        <v>77046803</v>
      </c>
      <c r="K128" s="148" t="s">
        <v>115</v>
      </c>
      <c r="L128" s="148" t="s">
        <v>327</v>
      </c>
      <c r="M128" s="148" t="n">
        <v>1430</v>
      </c>
      <c r="N128" s="149" t="n">
        <v>9358658.94694301</v>
      </c>
      <c r="O128" s="29" t="n">
        <v>42800</v>
      </c>
      <c r="P128" s="33" t="n">
        <v>459.08</v>
      </c>
      <c r="Q128" s="25" t="n">
        <f aca="false">O128*P128</f>
        <v>19648624</v>
      </c>
      <c r="R128" s="149" t="n">
        <f aca="false">J128-Q76</f>
        <v>3865106.61</v>
      </c>
      <c r="V128" s="148" t="s">
        <v>113</v>
      </c>
      <c r="W128" s="148" t="s">
        <v>393</v>
      </c>
      <c r="X128" s="148" t="n">
        <v>312</v>
      </c>
      <c r="Y128" s="148" t="n">
        <v>5201203.32</v>
      </c>
    </row>
    <row r="129" customFormat="false" ht="14.25" hidden="false" customHeight="false" outlineLevel="0" collapsed="false">
      <c r="A129" s="164" t="s">
        <v>137</v>
      </c>
      <c r="B129" s="164" t="n">
        <v>12</v>
      </c>
      <c r="C129" s="165" t="n">
        <v>144</v>
      </c>
      <c r="D129" s="165" t="n">
        <v>22621104</v>
      </c>
      <c r="E129" s="165" t="n">
        <v>0</v>
      </c>
      <c r="F129" s="165" t="n">
        <v>0</v>
      </c>
      <c r="G129" s="165" t="n">
        <v>0</v>
      </c>
      <c r="H129" s="165" t="n">
        <v>0</v>
      </c>
      <c r="I129" s="165" t="n">
        <v>144</v>
      </c>
      <c r="J129" s="165" t="n">
        <v>22621104</v>
      </c>
      <c r="K129" s="148" t="s">
        <v>116</v>
      </c>
      <c r="L129" s="148" t="s">
        <v>393</v>
      </c>
      <c r="M129" s="148" t="n">
        <v>1764</v>
      </c>
      <c r="N129" s="149" t="n">
        <v>39291304.5821181</v>
      </c>
      <c r="O129" s="29" t="n">
        <v>738</v>
      </c>
      <c r="P129" s="33" t="n">
        <v>9869.86</v>
      </c>
      <c r="Q129" s="25" t="n">
        <f aca="false">O129*P129</f>
        <v>7283956.68</v>
      </c>
      <c r="R129" s="149" t="n">
        <f aca="false">J129-Q212</f>
        <v>0</v>
      </c>
      <c r="V129" s="148" t="s">
        <v>114</v>
      </c>
      <c r="W129" s="148" t="s">
        <v>393</v>
      </c>
      <c r="X129" s="148" t="n">
        <v>261</v>
      </c>
      <c r="Y129" s="148" t="n">
        <v>5065650.03</v>
      </c>
    </row>
    <row r="130" customFormat="false" ht="14.25" hidden="false" customHeight="false" outlineLevel="0" collapsed="false">
      <c r="A130" s="164" t="s">
        <v>138</v>
      </c>
      <c r="B130" s="164" t="n">
        <v>12</v>
      </c>
      <c r="C130" s="165" t="n">
        <v>149</v>
      </c>
      <c r="D130" s="165" t="n">
        <v>22621104</v>
      </c>
      <c r="E130" s="165" t="n">
        <v>0</v>
      </c>
      <c r="F130" s="165" t="n">
        <v>0</v>
      </c>
      <c r="G130" s="165" t="n">
        <v>0</v>
      </c>
      <c r="H130" s="165" t="n">
        <v>0</v>
      </c>
      <c r="I130" s="165" t="n">
        <v>149</v>
      </c>
      <c r="J130" s="165" t="n">
        <v>22621104</v>
      </c>
      <c r="K130" s="148" t="s">
        <v>117</v>
      </c>
      <c r="L130" s="148" t="s">
        <v>393</v>
      </c>
      <c r="M130" s="148" t="n">
        <v>470</v>
      </c>
      <c r="N130" s="149" t="n">
        <v>8313396.48</v>
      </c>
      <c r="O130" s="29" t="n">
        <v>172</v>
      </c>
      <c r="P130" s="33" t="n">
        <v>5800.74</v>
      </c>
      <c r="Q130" s="25" t="n">
        <f aca="false">O130*P130</f>
        <v>997727.28</v>
      </c>
      <c r="R130" s="149" t="n">
        <f aca="false">J130-Q213</f>
        <v>-785455</v>
      </c>
      <c r="V130" s="148" t="s">
        <v>115</v>
      </c>
      <c r="W130" s="148" t="s">
        <v>327</v>
      </c>
      <c r="X130" s="148" t="n">
        <v>1430</v>
      </c>
      <c r="Y130" s="148" t="n">
        <v>9358658.94694301</v>
      </c>
    </row>
    <row r="131" customFormat="false" ht="14.25" hidden="false" customHeight="false" outlineLevel="0" collapsed="false">
      <c r="A131" s="164" t="s">
        <v>139</v>
      </c>
      <c r="B131" s="164" t="n">
        <v>12</v>
      </c>
      <c r="C131" s="165" t="n">
        <v>188</v>
      </c>
      <c r="D131" s="165" t="n">
        <v>34137846</v>
      </c>
      <c r="E131" s="165" t="n">
        <v>0</v>
      </c>
      <c r="F131" s="165" t="n">
        <v>0</v>
      </c>
      <c r="G131" s="165" t="n">
        <v>0</v>
      </c>
      <c r="H131" s="165" t="n">
        <v>0</v>
      </c>
      <c r="I131" s="165" t="n">
        <v>188</v>
      </c>
      <c r="J131" s="165" t="n">
        <v>34137846</v>
      </c>
      <c r="K131" s="148" t="s">
        <v>118</v>
      </c>
      <c r="L131" s="148" t="s">
        <v>395</v>
      </c>
      <c r="M131" s="148" t="n">
        <v>288</v>
      </c>
      <c r="N131" s="149" t="n">
        <v>12047621.92</v>
      </c>
      <c r="O131" s="39" t="n">
        <v>1923</v>
      </c>
      <c r="P131" s="40" t="n">
        <v>49780.34</v>
      </c>
      <c r="Q131" s="41" t="n">
        <f aca="false">O131*P131</f>
        <v>95727593.82</v>
      </c>
      <c r="S131" s="149" t="s">
        <v>953</v>
      </c>
      <c r="V131" s="148" t="s">
        <v>116</v>
      </c>
      <c r="W131" s="148" t="s">
        <v>393</v>
      </c>
      <c r="X131" s="148" t="n">
        <v>1764</v>
      </c>
      <c r="Y131" s="148" t="n">
        <v>39291304.5821181</v>
      </c>
    </row>
    <row r="132" customFormat="false" ht="14.25" hidden="false" customHeight="false" outlineLevel="0" collapsed="false">
      <c r="A132" s="164" t="s">
        <v>140</v>
      </c>
      <c r="B132" s="164" t="n">
        <v>12</v>
      </c>
      <c r="C132" s="165" t="n">
        <v>1326</v>
      </c>
      <c r="D132" s="165" t="n">
        <v>245672490</v>
      </c>
      <c r="E132" s="165" t="n">
        <v>1500</v>
      </c>
      <c r="F132" s="165" t="n">
        <v>279622500</v>
      </c>
      <c r="G132" s="165" t="n">
        <v>1498</v>
      </c>
      <c r="H132" s="165" t="n">
        <v>278447238</v>
      </c>
      <c r="I132" s="165" t="n">
        <v>1328</v>
      </c>
      <c r="J132" s="165" t="n">
        <v>246847752</v>
      </c>
      <c r="K132" s="148" t="s">
        <v>119</v>
      </c>
      <c r="L132" s="148" t="s">
        <v>327</v>
      </c>
      <c r="M132" s="148" t="n">
        <v>260</v>
      </c>
      <c r="N132" s="149" t="n">
        <v>6077455.2</v>
      </c>
      <c r="O132" s="42" t="n">
        <v>144</v>
      </c>
      <c r="P132" s="43" t="n">
        <v>6925.54</v>
      </c>
      <c r="Q132" s="44" t="n">
        <f aca="false">O132*P132</f>
        <v>997277.76</v>
      </c>
      <c r="S132" s="149" t="s">
        <v>954</v>
      </c>
      <c r="V132" s="148" t="s">
        <v>117</v>
      </c>
      <c r="W132" s="148" t="s">
        <v>393</v>
      </c>
      <c r="X132" s="148" t="n">
        <v>470</v>
      </c>
      <c r="Y132" s="148" t="n">
        <v>8313396.48</v>
      </c>
    </row>
    <row r="133" customFormat="false" ht="14.25" hidden="false" customHeight="false" outlineLevel="0" collapsed="false">
      <c r="A133" s="30" t="s">
        <v>141</v>
      </c>
      <c r="B133" s="30" t="n">
        <v>12</v>
      </c>
      <c r="C133" s="158" t="n">
        <v>2712</v>
      </c>
      <c r="D133" s="158" t="n">
        <v>404819278</v>
      </c>
      <c r="E133" s="158" t="n">
        <v>2350</v>
      </c>
      <c r="F133" s="158" t="n">
        <v>438075250</v>
      </c>
      <c r="G133" s="158" t="n">
        <f aca="false">C133+E133-I133</f>
        <v>3044</v>
      </c>
      <c r="H133" s="158" t="n">
        <f aca="false">D133+F133-J133</f>
        <v>466755000</v>
      </c>
      <c r="I133" s="158" t="n">
        <v>2018</v>
      </c>
      <c r="J133" s="158" t="n">
        <v>376139528</v>
      </c>
      <c r="K133" s="148" t="s">
        <v>120</v>
      </c>
      <c r="L133" s="148" t="s">
        <v>327</v>
      </c>
      <c r="M133" s="148" t="n">
        <v>80</v>
      </c>
      <c r="N133" s="149" t="n">
        <v>1795180</v>
      </c>
      <c r="O133" s="29" t="n">
        <v>26572</v>
      </c>
      <c r="P133" s="33" t="n">
        <v>9090.07</v>
      </c>
      <c r="Q133" s="25" t="n">
        <f aca="false">O133*P133</f>
        <v>241541340.04</v>
      </c>
      <c r="R133" s="149" t="n">
        <f aca="false">J133-Q165</f>
        <v>-97168157</v>
      </c>
      <c r="V133" s="148" t="s">
        <v>118</v>
      </c>
      <c r="W133" s="148" t="s">
        <v>395</v>
      </c>
      <c r="X133" s="148" t="n">
        <v>288</v>
      </c>
      <c r="Y133" s="148" t="n">
        <v>12047621.92</v>
      </c>
    </row>
    <row r="134" customFormat="false" ht="14.25" hidden="false" customHeight="false" outlineLevel="0" collapsed="false">
      <c r="A134" s="164" t="s">
        <v>142</v>
      </c>
      <c r="B134" s="164" t="n">
        <v>12</v>
      </c>
      <c r="C134" s="165" t="n">
        <v>1150</v>
      </c>
      <c r="D134" s="165" t="n">
        <v>211217050</v>
      </c>
      <c r="E134" s="165" t="n">
        <v>0</v>
      </c>
      <c r="F134" s="165" t="n">
        <v>0</v>
      </c>
      <c r="G134" s="165" t="n">
        <v>0</v>
      </c>
      <c r="H134" s="165" t="n">
        <v>0</v>
      </c>
      <c r="I134" s="165" t="n">
        <v>1150</v>
      </c>
      <c r="J134" s="165" t="n">
        <v>211217050</v>
      </c>
      <c r="K134" s="148" t="s">
        <v>121</v>
      </c>
      <c r="L134" s="148" t="s">
        <v>393</v>
      </c>
      <c r="M134" s="148" t="n">
        <v>2086</v>
      </c>
      <c r="N134" s="149" t="n">
        <v>25352108.0334493</v>
      </c>
      <c r="O134" s="29" t="n">
        <v>489</v>
      </c>
      <c r="P134" s="33" t="n">
        <v>22942.1</v>
      </c>
      <c r="Q134" s="25" t="n">
        <f aca="false">O134*P134</f>
        <v>11218686.9</v>
      </c>
      <c r="V134" s="148" t="s">
        <v>119</v>
      </c>
      <c r="W134" s="148" t="s">
        <v>327</v>
      </c>
      <c r="X134" s="148" t="n">
        <v>260</v>
      </c>
      <c r="Y134" s="148" t="n">
        <v>6077455.2</v>
      </c>
    </row>
    <row r="135" customFormat="false" ht="14.25" hidden="false" customHeight="false" outlineLevel="0" collapsed="false">
      <c r="A135" s="161" t="s">
        <v>143</v>
      </c>
      <c r="B135" s="161" t="n">
        <v>12</v>
      </c>
      <c r="C135" s="162" t="n">
        <v>0</v>
      </c>
      <c r="D135" s="162" t="n">
        <v>0</v>
      </c>
      <c r="E135" s="162" t="n">
        <v>0</v>
      </c>
      <c r="F135" s="162" t="n">
        <v>0</v>
      </c>
      <c r="G135" s="162" t="n">
        <v>0</v>
      </c>
      <c r="H135" s="162" t="n">
        <v>0</v>
      </c>
      <c r="I135" s="162" t="n">
        <v>0</v>
      </c>
      <c r="J135" s="162" t="n">
        <v>0</v>
      </c>
      <c r="K135" s="148" t="s">
        <v>122</v>
      </c>
      <c r="L135" s="148" t="s">
        <v>327</v>
      </c>
      <c r="M135" s="148" t="n">
        <v>158</v>
      </c>
      <c r="N135" s="149" t="n">
        <v>1388713.9</v>
      </c>
      <c r="O135" s="29" t="n">
        <v>1236</v>
      </c>
      <c r="P135" s="33" t="n">
        <v>12986.22</v>
      </c>
      <c r="Q135" s="25" t="n">
        <f aca="false">O135*P135</f>
        <v>16050967.92</v>
      </c>
      <c r="V135" s="148" t="s">
        <v>120</v>
      </c>
      <c r="W135" s="148" t="s">
        <v>327</v>
      </c>
      <c r="X135" s="148" t="n">
        <v>80</v>
      </c>
      <c r="Y135" s="148" t="n">
        <v>1795180</v>
      </c>
    </row>
    <row r="136" customFormat="false" ht="14.25" hidden="false" customHeight="false" outlineLevel="0" collapsed="false">
      <c r="A136" s="164" t="s">
        <v>144</v>
      </c>
      <c r="B136" s="164" t="n">
        <v>12</v>
      </c>
      <c r="C136" s="165" t="n">
        <v>898</v>
      </c>
      <c r="D136" s="165" t="n">
        <v>164227145</v>
      </c>
      <c r="E136" s="165" t="n">
        <v>455</v>
      </c>
      <c r="F136" s="165" t="n">
        <v>83865600</v>
      </c>
      <c r="G136" s="165" t="n">
        <v>770</v>
      </c>
      <c r="H136" s="165" t="n">
        <v>141190993</v>
      </c>
      <c r="I136" s="165" t="n">
        <v>583</v>
      </c>
      <c r="J136" s="165" t="n">
        <v>106901752</v>
      </c>
      <c r="K136" s="148" t="s">
        <v>516</v>
      </c>
      <c r="L136" s="148" t="s">
        <v>451</v>
      </c>
      <c r="M136" s="148" t="n">
        <v>72</v>
      </c>
      <c r="N136" s="149" t="n">
        <v>1750302</v>
      </c>
      <c r="O136" s="29" t="n">
        <v>285</v>
      </c>
      <c r="P136" s="33" t="n">
        <v>18180.14</v>
      </c>
      <c r="Q136" s="25" t="n">
        <f aca="false">O136*P136</f>
        <v>5181339.9</v>
      </c>
      <c r="V136" s="148" t="s">
        <v>121</v>
      </c>
      <c r="W136" s="148" t="s">
        <v>393</v>
      </c>
      <c r="X136" s="148" t="n">
        <v>2086</v>
      </c>
      <c r="Y136" s="148" t="n">
        <v>25352108.0334493</v>
      </c>
    </row>
    <row r="137" customFormat="false" ht="14.25" hidden="false" customHeight="false" outlineLevel="0" collapsed="false">
      <c r="A137" s="161" t="s">
        <v>145</v>
      </c>
      <c r="B137" s="161" t="n">
        <v>12</v>
      </c>
      <c r="C137" s="162" t="n">
        <v>13</v>
      </c>
      <c r="D137" s="162" t="n">
        <v>2323520</v>
      </c>
      <c r="E137" s="162" t="n">
        <v>67</v>
      </c>
      <c r="F137" s="162" t="n">
        <v>11975065</v>
      </c>
      <c r="G137" s="162" t="n">
        <v>80</v>
      </c>
      <c r="H137" s="162" t="n">
        <v>14298585</v>
      </c>
      <c r="I137" s="162" t="n">
        <v>0</v>
      </c>
      <c r="J137" s="162" t="n">
        <v>0</v>
      </c>
      <c r="K137" s="148" t="s">
        <v>123</v>
      </c>
      <c r="L137" s="148" t="s">
        <v>393</v>
      </c>
      <c r="M137" s="148" t="n">
        <v>132</v>
      </c>
      <c r="N137" s="149" t="n">
        <v>2362623.6</v>
      </c>
      <c r="O137" s="29" t="n">
        <v>30</v>
      </c>
      <c r="P137" s="33" t="n">
        <v>49780.34</v>
      </c>
      <c r="Q137" s="25" t="n">
        <f aca="false">O137*P137</f>
        <v>1493410.2</v>
      </c>
      <c r="V137" s="148" t="s">
        <v>122</v>
      </c>
      <c r="W137" s="148" t="s">
        <v>327</v>
      </c>
      <c r="X137" s="148" t="n">
        <v>158</v>
      </c>
      <c r="Y137" s="148" t="n">
        <v>1388713.9</v>
      </c>
    </row>
    <row r="138" customFormat="false" ht="14.25" hidden="false" customHeight="false" outlineLevel="0" collapsed="false">
      <c r="A138" s="30" t="s">
        <v>146</v>
      </c>
      <c r="B138" s="30" t="n">
        <v>12</v>
      </c>
      <c r="C138" s="158" t="n">
        <v>427</v>
      </c>
      <c r="D138" s="158" t="n">
        <v>83128984</v>
      </c>
      <c r="E138" s="158" t="n">
        <v>690</v>
      </c>
      <c r="F138" s="158" t="n">
        <v>132239190</v>
      </c>
      <c r="G138" s="158" t="n">
        <f aca="false">C138+E138-I138</f>
        <v>991</v>
      </c>
      <c r="H138" s="158" t="n">
        <f aca="false">D138+F138-J138</f>
        <v>191147067</v>
      </c>
      <c r="I138" s="158" t="n">
        <v>126</v>
      </c>
      <c r="J138" s="158" t="n">
        <v>24221107</v>
      </c>
      <c r="K138" s="148" t="s">
        <v>519</v>
      </c>
      <c r="L138" s="148" t="s">
        <v>327</v>
      </c>
      <c r="M138" s="148" t="n">
        <v>360</v>
      </c>
      <c r="N138" s="149" t="n">
        <v>3029294.6</v>
      </c>
      <c r="O138" s="29" t="n">
        <v>749</v>
      </c>
      <c r="P138" s="33" t="n">
        <v>9090.07</v>
      </c>
      <c r="Q138" s="25" t="n">
        <f aca="false">O138*P138</f>
        <v>6808462.43</v>
      </c>
      <c r="R138" s="149" t="n">
        <f aca="false">J138-Q169</f>
        <v>2181242</v>
      </c>
      <c r="V138" s="148" t="s">
        <v>516</v>
      </c>
      <c r="W138" s="148" t="s">
        <v>451</v>
      </c>
      <c r="X138" s="148" t="n">
        <v>72</v>
      </c>
      <c r="Y138" s="148" t="n">
        <v>1750302</v>
      </c>
    </row>
    <row r="139" customFormat="false" ht="14.25" hidden="false" customHeight="false" outlineLevel="0" collapsed="false">
      <c r="A139" s="30" t="s">
        <v>147</v>
      </c>
      <c r="B139" s="30" t="n">
        <v>12</v>
      </c>
      <c r="C139" s="158" t="n">
        <v>888</v>
      </c>
      <c r="D139" s="158" t="n">
        <v>82354219</v>
      </c>
      <c r="E139" s="158" t="n">
        <f aca="false">100+7874</f>
        <v>7974</v>
      </c>
      <c r="F139" s="158" t="e">
        <f aca="false">E139*#REF!</f>
        <v>#REF!</v>
      </c>
      <c r="G139" s="158" t="n">
        <f aca="false">C139+E139-I139</f>
        <v>988</v>
      </c>
      <c r="H139" s="158" t="e">
        <f aca="false">D139+F139-J139</f>
        <v>#REF!</v>
      </c>
      <c r="I139" s="158" t="n">
        <v>7874</v>
      </c>
      <c r="J139" s="158" t="n">
        <v>36287616</v>
      </c>
      <c r="K139" s="148" t="s">
        <v>124</v>
      </c>
      <c r="L139" s="148" t="s">
        <v>393</v>
      </c>
      <c r="M139" s="148" t="n">
        <v>8</v>
      </c>
      <c r="N139" s="149" t="n">
        <v>149604</v>
      </c>
      <c r="O139" s="29" t="n">
        <v>870</v>
      </c>
      <c r="P139" s="33" t="n">
        <v>7618.38</v>
      </c>
      <c r="Q139" s="25" t="n">
        <f aca="false">O139*P139</f>
        <v>6627990.6</v>
      </c>
      <c r="R139" s="149" t="n">
        <f aca="false">J139-Q161</f>
        <v>34702350.48</v>
      </c>
      <c r="V139" s="148" t="s">
        <v>123</v>
      </c>
      <c r="W139" s="148" t="s">
        <v>393</v>
      </c>
      <c r="X139" s="148" t="n">
        <v>132</v>
      </c>
      <c r="Y139" s="148" t="n">
        <v>2362623.6</v>
      </c>
    </row>
    <row r="140" customFormat="false" ht="14.25" hidden="false" customHeight="false" outlineLevel="0" collapsed="false">
      <c r="A140" s="161" t="s">
        <v>148</v>
      </c>
      <c r="B140" s="161" t="n">
        <v>12</v>
      </c>
      <c r="C140" s="162" t="n">
        <v>0</v>
      </c>
      <c r="D140" s="162" t="n">
        <f aca="false">D141/C141</f>
        <v>190478.489557226</v>
      </c>
      <c r="E140" s="162"/>
      <c r="F140" s="162" t="e">
        <f aca="false">F141/E141</f>
        <v>#REF!</v>
      </c>
      <c r="G140" s="162" t="n">
        <v>0</v>
      </c>
      <c r="H140" s="162" t="n">
        <v>0</v>
      </c>
      <c r="I140" s="162" t="n">
        <v>0</v>
      </c>
      <c r="J140" s="162" t="n">
        <v>0</v>
      </c>
      <c r="K140" s="148" t="s">
        <v>522</v>
      </c>
      <c r="L140" s="148" t="s">
        <v>327</v>
      </c>
      <c r="M140" s="148" t="n">
        <v>520</v>
      </c>
      <c r="N140" s="149" t="n">
        <v>4294614.4</v>
      </c>
      <c r="O140" s="29" t="n">
        <v>1460</v>
      </c>
      <c r="P140" s="33" t="n">
        <v>7618.38</v>
      </c>
      <c r="Q140" s="25" t="n">
        <f aca="false">O140*P140</f>
        <v>11122834.8</v>
      </c>
      <c r="V140" s="148" t="s">
        <v>519</v>
      </c>
      <c r="W140" s="148" t="s">
        <v>327</v>
      </c>
      <c r="X140" s="148" t="n">
        <v>360</v>
      </c>
      <c r="Y140" s="148" t="n">
        <v>3029294.6</v>
      </c>
    </row>
    <row r="141" customFormat="false" ht="14.25" hidden="false" customHeight="false" outlineLevel="0" collapsed="false">
      <c r="A141" s="30" t="s">
        <v>149</v>
      </c>
      <c r="B141" s="30" t="n">
        <v>12</v>
      </c>
      <c r="C141" s="158" t="n">
        <v>1197</v>
      </c>
      <c r="D141" s="158" t="n">
        <v>228002752</v>
      </c>
      <c r="E141" s="158" t="e">
        <f aca="false">(F141/#REF!)+7615</f>
        <v>#REF!</v>
      </c>
      <c r="F141" s="158" t="n">
        <v>94867245</v>
      </c>
      <c r="G141" s="158" t="e">
        <f aca="false">C141+E141-I141</f>
        <v>#REF!</v>
      </c>
      <c r="H141" s="158"/>
      <c r="I141" s="158" t="n">
        <v>14741</v>
      </c>
      <c r="J141" s="158" t="n">
        <v>235855388</v>
      </c>
      <c r="K141" s="148" t="s">
        <v>465</v>
      </c>
      <c r="L141" s="148" t="s">
        <v>451</v>
      </c>
      <c r="M141" s="148" t="n">
        <v>2000</v>
      </c>
      <c r="N141" s="149" t="n">
        <v>36465889.7272727</v>
      </c>
      <c r="O141" s="29" t="n">
        <v>261</v>
      </c>
      <c r="P141" s="33" t="n">
        <v>18180.14</v>
      </c>
      <c r="Q141" s="25" t="n">
        <f aca="false">O141*P141</f>
        <v>4745016.54</v>
      </c>
      <c r="R141" s="149" t="n">
        <f aca="false">J141-Q170</f>
        <v>216079388</v>
      </c>
      <c r="V141" s="148" t="s">
        <v>124</v>
      </c>
      <c r="W141" s="148" t="s">
        <v>393</v>
      </c>
      <c r="X141" s="148" t="n">
        <v>8</v>
      </c>
      <c r="Y141" s="148" t="n">
        <v>149604</v>
      </c>
    </row>
    <row r="142" customFormat="false" ht="14.25" hidden="false" customHeight="false" outlineLevel="0" collapsed="false">
      <c r="A142" s="161" t="s">
        <v>150</v>
      </c>
      <c r="B142" s="161" t="n">
        <v>12</v>
      </c>
      <c r="C142" s="162" t="n">
        <v>0</v>
      </c>
      <c r="D142" s="162" t="n">
        <v>0</v>
      </c>
      <c r="E142" s="162" t="n">
        <v>0</v>
      </c>
      <c r="F142" s="162" t="n">
        <v>0</v>
      </c>
      <c r="G142" s="162" t="n">
        <v>0</v>
      </c>
      <c r="H142" s="162" t="n">
        <v>0</v>
      </c>
      <c r="I142" s="162" t="n">
        <v>0</v>
      </c>
      <c r="J142" s="162" t="n">
        <v>0</v>
      </c>
      <c r="K142" s="148" t="s">
        <v>125</v>
      </c>
      <c r="L142" s="148" t="s">
        <v>451</v>
      </c>
      <c r="M142" s="148" t="n">
        <v>644</v>
      </c>
      <c r="N142" s="149" t="n">
        <v>29189226.8</v>
      </c>
      <c r="O142" s="29" t="n">
        <v>312</v>
      </c>
      <c r="P142" s="33" t="n">
        <v>15583.64</v>
      </c>
      <c r="Q142" s="25" t="n">
        <f aca="false">O142*P142</f>
        <v>4862095.68</v>
      </c>
      <c r="V142" s="148" t="s">
        <v>522</v>
      </c>
      <c r="W142" s="148" t="s">
        <v>327</v>
      </c>
      <c r="X142" s="148" t="n">
        <v>520</v>
      </c>
      <c r="Y142" s="148" t="n">
        <v>4294614.4</v>
      </c>
    </row>
    <row r="143" customFormat="false" ht="14.25" hidden="false" customHeight="false" outlineLevel="0" collapsed="false">
      <c r="A143" s="164" t="s">
        <v>151</v>
      </c>
      <c r="B143" s="164" t="n">
        <v>12</v>
      </c>
      <c r="C143" s="165" t="n">
        <v>319</v>
      </c>
      <c r="D143" s="165" t="n">
        <v>60576489</v>
      </c>
      <c r="E143" s="165" t="n">
        <v>0</v>
      </c>
      <c r="F143" s="165" t="n">
        <v>0</v>
      </c>
      <c r="G143" s="165" t="n">
        <v>0</v>
      </c>
      <c r="H143" s="165" t="n">
        <v>0</v>
      </c>
      <c r="I143" s="165" t="n">
        <v>319</v>
      </c>
      <c r="J143" s="165" t="n">
        <v>60576489</v>
      </c>
      <c r="K143" s="148" t="s">
        <v>126</v>
      </c>
      <c r="L143" s="148" t="s">
        <v>327</v>
      </c>
      <c r="M143" s="148" t="n">
        <v>12490</v>
      </c>
      <c r="N143" s="149" t="n">
        <v>67705449.8377502</v>
      </c>
      <c r="O143" s="29" t="n">
        <v>1947</v>
      </c>
      <c r="P143" s="33" t="n">
        <v>6059.74</v>
      </c>
      <c r="Q143" s="25" t="n">
        <f aca="false">O143*P143</f>
        <v>11798313.78</v>
      </c>
      <c r="V143" s="148" t="s">
        <v>465</v>
      </c>
      <c r="W143" s="148" t="s">
        <v>451</v>
      </c>
      <c r="X143" s="148" t="n">
        <v>2000</v>
      </c>
      <c r="Y143" s="148" t="n">
        <v>36465889.7272727</v>
      </c>
    </row>
    <row r="144" customFormat="false" ht="14.25" hidden="false" customHeight="false" outlineLevel="0" collapsed="false">
      <c r="A144" s="161" t="s">
        <v>152</v>
      </c>
      <c r="B144" s="161" t="n">
        <v>12</v>
      </c>
      <c r="C144" s="162" t="n">
        <v>0</v>
      </c>
      <c r="D144" s="162" t="n">
        <v>0</v>
      </c>
      <c r="E144" s="162" t="n">
        <v>0</v>
      </c>
      <c r="F144" s="162" t="n">
        <v>0</v>
      </c>
      <c r="G144" s="162" t="n">
        <v>0</v>
      </c>
      <c r="H144" s="162" t="n">
        <v>0</v>
      </c>
      <c r="I144" s="162" t="n">
        <v>0</v>
      </c>
      <c r="J144" s="162" t="n">
        <v>0</v>
      </c>
      <c r="K144" s="148" t="s">
        <v>127</v>
      </c>
      <c r="L144" s="148" t="s">
        <v>327</v>
      </c>
      <c r="M144" s="148" t="n">
        <v>1860</v>
      </c>
      <c r="N144" s="149" t="n">
        <v>9048980.04</v>
      </c>
      <c r="O144" s="29" t="n">
        <v>1969</v>
      </c>
      <c r="P144" s="33" t="n">
        <v>19045.95</v>
      </c>
      <c r="Q144" s="25" t="n">
        <f aca="false">O144*P144</f>
        <v>37501475.55</v>
      </c>
      <c r="V144" s="148" t="s">
        <v>125</v>
      </c>
      <c r="W144" s="148" t="s">
        <v>451</v>
      </c>
      <c r="X144" s="148" t="n">
        <v>644</v>
      </c>
      <c r="Y144" s="148" t="n">
        <v>29189226.8</v>
      </c>
    </row>
    <row r="145" customFormat="false" ht="14.25" hidden="false" customHeight="false" outlineLevel="0" collapsed="false">
      <c r="A145" s="161" t="s">
        <v>153</v>
      </c>
      <c r="B145" s="161" t="n">
        <v>12</v>
      </c>
      <c r="C145" s="162" t="n">
        <v>0</v>
      </c>
      <c r="D145" s="162" t="n">
        <v>0</v>
      </c>
      <c r="E145" s="162" t="n">
        <v>0</v>
      </c>
      <c r="F145" s="162" t="n">
        <v>0</v>
      </c>
      <c r="G145" s="162" t="n">
        <v>0</v>
      </c>
      <c r="H145" s="162" t="n">
        <v>0</v>
      </c>
      <c r="I145" s="162" t="n">
        <v>0</v>
      </c>
      <c r="J145" s="162" t="n">
        <v>0</v>
      </c>
      <c r="K145" s="148" t="s">
        <v>128</v>
      </c>
      <c r="L145" s="148" t="s">
        <v>327</v>
      </c>
      <c r="M145" s="148" t="n">
        <v>454</v>
      </c>
      <c r="N145" s="149" t="n">
        <v>6939274.24</v>
      </c>
      <c r="O145" s="29" t="n">
        <v>470</v>
      </c>
      <c r="P145" s="33" t="n">
        <v>16449.46</v>
      </c>
      <c r="Q145" s="25" t="n">
        <f aca="false">O145*P145</f>
        <v>7731246.2</v>
      </c>
      <c r="V145" s="148" t="s">
        <v>126</v>
      </c>
      <c r="W145" s="148" t="s">
        <v>327</v>
      </c>
      <c r="X145" s="148" t="n">
        <v>12490</v>
      </c>
      <c r="Y145" s="148" t="n">
        <v>67705449.8377502</v>
      </c>
    </row>
    <row r="146" customFormat="false" ht="14.25" hidden="false" customHeight="false" outlineLevel="0" collapsed="false">
      <c r="A146" s="164" t="s">
        <v>154</v>
      </c>
      <c r="B146" s="164" t="n">
        <v>12</v>
      </c>
      <c r="C146" s="165" t="n">
        <v>50</v>
      </c>
      <c r="D146" s="165" t="n">
        <v>11656130</v>
      </c>
      <c r="E146" s="165" t="n">
        <v>45</v>
      </c>
      <c r="F146" s="165" t="n">
        <v>10556505</v>
      </c>
      <c r="G146" s="165" t="n">
        <v>25</v>
      </c>
      <c r="H146" s="165" t="n">
        <v>5845430</v>
      </c>
      <c r="I146" s="165" t="n">
        <v>70</v>
      </c>
      <c r="J146" s="165" t="n">
        <v>16367205</v>
      </c>
      <c r="K146" s="148" t="s">
        <v>911</v>
      </c>
      <c r="L146" s="148" t="s">
        <v>303</v>
      </c>
      <c r="M146" s="148" t="n">
        <v>4</v>
      </c>
      <c r="N146" s="149" t="n">
        <v>0</v>
      </c>
      <c r="O146" s="29" t="n">
        <v>288</v>
      </c>
      <c r="P146" s="33" t="n">
        <v>14284.93</v>
      </c>
      <c r="Q146" s="25" t="n">
        <f aca="false">O146*P146</f>
        <v>4114059.84</v>
      </c>
      <c r="V146" s="148" t="s">
        <v>127</v>
      </c>
      <c r="W146" s="148" t="s">
        <v>327</v>
      </c>
      <c r="X146" s="148" t="n">
        <v>1860</v>
      </c>
      <c r="Y146" s="148" t="n">
        <v>9048980.04</v>
      </c>
    </row>
    <row r="147" customFormat="false" ht="14.25" hidden="false" customHeight="false" outlineLevel="0" collapsed="false">
      <c r="A147" s="161" t="s">
        <v>155</v>
      </c>
      <c r="B147" s="161" t="n">
        <v>12</v>
      </c>
      <c r="C147" s="162" t="n">
        <v>0</v>
      </c>
      <c r="D147" s="162" t="n">
        <v>0</v>
      </c>
      <c r="E147" s="162" t="n">
        <v>24</v>
      </c>
      <c r="F147" s="162" t="n">
        <v>6959131</v>
      </c>
      <c r="G147" s="162" t="n">
        <v>24</v>
      </c>
      <c r="H147" s="162" t="n">
        <v>6959131</v>
      </c>
      <c r="I147" s="162" t="n">
        <v>0</v>
      </c>
      <c r="J147" s="162" t="n">
        <v>0</v>
      </c>
      <c r="K147" s="148" t="s">
        <v>912</v>
      </c>
      <c r="L147" s="148" t="s">
        <v>393</v>
      </c>
      <c r="M147" s="148" t="n">
        <v>9</v>
      </c>
      <c r="N147" s="149" t="n">
        <v>0</v>
      </c>
      <c r="O147" s="29" t="n">
        <v>260</v>
      </c>
      <c r="P147" s="33" t="n">
        <v>21643.38</v>
      </c>
      <c r="Q147" s="25" t="n">
        <f aca="false">O147*P147</f>
        <v>5627278.8</v>
      </c>
      <c r="V147" s="148" t="s">
        <v>128</v>
      </c>
      <c r="W147" s="148" t="s">
        <v>327</v>
      </c>
      <c r="X147" s="148" t="n">
        <v>454</v>
      </c>
      <c r="Y147" s="148" t="n">
        <v>6939274.24</v>
      </c>
    </row>
    <row r="148" customFormat="false" ht="14.25" hidden="false" customHeight="false" outlineLevel="0" collapsed="false">
      <c r="A148" s="30" t="s">
        <v>156</v>
      </c>
      <c r="B148" s="30" t="n">
        <v>12</v>
      </c>
      <c r="C148" s="158" t="n">
        <v>265</v>
      </c>
      <c r="D148" s="158" t="n">
        <v>51536190</v>
      </c>
      <c r="E148" s="158" t="n">
        <v>20</v>
      </c>
      <c r="F148" s="158" t="n">
        <v>4691780</v>
      </c>
      <c r="G148" s="158" t="n">
        <f aca="false">C148+E148-I148</f>
        <v>170</v>
      </c>
      <c r="H148" s="158" t="n">
        <f aca="false">D148+F148-J148</f>
        <v>29199086</v>
      </c>
      <c r="I148" s="158" t="n">
        <v>115</v>
      </c>
      <c r="J148" s="158" t="n">
        <v>27028884</v>
      </c>
      <c r="K148" s="148" t="s">
        <v>913</v>
      </c>
      <c r="L148" s="148" t="s">
        <v>528</v>
      </c>
      <c r="M148" s="148" t="n">
        <v>6</v>
      </c>
      <c r="N148" s="149" t="n">
        <v>0</v>
      </c>
      <c r="O148" s="29" t="n">
        <v>80</v>
      </c>
      <c r="P148" s="33" t="n">
        <v>20777.57</v>
      </c>
      <c r="Q148" s="25" t="n">
        <f aca="false">O148*P148</f>
        <v>1662205.6</v>
      </c>
      <c r="R148" s="149" t="n">
        <f aca="false">J148-Q198</f>
        <v>-5109809</v>
      </c>
      <c r="V148" s="148" t="s">
        <v>911</v>
      </c>
      <c r="W148" s="148" t="s">
        <v>303</v>
      </c>
      <c r="X148" s="148" t="n">
        <v>4</v>
      </c>
      <c r="Y148" s="148" t="n">
        <v>0</v>
      </c>
    </row>
    <row r="149" customFormat="false" ht="14.25" hidden="false" customHeight="false" outlineLevel="0" collapsed="false">
      <c r="A149" s="164" t="s">
        <v>157</v>
      </c>
      <c r="B149" s="164" t="n">
        <v>12</v>
      </c>
      <c r="C149" s="165" t="n">
        <v>100</v>
      </c>
      <c r="D149" s="165" t="n">
        <v>23336700</v>
      </c>
      <c r="E149" s="165" t="n">
        <v>45</v>
      </c>
      <c r="F149" s="165" t="n">
        <v>10556505</v>
      </c>
      <c r="G149" s="165" t="n">
        <v>45</v>
      </c>
      <c r="H149" s="165" t="n">
        <v>10518581</v>
      </c>
      <c r="I149" s="165" t="n">
        <v>100</v>
      </c>
      <c r="J149" s="165" t="n">
        <v>23374624</v>
      </c>
      <c r="K149" s="148" t="s">
        <v>914</v>
      </c>
      <c r="L149" s="148" t="s">
        <v>528</v>
      </c>
      <c r="M149" s="148" t="n">
        <v>18</v>
      </c>
      <c r="N149" s="149" t="n">
        <v>0</v>
      </c>
      <c r="O149" s="29" t="n">
        <v>2934</v>
      </c>
      <c r="P149" s="33" t="n">
        <v>11254.6</v>
      </c>
      <c r="Q149" s="25" t="n">
        <f aca="false">O149*P149</f>
        <v>33020996.4</v>
      </c>
      <c r="V149" s="148" t="s">
        <v>912</v>
      </c>
      <c r="W149" s="148" t="s">
        <v>393</v>
      </c>
      <c r="X149" s="148" t="n">
        <v>9</v>
      </c>
      <c r="Y149" s="148" t="n">
        <v>0</v>
      </c>
    </row>
    <row r="150" customFormat="false" ht="14.25" hidden="false" customHeight="false" outlineLevel="0" collapsed="false">
      <c r="A150" s="161" t="s">
        <v>158</v>
      </c>
      <c r="B150" s="161" t="n">
        <v>12</v>
      </c>
      <c r="C150" s="162" t="n">
        <v>0</v>
      </c>
      <c r="D150" s="162" t="n">
        <v>0</v>
      </c>
      <c r="E150" s="162" t="n">
        <v>0</v>
      </c>
      <c r="F150" s="162" t="n">
        <v>0</v>
      </c>
      <c r="G150" s="162" t="n">
        <v>0</v>
      </c>
      <c r="H150" s="162" t="n">
        <v>0</v>
      </c>
      <c r="I150" s="162" t="n">
        <v>0</v>
      </c>
      <c r="J150" s="162" t="n">
        <v>0</v>
      </c>
      <c r="K150" s="148" t="s">
        <v>915</v>
      </c>
      <c r="L150" s="148" t="s">
        <v>528</v>
      </c>
      <c r="M150" s="148" t="n">
        <v>84</v>
      </c>
      <c r="N150" s="149" t="n">
        <v>0</v>
      </c>
      <c r="O150" s="29" t="n">
        <v>163</v>
      </c>
      <c r="P150" s="33" t="n">
        <v>8138.24</v>
      </c>
      <c r="Q150" s="25" t="n">
        <f aca="false">O150*P150</f>
        <v>1326533.12</v>
      </c>
      <c r="V150" s="148" t="s">
        <v>913</v>
      </c>
      <c r="W150" s="148" t="s">
        <v>528</v>
      </c>
      <c r="X150" s="148" t="n">
        <v>6</v>
      </c>
      <c r="Y150" s="148" t="n">
        <v>0</v>
      </c>
    </row>
    <row r="151" customFormat="false" ht="14.25" hidden="false" customHeight="false" outlineLevel="0" collapsed="false">
      <c r="A151" s="30" t="s">
        <v>159</v>
      </c>
      <c r="B151" s="30" t="n">
        <v>12</v>
      </c>
      <c r="C151" s="158" t="n">
        <v>81</v>
      </c>
      <c r="D151" s="158" t="n">
        <v>17829621</v>
      </c>
      <c r="E151" s="158" t="n">
        <v>0</v>
      </c>
      <c r="F151" s="158" t="n">
        <v>0</v>
      </c>
      <c r="G151" s="158" t="n">
        <f aca="false">C151-I151</f>
        <v>32</v>
      </c>
      <c r="H151" s="158" t="n">
        <f aca="false">D151-J151</f>
        <v>4842658</v>
      </c>
      <c r="I151" s="158" t="n">
        <v>49</v>
      </c>
      <c r="J151" s="158" t="n">
        <v>12986963</v>
      </c>
      <c r="K151" s="148" t="s">
        <v>916</v>
      </c>
      <c r="L151" s="148" t="s">
        <v>528</v>
      </c>
      <c r="M151" s="148" t="n">
        <v>2</v>
      </c>
      <c r="N151" s="149" t="n">
        <v>0</v>
      </c>
      <c r="O151" s="35" t="n">
        <v>72</v>
      </c>
      <c r="P151" s="33" t="n">
        <v>22509.19</v>
      </c>
      <c r="Q151" s="25" t="n">
        <f aca="false">O151*P151</f>
        <v>1620661.68</v>
      </c>
      <c r="R151" s="149" t="n">
        <f aca="false">J151-Q225</f>
        <v>-2605144</v>
      </c>
      <c r="V151" s="148" t="s">
        <v>914</v>
      </c>
      <c r="W151" s="148" t="s">
        <v>528</v>
      </c>
      <c r="X151" s="148" t="n">
        <v>18</v>
      </c>
      <c r="Y151" s="148" t="n">
        <v>0</v>
      </c>
    </row>
    <row r="152" customFormat="false" ht="14.25" hidden="false" customHeight="false" outlineLevel="0" collapsed="false">
      <c r="A152" s="164" t="s">
        <v>160</v>
      </c>
      <c r="B152" s="164" t="n">
        <v>12</v>
      </c>
      <c r="C152" s="165" t="n">
        <v>46</v>
      </c>
      <c r="D152" s="165" t="n">
        <v>12161583</v>
      </c>
      <c r="E152" s="165" t="n">
        <v>0</v>
      </c>
      <c r="F152" s="165" t="n">
        <v>0</v>
      </c>
      <c r="G152" s="165" t="n">
        <v>42</v>
      </c>
      <c r="H152" s="165" t="n">
        <v>11093015</v>
      </c>
      <c r="I152" s="165" t="n">
        <v>4</v>
      </c>
      <c r="J152" s="165" t="n">
        <v>1068568</v>
      </c>
      <c r="K152" s="148" t="s">
        <v>917</v>
      </c>
      <c r="L152" s="148" t="s">
        <v>528</v>
      </c>
      <c r="M152" s="148" t="n">
        <v>5</v>
      </c>
      <c r="N152" s="149" t="n">
        <v>0</v>
      </c>
      <c r="O152" s="39" t="n">
        <v>132</v>
      </c>
      <c r="P152" s="40" t="n">
        <v>17315.26</v>
      </c>
      <c r="Q152" s="41" t="n">
        <f aca="false">O152*P152</f>
        <v>2285614.32</v>
      </c>
      <c r="V152" s="148" t="s">
        <v>915</v>
      </c>
      <c r="W152" s="148" t="s">
        <v>528</v>
      </c>
      <c r="X152" s="148" t="n">
        <v>84</v>
      </c>
      <c r="Y152" s="148" t="n">
        <v>0</v>
      </c>
    </row>
    <row r="153" customFormat="false" ht="14.25" hidden="false" customHeight="false" outlineLevel="0" collapsed="false">
      <c r="A153" s="30" t="s">
        <v>161</v>
      </c>
      <c r="B153" s="30" t="n">
        <v>12</v>
      </c>
      <c r="C153" s="158" t="n">
        <v>110</v>
      </c>
      <c r="D153" s="158" t="n">
        <v>25633710</v>
      </c>
      <c r="E153" s="158" t="n">
        <v>50</v>
      </c>
      <c r="F153" s="158" t="n">
        <v>11729450</v>
      </c>
      <c r="G153" s="158" t="n">
        <f aca="false">C153+E153-I153</f>
        <v>49</v>
      </c>
      <c r="H153" s="158" t="n">
        <f aca="false">D153+F153-J153</f>
        <v>11432029</v>
      </c>
      <c r="I153" s="158" t="n">
        <v>111</v>
      </c>
      <c r="J153" s="158" t="n">
        <v>25931131</v>
      </c>
      <c r="K153" s="148" t="s">
        <v>918</v>
      </c>
      <c r="L153" s="148" t="s">
        <v>528</v>
      </c>
      <c r="M153" s="148" t="n">
        <v>9</v>
      </c>
      <c r="N153" s="149" t="n">
        <v>0</v>
      </c>
      <c r="O153" s="177"/>
      <c r="P153" s="177"/>
      <c r="Q153" s="41" t="n">
        <f aca="false">O153*P153</f>
        <v>0</v>
      </c>
      <c r="R153" s="149" t="n">
        <f aca="false">J153-Q195</f>
        <v>4348943</v>
      </c>
      <c r="V153" s="148" t="s">
        <v>916</v>
      </c>
      <c r="W153" s="148" t="s">
        <v>528</v>
      </c>
      <c r="X153" s="148" t="n">
        <v>2</v>
      </c>
      <c r="Y153" s="148" t="n">
        <v>0</v>
      </c>
    </row>
    <row r="154" customFormat="false" ht="14.25" hidden="false" customHeight="false" outlineLevel="0" collapsed="false">
      <c r="A154" s="161" t="s">
        <v>162</v>
      </c>
      <c r="B154" s="161" t="n">
        <v>12</v>
      </c>
      <c r="C154" s="162" t="n">
        <v>0</v>
      </c>
      <c r="D154" s="162" t="n">
        <v>0</v>
      </c>
      <c r="E154" s="162" t="n">
        <v>4</v>
      </c>
      <c r="F154" s="162" t="n">
        <v>1264364</v>
      </c>
      <c r="G154" s="162" t="n">
        <v>4</v>
      </c>
      <c r="H154" s="162" t="n">
        <v>1264364</v>
      </c>
      <c r="I154" s="162" t="n">
        <v>0</v>
      </c>
      <c r="J154" s="162" t="n">
        <v>0</v>
      </c>
      <c r="K154" s="148" t="s">
        <v>616</v>
      </c>
      <c r="L154" s="148" t="s">
        <v>528</v>
      </c>
      <c r="M154" s="148" t="n">
        <v>235</v>
      </c>
      <c r="N154" s="149" t="n">
        <v>41641762.58</v>
      </c>
      <c r="O154" s="39" t="n">
        <v>8</v>
      </c>
      <c r="P154" s="40" t="n">
        <v>17315.26</v>
      </c>
      <c r="Q154" s="41" t="n">
        <f aca="false">O154*P154</f>
        <v>138522.08</v>
      </c>
      <c r="V154" s="148" t="s">
        <v>917</v>
      </c>
      <c r="W154" s="148" t="s">
        <v>528</v>
      </c>
      <c r="X154" s="148" t="n">
        <v>5</v>
      </c>
      <c r="Y154" s="148" t="n">
        <v>0</v>
      </c>
    </row>
    <row r="155" customFormat="false" ht="14.25" hidden="false" customHeight="false" outlineLevel="0" collapsed="false">
      <c r="A155" s="164" t="s">
        <v>163</v>
      </c>
      <c r="B155" s="164" t="n">
        <v>12</v>
      </c>
      <c r="C155" s="165" t="n">
        <v>986</v>
      </c>
      <c r="D155" s="165" t="n">
        <v>312560997</v>
      </c>
      <c r="E155" s="165" t="n">
        <v>300</v>
      </c>
      <c r="F155" s="165" t="n">
        <v>95825400</v>
      </c>
      <c r="G155" s="165" t="n">
        <v>0</v>
      </c>
      <c r="H155" s="165" t="n">
        <v>0</v>
      </c>
      <c r="I155" s="165" t="n">
        <v>1286</v>
      </c>
      <c r="J155" s="165" t="n">
        <v>408386397</v>
      </c>
      <c r="K155" s="148" t="s">
        <v>546</v>
      </c>
      <c r="L155" s="148" t="s">
        <v>528</v>
      </c>
      <c r="M155" s="148" t="n">
        <v>776</v>
      </c>
      <c r="N155" s="149" t="n">
        <v>178790121</v>
      </c>
      <c r="O155" s="35" t="n">
        <v>5934</v>
      </c>
      <c r="P155" s="33" t="n">
        <v>8224.26</v>
      </c>
      <c r="Q155" s="23" t="n">
        <f aca="false">O155*P155</f>
        <v>48802758.84</v>
      </c>
      <c r="V155" s="148" t="s">
        <v>918</v>
      </c>
      <c r="W155" s="148" t="s">
        <v>528</v>
      </c>
      <c r="X155" s="148" t="n">
        <v>9</v>
      </c>
      <c r="Y155" s="148" t="n">
        <v>0</v>
      </c>
    </row>
    <row r="156" customFormat="false" ht="14.25" hidden="false" customHeight="false" outlineLevel="0" collapsed="false">
      <c r="A156" s="161" t="s">
        <v>164</v>
      </c>
      <c r="B156" s="161" t="n">
        <v>12</v>
      </c>
      <c r="C156" s="162" t="n">
        <v>0</v>
      </c>
      <c r="D156" s="162" t="n">
        <v>0</v>
      </c>
      <c r="E156" s="162" t="n">
        <v>92</v>
      </c>
      <c r="F156" s="162" t="n">
        <v>13264312</v>
      </c>
      <c r="G156" s="162" t="n">
        <v>92</v>
      </c>
      <c r="H156" s="162" t="n">
        <v>13264312</v>
      </c>
      <c r="I156" s="162" t="n">
        <v>0</v>
      </c>
      <c r="J156" s="162" t="n">
        <v>0</v>
      </c>
      <c r="K156" s="148" t="s">
        <v>548</v>
      </c>
      <c r="L156" s="148" t="s">
        <v>528</v>
      </c>
      <c r="M156" s="148" t="n">
        <v>700</v>
      </c>
      <c r="N156" s="149" t="n">
        <v>84894779</v>
      </c>
      <c r="O156" s="29" t="n">
        <v>34074</v>
      </c>
      <c r="P156" s="33" t="n">
        <v>5453.86</v>
      </c>
      <c r="Q156" s="25" t="n">
        <f aca="false">O156*P156</f>
        <v>185834825.64</v>
      </c>
      <c r="V156" s="148" t="s">
        <v>616</v>
      </c>
      <c r="W156" s="148" t="s">
        <v>528</v>
      </c>
      <c r="X156" s="148" t="n">
        <v>235</v>
      </c>
      <c r="Y156" s="148" t="n">
        <v>41641762.58</v>
      </c>
    </row>
    <row r="157" customFormat="false" ht="14.25" hidden="false" customHeight="false" outlineLevel="0" collapsed="false">
      <c r="A157" s="161" t="s">
        <v>165</v>
      </c>
      <c r="B157" s="161" t="n">
        <v>12</v>
      </c>
      <c r="C157" s="162" t="n">
        <v>100</v>
      </c>
      <c r="D157" s="162" t="n">
        <v>15396441</v>
      </c>
      <c r="E157" s="162" t="n">
        <v>0</v>
      </c>
      <c r="F157" s="162" t="n">
        <v>0</v>
      </c>
      <c r="G157" s="162" t="n">
        <v>6</v>
      </c>
      <c r="H157" s="162" t="n">
        <v>923786</v>
      </c>
      <c r="I157" s="162" t="n">
        <v>94</v>
      </c>
      <c r="J157" s="162" t="n">
        <v>14472655</v>
      </c>
      <c r="K157" s="148" t="s">
        <v>550</v>
      </c>
      <c r="L157" s="148" t="s">
        <v>528</v>
      </c>
      <c r="M157" s="148" t="n">
        <v>338</v>
      </c>
      <c r="N157" s="149" t="n">
        <v>99897130.5</v>
      </c>
      <c r="O157" s="29" t="n">
        <v>2463</v>
      </c>
      <c r="P157" s="33" t="n">
        <v>5453.86</v>
      </c>
      <c r="Q157" s="25" t="n">
        <f aca="false">O157*P157</f>
        <v>13432857.18</v>
      </c>
      <c r="V157" s="148" t="s">
        <v>546</v>
      </c>
      <c r="W157" s="148" t="s">
        <v>528</v>
      </c>
      <c r="X157" s="148" t="n">
        <v>776</v>
      </c>
      <c r="Y157" s="148" t="n">
        <v>178790121</v>
      </c>
    </row>
    <row r="158" customFormat="false" ht="14.25" hidden="false" customHeight="false" outlineLevel="0" collapsed="false">
      <c r="A158" s="161" t="s">
        <v>166</v>
      </c>
      <c r="B158" s="161" t="n">
        <v>12</v>
      </c>
      <c r="C158" s="162" t="n">
        <v>0</v>
      </c>
      <c r="D158" s="162" t="n">
        <v>0</v>
      </c>
      <c r="E158" s="162" t="n">
        <v>0</v>
      </c>
      <c r="F158" s="162" t="n">
        <v>0</v>
      </c>
      <c r="G158" s="162" t="n">
        <v>0</v>
      </c>
      <c r="H158" s="162" t="n">
        <v>0</v>
      </c>
      <c r="I158" s="162" t="n">
        <v>0</v>
      </c>
      <c r="J158" s="162" t="n">
        <v>0</v>
      </c>
      <c r="K158" s="148" t="s">
        <v>556</v>
      </c>
      <c r="L158" s="148" t="s">
        <v>528</v>
      </c>
      <c r="M158" s="148" t="n">
        <v>465</v>
      </c>
      <c r="N158" s="149" t="n">
        <v>93021102</v>
      </c>
      <c r="O158" s="29" t="n">
        <v>454</v>
      </c>
      <c r="P158" s="33" t="n">
        <v>14284.93</v>
      </c>
      <c r="Q158" s="25" t="n">
        <f aca="false">O158*P158</f>
        <v>6485358.22</v>
      </c>
      <c r="V158" s="148" t="s">
        <v>548</v>
      </c>
      <c r="W158" s="148" t="s">
        <v>528</v>
      </c>
      <c r="X158" s="148" t="n">
        <v>700</v>
      </c>
      <c r="Y158" s="148" t="n">
        <v>84894779</v>
      </c>
    </row>
    <row r="159" customFormat="false" ht="14.25" hidden="false" customHeight="false" outlineLevel="0" collapsed="false">
      <c r="A159" s="161" t="s">
        <v>167</v>
      </c>
      <c r="B159" s="161" t="n">
        <v>12</v>
      </c>
      <c r="C159" s="162" t="n">
        <v>0</v>
      </c>
      <c r="D159" s="162" t="n">
        <v>0</v>
      </c>
      <c r="E159" s="162" t="n">
        <v>0</v>
      </c>
      <c r="F159" s="162" t="n">
        <f aca="false">F160/E160</f>
        <v>184320</v>
      </c>
      <c r="G159" s="162" t="n">
        <v>0</v>
      </c>
      <c r="H159" s="162" t="n">
        <v>0</v>
      </c>
      <c r="I159" s="162" t="n">
        <v>0</v>
      </c>
      <c r="J159" s="162" t="n">
        <v>0</v>
      </c>
      <c r="K159" s="148" t="s">
        <v>553</v>
      </c>
      <c r="L159" s="148" t="s">
        <v>303</v>
      </c>
      <c r="M159" s="148" t="n">
        <v>3</v>
      </c>
      <c r="N159" s="149" t="n">
        <v>91999.99</v>
      </c>
      <c r="O159" s="22"/>
      <c r="P159" s="22"/>
      <c r="Q159" s="23" t="n">
        <f aca="false">O159*P159</f>
        <v>0</v>
      </c>
      <c r="V159" s="148" t="s">
        <v>550</v>
      </c>
      <c r="W159" s="148" t="s">
        <v>528</v>
      </c>
      <c r="X159" s="148" t="n">
        <v>338</v>
      </c>
      <c r="Y159" s="148" t="n">
        <v>99897130.5</v>
      </c>
    </row>
    <row r="160" customFormat="false" ht="14.25" hidden="false" customHeight="false" outlineLevel="0" collapsed="false">
      <c r="A160" s="30" t="s">
        <v>168</v>
      </c>
      <c r="B160" s="30" t="n">
        <v>12</v>
      </c>
      <c r="C160" s="158" t="n">
        <v>436</v>
      </c>
      <c r="D160" s="158" t="n">
        <v>79778379</v>
      </c>
      <c r="E160" s="158" t="n">
        <v>150</v>
      </c>
      <c r="F160" s="158" t="n">
        <v>27648000</v>
      </c>
      <c r="G160" s="158" t="n">
        <f aca="false">C160+E160-I160</f>
        <v>87</v>
      </c>
      <c r="H160" s="158" t="n">
        <f aca="false">D160+F160-J160</f>
        <v>92210697</v>
      </c>
      <c r="I160" s="158" t="n">
        <v>499</v>
      </c>
      <c r="J160" s="158" t="n">
        <v>15215682</v>
      </c>
      <c r="K160" s="148" t="s">
        <v>618</v>
      </c>
      <c r="L160" s="148" t="s">
        <v>528</v>
      </c>
      <c r="M160" s="148" t="n">
        <v>309</v>
      </c>
      <c r="N160" s="149" t="n">
        <v>92000263.6</v>
      </c>
      <c r="O160" s="35" t="n">
        <v>83</v>
      </c>
      <c r="P160" s="33" t="n">
        <v>30500</v>
      </c>
      <c r="Q160" s="25" t="n">
        <f aca="false">O160*P160</f>
        <v>2531500</v>
      </c>
      <c r="R160" s="149" t="n">
        <f aca="false">J160-Q160</f>
        <v>12684182</v>
      </c>
      <c r="V160" s="148" t="s">
        <v>556</v>
      </c>
      <c r="W160" s="148" t="s">
        <v>528</v>
      </c>
      <c r="X160" s="148" t="n">
        <v>465</v>
      </c>
      <c r="Y160" s="148" t="n">
        <v>93021102</v>
      </c>
    </row>
    <row r="161" customFormat="false" ht="14.25" hidden="false" customHeight="false" outlineLevel="0" collapsed="false">
      <c r="A161" s="30" t="s">
        <v>169</v>
      </c>
      <c r="B161" s="30" t="n">
        <v>12</v>
      </c>
      <c r="C161" s="158" t="n">
        <v>856</v>
      </c>
      <c r="D161" s="158" t="n">
        <v>151588068</v>
      </c>
      <c r="E161" s="158" t="n">
        <v>0</v>
      </c>
      <c r="F161" s="158" t="n">
        <v>0</v>
      </c>
      <c r="G161" s="158" t="n">
        <f aca="false">C161-I161</f>
        <v>204</v>
      </c>
      <c r="H161" s="158" t="n">
        <f aca="false">D161-J161</f>
        <v>32938529</v>
      </c>
      <c r="I161" s="158" t="n">
        <v>652</v>
      </c>
      <c r="J161" s="158" t="n">
        <v>118649539</v>
      </c>
      <c r="K161" s="148" t="s">
        <v>618</v>
      </c>
      <c r="L161" s="148" t="s">
        <v>327</v>
      </c>
      <c r="M161" s="148" t="n">
        <v>26</v>
      </c>
      <c r="N161" s="149" t="n">
        <v>118950</v>
      </c>
      <c r="O161" s="29" t="n">
        <v>344</v>
      </c>
      <c r="P161" s="33" t="n">
        <v>4608.33</v>
      </c>
      <c r="Q161" s="25" t="n">
        <f aca="false">O161*P161</f>
        <v>1585265.52</v>
      </c>
      <c r="R161" s="149" t="n">
        <f aca="false">J161-Q236</f>
        <v>-3346071</v>
      </c>
      <c r="V161" s="148" t="s">
        <v>553</v>
      </c>
      <c r="W161" s="148" t="s">
        <v>303</v>
      </c>
      <c r="X161" s="148" t="n">
        <v>3</v>
      </c>
      <c r="Y161" s="148" t="n">
        <v>91999.99</v>
      </c>
    </row>
    <row r="162" customFormat="false" ht="14.25" hidden="false" customHeight="false" outlineLevel="0" collapsed="false">
      <c r="A162" s="161" t="s">
        <v>170</v>
      </c>
      <c r="B162" s="161" t="n">
        <v>12</v>
      </c>
      <c r="C162" s="162" t="n">
        <v>164</v>
      </c>
      <c r="D162" s="162" t="n">
        <v>44675744</v>
      </c>
      <c r="E162" s="162" t="n">
        <v>175</v>
      </c>
      <c r="F162" s="162" t="n">
        <v>49157166</v>
      </c>
      <c r="G162" s="162" t="n">
        <v>339</v>
      </c>
      <c r="H162" s="162" t="n">
        <v>93832910</v>
      </c>
      <c r="I162" s="162" t="n">
        <v>0</v>
      </c>
      <c r="J162" s="162" t="n">
        <v>0</v>
      </c>
      <c r="K162" s="148" t="s">
        <v>140</v>
      </c>
      <c r="L162" s="148" t="s">
        <v>528</v>
      </c>
      <c r="M162" s="148" t="n">
        <v>1158</v>
      </c>
      <c r="N162" s="149" t="n">
        <v>234738658.85</v>
      </c>
      <c r="O162" s="22"/>
      <c r="P162" s="22"/>
      <c r="Q162" s="23" t="n">
        <f aca="false">O162*P162</f>
        <v>0</v>
      </c>
      <c r="V162" s="148" t="s">
        <v>618</v>
      </c>
      <c r="W162" s="148" t="s">
        <v>528</v>
      </c>
      <c r="X162" s="148" t="n">
        <v>309</v>
      </c>
      <c r="Y162" s="148" t="n">
        <v>92000263.6</v>
      </c>
    </row>
    <row r="163" customFormat="false" ht="14.25" hidden="false" customHeight="false" outlineLevel="0" collapsed="false">
      <c r="A163" s="161" t="s">
        <v>171</v>
      </c>
      <c r="B163" s="161" t="n">
        <v>12</v>
      </c>
      <c r="C163" s="162" t="n">
        <v>0</v>
      </c>
      <c r="D163" s="162" t="n">
        <v>0</v>
      </c>
      <c r="E163" s="162" t="n">
        <v>30</v>
      </c>
      <c r="F163" s="162" t="n">
        <v>8280000</v>
      </c>
      <c r="G163" s="162" t="n">
        <v>30</v>
      </c>
      <c r="H163" s="162" t="n">
        <v>8280000</v>
      </c>
      <c r="I163" s="162" t="n">
        <v>0</v>
      </c>
      <c r="J163" s="162" t="n">
        <v>0</v>
      </c>
      <c r="K163" s="148" t="s">
        <v>532</v>
      </c>
      <c r="L163" s="148" t="s">
        <v>528</v>
      </c>
      <c r="M163" s="148" t="n">
        <v>237</v>
      </c>
      <c r="N163" s="149" t="n">
        <v>70709932.1</v>
      </c>
      <c r="O163" s="39" t="n">
        <v>1328</v>
      </c>
      <c r="P163" s="40" t="n">
        <v>186415</v>
      </c>
      <c r="Q163" s="41" t="n">
        <f aca="false">O163*P163</f>
        <v>247559120</v>
      </c>
      <c r="V163" s="148" t="s">
        <v>618</v>
      </c>
      <c r="W163" s="148" t="s">
        <v>327</v>
      </c>
      <c r="X163" s="148" t="n">
        <v>26</v>
      </c>
      <c r="Y163" s="148" t="n">
        <v>118950</v>
      </c>
    </row>
    <row r="164" customFormat="false" ht="14.25" hidden="false" customHeight="false" outlineLevel="0" collapsed="false">
      <c r="A164" s="164" t="s">
        <v>172</v>
      </c>
      <c r="B164" s="164" t="n">
        <v>12</v>
      </c>
      <c r="C164" s="165" t="n">
        <v>459</v>
      </c>
      <c r="D164" s="165" t="n">
        <v>85500524</v>
      </c>
      <c r="E164" s="165" t="n">
        <v>30</v>
      </c>
      <c r="F164" s="165" t="n">
        <v>5655270</v>
      </c>
      <c r="G164" s="165" t="n">
        <v>0</v>
      </c>
      <c r="H164" s="165" t="n">
        <v>0</v>
      </c>
      <c r="I164" s="165" t="n">
        <v>489</v>
      </c>
      <c r="J164" s="165" t="n">
        <v>91155794</v>
      </c>
      <c r="K164" s="148" t="s">
        <v>141</v>
      </c>
      <c r="L164" s="148" t="s">
        <v>528</v>
      </c>
      <c r="M164" s="148" t="n">
        <v>1256</v>
      </c>
      <c r="N164" s="149" t="n">
        <v>258427400.1</v>
      </c>
      <c r="O164" s="39" t="n">
        <v>1150</v>
      </c>
      <c r="P164" s="40" t="n">
        <v>183667</v>
      </c>
      <c r="Q164" s="41" t="n">
        <f aca="false">O164*P164</f>
        <v>211217050</v>
      </c>
      <c r="V164" s="148" t="s">
        <v>140</v>
      </c>
      <c r="W164" s="148" t="s">
        <v>528</v>
      </c>
      <c r="X164" s="148" t="n">
        <v>1158</v>
      </c>
      <c r="Y164" s="148" t="n">
        <v>234738658.85</v>
      </c>
    </row>
    <row r="165" customFormat="false" ht="14.25" hidden="false" customHeight="false" outlineLevel="0" collapsed="false">
      <c r="A165" s="30" t="s">
        <v>173</v>
      </c>
      <c r="B165" s="30" t="n">
        <v>12</v>
      </c>
      <c r="C165" s="158" t="n">
        <v>484</v>
      </c>
      <c r="D165" s="158" t="n">
        <v>88893600</v>
      </c>
      <c r="E165" s="158" t="n">
        <f aca="false">I165-C165</f>
        <v>13</v>
      </c>
      <c r="F165" s="158" t="n">
        <v>4712725</v>
      </c>
      <c r="G165" s="158" t="n">
        <v>0</v>
      </c>
      <c r="H165" s="158"/>
      <c r="I165" s="158" t="n">
        <v>497</v>
      </c>
      <c r="J165" s="158" t="n">
        <v>93606325</v>
      </c>
      <c r="K165" s="148" t="s">
        <v>143</v>
      </c>
      <c r="L165" s="148" t="s">
        <v>528</v>
      </c>
      <c r="M165" s="148" t="n">
        <v>197</v>
      </c>
      <c r="N165" s="149" t="n">
        <v>44120640.7</v>
      </c>
      <c r="O165" s="29" t="n">
        <v>2539</v>
      </c>
      <c r="P165" s="33" t="n">
        <v>186415</v>
      </c>
      <c r="Q165" s="25" t="n">
        <f aca="false">O165*P165</f>
        <v>473307685</v>
      </c>
      <c r="R165" s="149" t="n">
        <f aca="false">J165/Q209</f>
        <v>0.975563005902977</v>
      </c>
      <c r="V165" s="148" t="s">
        <v>532</v>
      </c>
      <c r="W165" s="148" t="s">
        <v>528</v>
      </c>
      <c r="X165" s="148" t="n">
        <v>237</v>
      </c>
      <c r="Y165" s="148" t="n">
        <v>70709932.1</v>
      </c>
    </row>
    <row r="166" customFormat="false" ht="14.25" hidden="false" customHeight="false" outlineLevel="0" collapsed="false">
      <c r="A166" s="164" t="s">
        <v>174</v>
      </c>
      <c r="B166" s="164" t="n">
        <v>12</v>
      </c>
      <c r="C166" s="165" t="n">
        <v>5</v>
      </c>
      <c r="D166" s="165" t="n">
        <v>1372892</v>
      </c>
      <c r="E166" s="165" t="n">
        <v>0</v>
      </c>
      <c r="F166" s="165" t="n">
        <v>0</v>
      </c>
      <c r="G166" s="165" t="n">
        <v>0</v>
      </c>
      <c r="H166" s="165" t="n">
        <v>0</v>
      </c>
      <c r="I166" s="165" t="n">
        <v>5</v>
      </c>
      <c r="J166" s="165" t="n">
        <v>1372892</v>
      </c>
      <c r="K166" s="148" t="s">
        <v>144</v>
      </c>
      <c r="L166" s="148" t="s">
        <v>528</v>
      </c>
      <c r="M166" s="148" t="n">
        <v>1117</v>
      </c>
      <c r="N166" s="149" t="n">
        <v>222417343</v>
      </c>
      <c r="O166" s="22"/>
      <c r="P166" s="22"/>
      <c r="Q166" s="23" t="n">
        <f aca="false">O166*P166</f>
        <v>0</v>
      </c>
      <c r="V166" s="148" t="s">
        <v>141</v>
      </c>
      <c r="W166" s="148" t="s">
        <v>528</v>
      </c>
      <c r="X166" s="148" t="n">
        <v>1256</v>
      </c>
      <c r="Y166" s="148" t="n">
        <v>258427400.1</v>
      </c>
    </row>
    <row r="167" customFormat="false" ht="14.25" hidden="false" customHeight="false" outlineLevel="0" collapsed="false">
      <c r="A167" s="161" t="s">
        <v>175</v>
      </c>
      <c r="B167" s="161" t="n">
        <v>12</v>
      </c>
      <c r="C167" s="162" t="n">
        <v>0</v>
      </c>
      <c r="D167" s="162" t="n">
        <v>0</v>
      </c>
      <c r="E167" s="162" t="n">
        <v>0</v>
      </c>
      <c r="F167" s="162" t="n">
        <v>0</v>
      </c>
      <c r="G167" s="162" t="n">
        <v>0</v>
      </c>
      <c r="H167" s="162" t="n">
        <v>0</v>
      </c>
      <c r="I167" s="162" t="n">
        <v>0</v>
      </c>
      <c r="J167" s="162" t="n">
        <v>0</v>
      </c>
      <c r="K167" s="148" t="s">
        <v>145</v>
      </c>
      <c r="L167" s="148" t="s">
        <v>528</v>
      </c>
      <c r="M167" s="148" t="n">
        <v>309</v>
      </c>
      <c r="N167" s="149" t="n">
        <v>71731343.04</v>
      </c>
      <c r="O167" s="22"/>
      <c r="P167" s="22"/>
      <c r="Q167" s="23" t="n">
        <f aca="false">O167*P167</f>
        <v>0</v>
      </c>
      <c r="V167" s="148" t="s">
        <v>143</v>
      </c>
      <c r="W167" s="148" t="s">
        <v>528</v>
      </c>
      <c r="X167" s="148" t="n">
        <v>197</v>
      </c>
      <c r="Y167" s="148" t="n">
        <v>44120640.7</v>
      </c>
    </row>
    <row r="168" customFormat="false" ht="14.25" hidden="false" customHeight="false" outlineLevel="0" collapsed="false">
      <c r="A168" s="161" t="s">
        <v>176</v>
      </c>
      <c r="B168" s="161" t="n">
        <v>12</v>
      </c>
      <c r="C168" s="162" t="n">
        <v>0</v>
      </c>
      <c r="D168" s="162" t="n">
        <v>0</v>
      </c>
      <c r="E168" s="162" t="n">
        <v>0</v>
      </c>
      <c r="F168" s="162" t="n">
        <v>0</v>
      </c>
      <c r="G168" s="162" t="n">
        <v>0</v>
      </c>
      <c r="H168" s="162" t="n">
        <v>0</v>
      </c>
      <c r="I168" s="162" t="n">
        <v>0</v>
      </c>
      <c r="J168" s="162" t="n">
        <v>0</v>
      </c>
      <c r="K168" s="148" t="s">
        <v>146</v>
      </c>
      <c r="L168" s="148" t="s">
        <v>528</v>
      </c>
      <c r="M168" s="148" t="n">
        <v>1542</v>
      </c>
      <c r="N168" s="149" t="n">
        <v>319498497.7</v>
      </c>
      <c r="O168" s="39" t="n">
        <v>583</v>
      </c>
      <c r="P168" s="40" t="n">
        <v>184320</v>
      </c>
      <c r="Q168" s="41" t="n">
        <f aca="false">O168*P168</f>
        <v>107458560</v>
      </c>
      <c r="V168" s="148" t="s">
        <v>144</v>
      </c>
      <c r="W168" s="148" t="s">
        <v>528</v>
      </c>
      <c r="X168" s="148" t="n">
        <v>1117</v>
      </c>
      <c r="Y168" s="148" t="n">
        <v>222417343</v>
      </c>
    </row>
    <row r="169" customFormat="false" ht="14.25" hidden="false" customHeight="false" outlineLevel="0" collapsed="false">
      <c r="A169" s="161" t="s">
        <v>177</v>
      </c>
      <c r="B169" s="161" t="n">
        <v>12</v>
      </c>
      <c r="C169" s="162" t="n">
        <v>1</v>
      </c>
      <c r="D169" s="162" t="n">
        <v>537037</v>
      </c>
      <c r="E169" s="162" t="n">
        <v>0</v>
      </c>
      <c r="F169" s="162" t="n">
        <v>0</v>
      </c>
      <c r="G169" s="162" t="n">
        <v>0</v>
      </c>
      <c r="H169" s="162" t="n">
        <v>0</v>
      </c>
      <c r="I169" s="162" t="n">
        <v>1</v>
      </c>
      <c r="J169" s="162" t="n">
        <v>537037</v>
      </c>
      <c r="K169" s="148" t="s">
        <v>146</v>
      </c>
      <c r="L169" s="148" t="s">
        <v>327</v>
      </c>
      <c r="M169" s="148" t="n">
        <v>10</v>
      </c>
      <c r="N169" s="149" t="n">
        <v>160000</v>
      </c>
      <c r="O169" s="29" t="n">
        <v>115</v>
      </c>
      <c r="P169" s="33" t="n">
        <v>191651</v>
      </c>
      <c r="Q169" s="25" t="n">
        <f aca="false">O169*P169</f>
        <v>22039865</v>
      </c>
      <c r="V169" s="148" t="s">
        <v>145</v>
      </c>
      <c r="W169" s="148" t="s">
        <v>528</v>
      </c>
      <c r="X169" s="148" t="n">
        <v>309</v>
      </c>
      <c r="Y169" s="148" t="n">
        <v>71731343.04</v>
      </c>
    </row>
    <row r="170" customFormat="false" ht="14.25" hidden="false" customHeight="false" outlineLevel="0" collapsed="false">
      <c r="A170" s="30" t="s">
        <v>178</v>
      </c>
      <c r="B170" s="30" t="n">
        <v>12</v>
      </c>
      <c r="C170" s="158" t="n">
        <v>144</v>
      </c>
      <c r="D170" s="158" t="n">
        <v>8408880</v>
      </c>
      <c r="E170" s="158" t="n">
        <f aca="false">576+298</f>
        <v>874</v>
      </c>
      <c r="F170" s="158" t="e">
        <f aca="false">E170*#REF!</f>
        <v>#REF!</v>
      </c>
      <c r="G170" s="158" t="n">
        <v>0</v>
      </c>
      <c r="H170" s="158" t="n">
        <v>0</v>
      </c>
      <c r="I170" s="158" t="n">
        <v>1018</v>
      </c>
      <c r="J170" s="158" t="n">
        <v>37200000</v>
      </c>
      <c r="K170" s="148" t="s">
        <v>147</v>
      </c>
      <c r="L170" s="148" t="s">
        <v>528</v>
      </c>
      <c r="M170" s="148" t="n">
        <v>60</v>
      </c>
      <c r="N170" s="149" t="n">
        <v>21365432.82</v>
      </c>
      <c r="O170" s="29" t="n">
        <v>1236</v>
      </c>
      <c r="P170" s="33" t="n">
        <v>16000</v>
      </c>
      <c r="Q170" s="23" t="n">
        <f aca="false">O170*P170</f>
        <v>19776000</v>
      </c>
      <c r="R170" s="160" t="n">
        <f aca="false">J170-Q80</f>
        <v>10895383.2</v>
      </c>
      <c r="V170" s="148" t="s">
        <v>146</v>
      </c>
      <c r="W170" s="148" t="s">
        <v>528</v>
      </c>
      <c r="X170" s="148" t="n">
        <v>1542</v>
      </c>
      <c r="Y170" s="148" t="n">
        <v>319498497.7</v>
      </c>
    </row>
    <row r="171" customFormat="false" ht="14.25" hidden="false" customHeight="false" outlineLevel="0" collapsed="false">
      <c r="A171" s="30" t="s">
        <v>179</v>
      </c>
      <c r="B171" s="30" t="n">
        <v>12</v>
      </c>
      <c r="C171" s="158" t="n">
        <v>24797</v>
      </c>
      <c r="D171" s="158" t="n">
        <v>127113973</v>
      </c>
      <c r="E171" s="158" t="n">
        <v>15719</v>
      </c>
      <c r="F171" s="158" t="n">
        <v>82006560</v>
      </c>
      <c r="G171" s="158" t="n">
        <f aca="false">C171+E171-I171</f>
        <v>14610</v>
      </c>
      <c r="H171" s="158" t="e">
        <f aca="false">G171*#REF!</f>
        <v>#REF!</v>
      </c>
      <c r="I171" s="158" t="n">
        <v>25906</v>
      </c>
      <c r="J171" s="158" t="n">
        <v>134579148</v>
      </c>
      <c r="K171" s="148" t="s">
        <v>147</v>
      </c>
      <c r="L171" s="148" t="s">
        <v>327</v>
      </c>
      <c r="M171" s="148" t="n">
        <v>59</v>
      </c>
      <c r="N171" s="149" t="n">
        <v>271891.67</v>
      </c>
      <c r="O171" s="22"/>
      <c r="P171" s="22"/>
      <c r="Q171" s="23" t="n">
        <f aca="false">O171*P171</f>
        <v>0</v>
      </c>
      <c r="R171" s="149" t="n">
        <f aca="false">J171-Q97</f>
        <v>-871631.639999986</v>
      </c>
      <c r="V171" s="148" t="s">
        <v>146</v>
      </c>
      <c r="W171" s="148" t="s">
        <v>327</v>
      </c>
      <c r="X171" s="148" t="n">
        <v>10</v>
      </c>
      <c r="Y171" s="148" t="n">
        <v>160000</v>
      </c>
    </row>
    <row r="172" customFormat="false" ht="14.25" hidden="false" customHeight="false" outlineLevel="0" collapsed="false">
      <c r="A172" s="161" t="s">
        <v>180</v>
      </c>
      <c r="B172" s="161" t="n">
        <v>12</v>
      </c>
      <c r="C172" s="162" t="n">
        <v>1056</v>
      </c>
      <c r="D172" s="162" t="n">
        <v>82980480</v>
      </c>
      <c r="E172" s="162" t="n">
        <v>360</v>
      </c>
      <c r="F172" s="162" t="n">
        <v>27106680</v>
      </c>
      <c r="G172" s="162" t="n">
        <v>1416</v>
      </c>
      <c r="H172" s="162" t="n">
        <v>110087160</v>
      </c>
      <c r="I172" s="162" t="n">
        <v>0</v>
      </c>
      <c r="J172" s="162" t="n">
        <v>0</v>
      </c>
      <c r="K172" s="148" t="s">
        <v>148</v>
      </c>
      <c r="L172" s="148" t="s">
        <v>528</v>
      </c>
      <c r="M172" s="148" t="n">
        <v>356</v>
      </c>
      <c r="N172" s="149" t="n">
        <v>44377221.33</v>
      </c>
      <c r="O172" s="22"/>
      <c r="P172" s="22"/>
      <c r="Q172" s="23" t="n">
        <f aca="false">O172*P172</f>
        <v>0</v>
      </c>
      <c r="V172" s="148" t="s">
        <v>147</v>
      </c>
      <c r="W172" s="148" t="s">
        <v>528</v>
      </c>
      <c r="X172" s="148" t="n">
        <v>60</v>
      </c>
      <c r="Y172" s="148" t="n">
        <v>21365432.82</v>
      </c>
    </row>
    <row r="173" customFormat="false" ht="14.25" hidden="false" customHeight="false" outlineLevel="0" collapsed="false">
      <c r="A173" s="161" t="s">
        <v>181</v>
      </c>
      <c r="B173" s="161" t="n">
        <v>12</v>
      </c>
      <c r="C173" s="162" t="n">
        <v>432</v>
      </c>
      <c r="D173" s="162" t="n">
        <v>22188108</v>
      </c>
      <c r="E173" s="162" t="n">
        <v>375</v>
      </c>
      <c r="F173" s="162" t="n">
        <v>19270875</v>
      </c>
      <c r="G173" s="162" t="n">
        <v>501</v>
      </c>
      <c r="H173" s="162" t="n">
        <v>25738476</v>
      </c>
      <c r="I173" s="162" t="n">
        <v>306</v>
      </c>
      <c r="J173" s="162" t="n">
        <v>15720507</v>
      </c>
      <c r="K173" s="148" t="s">
        <v>148</v>
      </c>
      <c r="L173" s="148" t="s">
        <v>303</v>
      </c>
      <c r="M173" s="148" t="n">
        <v>2</v>
      </c>
      <c r="N173" s="149" t="n">
        <v>35185.32</v>
      </c>
      <c r="O173" s="22"/>
      <c r="P173" s="22"/>
      <c r="Q173" s="23" t="n">
        <f aca="false">O173*P173</f>
        <v>0</v>
      </c>
      <c r="V173" s="148" t="s">
        <v>147</v>
      </c>
      <c r="W173" s="148" t="s">
        <v>327</v>
      </c>
      <c r="X173" s="148" t="n">
        <v>59</v>
      </c>
      <c r="Y173" s="148" t="n">
        <v>271891.67</v>
      </c>
    </row>
    <row r="174" customFormat="false" ht="14.25" hidden="false" customHeight="false" outlineLevel="0" collapsed="false">
      <c r="A174" s="161" t="s">
        <v>182</v>
      </c>
      <c r="B174" s="161" t="n">
        <v>12</v>
      </c>
      <c r="C174" s="162" t="n">
        <v>0</v>
      </c>
      <c r="D174" s="162" t="n">
        <v>0</v>
      </c>
      <c r="E174" s="162" t="n">
        <v>180</v>
      </c>
      <c r="F174" s="162" t="n">
        <v>11127420</v>
      </c>
      <c r="G174" s="162" t="n">
        <v>180</v>
      </c>
      <c r="H174" s="162" t="n">
        <v>11127420</v>
      </c>
      <c r="I174" s="162" t="n">
        <v>0</v>
      </c>
      <c r="J174" s="162" t="n">
        <v>0</v>
      </c>
      <c r="K174" s="148" t="s">
        <v>149</v>
      </c>
      <c r="L174" s="148" t="s">
        <v>528</v>
      </c>
      <c r="M174" s="148" t="n">
        <v>1308</v>
      </c>
      <c r="N174" s="149" t="n">
        <v>278883275.25</v>
      </c>
      <c r="O174" s="22"/>
      <c r="P174" s="22"/>
      <c r="Q174" s="23" t="n">
        <f aca="false">O174*P174</f>
        <v>0</v>
      </c>
      <c r="V174" s="148" t="s">
        <v>148</v>
      </c>
      <c r="W174" s="148" t="s">
        <v>528</v>
      </c>
      <c r="X174" s="148" t="n">
        <v>356</v>
      </c>
      <c r="Y174" s="148" t="n">
        <v>44377221.33</v>
      </c>
    </row>
    <row r="175" customFormat="false" ht="14.25" hidden="false" customHeight="false" outlineLevel="0" collapsed="false">
      <c r="A175" s="30" t="s">
        <v>183</v>
      </c>
      <c r="B175" s="30" t="n">
        <v>12</v>
      </c>
      <c r="C175" s="158" t="n">
        <v>2751</v>
      </c>
      <c r="D175" s="158" t="n">
        <v>148297433</v>
      </c>
      <c r="E175" s="158" t="n">
        <v>306</v>
      </c>
      <c r="F175" s="158" t="n">
        <v>16321556</v>
      </c>
      <c r="G175" s="158" t="n">
        <f aca="false">C175+E175-I175</f>
        <v>284</v>
      </c>
      <c r="H175" s="158" t="n">
        <f aca="false">D175+F175-J175</f>
        <v>13731712</v>
      </c>
      <c r="I175" s="158" t="n">
        <v>2773</v>
      </c>
      <c r="J175" s="158" t="n">
        <v>150887277</v>
      </c>
      <c r="K175" s="148" t="s">
        <v>149</v>
      </c>
      <c r="L175" s="148" t="s">
        <v>327</v>
      </c>
      <c r="M175" s="148" t="n">
        <v>8</v>
      </c>
      <c r="N175" s="149" t="n">
        <v>128000</v>
      </c>
      <c r="O175" s="29" t="n">
        <v>810</v>
      </c>
      <c r="P175" s="33" t="n">
        <v>115200</v>
      </c>
      <c r="Q175" s="25" t="n">
        <f aca="false">O175*P175</f>
        <v>93312000</v>
      </c>
      <c r="R175" s="149" t="n">
        <f aca="false">J175-Q303</f>
        <v>-1556037.36000001</v>
      </c>
      <c r="V175" s="148" t="s">
        <v>148</v>
      </c>
      <c r="W175" s="148" t="s">
        <v>303</v>
      </c>
      <c r="X175" s="148" t="n">
        <v>2</v>
      </c>
      <c r="Y175" s="148" t="n">
        <v>35185.32</v>
      </c>
    </row>
    <row r="176" customFormat="false" ht="14.25" hidden="false" customHeight="false" outlineLevel="0" collapsed="false">
      <c r="A176" s="30" t="s">
        <v>184</v>
      </c>
      <c r="B176" s="30" t="n">
        <v>12</v>
      </c>
      <c r="C176" s="158" t="n">
        <v>2074</v>
      </c>
      <c r="D176" s="158" t="n">
        <v>111994520</v>
      </c>
      <c r="E176" s="158" t="n">
        <v>408</v>
      </c>
      <c r="F176" s="158" t="n">
        <v>21762074</v>
      </c>
      <c r="G176" s="158" t="n">
        <f aca="false">C176+E176-I176</f>
        <v>900</v>
      </c>
      <c r="H176" s="158" t="n">
        <f aca="false">D176+F176-J176</f>
        <v>47693225</v>
      </c>
      <c r="I176" s="158" t="n">
        <v>1582</v>
      </c>
      <c r="J176" s="158" t="n">
        <v>86063369</v>
      </c>
      <c r="K176" s="148" t="s">
        <v>151</v>
      </c>
      <c r="L176" s="148" t="s">
        <v>528</v>
      </c>
      <c r="M176" s="148" t="n">
        <v>893</v>
      </c>
      <c r="N176" s="149" t="n">
        <v>183357232.9</v>
      </c>
      <c r="O176" s="181" t="n">
        <v>280</v>
      </c>
      <c r="P176" s="43" t="n">
        <v>267055</v>
      </c>
      <c r="Q176" s="44" t="n">
        <f aca="false">O176*P176</f>
        <v>74775400</v>
      </c>
      <c r="R176" s="149" t="n">
        <f aca="false">J176-Q304</f>
        <v>-821703.459999993</v>
      </c>
      <c r="V176" s="148" t="s">
        <v>149</v>
      </c>
      <c r="W176" s="148" t="s">
        <v>528</v>
      </c>
      <c r="X176" s="148" t="n">
        <v>1308</v>
      </c>
      <c r="Y176" s="148" t="n">
        <v>278883275.25</v>
      </c>
    </row>
    <row r="177" customFormat="false" ht="14.25" hidden="false" customHeight="false" outlineLevel="0" collapsed="false">
      <c r="A177" s="30" t="s">
        <v>185</v>
      </c>
      <c r="B177" s="30" t="n">
        <v>12</v>
      </c>
      <c r="C177" s="158" t="n">
        <v>770</v>
      </c>
      <c r="D177" s="158" t="n">
        <v>141860096</v>
      </c>
      <c r="E177" s="158" t="n">
        <v>400</v>
      </c>
      <c r="F177" s="158" t="n">
        <v>72675000</v>
      </c>
      <c r="G177" s="158" t="n">
        <f aca="false">C177+E177-I177</f>
        <v>229</v>
      </c>
      <c r="H177" s="158" t="n">
        <f aca="false">D177+F177-J177</f>
        <v>44862468</v>
      </c>
      <c r="I177" s="158" t="n">
        <v>941</v>
      </c>
      <c r="J177" s="158" t="n">
        <v>169672628</v>
      </c>
      <c r="K177" s="148" t="s">
        <v>559</v>
      </c>
      <c r="L177" s="148" t="s">
        <v>528</v>
      </c>
      <c r="M177" s="148" t="n">
        <v>50</v>
      </c>
      <c r="N177" s="149" t="n">
        <v>9189828</v>
      </c>
      <c r="O177" s="39" t="n">
        <v>188</v>
      </c>
      <c r="P177" s="40" t="n">
        <v>183667</v>
      </c>
      <c r="Q177" s="41" t="n">
        <f aca="false">O177*P177</f>
        <v>34529396</v>
      </c>
      <c r="R177" s="149" t="n">
        <f aca="false">J177-Q309</f>
        <v>2956427.75</v>
      </c>
      <c r="V177" s="148" t="s">
        <v>149</v>
      </c>
      <c r="W177" s="148" t="s">
        <v>327</v>
      </c>
      <c r="X177" s="148" t="n">
        <v>8</v>
      </c>
      <c r="Y177" s="148" t="n">
        <v>128000</v>
      </c>
    </row>
    <row r="178" customFormat="false" ht="14.25" hidden="false" customHeight="false" outlineLevel="0" collapsed="false">
      <c r="A178" s="30" t="s">
        <v>186</v>
      </c>
      <c r="B178" s="30" t="n">
        <v>12</v>
      </c>
      <c r="C178" s="158" t="n">
        <v>1555</v>
      </c>
      <c r="D178" s="158" t="n">
        <v>69495853</v>
      </c>
      <c r="E178" s="158" t="n">
        <f aca="false">3000+4668</f>
        <v>7668</v>
      </c>
      <c r="F178" s="158" t="e">
        <f aca="false">E178*#REF!</f>
        <v>#REF!</v>
      </c>
      <c r="G178" s="158" t="n">
        <f aca="false">C178+E178-I178</f>
        <v>4555</v>
      </c>
      <c r="H178" s="158" t="e">
        <f aca="false">D178+F178-J178</f>
        <v>#REF!</v>
      </c>
      <c r="I178" s="158" t="n">
        <v>4668</v>
      </c>
      <c r="J178" s="158" t="n">
        <v>202481732</v>
      </c>
      <c r="K178" s="148" t="s">
        <v>577</v>
      </c>
      <c r="L178" s="148" t="s">
        <v>528</v>
      </c>
      <c r="M178" s="148" t="n">
        <v>70</v>
      </c>
      <c r="N178" s="149" t="n">
        <v>17676580</v>
      </c>
      <c r="O178" s="22"/>
      <c r="P178" s="22"/>
      <c r="Q178" s="23" t="n">
        <f aca="false">O178*P178</f>
        <v>0</v>
      </c>
      <c r="R178" s="149" t="n">
        <f aca="false">J178-Q307</f>
        <v>11856034.55</v>
      </c>
      <c r="V178" s="148" t="s">
        <v>151</v>
      </c>
      <c r="W178" s="148" t="s">
        <v>528</v>
      </c>
      <c r="X178" s="148" t="n">
        <v>893</v>
      </c>
      <c r="Y178" s="148" t="n">
        <v>183357232.9</v>
      </c>
    </row>
    <row r="179" customFormat="false" ht="14.25" hidden="false" customHeight="false" outlineLevel="0" collapsed="false">
      <c r="A179" s="182" t="s">
        <v>187</v>
      </c>
      <c r="B179" s="182" t="n">
        <v>12</v>
      </c>
      <c r="C179" s="183" t="n">
        <v>973</v>
      </c>
      <c r="D179" s="183" t="n">
        <v>34563746</v>
      </c>
      <c r="E179" s="183" t="n">
        <v>0</v>
      </c>
      <c r="F179" s="183" t="e">
        <f aca="false">F178/E178</f>
        <v>#REF!</v>
      </c>
      <c r="G179" s="183" t="n">
        <v>130</v>
      </c>
      <c r="H179" s="183" t="n">
        <v>4689892</v>
      </c>
      <c r="I179" s="183" t="n">
        <v>843</v>
      </c>
      <c r="J179" s="183" t="n">
        <v>29873854</v>
      </c>
      <c r="K179" s="148" t="s">
        <v>155</v>
      </c>
      <c r="L179" s="148" t="s">
        <v>528</v>
      </c>
      <c r="M179" s="148" t="n">
        <v>68</v>
      </c>
      <c r="N179" s="149" t="n">
        <v>29972380.85</v>
      </c>
      <c r="O179" s="22"/>
      <c r="P179" s="22"/>
      <c r="Q179" s="23" t="n">
        <f aca="false">O179*P179</f>
        <v>0</v>
      </c>
      <c r="R179" s="149" t="n">
        <f aca="false">J179-Q314</f>
        <v>82234</v>
      </c>
      <c r="V179" s="148" t="s">
        <v>559</v>
      </c>
      <c r="W179" s="148" t="s">
        <v>528</v>
      </c>
      <c r="X179" s="148" t="n">
        <v>50</v>
      </c>
      <c r="Y179" s="148" t="n">
        <v>9189828</v>
      </c>
    </row>
    <row r="180" customFormat="false" ht="14.25" hidden="false" customHeight="false" outlineLevel="0" collapsed="false">
      <c r="A180" s="30" t="s">
        <v>188</v>
      </c>
      <c r="B180" s="30" t="n">
        <v>12</v>
      </c>
      <c r="C180" s="158" t="n">
        <v>7616</v>
      </c>
      <c r="D180" s="158" t="n">
        <v>1284172909</v>
      </c>
      <c r="E180" s="158" t="n">
        <v>4500</v>
      </c>
      <c r="F180" s="158" t="n">
        <v>816216250</v>
      </c>
      <c r="G180" s="158" t="n">
        <f aca="false">C180+E180-I180</f>
        <v>4573</v>
      </c>
      <c r="H180" s="158" t="n">
        <f aca="false">D180+F180-J180</f>
        <v>754127000</v>
      </c>
      <c r="I180" s="158" t="n">
        <v>7543</v>
      </c>
      <c r="J180" s="158" t="n">
        <v>1346262159</v>
      </c>
      <c r="K180" s="148" t="s">
        <v>156</v>
      </c>
      <c r="L180" s="148" t="s">
        <v>528</v>
      </c>
      <c r="M180" s="148" t="n">
        <v>94</v>
      </c>
      <c r="N180" s="149" t="n">
        <v>23588748.2</v>
      </c>
      <c r="O180" s="48" t="n">
        <v>2</v>
      </c>
      <c r="P180" s="49" t="n">
        <v>184473</v>
      </c>
      <c r="Q180" s="23" t="n">
        <f aca="false">O180*P180</f>
        <v>368946</v>
      </c>
      <c r="R180" s="149" t="n">
        <f aca="false">J180-Q310</f>
        <v>-154109910</v>
      </c>
      <c r="V180" s="148" t="s">
        <v>577</v>
      </c>
      <c r="W180" s="148" t="s">
        <v>528</v>
      </c>
      <c r="X180" s="148" t="n">
        <v>70</v>
      </c>
      <c r="Y180" s="148" t="n">
        <v>17676580</v>
      </c>
    </row>
    <row r="181" customFormat="false" ht="14.25" hidden="false" customHeight="false" outlineLevel="0" collapsed="false">
      <c r="A181" s="30" t="s">
        <v>189</v>
      </c>
      <c r="B181" s="30" t="n">
        <v>12</v>
      </c>
      <c r="C181" s="158" t="n">
        <v>690</v>
      </c>
      <c r="D181" s="158" t="n">
        <v>30148907</v>
      </c>
      <c r="E181" s="158" t="n">
        <v>0</v>
      </c>
      <c r="F181" s="158" t="n">
        <v>0</v>
      </c>
      <c r="G181" s="158" t="n">
        <f aca="false">C181-I181</f>
        <v>144</v>
      </c>
      <c r="H181" s="158" t="n">
        <f aca="false">D181-J181</f>
        <v>5958168</v>
      </c>
      <c r="I181" s="158" t="n">
        <v>546</v>
      </c>
      <c r="J181" s="158" t="n">
        <v>24190739</v>
      </c>
      <c r="K181" s="148" t="s">
        <v>157</v>
      </c>
      <c r="L181" s="148" t="s">
        <v>528</v>
      </c>
      <c r="M181" s="148" t="n">
        <v>100</v>
      </c>
      <c r="N181" s="149" t="n">
        <v>25245271.5</v>
      </c>
      <c r="O181" s="39" t="n">
        <v>319</v>
      </c>
      <c r="P181" s="40" t="n">
        <v>189655</v>
      </c>
      <c r="Q181" s="41" t="n">
        <f aca="false">O181*P181</f>
        <v>60499945</v>
      </c>
      <c r="R181" s="149" t="n">
        <f aca="false">J181-Q305</f>
        <v>-399124.299999997</v>
      </c>
      <c r="V181" s="148" t="s">
        <v>155</v>
      </c>
      <c r="W181" s="148" t="s">
        <v>528</v>
      </c>
      <c r="X181" s="148" t="n">
        <v>68</v>
      </c>
      <c r="Y181" s="148" t="n">
        <v>29972380.85</v>
      </c>
    </row>
    <row r="182" customFormat="false" ht="14.25" hidden="false" customHeight="false" outlineLevel="0" collapsed="false">
      <c r="A182" s="30" t="s">
        <v>190</v>
      </c>
      <c r="B182" s="30" t="n">
        <v>12</v>
      </c>
      <c r="C182" s="158" t="n">
        <v>11502</v>
      </c>
      <c r="D182" s="158" t="n">
        <v>332240556</v>
      </c>
      <c r="E182" s="158" t="n">
        <v>3150</v>
      </c>
      <c r="F182" s="158" t="n">
        <v>90972000</v>
      </c>
      <c r="G182" s="158" t="n">
        <f aca="false">C182+E182-I182</f>
        <v>9809</v>
      </c>
      <c r="H182" s="158" t="n">
        <f aca="false">D182+F182-J182</f>
        <v>286291540</v>
      </c>
      <c r="I182" s="158" t="n">
        <v>4843</v>
      </c>
      <c r="J182" s="158" t="n">
        <v>136921016</v>
      </c>
      <c r="K182" s="148" t="s">
        <v>158</v>
      </c>
      <c r="L182" s="148" t="s">
        <v>528</v>
      </c>
      <c r="M182" s="148" t="n">
        <v>79</v>
      </c>
      <c r="N182" s="149" t="n">
        <v>32569859.9</v>
      </c>
      <c r="O182" s="181" t="n">
        <v>50</v>
      </c>
      <c r="P182" s="43" t="n">
        <v>170182</v>
      </c>
      <c r="Q182" s="44" t="n">
        <f aca="false">O182*P182</f>
        <v>8509100</v>
      </c>
      <c r="R182" s="149" t="n">
        <f aca="false">J182-Q313</f>
        <v>2996552</v>
      </c>
      <c r="V182" s="148" t="s">
        <v>156</v>
      </c>
      <c r="W182" s="148" t="s">
        <v>528</v>
      </c>
      <c r="X182" s="148" t="n">
        <v>94</v>
      </c>
      <c r="Y182" s="148" t="n">
        <v>23588748.2</v>
      </c>
    </row>
    <row r="183" customFormat="false" ht="14.25" hidden="false" customHeight="false" outlineLevel="0" collapsed="false">
      <c r="A183" s="30" t="s">
        <v>191</v>
      </c>
      <c r="B183" s="30" t="n">
        <v>12</v>
      </c>
      <c r="C183" s="158" t="n">
        <v>15969</v>
      </c>
      <c r="D183" s="158" t="n">
        <v>459112502</v>
      </c>
      <c r="E183" s="158" t="n">
        <v>65615</v>
      </c>
      <c r="F183" s="158" t="n">
        <v>1833319500</v>
      </c>
      <c r="G183" s="158" t="n">
        <f aca="false">C183+E183-I183</f>
        <v>40229</v>
      </c>
      <c r="H183" s="158" t="n">
        <f aca="false">D183+F183-J183</f>
        <v>1123236500</v>
      </c>
      <c r="I183" s="158" t="n">
        <v>41355</v>
      </c>
      <c r="J183" s="158" t="n">
        <v>1169195502</v>
      </c>
      <c r="K183" s="148" t="s">
        <v>955</v>
      </c>
      <c r="L183" s="148" t="s">
        <v>303</v>
      </c>
      <c r="M183" s="148" t="n">
        <v>1</v>
      </c>
      <c r="N183" s="149" t="n">
        <v>26298.3</v>
      </c>
      <c r="O183" s="22"/>
      <c r="P183" s="22"/>
      <c r="Q183" s="23" t="n">
        <f aca="false">O183*P183</f>
        <v>0</v>
      </c>
      <c r="R183" s="149" t="n">
        <f aca="false">J183-Q316</f>
        <v>-151530978</v>
      </c>
      <c r="V183" s="148" t="s">
        <v>157</v>
      </c>
      <c r="W183" s="148" t="s">
        <v>528</v>
      </c>
      <c r="X183" s="148" t="n">
        <v>100</v>
      </c>
      <c r="Y183" s="148" t="n">
        <v>25245271.5</v>
      </c>
    </row>
    <row r="184" customFormat="false" ht="14.25" hidden="false" customHeight="false" outlineLevel="0" collapsed="false">
      <c r="A184" s="30" t="s">
        <v>192</v>
      </c>
      <c r="B184" s="30" t="n">
        <v>12</v>
      </c>
      <c r="C184" s="158" t="n">
        <v>10975</v>
      </c>
      <c r="D184" s="158" t="n">
        <v>79007874</v>
      </c>
      <c r="E184" s="158" t="n">
        <v>0</v>
      </c>
      <c r="F184" s="158" t="n">
        <v>0</v>
      </c>
      <c r="G184" s="158" t="n">
        <f aca="false">C184-I184</f>
        <v>4660</v>
      </c>
      <c r="H184" s="158" t="n">
        <f aca="false">D184-J184</f>
        <v>33402873</v>
      </c>
      <c r="I184" s="158" t="n">
        <v>6315</v>
      </c>
      <c r="J184" s="158" t="n">
        <v>45605001</v>
      </c>
      <c r="K184" s="148" t="s">
        <v>159</v>
      </c>
      <c r="L184" s="148" t="s">
        <v>528</v>
      </c>
      <c r="M184" s="148" t="n">
        <v>53</v>
      </c>
      <c r="N184" s="149" t="n">
        <v>15171162.528</v>
      </c>
      <c r="O184" s="22"/>
      <c r="P184" s="22"/>
      <c r="Q184" s="23" t="n">
        <f aca="false">O184*P184</f>
        <v>0</v>
      </c>
      <c r="R184" s="149" t="n">
        <f aca="false">J184-Q312</f>
        <v>-133699</v>
      </c>
      <c r="V184" s="148" t="s">
        <v>158</v>
      </c>
      <c r="W184" s="148" t="s">
        <v>528</v>
      </c>
      <c r="X184" s="148" t="n">
        <v>79</v>
      </c>
      <c r="Y184" s="148" t="n">
        <v>32569859.9</v>
      </c>
    </row>
    <row r="185" customFormat="false" ht="14.25" hidden="false" customHeight="false" outlineLevel="0" collapsed="false">
      <c r="A185" s="30" t="s">
        <v>193</v>
      </c>
      <c r="B185" s="30" t="n">
        <v>12</v>
      </c>
      <c r="C185" s="158" t="n">
        <v>0</v>
      </c>
      <c r="D185" s="158" t="n">
        <v>0</v>
      </c>
      <c r="E185" s="158" t="n">
        <v>250</v>
      </c>
      <c r="F185" s="158" t="n">
        <v>53642625</v>
      </c>
      <c r="G185" s="158" t="n">
        <v>0</v>
      </c>
      <c r="H185" s="158" t="n">
        <v>0</v>
      </c>
      <c r="I185" s="158" t="n">
        <v>250</v>
      </c>
      <c r="J185" s="158" t="n">
        <v>53642625</v>
      </c>
      <c r="K185" s="148" t="s">
        <v>160</v>
      </c>
      <c r="L185" s="148" t="s">
        <v>528</v>
      </c>
      <c r="M185" s="148" t="n">
        <v>47</v>
      </c>
      <c r="N185" s="149" t="n">
        <v>16801821.76</v>
      </c>
      <c r="O185" s="184" t="n">
        <v>2430</v>
      </c>
      <c r="P185" s="185" t="n">
        <v>40050</v>
      </c>
      <c r="Q185" s="41" t="n">
        <f aca="false">O185*P185</f>
        <v>97321500</v>
      </c>
      <c r="R185" s="149" t="n">
        <f aca="false">J185-Q241</f>
        <v>229732.5</v>
      </c>
      <c r="V185" s="148" t="s">
        <v>955</v>
      </c>
      <c r="W185" s="148" t="s">
        <v>303</v>
      </c>
      <c r="X185" s="148" t="n">
        <v>1</v>
      </c>
      <c r="Y185" s="148" t="n">
        <v>26298.3</v>
      </c>
    </row>
    <row r="186" customFormat="false" ht="14.25" hidden="false" customHeight="false" outlineLevel="0" collapsed="false">
      <c r="A186" s="30" t="s">
        <v>194</v>
      </c>
      <c r="B186" s="30" t="n">
        <v>12</v>
      </c>
      <c r="C186" s="158" t="n">
        <v>131535</v>
      </c>
      <c r="D186" s="158" t="n">
        <v>626836099</v>
      </c>
      <c r="E186" s="158" t="n">
        <v>273861</v>
      </c>
      <c r="F186" s="158" t="n">
        <v>1931160000</v>
      </c>
      <c r="G186" s="158" t="n">
        <f aca="false">C186+E186-I186</f>
        <v>227875</v>
      </c>
      <c r="H186" s="158" t="n">
        <f aca="false">D186+F186-J186</f>
        <v>1303281000</v>
      </c>
      <c r="I186" s="158" t="n">
        <v>177521</v>
      </c>
      <c r="J186" s="158" t="n">
        <v>1254715099</v>
      </c>
      <c r="K186" s="148" t="s">
        <v>574</v>
      </c>
      <c r="L186" s="148" t="s">
        <v>528</v>
      </c>
      <c r="M186" s="148" t="n">
        <v>40</v>
      </c>
      <c r="N186" s="149" t="n">
        <v>7238765</v>
      </c>
      <c r="O186" s="22"/>
      <c r="P186" s="22"/>
      <c r="Q186" s="23" t="n">
        <f aca="false">O186*P186</f>
        <v>0</v>
      </c>
      <c r="R186" s="149" t="n">
        <f aca="false">J186-Q315</f>
        <v>-465395789</v>
      </c>
      <c r="V186" s="148" t="s">
        <v>159</v>
      </c>
      <c r="W186" s="148" t="s">
        <v>528</v>
      </c>
      <c r="X186" s="148" t="n">
        <v>53</v>
      </c>
      <c r="Y186" s="148" t="n">
        <v>15171162.528</v>
      </c>
    </row>
    <row r="187" customFormat="false" ht="14.25" hidden="false" customHeight="false" outlineLevel="0" collapsed="false">
      <c r="A187" s="30" t="s">
        <v>195</v>
      </c>
      <c r="B187" s="30" t="n">
        <v>12</v>
      </c>
      <c r="C187" s="158" t="n">
        <v>0</v>
      </c>
      <c r="D187" s="158" t="n">
        <v>0</v>
      </c>
      <c r="E187" s="158" t="n">
        <v>11200</v>
      </c>
      <c r="F187" s="158" t="n">
        <v>2411276207</v>
      </c>
      <c r="G187" s="158" t="n">
        <f aca="false">E187-I187</f>
        <v>1333</v>
      </c>
      <c r="H187" s="158" t="n">
        <f aca="false">F187-J187</f>
        <v>303268263</v>
      </c>
      <c r="I187" s="158" t="n">
        <v>9867</v>
      </c>
      <c r="J187" s="158" t="n">
        <v>2108007944</v>
      </c>
      <c r="K187" s="148" t="s">
        <v>572</v>
      </c>
      <c r="L187" s="148" t="s">
        <v>528</v>
      </c>
      <c r="M187" s="148" t="n">
        <v>151</v>
      </c>
      <c r="N187" s="149" t="n">
        <v>38214034.8</v>
      </c>
      <c r="O187" s="29" t="n">
        <v>9455</v>
      </c>
      <c r="P187" s="33" t="n">
        <v>36184</v>
      </c>
      <c r="Q187" s="25" t="n">
        <f aca="false">O187*P187</f>
        <v>342119720</v>
      </c>
      <c r="R187" s="149" t="n">
        <f aca="false">J187-Q242</f>
        <v>13154300.1499999</v>
      </c>
      <c r="V187" s="148" t="s">
        <v>160</v>
      </c>
      <c r="W187" s="148" t="s">
        <v>528</v>
      </c>
      <c r="X187" s="148" t="n">
        <v>47</v>
      </c>
      <c r="Y187" s="148" t="n">
        <v>16801821.76</v>
      </c>
    </row>
    <row r="188" customFormat="false" ht="14.25" hidden="false" customHeight="false" outlineLevel="0" collapsed="false">
      <c r="A188" s="161" t="s">
        <v>196</v>
      </c>
      <c r="B188" s="161" t="n">
        <v>12</v>
      </c>
      <c r="C188" s="162" t="n">
        <v>0</v>
      </c>
      <c r="D188" s="162" t="n">
        <v>0</v>
      </c>
      <c r="E188" s="162" t="n">
        <v>0</v>
      </c>
      <c r="F188" s="162" t="n">
        <v>0</v>
      </c>
      <c r="G188" s="162" t="n">
        <v>0</v>
      </c>
      <c r="H188" s="162" t="n">
        <v>0</v>
      </c>
      <c r="I188" s="162" t="n">
        <v>0</v>
      </c>
      <c r="J188" s="162" t="n">
        <v>0</v>
      </c>
      <c r="K188" s="148" t="s">
        <v>580</v>
      </c>
      <c r="L188" s="148" t="s">
        <v>528</v>
      </c>
      <c r="M188" s="148" t="n">
        <v>77</v>
      </c>
      <c r="N188" s="149" t="n">
        <v>13789425</v>
      </c>
      <c r="O188" s="39" t="n">
        <v>95</v>
      </c>
      <c r="P188" s="40" t="n">
        <v>36184</v>
      </c>
      <c r="Q188" s="41" t="n">
        <f aca="false">O188*P188</f>
        <v>3437480</v>
      </c>
      <c r="V188" s="148" t="s">
        <v>574</v>
      </c>
      <c r="W188" s="148" t="s">
        <v>528</v>
      </c>
      <c r="X188" s="148" t="n">
        <v>40</v>
      </c>
      <c r="Y188" s="148" t="n">
        <v>7238765</v>
      </c>
    </row>
    <row r="189" customFormat="false" ht="14.25" hidden="false" customHeight="false" outlineLevel="0" collapsed="false">
      <c r="A189" s="182" t="s">
        <v>197</v>
      </c>
      <c r="B189" s="182" t="n">
        <v>12</v>
      </c>
      <c r="C189" s="183" t="n">
        <v>1170</v>
      </c>
      <c r="D189" s="183" t="n">
        <v>8433374</v>
      </c>
      <c r="E189" s="183" t="n">
        <v>0</v>
      </c>
      <c r="F189" s="183" t="n">
        <v>0</v>
      </c>
      <c r="G189" s="183" t="n">
        <v>20</v>
      </c>
      <c r="H189" s="183" t="n">
        <v>144160</v>
      </c>
      <c r="I189" s="183" t="n">
        <v>1150</v>
      </c>
      <c r="J189" s="183" t="n">
        <v>8289214</v>
      </c>
      <c r="K189" s="148" t="s">
        <v>161</v>
      </c>
      <c r="L189" s="148" t="s">
        <v>528</v>
      </c>
      <c r="M189" s="148" t="n">
        <v>228</v>
      </c>
      <c r="N189" s="149" t="n">
        <v>55156657.5</v>
      </c>
      <c r="O189" s="29" t="n">
        <v>65</v>
      </c>
      <c r="P189" s="33" t="n">
        <v>36184</v>
      </c>
      <c r="Q189" s="25" t="n">
        <f aca="false">O189*P189</f>
        <v>2351960</v>
      </c>
      <c r="R189" s="149" t="n">
        <f aca="false">J189-Q321</f>
        <v>-13786</v>
      </c>
      <c r="V189" s="148" t="s">
        <v>572</v>
      </c>
      <c r="W189" s="148" t="s">
        <v>528</v>
      </c>
      <c r="X189" s="148" t="n">
        <v>151</v>
      </c>
      <c r="Y189" s="148" t="n">
        <v>38214034.8</v>
      </c>
    </row>
    <row r="190" customFormat="false" ht="14.25" hidden="false" customHeight="false" outlineLevel="0" collapsed="false">
      <c r="A190" s="161" t="s">
        <v>198</v>
      </c>
      <c r="B190" s="161" t="n">
        <v>12</v>
      </c>
      <c r="C190" s="162" t="n">
        <v>0</v>
      </c>
      <c r="D190" s="162" t="n">
        <v>0</v>
      </c>
      <c r="E190" s="162" t="n">
        <v>0</v>
      </c>
      <c r="F190" s="162" t="n">
        <v>0</v>
      </c>
      <c r="G190" s="162" t="n">
        <v>0</v>
      </c>
      <c r="H190" s="162" t="n">
        <v>0</v>
      </c>
      <c r="I190" s="162" t="n">
        <v>0</v>
      </c>
      <c r="J190" s="162" t="n">
        <v>0</v>
      </c>
      <c r="K190" s="148" t="s">
        <v>582</v>
      </c>
      <c r="L190" s="148" t="s">
        <v>528</v>
      </c>
      <c r="M190" s="148" t="n">
        <v>191</v>
      </c>
      <c r="N190" s="149" t="n">
        <v>48123826.7</v>
      </c>
      <c r="O190" s="22"/>
      <c r="P190" s="22"/>
      <c r="Q190" s="23" t="n">
        <f aca="false">O190*P190</f>
        <v>0</v>
      </c>
      <c r="V190" s="148" t="s">
        <v>580</v>
      </c>
      <c r="W190" s="148" t="s">
        <v>528</v>
      </c>
      <c r="X190" s="148" t="n">
        <v>77</v>
      </c>
      <c r="Y190" s="148" t="n">
        <v>13789425</v>
      </c>
    </row>
    <row r="191" s="188" customFormat="true" ht="14.25" hidden="false" customHeight="false" outlineLevel="0" collapsed="false">
      <c r="A191" s="186" t="s">
        <v>199</v>
      </c>
      <c r="B191" s="186" t="n">
        <v>12</v>
      </c>
      <c r="C191" s="187" t="n">
        <v>77684</v>
      </c>
      <c r="D191" s="187" t="n">
        <v>588888</v>
      </c>
      <c r="E191" s="187" t="n">
        <v>24</v>
      </c>
      <c r="F191" s="187" t="n">
        <v>588888</v>
      </c>
      <c r="G191" s="187" t="n">
        <v>0</v>
      </c>
      <c r="H191" s="187" t="n">
        <v>0</v>
      </c>
      <c r="I191" s="187" t="n">
        <v>77708</v>
      </c>
      <c r="J191" s="187" t="n">
        <v>1177776</v>
      </c>
      <c r="K191" s="188" t="s">
        <v>162</v>
      </c>
      <c r="L191" s="188" t="s">
        <v>528</v>
      </c>
      <c r="M191" s="188" t="n">
        <v>68</v>
      </c>
      <c r="N191" s="189" t="n">
        <v>24301067.79</v>
      </c>
      <c r="O191" s="181" t="n">
        <v>123</v>
      </c>
      <c r="P191" s="43" t="n">
        <v>234589</v>
      </c>
      <c r="Q191" s="44" t="n">
        <f aca="false">O191*P191</f>
        <v>28854447</v>
      </c>
      <c r="R191" s="189"/>
      <c r="T191" s="189"/>
      <c r="V191" s="188" t="s">
        <v>161</v>
      </c>
      <c r="W191" s="188" t="s">
        <v>528</v>
      </c>
      <c r="X191" s="188" t="n">
        <v>228</v>
      </c>
      <c r="Y191" s="188" t="n">
        <v>55156657.5</v>
      </c>
    </row>
    <row r="192" customFormat="false" ht="14.25" hidden="false" customHeight="false" outlineLevel="0" collapsed="false">
      <c r="A192" s="161" t="s">
        <v>200</v>
      </c>
      <c r="B192" s="161" t="n">
        <v>12</v>
      </c>
      <c r="C192" s="162" t="n">
        <v>144</v>
      </c>
      <c r="D192" s="162" t="n">
        <v>1037304</v>
      </c>
      <c r="E192" s="162" t="n">
        <v>0</v>
      </c>
      <c r="F192" s="162" t="n">
        <v>0</v>
      </c>
      <c r="G192" s="162" t="n">
        <v>0</v>
      </c>
      <c r="H192" s="162" t="n">
        <v>0</v>
      </c>
      <c r="I192" s="162" t="n">
        <v>144</v>
      </c>
      <c r="J192" s="162" t="n">
        <v>1037304</v>
      </c>
      <c r="K192" s="148" t="s">
        <v>163</v>
      </c>
      <c r="L192" s="148" t="s">
        <v>528</v>
      </c>
      <c r="M192" s="148" t="n">
        <v>1230</v>
      </c>
      <c r="N192" s="149" t="n">
        <v>430656779.7</v>
      </c>
      <c r="O192" s="39" t="n">
        <v>117</v>
      </c>
      <c r="P192" s="40" t="n">
        <v>167564</v>
      </c>
      <c r="Q192" s="23" t="n">
        <f aca="false">O192*P192</f>
        <v>19604988</v>
      </c>
      <c r="V192" s="148" t="s">
        <v>582</v>
      </c>
      <c r="W192" s="148" t="s">
        <v>528</v>
      </c>
      <c r="X192" s="148" t="n">
        <v>191</v>
      </c>
      <c r="Y192" s="148" t="n">
        <v>48123826.7</v>
      </c>
    </row>
    <row r="193" s="159" customFormat="true" ht="14.25" hidden="false" customHeight="false" outlineLevel="0" collapsed="false">
      <c r="A193" s="30" t="s">
        <v>201</v>
      </c>
      <c r="B193" s="30" t="n">
        <v>12</v>
      </c>
      <c r="C193" s="158" t="n">
        <v>1032</v>
      </c>
      <c r="D193" s="158" t="n">
        <v>16267839</v>
      </c>
      <c r="E193" s="158" t="n">
        <v>180</v>
      </c>
      <c r="F193" s="158" t="n">
        <v>2916720</v>
      </c>
      <c r="G193" s="158" t="n">
        <v>720</v>
      </c>
      <c r="H193" s="158" t="n">
        <v>11396768</v>
      </c>
      <c r="I193" s="158" t="n">
        <v>492</v>
      </c>
      <c r="J193" s="158" t="n">
        <v>7787791</v>
      </c>
      <c r="K193" s="148" t="s">
        <v>164</v>
      </c>
      <c r="L193" s="148" t="s">
        <v>528</v>
      </c>
      <c r="M193" s="148" t="n">
        <v>131</v>
      </c>
      <c r="N193" s="149" t="n">
        <v>22458778</v>
      </c>
      <c r="O193" s="22"/>
      <c r="P193" s="22"/>
      <c r="Q193" s="23" t="n">
        <f aca="false">O193*P193</f>
        <v>0</v>
      </c>
      <c r="R193" s="160"/>
      <c r="T193" s="160"/>
      <c r="V193" s="159" t="s">
        <v>162</v>
      </c>
      <c r="W193" s="159" t="s">
        <v>528</v>
      </c>
      <c r="X193" s="159" t="n">
        <v>68</v>
      </c>
      <c r="Y193" s="159" t="n">
        <v>24301067.79</v>
      </c>
    </row>
    <row r="194" customFormat="false" ht="14.25" hidden="false" customHeight="false" outlineLevel="0" collapsed="false">
      <c r="A194" s="161" t="s">
        <v>202</v>
      </c>
      <c r="B194" s="161" t="n">
        <v>12</v>
      </c>
      <c r="C194" s="162" t="n">
        <v>0</v>
      </c>
      <c r="D194" s="162" t="n">
        <v>0</v>
      </c>
      <c r="E194" s="162" t="n">
        <v>72</v>
      </c>
      <c r="F194" s="162" t="n">
        <v>1857744</v>
      </c>
      <c r="G194" s="162" t="n">
        <v>0</v>
      </c>
      <c r="H194" s="162" t="n">
        <v>0</v>
      </c>
      <c r="I194" s="162" t="n">
        <v>72</v>
      </c>
      <c r="J194" s="162" t="n">
        <v>1857744</v>
      </c>
      <c r="K194" s="148" t="s">
        <v>164</v>
      </c>
      <c r="L194" s="148" t="s">
        <v>327</v>
      </c>
      <c r="M194" s="148" t="n">
        <v>15</v>
      </c>
      <c r="N194" s="149" t="n">
        <v>65750.544</v>
      </c>
      <c r="O194" s="39" t="n">
        <v>70</v>
      </c>
      <c r="P194" s="40" t="n">
        <v>234589</v>
      </c>
      <c r="Q194" s="41" t="n">
        <f aca="false">O194*P194</f>
        <v>16421230</v>
      </c>
      <c r="V194" s="148" t="s">
        <v>163</v>
      </c>
      <c r="W194" s="148" t="s">
        <v>528</v>
      </c>
      <c r="X194" s="148" t="n">
        <v>1230</v>
      </c>
      <c r="Y194" s="148" t="n">
        <v>430656779.7</v>
      </c>
    </row>
    <row r="195" customFormat="false" ht="14.25" hidden="false" customHeight="false" outlineLevel="0" collapsed="false">
      <c r="A195" s="30" t="s">
        <v>203</v>
      </c>
      <c r="B195" s="30" t="n">
        <v>12</v>
      </c>
      <c r="C195" s="158" t="n">
        <v>5208</v>
      </c>
      <c r="D195" s="158" t="n">
        <v>58948499</v>
      </c>
      <c r="E195" s="158" t="n">
        <v>360</v>
      </c>
      <c r="F195" s="158" t="n">
        <v>4225320</v>
      </c>
      <c r="G195" s="158" t="n">
        <f aca="false">C195+E195-I195</f>
        <v>4681</v>
      </c>
      <c r="H195" s="158" t="n">
        <f aca="false">D195+F195-J195</f>
        <v>52758308</v>
      </c>
      <c r="I195" s="158" t="n">
        <v>887</v>
      </c>
      <c r="J195" s="158" t="n">
        <v>10415511</v>
      </c>
      <c r="K195" s="148" t="s">
        <v>165</v>
      </c>
      <c r="L195" s="148" t="s">
        <v>528</v>
      </c>
      <c r="M195" s="148" t="n">
        <v>146</v>
      </c>
      <c r="N195" s="149" t="n">
        <v>24867949.2</v>
      </c>
      <c r="O195" s="35" t="n">
        <v>92</v>
      </c>
      <c r="P195" s="33" t="n">
        <v>234589</v>
      </c>
      <c r="Q195" s="25" t="n">
        <f aca="false">O195*P195</f>
        <v>21582188</v>
      </c>
      <c r="R195" s="149" t="n">
        <f aca="false">J195-Q330</f>
        <v>-359055</v>
      </c>
      <c r="V195" s="148" t="s">
        <v>164</v>
      </c>
      <c r="W195" s="148" t="s">
        <v>528</v>
      </c>
      <c r="X195" s="148" t="n">
        <v>131</v>
      </c>
      <c r="Y195" s="148" t="n">
        <v>22458778</v>
      </c>
    </row>
    <row r="196" customFormat="false" ht="14.25" hidden="false" customHeight="false" outlineLevel="0" collapsed="false">
      <c r="A196" s="30" t="s">
        <v>204</v>
      </c>
      <c r="B196" s="30" t="n">
        <v>12</v>
      </c>
      <c r="C196" s="158" t="n">
        <v>12491</v>
      </c>
      <c r="D196" s="158" t="n">
        <v>384147850</v>
      </c>
      <c r="E196" s="158"/>
      <c r="F196" s="158" t="n">
        <v>0</v>
      </c>
      <c r="G196" s="158" t="n">
        <f aca="false">C196-I196</f>
        <v>5514</v>
      </c>
      <c r="H196" s="158" t="n">
        <f aca="false">D196-J196</f>
        <v>160810000</v>
      </c>
      <c r="I196" s="158" t="n">
        <v>6977</v>
      </c>
      <c r="J196" s="158" t="n">
        <v>223337850</v>
      </c>
      <c r="K196" s="148" t="s">
        <v>165</v>
      </c>
      <c r="L196" s="148" t="s">
        <v>327</v>
      </c>
      <c r="M196" s="148" t="n">
        <v>16</v>
      </c>
      <c r="N196" s="149" t="n">
        <v>58407.6</v>
      </c>
      <c r="O196" s="22"/>
      <c r="P196" s="22"/>
      <c r="Q196" s="23" t="n">
        <f aca="false">O196*P196</f>
        <v>0</v>
      </c>
      <c r="R196" s="149" t="n">
        <f aca="false">J196-Q332</f>
        <v>-47370720</v>
      </c>
      <c r="V196" s="148" t="s">
        <v>164</v>
      </c>
      <c r="W196" s="148" t="s">
        <v>327</v>
      </c>
      <c r="X196" s="148" t="n">
        <v>15</v>
      </c>
      <c r="Y196" s="148" t="n">
        <v>65750.544</v>
      </c>
    </row>
    <row r="197" customFormat="false" ht="14.25" hidden="false" customHeight="false" outlineLevel="0" collapsed="false">
      <c r="A197" s="30" t="s">
        <v>205</v>
      </c>
      <c r="B197" s="30" t="n">
        <v>12</v>
      </c>
      <c r="C197" s="158" t="n">
        <v>820</v>
      </c>
      <c r="D197" s="158" t="n">
        <v>49022428</v>
      </c>
      <c r="E197" s="158" t="n">
        <v>0</v>
      </c>
      <c r="F197" s="158" t="n">
        <v>0</v>
      </c>
      <c r="G197" s="158" t="n">
        <f aca="false">C197-I197</f>
        <v>651</v>
      </c>
      <c r="H197" s="158" t="n">
        <f aca="false">D197-J197</f>
        <v>37663574</v>
      </c>
      <c r="I197" s="158" t="n">
        <v>169</v>
      </c>
      <c r="J197" s="158" t="n">
        <v>11358854</v>
      </c>
      <c r="K197" s="148" t="s">
        <v>166</v>
      </c>
      <c r="L197" s="148" t="s">
        <v>528</v>
      </c>
      <c r="M197" s="148" t="n">
        <v>130</v>
      </c>
      <c r="N197" s="149" t="n">
        <v>22904117.2</v>
      </c>
      <c r="O197" s="29" t="n">
        <v>84</v>
      </c>
      <c r="P197" s="33" t="n">
        <v>234589</v>
      </c>
      <c r="Q197" s="25" t="n">
        <f aca="false">O197*P197</f>
        <v>19705476</v>
      </c>
      <c r="R197" s="149" t="n">
        <f aca="false">J197-Q333</f>
        <v>-1394706</v>
      </c>
      <c r="V197" s="148" t="s">
        <v>165</v>
      </c>
      <c r="W197" s="148" t="s">
        <v>528</v>
      </c>
      <c r="X197" s="148" t="n">
        <v>146</v>
      </c>
      <c r="Y197" s="148" t="n">
        <v>24867949.2</v>
      </c>
    </row>
    <row r="198" customFormat="false" ht="14.25" hidden="false" customHeight="false" outlineLevel="0" collapsed="false">
      <c r="A198" s="164" t="s">
        <v>206</v>
      </c>
      <c r="B198" s="164" t="n">
        <v>12</v>
      </c>
      <c r="C198" s="165" t="n">
        <v>814</v>
      </c>
      <c r="D198" s="165" t="n">
        <v>26110276</v>
      </c>
      <c r="E198" s="165" t="n">
        <v>192</v>
      </c>
      <c r="F198" s="165" t="n">
        <v>6309812</v>
      </c>
      <c r="G198" s="165" t="n">
        <v>646</v>
      </c>
      <c r="H198" s="165" t="n">
        <v>20818466</v>
      </c>
      <c r="I198" s="165" t="n">
        <v>360</v>
      </c>
      <c r="J198" s="165" t="n">
        <v>11601622</v>
      </c>
      <c r="K198" s="148" t="s">
        <v>586</v>
      </c>
      <c r="L198" s="148" t="s">
        <v>528</v>
      </c>
      <c r="M198" s="148" t="n">
        <v>324</v>
      </c>
      <c r="N198" s="149" t="n">
        <v>38410338.9</v>
      </c>
      <c r="O198" s="29" t="n">
        <v>137</v>
      </c>
      <c r="P198" s="33" t="n">
        <v>234589</v>
      </c>
      <c r="Q198" s="25" t="n">
        <f aca="false">O198*P198</f>
        <v>32138693</v>
      </c>
      <c r="R198" s="149" t="n">
        <f aca="false">J198-Q338</f>
        <v>-229418</v>
      </c>
      <c r="V198" s="148" t="s">
        <v>165</v>
      </c>
      <c r="W198" s="148" t="s">
        <v>327</v>
      </c>
      <c r="X198" s="148" t="n">
        <v>16</v>
      </c>
      <c r="Y198" s="148" t="n">
        <v>58407.6</v>
      </c>
    </row>
    <row r="199" customFormat="false" ht="14.25" hidden="false" customHeight="false" outlineLevel="0" collapsed="false">
      <c r="A199" s="30" t="s">
        <v>207</v>
      </c>
      <c r="B199" s="30" t="n">
        <v>12</v>
      </c>
      <c r="C199" s="158" t="n">
        <v>1728</v>
      </c>
      <c r="D199" s="158" t="n">
        <v>3454644</v>
      </c>
      <c r="E199" s="158"/>
      <c r="F199" s="158" t="n">
        <v>0</v>
      </c>
      <c r="G199" s="158" t="n">
        <f aca="false">C199-I199</f>
        <v>1461</v>
      </c>
      <c r="H199" s="158" t="n">
        <f aca="false">D199-J199</f>
        <v>38904</v>
      </c>
      <c r="I199" s="158" t="n">
        <v>267</v>
      </c>
      <c r="J199" s="158" t="n">
        <v>3415740</v>
      </c>
      <c r="K199" s="148" t="s">
        <v>167</v>
      </c>
      <c r="L199" s="148" t="s">
        <v>528</v>
      </c>
      <c r="M199" s="148" t="n">
        <v>186</v>
      </c>
      <c r="N199" s="149" t="n">
        <v>39736380.25</v>
      </c>
      <c r="O199" s="39" t="n">
        <v>100</v>
      </c>
      <c r="P199" s="40" t="n">
        <v>234589</v>
      </c>
      <c r="Q199" s="41" t="n">
        <f aca="false">O199*P199</f>
        <v>23458900</v>
      </c>
      <c r="R199" s="149" t="n">
        <f aca="false">J199-Q339</f>
        <v>-30309996</v>
      </c>
      <c r="V199" s="148" t="s">
        <v>166</v>
      </c>
      <c r="W199" s="148" t="s">
        <v>528</v>
      </c>
      <c r="X199" s="148" t="n">
        <v>130</v>
      </c>
      <c r="Y199" s="148" t="n">
        <v>22904117.2</v>
      </c>
    </row>
    <row r="200" customFormat="false" ht="14.25" hidden="false" customHeight="false" outlineLevel="0" collapsed="false">
      <c r="A200" s="182" t="s">
        <v>208</v>
      </c>
      <c r="B200" s="182" t="n">
        <v>12</v>
      </c>
      <c r="C200" s="183" t="n">
        <v>13</v>
      </c>
      <c r="D200" s="183" t="n">
        <v>107765</v>
      </c>
      <c r="E200" s="183" t="n">
        <v>432</v>
      </c>
      <c r="F200" s="183" t="n">
        <v>4525632</v>
      </c>
      <c r="G200" s="183" t="n">
        <v>240</v>
      </c>
      <c r="H200" s="183" t="n">
        <v>2498911</v>
      </c>
      <c r="I200" s="183" t="n">
        <v>205</v>
      </c>
      <c r="J200" s="183" t="n">
        <v>2134486</v>
      </c>
      <c r="K200" s="148" t="s">
        <v>625</v>
      </c>
      <c r="L200" s="148" t="s">
        <v>528</v>
      </c>
      <c r="M200" s="148" t="n">
        <v>4</v>
      </c>
      <c r="N200" s="149" t="n">
        <v>807263.6</v>
      </c>
      <c r="O200" s="39" t="n">
        <v>351</v>
      </c>
      <c r="P200" s="40" t="n">
        <v>115200</v>
      </c>
      <c r="Q200" s="41" t="n">
        <f aca="false">O200*P200</f>
        <v>40435200</v>
      </c>
      <c r="R200" s="149" t="n">
        <f aca="false">J200-Q341</f>
        <v>-13094</v>
      </c>
      <c r="V200" s="148" t="s">
        <v>586</v>
      </c>
      <c r="W200" s="148" t="s">
        <v>528</v>
      </c>
      <c r="X200" s="148" t="n">
        <v>324</v>
      </c>
      <c r="Y200" s="148" t="n">
        <v>38410338.9</v>
      </c>
    </row>
    <row r="201" customFormat="false" ht="14.25" hidden="false" customHeight="false" outlineLevel="0" collapsed="false">
      <c r="A201" s="30" t="s">
        <v>209</v>
      </c>
      <c r="B201" s="30" t="n">
        <v>12</v>
      </c>
      <c r="C201" s="158" t="n">
        <v>60</v>
      </c>
      <c r="D201" s="158" t="n">
        <v>3504600</v>
      </c>
      <c r="E201" s="158" t="n">
        <v>36</v>
      </c>
      <c r="F201" s="158" t="n">
        <v>2102760</v>
      </c>
      <c r="G201" s="158" t="n">
        <v>20</v>
      </c>
      <c r="H201" s="158" t="n">
        <v>1168200</v>
      </c>
      <c r="I201" s="158" t="n">
        <v>76</v>
      </c>
      <c r="J201" s="158" t="n">
        <v>4439160</v>
      </c>
      <c r="K201" s="148" t="s">
        <v>168</v>
      </c>
      <c r="L201" s="148" t="s">
        <v>303</v>
      </c>
      <c r="M201" s="148" t="n">
        <v>4</v>
      </c>
      <c r="N201" s="149" t="n">
        <v>122000</v>
      </c>
      <c r="O201" s="190" t="n">
        <v>1286</v>
      </c>
      <c r="P201" s="40" t="n">
        <v>319418</v>
      </c>
      <c r="Q201" s="41" t="n">
        <f aca="false">O201*P201</f>
        <v>410771548</v>
      </c>
      <c r="V201" s="148" t="s">
        <v>167</v>
      </c>
      <c r="W201" s="148" t="s">
        <v>528</v>
      </c>
      <c r="X201" s="148" t="n">
        <v>186</v>
      </c>
      <c r="Y201" s="148" t="n">
        <v>39736380.25</v>
      </c>
    </row>
    <row r="202" customFormat="false" ht="14.25" hidden="false" customHeight="false" outlineLevel="0" collapsed="false">
      <c r="A202" s="182" t="s">
        <v>210</v>
      </c>
      <c r="B202" s="182" t="n">
        <v>12</v>
      </c>
      <c r="C202" s="183" t="n">
        <v>625</v>
      </c>
      <c r="D202" s="183" t="n">
        <v>6930861</v>
      </c>
      <c r="E202" s="183" t="n">
        <v>0</v>
      </c>
      <c r="F202" s="183" t="n">
        <v>0</v>
      </c>
      <c r="G202" s="183" t="n">
        <v>0</v>
      </c>
      <c r="H202" s="183" t="n">
        <v>0</v>
      </c>
      <c r="I202" s="183" t="n">
        <v>625</v>
      </c>
      <c r="J202" s="183" t="n">
        <f aca="false">D202</f>
        <v>6930861</v>
      </c>
      <c r="K202" s="148" t="s">
        <v>168</v>
      </c>
      <c r="L202" s="148" t="s">
        <v>528</v>
      </c>
      <c r="M202" s="148" t="n">
        <v>1088</v>
      </c>
      <c r="N202" s="149" t="n">
        <v>216064196.2</v>
      </c>
      <c r="O202" s="22"/>
      <c r="P202" s="22"/>
      <c r="Q202" s="23" t="n">
        <f aca="false">O202*P202</f>
        <v>0</v>
      </c>
      <c r="R202" s="149" t="n">
        <f aca="false">J202-Q300</f>
        <v>-1289139</v>
      </c>
      <c r="V202" s="148" t="s">
        <v>625</v>
      </c>
      <c r="W202" s="148" t="s">
        <v>528</v>
      </c>
      <c r="X202" s="148" t="n">
        <v>4</v>
      </c>
      <c r="Y202" s="148" t="n">
        <v>807263.6</v>
      </c>
    </row>
    <row r="203" customFormat="false" ht="14.25" hidden="false" customHeight="false" outlineLevel="0" collapsed="false">
      <c r="A203" s="30" t="s">
        <v>211</v>
      </c>
      <c r="B203" s="30" t="n">
        <v>12</v>
      </c>
      <c r="C203" s="158" t="n">
        <v>0</v>
      </c>
      <c r="D203" s="158" t="n">
        <v>0</v>
      </c>
      <c r="E203" s="158" t="n">
        <v>115</v>
      </c>
      <c r="F203" s="158" t="n">
        <v>2133360</v>
      </c>
      <c r="G203" s="158" t="n">
        <v>0</v>
      </c>
      <c r="H203" s="158" t="n">
        <v>0</v>
      </c>
      <c r="I203" s="158" t="n">
        <v>115</v>
      </c>
      <c r="J203" s="158" t="n">
        <v>2133360</v>
      </c>
      <c r="K203" s="148" t="s">
        <v>169</v>
      </c>
      <c r="L203" s="148" t="s">
        <v>528</v>
      </c>
      <c r="M203" s="148" t="n">
        <v>402</v>
      </c>
      <c r="N203" s="149" t="n">
        <v>87116930.129</v>
      </c>
      <c r="O203" s="22"/>
      <c r="P203" s="22"/>
      <c r="Q203" s="23" t="n">
        <f aca="false">O203*P203</f>
        <v>0</v>
      </c>
      <c r="R203" s="149" t="n">
        <f aca="false">J203-Q276</f>
        <v>-549360</v>
      </c>
      <c r="V203" s="148" t="s">
        <v>168</v>
      </c>
      <c r="W203" s="148" t="s">
        <v>303</v>
      </c>
      <c r="X203" s="148" t="n">
        <v>4</v>
      </c>
      <c r="Y203" s="148" t="n">
        <v>122000</v>
      </c>
    </row>
    <row r="204" customFormat="false" ht="14.25" hidden="false" customHeight="false" outlineLevel="0" collapsed="false">
      <c r="A204" s="30" t="s">
        <v>212</v>
      </c>
      <c r="B204" s="30" t="n">
        <v>12</v>
      </c>
      <c r="C204" s="158" t="n">
        <v>33249</v>
      </c>
      <c r="D204" s="158" t="n">
        <v>411726334</v>
      </c>
      <c r="E204" s="158" t="n">
        <v>6084</v>
      </c>
      <c r="F204" s="158" t="n">
        <v>40227840</v>
      </c>
      <c r="G204" s="158" t="n">
        <f aca="false">C204+E204-I204</f>
        <v>21793</v>
      </c>
      <c r="H204" s="158" t="n">
        <f aca="false">D204+F204-J204</f>
        <v>234183600</v>
      </c>
      <c r="I204" s="158" t="n">
        <v>17540</v>
      </c>
      <c r="J204" s="158" t="n">
        <v>217770574</v>
      </c>
      <c r="K204" s="148" t="s">
        <v>170</v>
      </c>
      <c r="L204" s="148" t="s">
        <v>528</v>
      </c>
      <c r="M204" s="148" t="n">
        <v>58</v>
      </c>
      <c r="N204" s="149" t="n">
        <v>17777447.1</v>
      </c>
      <c r="O204" s="22"/>
      <c r="P204" s="22"/>
      <c r="Q204" s="23" t="n">
        <f aca="false">O204*P204</f>
        <v>0</v>
      </c>
      <c r="R204" s="149" t="n">
        <f aca="false">J204-Q350</f>
        <v>-39824178</v>
      </c>
      <c r="V204" s="148" t="s">
        <v>168</v>
      </c>
      <c r="W204" s="148" t="s">
        <v>528</v>
      </c>
      <c r="X204" s="148" t="n">
        <v>1088</v>
      </c>
      <c r="Y204" s="148" t="n">
        <v>216064196.2</v>
      </c>
    </row>
    <row r="205" customFormat="false" ht="14.25" hidden="false" customHeight="false" outlineLevel="0" collapsed="false">
      <c r="A205" s="30" t="s">
        <v>213</v>
      </c>
      <c r="B205" s="30" t="n">
        <v>12</v>
      </c>
      <c r="C205" s="158" t="n">
        <v>3820</v>
      </c>
      <c r="D205" s="158" t="n">
        <v>76529330</v>
      </c>
      <c r="E205" s="158" t="n">
        <v>0</v>
      </c>
      <c r="F205" s="158" t="n">
        <v>0</v>
      </c>
      <c r="G205" s="158" t="n">
        <f aca="false">C205-I205</f>
        <v>2430</v>
      </c>
      <c r="H205" s="158" t="n">
        <f aca="false">D205-J205</f>
        <v>46999426</v>
      </c>
      <c r="I205" s="158" t="n">
        <v>1390</v>
      </c>
      <c r="J205" s="158" t="n">
        <v>29529904</v>
      </c>
      <c r="K205" s="148" t="s">
        <v>171</v>
      </c>
      <c r="L205" s="148" t="s">
        <v>528</v>
      </c>
      <c r="M205" s="148" t="n">
        <v>115</v>
      </c>
      <c r="N205" s="149" t="n">
        <v>34194562.1</v>
      </c>
      <c r="O205" s="50"/>
      <c r="P205" s="49" t="n">
        <v>0</v>
      </c>
      <c r="Q205" s="23" t="n">
        <f aca="false">O205*P205</f>
        <v>0</v>
      </c>
      <c r="R205" s="149" t="n">
        <f aca="false">J205-Q349</f>
        <v>-1782278</v>
      </c>
      <c r="V205" s="148" t="s">
        <v>169</v>
      </c>
      <c r="W205" s="148" t="s">
        <v>528</v>
      </c>
      <c r="X205" s="148" t="n">
        <v>402</v>
      </c>
      <c r="Y205" s="148" t="n">
        <v>87116930.129</v>
      </c>
    </row>
    <row r="206" customFormat="false" ht="14.25" hidden="false" customHeight="false" outlineLevel="0" collapsed="false">
      <c r="A206" s="30" t="s">
        <v>214</v>
      </c>
      <c r="B206" s="30" t="n">
        <v>12</v>
      </c>
      <c r="C206" s="158" t="n">
        <v>9946</v>
      </c>
      <c r="D206" s="158" t="n">
        <v>217056384</v>
      </c>
      <c r="E206" s="158" t="n">
        <v>11664</v>
      </c>
      <c r="F206" s="158" t="n">
        <v>287377632</v>
      </c>
      <c r="G206" s="158" t="n">
        <f aca="false">C206+E206-I206</f>
        <v>11949</v>
      </c>
      <c r="H206" s="158" t="n">
        <f aca="false">D206+F206-J206</f>
        <v>266401600</v>
      </c>
      <c r="I206" s="158" t="n">
        <v>9661</v>
      </c>
      <c r="J206" s="158" t="n">
        <v>238032416</v>
      </c>
      <c r="K206" s="148" t="s">
        <v>172</v>
      </c>
      <c r="L206" s="148" t="s">
        <v>528</v>
      </c>
      <c r="M206" s="148" t="n">
        <v>487</v>
      </c>
      <c r="N206" s="149" t="n">
        <v>99690689.5</v>
      </c>
      <c r="O206" s="22"/>
      <c r="P206" s="22"/>
      <c r="Q206" s="23" t="n">
        <f aca="false">O206*P206</f>
        <v>0</v>
      </c>
      <c r="R206" s="149" t="n">
        <f aca="false">J206-Q281</f>
        <v>-29733368</v>
      </c>
      <c r="V206" s="148" t="s">
        <v>170</v>
      </c>
      <c r="W206" s="148" t="s">
        <v>528</v>
      </c>
      <c r="X206" s="148" t="n">
        <v>58</v>
      </c>
      <c r="Y206" s="148" t="n">
        <v>17777447.1</v>
      </c>
    </row>
    <row r="207" customFormat="false" ht="14.25" hidden="false" customHeight="false" outlineLevel="0" collapsed="false">
      <c r="A207" s="30" t="s">
        <v>215</v>
      </c>
      <c r="B207" s="30" t="n">
        <v>12</v>
      </c>
      <c r="C207" s="158" t="n">
        <v>2800</v>
      </c>
      <c r="D207" s="158" t="n">
        <v>111956379</v>
      </c>
      <c r="E207" s="158" t="n">
        <v>0</v>
      </c>
      <c r="F207" s="158" t="n">
        <v>0</v>
      </c>
      <c r="G207" s="158" t="n">
        <f aca="false">C207-I207</f>
        <v>2241</v>
      </c>
      <c r="H207" s="158" t="n">
        <f aca="false">D207-J207</f>
        <v>88085680</v>
      </c>
      <c r="I207" s="158" t="n">
        <v>559</v>
      </c>
      <c r="J207" s="158" t="n">
        <v>23870699</v>
      </c>
      <c r="K207" s="148" t="s">
        <v>173</v>
      </c>
      <c r="L207" s="148" t="s">
        <v>528</v>
      </c>
      <c r="M207" s="148" t="n">
        <v>500</v>
      </c>
      <c r="N207" s="149" t="n">
        <v>102056710.7</v>
      </c>
      <c r="O207" s="22"/>
      <c r="P207" s="22"/>
      <c r="Q207" s="23" t="n">
        <f aca="false">O207*P207</f>
        <v>0</v>
      </c>
      <c r="R207" s="149" t="n">
        <f aca="false">J207-Q352</f>
        <v>-1609261</v>
      </c>
      <c r="V207" s="148" t="s">
        <v>171</v>
      </c>
      <c r="W207" s="148" t="s">
        <v>528</v>
      </c>
      <c r="X207" s="148" t="n">
        <v>115</v>
      </c>
      <c r="Y207" s="148" t="n">
        <v>34194562.1</v>
      </c>
    </row>
    <row r="208" customFormat="false" ht="14.25" hidden="false" customHeight="false" outlineLevel="0" collapsed="false">
      <c r="A208" s="161" t="s">
        <v>216</v>
      </c>
      <c r="B208" s="161" t="n">
        <v>12</v>
      </c>
      <c r="C208" s="162" t="n">
        <v>0</v>
      </c>
      <c r="D208" s="162" t="n">
        <v>0</v>
      </c>
      <c r="E208" s="162" t="n">
        <v>160</v>
      </c>
      <c r="F208" s="162" t="n">
        <v>2778080</v>
      </c>
      <c r="G208" s="162" t="n">
        <v>160</v>
      </c>
      <c r="H208" s="162" t="n">
        <v>2778080</v>
      </c>
      <c r="I208" s="162" t="n">
        <v>0</v>
      </c>
      <c r="J208" s="162" t="n">
        <v>0</v>
      </c>
      <c r="K208" s="148" t="s">
        <v>527</v>
      </c>
      <c r="L208" s="148" t="s">
        <v>528</v>
      </c>
      <c r="M208" s="148" t="n">
        <v>52</v>
      </c>
      <c r="N208" s="149" t="n">
        <v>35642899</v>
      </c>
      <c r="O208" s="190" t="n">
        <v>489</v>
      </c>
      <c r="P208" s="40" t="n">
        <v>188509</v>
      </c>
      <c r="Q208" s="41" t="n">
        <f aca="false">O208*P208</f>
        <v>92180901</v>
      </c>
      <c r="V208" s="148" t="s">
        <v>172</v>
      </c>
      <c r="W208" s="148" t="s">
        <v>528</v>
      </c>
      <c r="X208" s="148" t="n">
        <v>487</v>
      </c>
      <c r="Y208" s="148" t="n">
        <v>99690689.5</v>
      </c>
    </row>
    <row r="209" customFormat="false" ht="14.25" hidden="false" customHeight="false" outlineLevel="0" collapsed="false">
      <c r="A209" s="182" t="s">
        <v>217</v>
      </c>
      <c r="B209" s="182" t="n">
        <v>12</v>
      </c>
      <c r="C209" s="183" t="n">
        <v>10</v>
      </c>
      <c r="D209" s="183" t="n">
        <v>1775003</v>
      </c>
      <c r="E209" s="183" t="n">
        <v>80</v>
      </c>
      <c r="F209" s="183" t="n">
        <v>14456000</v>
      </c>
      <c r="G209" s="183" t="n">
        <v>0</v>
      </c>
      <c r="H209" s="183" t="n">
        <v>0</v>
      </c>
      <c r="I209" s="183" t="n">
        <v>90</v>
      </c>
      <c r="J209" s="183" t="n">
        <v>16231003</v>
      </c>
      <c r="K209" s="148" t="s">
        <v>598</v>
      </c>
      <c r="L209" s="148" t="s">
        <v>528</v>
      </c>
      <c r="M209" s="148" t="n">
        <v>72</v>
      </c>
      <c r="N209" s="149" t="n">
        <v>12215396</v>
      </c>
      <c r="O209" s="35" t="n">
        <v>509</v>
      </c>
      <c r="P209" s="33" t="n">
        <v>188509</v>
      </c>
      <c r="Q209" s="25" t="n">
        <f aca="false">O209*P209</f>
        <v>95951081</v>
      </c>
      <c r="R209" s="149" t="n">
        <f aca="false">J209-Q359</f>
        <v>-31997</v>
      </c>
      <c r="V209" s="148" t="s">
        <v>173</v>
      </c>
      <c r="W209" s="148" t="s">
        <v>528</v>
      </c>
      <c r="X209" s="148" t="n">
        <v>500</v>
      </c>
      <c r="Y209" s="148" t="n">
        <v>102056710.7</v>
      </c>
    </row>
    <row r="210" customFormat="false" ht="14.25" hidden="false" customHeight="false" outlineLevel="0" collapsed="false">
      <c r="A210" s="182" t="s">
        <v>218</v>
      </c>
      <c r="B210" s="182" t="n">
        <v>12</v>
      </c>
      <c r="C210" s="183" t="n">
        <v>0</v>
      </c>
      <c r="D210" s="183" t="n">
        <v>0</v>
      </c>
      <c r="E210" s="183" t="n">
        <v>50</v>
      </c>
      <c r="F210" s="183" t="n">
        <v>11800000</v>
      </c>
      <c r="G210" s="183" t="n">
        <v>0</v>
      </c>
      <c r="H210" s="183" t="n">
        <v>0</v>
      </c>
      <c r="I210" s="183" t="n">
        <v>50</v>
      </c>
      <c r="J210" s="183" t="n">
        <v>11800000</v>
      </c>
      <c r="K210" s="148" t="s">
        <v>600</v>
      </c>
      <c r="L210" s="148" t="s">
        <v>528</v>
      </c>
      <c r="M210" s="148" t="n">
        <v>72</v>
      </c>
      <c r="N210" s="149" t="n">
        <v>12215396</v>
      </c>
      <c r="O210" s="22"/>
      <c r="P210" s="22"/>
      <c r="Q210" s="23" t="n">
        <f aca="false">O210*P210</f>
        <v>0</v>
      </c>
      <c r="V210" s="148" t="s">
        <v>527</v>
      </c>
      <c r="W210" s="148" t="s">
        <v>528</v>
      </c>
      <c r="X210" s="148" t="n">
        <v>52</v>
      </c>
      <c r="Y210" s="148" t="n">
        <v>35642899</v>
      </c>
    </row>
    <row r="211" customFormat="false" ht="14.25" hidden="false" customHeight="false" outlineLevel="0" collapsed="false">
      <c r="A211" s="182" t="s">
        <v>219</v>
      </c>
      <c r="B211" s="182" t="n">
        <v>12</v>
      </c>
      <c r="C211" s="183" t="n">
        <v>0</v>
      </c>
      <c r="D211" s="183" t="n">
        <v>0</v>
      </c>
      <c r="E211" s="183" t="n">
        <v>30</v>
      </c>
      <c r="F211" s="183" t="n">
        <v>7080000</v>
      </c>
      <c r="G211" s="183" t="n">
        <v>0</v>
      </c>
      <c r="H211" s="183" t="n">
        <v>0</v>
      </c>
      <c r="I211" s="183" t="n">
        <v>30</v>
      </c>
      <c r="J211" s="183" t="n">
        <v>7080000</v>
      </c>
      <c r="K211" s="148" t="s">
        <v>602</v>
      </c>
      <c r="L211" s="148" t="s">
        <v>528</v>
      </c>
      <c r="M211" s="148" t="n">
        <v>72</v>
      </c>
      <c r="N211" s="149" t="n">
        <v>12215396</v>
      </c>
      <c r="O211" s="22"/>
      <c r="P211" s="22"/>
      <c r="Q211" s="23" t="n">
        <f aca="false">O211*P211</f>
        <v>0</v>
      </c>
      <c r="V211" s="148" t="s">
        <v>598</v>
      </c>
      <c r="W211" s="148" t="s">
        <v>528</v>
      </c>
      <c r="X211" s="148" t="n">
        <v>72</v>
      </c>
      <c r="Y211" s="148" t="n">
        <v>12215396</v>
      </c>
    </row>
    <row r="212" customFormat="false" ht="14.25" hidden="false" customHeight="false" outlineLevel="0" collapsed="false">
      <c r="A212" s="182" t="s">
        <v>220</v>
      </c>
      <c r="B212" s="182" t="n">
        <v>12</v>
      </c>
      <c r="C212" s="183" t="n">
        <v>0</v>
      </c>
      <c r="D212" s="183" t="n">
        <v>0</v>
      </c>
      <c r="E212" s="183" t="n">
        <v>72</v>
      </c>
      <c r="F212" s="183" t="n">
        <v>1847966</v>
      </c>
      <c r="G212" s="183" t="n">
        <v>0</v>
      </c>
      <c r="H212" s="183" t="n">
        <v>0</v>
      </c>
      <c r="I212" s="183" t="n">
        <v>72</v>
      </c>
      <c r="J212" s="183" t="n">
        <v>1847966</v>
      </c>
      <c r="K212" s="148" t="s">
        <v>604</v>
      </c>
      <c r="L212" s="148" t="s">
        <v>528</v>
      </c>
      <c r="M212" s="148" t="n">
        <v>72</v>
      </c>
      <c r="N212" s="149" t="n">
        <v>12215396</v>
      </c>
      <c r="O212" s="39" t="n">
        <v>144</v>
      </c>
      <c r="P212" s="40" t="n">
        <v>157091</v>
      </c>
      <c r="Q212" s="23" t="n">
        <f aca="false">O212*P212</f>
        <v>22621104</v>
      </c>
      <c r="R212" s="149" t="n">
        <f aca="false">J212-Q331</f>
        <v>-9778</v>
      </c>
      <c r="V212" s="148" t="s">
        <v>600</v>
      </c>
      <c r="W212" s="148" t="s">
        <v>528</v>
      </c>
      <c r="X212" s="148" t="n">
        <v>72</v>
      </c>
      <c r="Y212" s="148" t="n">
        <v>12215396</v>
      </c>
    </row>
    <row r="213" customFormat="false" ht="14.25" hidden="false" customHeight="false" outlineLevel="0" collapsed="false">
      <c r="A213" s="182" t="s">
        <v>221</v>
      </c>
      <c r="B213" s="182" t="n">
        <v>12</v>
      </c>
      <c r="C213" s="183" t="n">
        <v>4178</v>
      </c>
      <c r="D213" s="183" t="n">
        <v>81823781</v>
      </c>
      <c r="E213" s="183" t="n">
        <v>1656</v>
      </c>
      <c r="F213" s="183" t="n">
        <v>32608296</v>
      </c>
      <c r="G213" s="183" t="n">
        <v>1904</v>
      </c>
      <c r="H213" s="183" t="n">
        <v>37346362</v>
      </c>
      <c r="I213" s="183" t="n">
        <v>3930</v>
      </c>
      <c r="J213" s="183" t="n">
        <v>77085715</v>
      </c>
      <c r="K213" s="148" t="s">
        <v>633</v>
      </c>
      <c r="L213" s="148" t="s">
        <v>528</v>
      </c>
      <c r="M213" s="148" t="n">
        <v>8</v>
      </c>
      <c r="N213" s="149" t="n">
        <v>1533029.49</v>
      </c>
      <c r="O213" s="39" t="n">
        <v>149</v>
      </c>
      <c r="P213" s="40" t="n">
        <v>157091</v>
      </c>
      <c r="Q213" s="23" t="n">
        <f aca="false">O213*P213</f>
        <v>23406559</v>
      </c>
      <c r="R213" s="149" t="n">
        <f aca="false">J130-Q213</f>
        <v>-785455</v>
      </c>
      <c r="V213" s="148" t="s">
        <v>602</v>
      </c>
      <c r="W213" s="148" t="s">
        <v>528</v>
      </c>
      <c r="X213" s="148" t="n">
        <v>72</v>
      </c>
      <c r="Y213" s="148" t="n">
        <v>12215396</v>
      </c>
    </row>
    <row r="214" customFormat="false" ht="14.25" hidden="false" customHeight="false" outlineLevel="0" collapsed="false">
      <c r="A214" s="30" t="s">
        <v>222</v>
      </c>
      <c r="B214" s="30" t="n">
        <v>12</v>
      </c>
      <c r="C214" s="158" t="n">
        <v>1066</v>
      </c>
      <c r="D214" s="158" t="n">
        <v>22876165</v>
      </c>
      <c r="E214" s="158" t="n">
        <v>0</v>
      </c>
      <c r="F214" s="158" t="n">
        <v>0</v>
      </c>
      <c r="G214" s="158" t="n">
        <f aca="false">C214-I214</f>
        <v>304</v>
      </c>
      <c r="H214" s="158" t="n">
        <f aca="false">D214-J214</f>
        <v>3734008</v>
      </c>
      <c r="I214" s="158" t="n">
        <v>762</v>
      </c>
      <c r="J214" s="158" t="n">
        <v>19142157</v>
      </c>
      <c r="K214" s="148" t="s">
        <v>174</v>
      </c>
      <c r="L214" s="148" t="s">
        <v>528</v>
      </c>
      <c r="M214" s="148" t="n">
        <v>84</v>
      </c>
      <c r="N214" s="149" t="n">
        <v>25083763.8</v>
      </c>
      <c r="O214" s="22"/>
      <c r="P214" s="22"/>
      <c r="Q214" s="23" t="n">
        <f aca="false">O214*P214</f>
        <v>0</v>
      </c>
      <c r="R214" s="149" t="n">
        <f aca="false">J214-Q366</f>
        <v>-3267559</v>
      </c>
      <c r="V214" s="148" t="s">
        <v>604</v>
      </c>
      <c r="W214" s="148" t="s">
        <v>528</v>
      </c>
      <c r="X214" s="148" t="n">
        <v>72</v>
      </c>
      <c r="Y214" s="148" t="n">
        <v>12215396</v>
      </c>
    </row>
    <row r="215" customFormat="false" ht="14.25" hidden="false" customHeight="false" outlineLevel="0" collapsed="false">
      <c r="A215" s="182" t="s">
        <v>223</v>
      </c>
      <c r="B215" s="182" t="n">
        <v>12</v>
      </c>
      <c r="C215" s="183" t="n">
        <v>337</v>
      </c>
      <c r="D215" s="183" t="n">
        <v>14575142</v>
      </c>
      <c r="E215" s="183" t="n">
        <v>0</v>
      </c>
      <c r="F215" s="183" t="n">
        <v>0</v>
      </c>
      <c r="G215" s="183" t="n">
        <v>90</v>
      </c>
      <c r="H215" s="183" t="n">
        <v>3892471</v>
      </c>
      <c r="I215" s="183" t="n">
        <v>247</v>
      </c>
      <c r="J215" s="183" t="n">
        <v>10682671</v>
      </c>
      <c r="K215" s="148" t="s">
        <v>919</v>
      </c>
      <c r="L215" s="148" t="s">
        <v>393</v>
      </c>
      <c r="M215" s="148" t="n">
        <v>28</v>
      </c>
      <c r="N215" s="149" t="n">
        <v>0</v>
      </c>
      <c r="O215" s="22"/>
      <c r="P215" s="22"/>
      <c r="Q215" s="23" t="n">
        <f aca="false">O215*P215</f>
        <v>0</v>
      </c>
      <c r="V215" s="148" t="s">
        <v>633</v>
      </c>
      <c r="W215" s="148" t="s">
        <v>528</v>
      </c>
      <c r="X215" s="148" t="n">
        <v>8</v>
      </c>
      <c r="Y215" s="148" t="n">
        <v>1533029.49</v>
      </c>
    </row>
    <row r="216" customFormat="false" ht="14.25" hidden="false" customHeight="false" outlineLevel="0" collapsed="false">
      <c r="A216" s="161" t="s">
        <v>224</v>
      </c>
      <c r="B216" s="161" t="n">
        <v>12</v>
      </c>
      <c r="C216" s="162" t="n">
        <v>0</v>
      </c>
      <c r="D216" s="162" t="n">
        <v>0</v>
      </c>
      <c r="E216" s="162" t="n">
        <v>0</v>
      </c>
      <c r="F216" s="162" t="n">
        <v>0</v>
      </c>
      <c r="G216" s="162" t="n">
        <v>0</v>
      </c>
      <c r="H216" s="162" t="n">
        <v>0</v>
      </c>
      <c r="I216" s="162" t="n">
        <v>0</v>
      </c>
      <c r="J216" s="162" t="n">
        <v>0</v>
      </c>
      <c r="K216" s="148" t="s">
        <v>920</v>
      </c>
      <c r="L216" s="148" t="s">
        <v>393</v>
      </c>
      <c r="M216" s="148" t="n">
        <v>661</v>
      </c>
      <c r="N216" s="149" t="n">
        <v>0</v>
      </c>
      <c r="O216" s="22"/>
      <c r="P216" s="22"/>
      <c r="Q216" s="23" t="n">
        <f aca="false">O216*P216</f>
        <v>0</v>
      </c>
      <c r="V216" s="148" t="s">
        <v>174</v>
      </c>
      <c r="W216" s="148" t="s">
        <v>528</v>
      </c>
      <c r="X216" s="148" t="n">
        <v>84</v>
      </c>
      <c r="Y216" s="148" t="n">
        <v>25083763.8</v>
      </c>
    </row>
    <row r="217" customFormat="false" ht="14.25" hidden="false" customHeight="false" outlineLevel="0" collapsed="false">
      <c r="A217" s="182" t="s">
        <v>225</v>
      </c>
      <c r="B217" s="182" t="n">
        <v>12</v>
      </c>
      <c r="C217" s="183" t="n">
        <v>268</v>
      </c>
      <c r="D217" s="183" t="n">
        <v>5622934</v>
      </c>
      <c r="E217" s="183" t="n">
        <v>144</v>
      </c>
      <c r="F217" s="183" t="n">
        <v>3021278</v>
      </c>
      <c r="G217" s="183" t="n">
        <v>180</v>
      </c>
      <c r="H217" s="183" t="n">
        <v>3776597</v>
      </c>
      <c r="I217" s="183" t="n">
        <v>232</v>
      </c>
      <c r="J217" s="183" t="n">
        <v>4867615</v>
      </c>
      <c r="K217" s="148" t="s">
        <v>921</v>
      </c>
      <c r="L217" s="148" t="s">
        <v>303</v>
      </c>
      <c r="M217" s="148" t="n">
        <v>1</v>
      </c>
      <c r="N217" s="149" t="n">
        <v>0</v>
      </c>
      <c r="O217" s="22"/>
      <c r="P217" s="22"/>
      <c r="Q217" s="23" t="n">
        <f aca="false">O217*P217</f>
        <v>0</v>
      </c>
      <c r="V217" s="148" t="s">
        <v>919</v>
      </c>
      <c r="W217" s="148" t="s">
        <v>393</v>
      </c>
      <c r="X217" s="148" t="n">
        <v>28</v>
      </c>
      <c r="Y217" s="148" t="n">
        <v>0</v>
      </c>
    </row>
    <row r="218" customFormat="false" ht="14.25" hidden="false" customHeight="false" outlineLevel="0" collapsed="false">
      <c r="A218" s="161" t="s">
        <v>226</v>
      </c>
      <c r="B218" s="161" t="n">
        <v>12</v>
      </c>
      <c r="C218" s="162" t="n">
        <v>0</v>
      </c>
      <c r="D218" s="162" t="n">
        <v>0</v>
      </c>
      <c r="E218" s="162" t="n">
        <v>0</v>
      </c>
      <c r="F218" s="162" t="n">
        <v>0</v>
      </c>
      <c r="G218" s="162" t="n">
        <v>0</v>
      </c>
      <c r="H218" s="162" t="n">
        <v>0</v>
      </c>
      <c r="I218" s="162" t="n">
        <v>0</v>
      </c>
      <c r="J218" s="162" t="n">
        <v>0</v>
      </c>
      <c r="K218" s="148" t="s">
        <v>922</v>
      </c>
      <c r="L218" s="148" t="s">
        <v>753</v>
      </c>
      <c r="M218" s="148" t="n">
        <v>2</v>
      </c>
      <c r="N218" s="149" t="n">
        <v>0</v>
      </c>
      <c r="O218" s="22"/>
      <c r="P218" s="22"/>
      <c r="Q218" s="23" t="n">
        <f aca="false">O218*P218</f>
        <v>0</v>
      </c>
      <c r="V218" s="148" t="s">
        <v>920</v>
      </c>
      <c r="W218" s="148" t="s">
        <v>393</v>
      </c>
      <c r="X218" s="148" t="n">
        <v>661</v>
      </c>
      <c r="Y218" s="148" t="n">
        <v>0</v>
      </c>
    </row>
    <row r="219" customFormat="false" ht="14.25" hidden="false" customHeight="false" outlineLevel="0" collapsed="false">
      <c r="A219" s="161" t="s">
        <v>227</v>
      </c>
      <c r="B219" s="161" t="n">
        <v>12</v>
      </c>
      <c r="C219" s="162" t="n">
        <v>470</v>
      </c>
      <c r="D219" s="162" t="n">
        <v>0</v>
      </c>
      <c r="E219" s="162"/>
      <c r="F219" s="162" t="n">
        <v>0</v>
      </c>
      <c r="G219" s="162" t="n">
        <v>0</v>
      </c>
      <c r="H219" s="162" t="n">
        <v>0</v>
      </c>
      <c r="I219" s="162"/>
      <c r="J219" s="162" t="n">
        <v>0</v>
      </c>
      <c r="K219" s="148" t="s">
        <v>923</v>
      </c>
      <c r="L219" s="148" t="s">
        <v>311</v>
      </c>
      <c r="M219" s="148" t="n">
        <v>3861</v>
      </c>
      <c r="N219" s="149" t="n">
        <v>0</v>
      </c>
      <c r="O219" s="22"/>
      <c r="P219" s="22"/>
      <c r="Q219" s="23" t="n">
        <f aca="false">O219*P219</f>
        <v>0</v>
      </c>
      <c r="V219" s="148" t="s">
        <v>921</v>
      </c>
      <c r="W219" s="148" t="s">
        <v>303</v>
      </c>
      <c r="X219" s="148" t="n">
        <v>1</v>
      </c>
      <c r="Y219" s="148" t="n">
        <v>0</v>
      </c>
    </row>
    <row r="220" customFormat="false" ht="14.25" hidden="false" customHeight="false" outlineLevel="0" collapsed="false">
      <c r="A220" s="182" t="s">
        <v>228</v>
      </c>
      <c r="B220" s="182" t="n">
        <v>12</v>
      </c>
      <c r="C220" s="183" t="n">
        <v>67</v>
      </c>
      <c r="D220" s="183" t="n">
        <v>5925955</v>
      </c>
      <c r="E220" s="183" t="n">
        <v>56</v>
      </c>
      <c r="F220" s="183" t="n">
        <v>4917248</v>
      </c>
      <c r="G220" s="183" t="n">
        <v>0</v>
      </c>
      <c r="H220" s="183"/>
      <c r="I220" s="183" t="n">
        <v>123</v>
      </c>
      <c r="J220" s="183" t="n">
        <v>10843203</v>
      </c>
      <c r="K220" s="148" t="s">
        <v>924</v>
      </c>
      <c r="L220" s="148" t="s">
        <v>327</v>
      </c>
      <c r="M220" s="148" t="n">
        <v>12</v>
      </c>
      <c r="N220" s="149" t="n">
        <v>0</v>
      </c>
      <c r="O220" s="22"/>
      <c r="P220" s="22"/>
      <c r="Q220" s="23" t="n">
        <f aca="false">O220*P220</f>
        <v>0</v>
      </c>
      <c r="V220" s="148" t="s">
        <v>922</v>
      </c>
      <c r="W220" s="148" t="s">
        <v>753</v>
      </c>
      <c r="X220" s="148" t="n">
        <v>2</v>
      </c>
      <c r="Y220" s="148" t="n">
        <v>0</v>
      </c>
    </row>
    <row r="221" customFormat="false" ht="14.25" hidden="false" customHeight="false" outlineLevel="0" collapsed="false">
      <c r="A221" s="30" t="s">
        <v>229</v>
      </c>
      <c r="B221" s="30" t="n">
        <v>12</v>
      </c>
      <c r="C221" s="158" t="n">
        <v>2747</v>
      </c>
      <c r="D221" s="158" t="n">
        <v>247783362</v>
      </c>
      <c r="E221" s="158" t="n">
        <v>412</v>
      </c>
      <c r="F221" s="158" t="n">
        <v>36610448</v>
      </c>
      <c r="G221" s="158" t="n">
        <v>2933</v>
      </c>
      <c r="H221" s="158" t="n">
        <f aca="false">D221+F221-J221</f>
        <v>263286766</v>
      </c>
      <c r="I221" s="158" t="n">
        <v>226</v>
      </c>
      <c r="J221" s="158" t="n">
        <f aca="false">I221*P382</f>
        <v>21107044</v>
      </c>
      <c r="K221" s="148" t="s">
        <v>735</v>
      </c>
      <c r="L221" s="148" t="s">
        <v>736</v>
      </c>
      <c r="M221" s="148" t="n">
        <v>1</v>
      </c>
      <c r="N221" s="149" t="n">
        <v>580000</v>
      </c>
      <c r="O221" s="22"/>
      <c r="P221" s="22"/>
      <c r="Q221" s="23" t="n">
        <f aca="false">O221*P221</f>
        <v>0</v>
      </c>
      <c r="V221" s="148" t="s">
        <v>923</v>
      </c>
      <c r="W221" s="148" t="s">
        <v>311</v>
      </c>
      <c r="X221" s="148" t="n">
        <v>3861</v>
      </c>
      <c r="Y221" s="148" t="n">
        <v>0</v>
      </c>
    </row>
    <row r="222" customFormat="false" ht="14.25" hidden="false" customHeight="false" outlineLevel="0" collapsed="false">
      <c r="A222" s="30" t="s">
        <v>230</v>
      </c>
      <c r="B222" s="30" t="n">
        <v>12</v>
      </c>
      <c r="C222" s="158" t="n">
        <v>1429</v>
      </c>
      <c r="D222" s="158" t="n">
        <v>91033464</v>
      </c>
      <c r="E222" s="158" t="n">
        <v>924</v>
      </c>
      <c r="F222" s="158" t="n">
        <v>52136000</v>
      </c>
      <c r="G222" s="158" t="n">
        <f aca="false">C222+E222-I222</f>
        <v>2107</v>
      </c>
      <c r="H222" s="158" t="n">
        <f aca="false">D222+F222-J222</f>
        <v>127167097</v>
      </c>
      <c r="I222" s="158" t="n">
        <v>246</v>
      </c>
      <c r="J222" s="158" t="n">
        <v>16002367</v>
      </c>
      <c r="K222" s="148" t="s">
        <v>182</v>
      </c>
      <c r="L222" s="148" t="s">
        <v>528</v>
      </c>
      <c r="M222" s="148" t="n">
        <v>35</v>
      </c>
      <c r="N222" s="149" t="n">
        <v>2083200</v>
      </c>
      <c r="O222" s="22"/>
      <c r="P222" s="22"/>
      <c r="Q222" s="23" t="n">
        <f aca="false">O222*P222</f>
        <v>0</v>
      </c>
      <c r="R222" s="149" t="n">
        <f aca="false">J222-Q375</f>
        <v>-1137343</v>
      </c>
      <c r="V222" s="148" t="s">
        <v>924</v>
      </c>
      <c r="W222" s="148" t="s">
        <v>327</v>
      </c>
      <c r="X222" s="148" t="n">
        <v>12</v>
      </c>
      <c r="Y222" s="148" t="n">
        <v>0</v>
      </c>
    </row>
    <row r="223" customFormat="false" ht="14.25" hidden="false" customHeight="false" outlineLevel="0" collapsed="false">
      <c r="A223" s="161" t="s">
        <v>231</v>
      </c>
      <c r="B223" s="161" t="n">
        <v>12</v>
      </c>
      <c r="C223" s="162" t="n">
        <v>0</v>
      </c>
      <c r="D223" s="162" t="n">
        <v>0</v>
      </c>
      <c r="E223" s="162" t="n">
        <v>0</v>
      </c>
      <c r="F223" s="162" t="n">
        <v>0</v>
      </c>
      <c r="G223" s="162" t="n">
        <v>0</v>
      </c>
      <c r="H223" s="162" t="n">
        <v>0</v>
      </c>
      <c r="I223" s="162" t="n">
        <v>0</v>
      </c>
      <c r="J223" s="162" t="n">
        <v>0</v>
      </c>
      <c r="K223" s="148" t="s">
        <v>183</v>
      </c>
      <c r="L223" s="148" t="s">
        <v>528</v>
      </c>
      <c r="M223" s="148" t="n">
        <v>2522</v>
      </c>
      <c r="N223" s="149" t="n">
        <v>130683080.73241</v>
      </c>
      <c r="O223" s="22"/>
      <c r="P223" s="22"/>
      <c r="Q223" s="23" t="n">
        <f aca="false">O223*P223</f>
        <v>0</v>
      </c>
      <c r="V223" s="148" t="s">
        <v>735</v>
      </c>
      <c r="W223" s="148" t="s">
        <v>736</v>
      </c>
      <c r="X223" s="148" t="n">
        <v>1</v>
      </c>
      <c r="Y223" s="148" t="n">
        <v>580000</v>
      </c>
    </row>
    <row r="224" customFormat="false" ht="14.25" hidden="false" customHeight="false" outlineLevel="0" collapsed="false">
      <c r="A224" s="161" t="s">
        <v>232</v>
      </c>
      <c r="B224" s="161" t="n">
        <v>12</v>
      </c>
      <c r="C224" s="162" t="n">
        <v>897</v>
      </c>
      <c r="D224" s="162" t="n">
        <v>54866918</v>
      </c>
      <c r="E224" s="162" t="n">
        <v>389</v>
      </c>
      <c r="F224" s="162" t="n">
        <v>22866732</v>
      </c>
      <c r="G224" s="162" t="n">
        <v>665</v>
      </c>
      <c r="H224" s="162" t="n">
        <v>40196639</v>
      </c>
      <c r="I224" s="162" t="n">
        <v>621</v>
      </c>
      <c r="J224" s="162" t="n">
        <v>37537011</v>
      </c>
      <c r="K224" s="148" t="s">
        <v>184</v>
      </c>
      <c r="L224" s="148" t="s">
        <v>528</v>
      </c>
      <c r="M224" s="148" t="n">
        <v>1671</v>
      </c>
      <c r="N224" s="149" t="n">
        <v>83142004.13</v>
      </c>
      <c r="O224" s="22"/>
      <c r="P224" s="22"/>
      <c r="Q224" s="23" t="n">
        <f aca="false">O224*P224</f>
        <v>0</v>
      </c>
      <c r="V224" s="148" t="s">
        <v>182</v>
      </c>
      <c r="W224" s="148" t="s">
        <v>528</v>
      </c>
      <c r="X224" s="148" t="n">
        <v>35</v>
      </c>
      <c r="Y224" s="148" t="n">
        <v>2083200</v>
      </c>
    </row>
    <row r="225" customFormat="false" ht="14.25" hidden="false" customHeight="false" outlineLevel="0" collapsed="false">
      <c r="A225" s="30" t="s">
        <v>233</v>
      </c>
      <c r="B225" s="30" t="n">
        <v>12</v>
      </c>
      <c r="C225" s="158" t="n">
        <v>5775</v>
      </c>
      <c r="D225" s="158" t="n">
        <v>348275500</v>
      </c>
      <c r="E225" s="158" t="n">
        <v>2032</v>
      </c>
      <c r="F225" s="158" t="n">
        <v>100352000</v>
      </c>
      <c r="G225" s="158" t="n">
        <f aca="false">C225+E225-I225</f>
        <v>5082</v>
      </c>
      <c r="H225" s="158" t="n">
        <f aca="false">D225+F225-J225</f>
        <v>277727259</v>
      </c>
      <c r="I225" s="158" t="n">
        <v>2725</v>
      </c>
      <c r="J225" s="158" t="n">
        <v>170900241</v>
      </c>
      <c r="K225" s="148" t="s">
        <v>185</v>
      </c>
      <c r="L225" s="148" t="s">
        <v>303</v>
      </c>
      <c r="M225" s="148" t="n">
        <v>915</v>
      </c>
      <c r="N225" s="149" t="n">
        <v>182689865.25</v>
      </c>
      <c r="O225" s="35" t="n">
        <v>59</v>
      </c>
      <c r="P225" s="33" t="n">
        <v>264273</v>
      </c>
      <c r="Q225" s="25" t="n">
        <f aca="false">O225*P225</f>
        <v>15592107</v>
      </c>
      <c r="R225" s="149" t="n">
        <f aca="false">J225-Q292</f>
        <v>-15629039</v>
      </c>
      <c r="V225" s="148" t="s">
        <v>183</v>
      </c>
      <c r="W225" s="148" t="s">
        <v>528</v>
      </c>
      <c r="X225" s="148" t="n">
        <v>2522</v>
      </c>
      <c r="Y225" s="148" t="n">
        <v>130683080.73241</v>
      </c>
    </row>
    <row r="226" customFormat="false" ht="14.25" hidden="false" customHeight="false" outlineLevel="0" collapsed="false">
      <c r="A226" s="30" t="s">
        <v>234</v>
      </c>
      <c r="B226" s="30" t="n">
        <v>12</v>
      </c>
      <c r="C226" s="158" t="n">
        <v>22923</v>
      </c>
      <c r="D226" s="158" t="n">
        <v>1293167657</v>
      </c>
      <c r="E226" s="158" t="n">
        <v>17433</v>
      </c>
      <c r="F226" s="158" t="n">
        <v>905972760</v>
      </c>
      <c r="G226" s="158" t="n">
        <f aca="false">C226+E226-I226</f>
        <v>25056</v>
      </c>
      <c r="H226" s="158" t="n">
        <f aca="false">D226+F226-J226</f>
        <v>1286033703</v>
      </c>
      <c r="I226" s="158" t="n">
        <v>15300</v>
      </c>
      <c r="J226" s="158" t="n">
        <v>913106714</v>
      </c>
      <c r="K226" s="148" t="s">
        <v>742</v>
      </c>
      <c r="L226" s="148" t="s">
        <v>303</v>
      </c>
      <c r="M226" s="148" t="n">
        <v>219</v>
      </c>
      <c r="N226" s="149" t="n">
        <v>56093709.85</v>
      </c>
      <c r="O226" s="35" t="n">
        <v>4</v>
      </c>
      <c r="P226" s="33" t="n">
        <v>264273</v>
      </c>
      <c r="Q226" s="25" t="n">
        <f aca="false">O226*P226</f>
        <v>1057092</v>
      </c>
      <c r="R226" s="149" t="n">
        <f aca="false">J226-Q373</f>
        <v>-209332660</v>
      </c>
      <c r="V226" s="148" t="s">
        <v>184</v>
      </c>
      <c r="W226" s="148" t="s">
        <v>528</v>
      </c>
      <c r="X226" s="148" t="n">
        <v>1671</v>
      </c>
      <c r="Y226" s="148" t="n">
        <v>83142004.13</v>
      </c>
    </row>
    <row r="227" customFormat="false" ht="14.25" hidden="false" customHeight="false" outlineLevel="0" collapsed="false">
      <c r="A227" s="182" t="s">
        <v>235</v>
      </c>
      <c r="B227" s="182" t="n">
        <v>12</v>
      </c>
      <c r="C227" s="183" t="n">
        <v>322</v>
      </c>
      <c r="D227" s="183" t="n">
        <v>22632087</v>
      </c>
      <c r="E227" s="183" t="n">
        <v>120</v>
      </c>
      <c r="F227" s="183" t="n">
        <v>8467200</v>
      </c>
      <c r="G227" s="183" t="n">
        <v>298</v>
      </c>
      <c r="H227" s="183" t="n">
        <v>20967393</v>
      </c>
      <c r="I227" s="183" t="n">
        <v>144</v>
      </c>
      <c r="J227" s="183" t="n">
        <v>10131894</v>
      </c>
      <c r="K227" s="148" t="s">
        <v>748</v>
      </c>
      <c r="L227" s="148" t="s">
        <v>303</v>
      </c>
      <c r="M227" s="148" t="n">
        <v>8326</v>
      </c>
      <c r="N227" s="149" t="n">
        <v>1667408191.41962</v>
      </c>
      <c r="O227" s="24"/>
      <c r="P227" s="24"/>
      <c r="Q227" s="25" t="n">
        <f aca="false">O227*P227</f>
        <v>0</v>
      </c>
      <c r="V227" s="148" t="s">
        <v>185</v>
      </c>
      <c r="W227" s="148" t="s">
        <v>303</v>
      </c>
      <c r="X227" s="148" t="n">
        <v>915</v>
      </c>
      <c r="Y227" s="148" t="n">
        <v>182689865.25</v>
      </c>
    </row>
    <row r="228" customFormat="false" ht="14.25" hidden="false" customHeight="false" outlineLevel="0" collapsed="false">
      <c r="A228" s="30" t="s">
        <v>236</v>
      </c>
      <c r="B228" s="30" t="n">
        <v>12</v>
      </c>
      <c r="C228" s="158" t="n">
        <v>252</v>
      </c>
      <c r="D228" s="158" t="n">
        <v>16163532</v>
      </c>
      <c r="E228" s="158" t="n">
        <v>612</v>
      </c>
      <c r="F228" s="158" t="n">
        <v>37714908</v>
      </c>
      <c r="G228" s="158" t="n">
        <f aca="false">C228+E228-I228</f>
        <v>463</v>
      </c>
      <c r="H228" s="158" t="n">
        <f aca="false">D228+F228-J228</f>
        <v>28186406</v>
      </c>
      <c r="I228" s="158" t="n">
        <v>401</v>
      </c>
      <c r="J228" s="158" t="n">
        <v>25692034</v>
      </c>
      <c r="K228" s="148" t="s">
        <v>186</v>
      </c>
      <c r="L228" s="148" t="s">
        <v>303</v>
      </c>
      <c r="M228" s="148" t="n">
        <v>3025</v>
      </c>
      <c r="N228" s="149" t="n">
        <v>152301811.77</v>
      </c>
      <c r="O228" s="24"/>
      <c r="P228" s="24"/>
      <c r="Q228" s="25" t="n">
        <f aca="false">O228*P228</f>
        <v>0</v>
      </c>
      <c r="R228" s="149" t="n">
        <f aca="false">J228-Q380</f>
        <v>-734058</v>
      </c>
      <c r="V228" s="148" t="s">
        <v>742</v>
      </c>
      <c r="W228" s="148" t="s">
        <v>303</v>
      </c>
      <c r="X228" s="148" t="n">
        <v>219</v>
      </c>
      <c r="Y228" s="148" t="n">
        <v>56093709.85</v>
      </c>
    </row>
    <row r="229" customFormat="false" ht="14.25" hidden="false" customHeight="false" outlineLevel="0" collapsed="false">
      <c r="A229" s="30" t="s">
        <v>237</v>
      </c>
      <c r="B229" s="30" t="n">
        <v>12</v>
      </c>
      <c r="C229" s="158" t="n">
        <v>235</v>
      </c>
      <c r="D229" s="158" t="n">
        <v>1918332</v>
      </c>
      <c r="E229" s="158" t="n">
        <v>235</v>
      </c>
      <c r="F229" s="158" t="n">
        <f aca="false">E229*59290</f>
        <v>13933150</v>
      </c>
      <c r="G229" s="158" t="n">
        <v>235</v>
      </c>
      <c r="H229" s="158" t="n">
        <f aca="false">D229</f>
        <v>1918332</v>
      </c>
      <c r="I229" s="158" t="n">
        <v>235</v>
      </c>
      <c r="J229" s="158" t="n">
        <f aca="false">D229+F229-H229</f>
        <v>13933150</v>
      </c>
      <c r="K229" s="148" t="s">
        <v>189</v>
      </c>
      <c r="L229" s="148" t="s">
        <v>303</v>
      </c>
      <c r="M229" s="148" t="n">
        <v>515</v>
      </c>
      <c r="N229" s="149" t="n">
        <v>26116288.18</v>
      </c>
      <c r="O229" s="24"/>
      <c r="P229" s="24"/>
      <c r="Q229" s="25" t="n">
        <f aca="false">O229*P229</f>
        <v>0</v>
      </c>
      <c r="R229" s="149" t="n">
        <f aca="false">J229-Q378</f>
        <v>0</v>
      </c>
      <c r="V229" s="148" t="s">
        <v>748</v>
      </c>
      <c r="W229" s="148" t="s">
        <v>303</v>
      </c>
      <c r="X229" s="148" t="n">
        <v>8326</v>
      </c>
      <c r="Y229" s="148" t="n">
        <v>1667408191.41962</v>
      </c>
    </row>
    <row r="230" customFormat="false" ht="14.25" hidden="false" customHeight="false" outlineLevel="0" collapsed="false">
      <c r="A230" s="30" t="s">
        <v>238</v>
      </c>
      <c r="B230" s="30" t="n">
        <v>12</v>
      </c>
      <c r="C230" s="158" t="n">
        <v>942</v>
      </c>
      <c r="D230" s="158" t="n">
        <v>53507694</v>
      </c>
      <c r="E230" s="158" t="n">
        <v>0</v>
      </c>
      <c r="F230" s="158" t="n">
        <v>0</v>
      </c>
      <c r="G230" s="158" t="n">
        <f aca="false">C230-I230</f>
        <v>543</v>
      </c>
      <c r="H230" s="158" t="n">
        <f aca="false">D230-J230</f>
        <v>7497893</v>
      </c>
      <c r="I230" s="158" t="n">
        <v>399</v>
      </c>
      <c r="J230" s="158" t="n">
        <v>46009801</v>
      </c>
      <c r="K230" s="148" t="s">
        <v>190</v>
      </c>
      <c r="L230" s="148" t="s">
        <v>753</v>
      </c>
      <c r="M230" s="148" t="n">
        <v>7062</v>
      </c>
      <c r="N230" s="149" t="n">
        <v>134093184.94</v>
      </c>
      <c r="O230" s="24"/>
      <c r="P230" s="24"/>
      <c r="Q230" s="25" t="n">
        <f aca="false">O230*P230</f>
        <v>0</v>
      </c>
      <c r="R230" s="149" t="n">
        <f aca="false">J230-Q175</f>
        <v>-47302199</v>
      </c>
      <c r="V230" s="148" t="s">
        <v>186</v>
      </c>
      <c r="W230" s="148" t="s">
        <v>303</v>
      </c>
      <c r="X230" s="148" t="n">
        <v>3025</v>
      </c>
      <c r="Y230" s="148" t="n">
        <v>152301811.77</v>
      </c>
    </row>
    <row r="231" customFormat="false" ht="14.25" hidden="false" customHeight="false" outlineLevel="0" collapsed="false">
      <c r="A231" s="161" t="s">
        <v>239</v>
      </c>
      <c r="B231" s="161" t="n">
        <v>12</v>
      </c>
      <c r="C231" s="162" t="n">
        <v>0</v>
      </c>
      <c r="D231" s="162" t="n">
        <v>0</v>
      </c>
      <c r="E231" s="162" t="n">
        <v>0</v>
      </c>
      <c r="F231" s="162" t="n">
        <v>0</v>
      </c>
      <c r="G231" s="162" t="n">
        <v>0</v>
      </c>
      <c r="H231" s="162" t="n">
        <v>0</v>
      </c>
      <c r="I231" s="162" t="n">
        <v>0</v>
      </c>
      <c r="J231" s="162" t="n">
        <v>0</v>
      </c>
      <c r="K231" s="148" t="s">
        <v>755</v>
      </c>
      <c r="L231" s="148" t="s">
        <v>753</v>
      </c>
      <c r="M231" s="148" t="n">
        <v>780</v>
      </c>
      <c r="N231" s="149" t="n">
        <v>30410639.61</v>
      </c>
      <c r="O231" s="24"/>
      <c r="P231" s="24"/>
      <c r="Q231" s="25" t="n">
        <f aca="false">O231*P231</f>
        <v>0</v>
      </c>
      <c r="V231" s="148" t="s">
        <v>189</v>
      </c>
      <c r="W231" s="148" t="s">
        <v>303</v>
      </c>
      <c r="X231" s="148" t="n">
        <v>515</v>
      </c>
      <c r="Y231" s="148" t="n">
        <v>26116288.18</v>
      </c>
    </row>
    <row r="232" customFormat="false" ht="14.25" hidden="false" customHeight="false" outlineLevel="0" collapsed="false">
      <c r="A232" s="30" t="s">
        <v>240</v>
      </c>
      <c r="B232" s="30" t="n">
        <v>12</v>
      </c>
      <c r="C232" s="158" t="n">
        <v>25</v>
      </c>
      <c r="D232" s="158" t="n">
        <v>2337348</v>
      </c>
      <c r="E232" s="158" t="n">
        <v>2030</v>
      </c>
      <c r="F232" s="158" t="n">
        <v>189788760</v>
      </c>
      <c r="G232" s="158" t="n">
        <v>1506</v>
      </c>
      <c r="H232" s="158" t="n">
        <v>140798987</v>
      </c>
      <c r="I232" s="158" t="n">
        <v>549</v>
      </c>
      <c r="J232" s="158" t="n">
        <v>51327121</v>
      </c>
      <c r="K232" s="148" t="s">
        <v>191</v>
      </c>
      <c r="L232" s="148" t="s">
        <v>753</v>
      </c>
      <c r="M232" s="148" t="n">
        <v>28592</v>
      </c>
      <c r="N232" s="149" t="n">
        <v>881102753.834581</v>
      </c>
      <c r="O232" s="24"/>
      <c r="P232" s="24"/>
      <c r="Q232" s="25" t="n">
        <f aca="false">O232*P232</f>
        <v>0</v>
      </c>
      <c r="V232" s="148" t="s">
        <v>190</v>
      </c>
      <c r="W232" s="148" t="s">
        <v>753</v>
      </c>
      <c r="X232" s="148" t="n">
        <v>7062</v>
      </c>
      <c r="Y232" s="148" t="n">
        <v>134093184.94</v>
      </c>
    </row>
    <row r="233" customFormat="false" ht="14.25" hidden="false" customHeight="false" outlineLevel="0" collapsed="false">
      <c r="A233" s="30" t="s">
        <v>241</v>
      </c>
      <c r="B233" s="30" t="n">
        <v>12</v>
      </c>
      <c r="C233" s="158" t="n">
        <v>1186</v>
      </c>
      <c r="D233" s="158" t="n">
        <v>91489935</v>
      </c>
      <c r="E233" s="158" t="n">
        <v>464</v>
      </c>
      <c r="F233" s="158" t="n">
        <v>32792760</v>
      </c>
      <c r="G233" s="158" t="n">
        <f aca="false">C233+E233-I233</f>
        <v>769</v>
      </c>
      <c r="H233" s="158" t="n">
        <f aca="false">D233+F233-J233</f>
        <v>51294858</v>
      </c>
      <c r="I233" s="158" t="n">
        <v>881</v>
      </c>
      <c r="J233" s="158" t="n">
        <v>72987837</v>
      </c>
      <c r="K233" s="148" t="s">
        <v>192</v>
      </c>
      <c r="L233" s="148" t="s">
        <v>311</v>
      </c>
      <c r="M233" s="148" t="n">
        <v>7685</v>
      </c>
      <c r="N233" s="149" t="n">
        <v>59991263.76</v>
      </c>
      <c r="O233" s="35" t="n">
        <v>5</v>
      </c>
      <c r="P233" s="33" t="n">
        <v>274636</v>
      </c>
      <c r="Q233" s="25" t="n">
        <f aca="false">O233*P233</f>
        <v>1373180</v>
      </c>
      <c r="R233" s="149" t="n">
        <f aca="false">J233-Q384</f>
        <v>-7255053</v>
      </c>
      <c r="V233" s="148" t="s">
        <v>755</v>
      </c>
      <c r="W233" s="148" t="s">
        <v>753</v>
      </c>
      <c r="X233" s="148" t="n">
        <v>780</v>
      </c>
      <c r="Y233" s="148" t="n">
        <v>30410639.61</v>
      </c>
    </row>
    <row r="234" customFormat="false" ht="14.25" hidden="false" customHeight="false" outlineLevel="0" collapsed="false">
      <c r="A234" s="30" t="s">
        <v>242</v>
      </c>
      <c r="B234" s="30" t="n">
        <v>12</v>
      </c>
      <c r="C234" s="158" t="n">
        <v>137</v>
      </c>
      <c r="D234" s="158" t="n">
        <v>9584186</v>
      </c>
      <c r="E234" s="158" t="n">
        <v>54</v>
      </c>
      <c r="F234" s="158" t="n">
        <v>3797010</v>
      </c>
      <c r="G234" s="158" t="n">
        <f aca="false">C234+E234-I234</f>
        <v>38</v>
      </c>
      <c r="H234" s="158" t="n">
        <f aca="false">D234+F234-J234</f>
        <v>2311934</v>
      </c>
      <c r="I234" s="158" t="n">
        <v>153</v>
      </c>
      <c r="J234" s="158" t="n">
        <v>11069262</v>
      </c>
      <c r="K234" s="148" t="s">
        <v>193</v>
      </c>
      <c r="L234" s="148" t="s">
        <v>528</v>
      </c>
      <c r="M234" s="148" t="n">
        <v>250</v>
      </c>
      <c r="N234" s="149" t="n">
        <v>57934023</v>
      </c>
      <c r="O234" s="22"/>
      <c r="P234" s="22"/>
      <c r="Q234" s="23" t="n">
        <f aca="false">O234*P234</f>
        <v>0</v>
      </c>
      <c r="R234" s="149" t="n">
        <f aca="false">J234-Q385</f>
        <v>-357930</v>
      </c>
      <c r="V234" s="148" t="s">
        <v>191</v>
      </c>
      <c r="W234" s="148" t="s">
        <v>753</v>
      </c>
      <c r="X234" s="148" t="n">
        <v>28592</v>
      </c>
      <c r="Y234" s="148" t="n">
        <v>881102753.834581</v>
      </c>
    </row>
    <row r="235" customFormat="false" ht="14.25" hidden="false" customHeight="false" outlineLevel="0" collapsed="false">
      <c r="A235" s="182" t="s">
        <v>243</v>
      </c>
      <c r="B235" s="182" t="n">
        <v>12</v>
      </c>
      <c r="C235" s="183" t="n">
        <v>1575</v>
      </c>
      <c r="D235" s="183" t="n">
        <v>144885570</v>
      </c>
      <c r="E235" s="183" t="n">
        <v>171</v>
      </c>
      <c r="F235" s="183" t="n">
        <v>15690192</v>
      </c>
      <c r="G235" s="183" t="n">
        <v>1617</v>
      </c>
      <c r="H235" s="183" t="n">
        <v>148711917</v>
      </c>
      <c r="I235" s="183" t="n">
        <v>129</v>
      </c>
      <c r="J235" s="183" t="n">
        <v>11863845</v>
      </c>
      <c r="K235" s="148" t="s">
        <v>194</v>
      </c>
      <c r="L235" s="148" t="s">
        <v>311</v>
      </c>
      <c r="M235" s="148" t="n">
        <v>186385</v>
      </c>
      <c r="N235" s="149" t="n">
        <v>1499015844.54271</v>
      </c>
      <c r="O235" s="22"/>
      <c r="P235" s="22"/>
      <c r="Q235" s="23" t="n">
        <f aca="false">O235*P235</f>
        <v>0</v>
      </c>
      <c r="V235" s="148" t="s">
        <v>192</v>
      </c>
      <c r="W235" s="148" t="s">
        <v>311</v>
      </c>
      <c r="X235" s="148" t="n">
        <v>7685</v>
      </c>
      <c r="Y235" s="148" t="n">
        <v>59991263.76</v>
      </c>
    </row>
    <row r="236" customFormat="false" ht="14.25" hidden="false" customHeight="false" outlineLevel="0" collapsed="false">
      <c r="A236" s="161" t="s">
        <v>244</v>
      </c>
      <c r="B236" s="161" t="n">
        <v>12</v>
      </c>
      <c r="C236" s="162" t="n">
        <v>4</v>
      </c>
      <c r="D236" s="162" t="n">
        <v>351232</v>
      </c>
      <c r="E236" s="162" t="n">
        <v>48</v>
      </c>
      <c r="F236" s="162" t="n">
        <v>4214784</v>
      </c>
      <c r="G236" s="162" t="n">
        <v>52</v>
      </c>
      <c r="H236" s="162" t="n">
        <v>4566016</v>
      </c>
      <c r="I236" s="162" t="n">
        <v>0</v>
      </c>
      <c r="J236" s="162" t="n">
        <v>0</v>
      </c>
      <c r="K236" s="148" t="s">
        <v>195</v>
      </c>
      <c r="L236" s="148" t="s">
        <v>528</v>
      </c>
      <c r="M236" s="148" t="n">
        <v>7805</v>
      </c>
      <c r="N236" s="149" t="n">
        <v>2017552178.90906</v>
      </c>
      <c r="O236" s="35" t="n">
        <v>670</v>
      </c>
      <c r="P236" s="33" t="n">
        <v>182083</v>
      </c>
      <c r="Q236" s="25" t="n">
        <f aca="false">O236*P236</f>
        <v>121995610</v>
      </c>
      <c r="V236" s="148" t="s">
        <v>193</v>
      </c>
      <c r="W236" s="148" t="s">
        <v>528</v>
      </c>
      <c r="X236" s="148" t="n">
        <v>250</v>
      </c>
      <c r="Y236" s="148" t="n">
        <v>57934023</v>
      </c>
    </row>
    <row r="237" customFormat="false" ht="14.25" hidden="false" customHeight="false" outlineLevel="0" collapsed="false">
      <c r="A237" s="161" t="s">
        <v>245</v>
      </c>
      <c r="B237" s="161" t="n">
        <v>12</v>
      </c>
      <c r="C237" s="162" t="n">
        <v>0</v>
      </c>
      <c r="D237" s="162" t="n">
        <v>0</v>
      </c>
      <c r="E237" s="162" t="n">
        <v>0</v>
      </c>
      <c r="F237" s="162" t="n">
        <v>0</v>
      </c>
      <c r="G237" s="162" t="n">
        <v>0</v>
      </c>
      <c r="H237" s="162" t="n">
        <v>0</v>
      </c>
      <c r="I237" s="162" t="n">
        <v>0</v>
      </c>
      <c r="J237" s="162" t="n">
        <v>0</v>
      </c>
      <c r="K237" s="148" t="s">
        <v>643</v>
      </c>
      <c r="L237" s="148" t="s">
        <v>303</v>
      </c>
      <c r="M237" s="148" t="n">
        <v>12</v>
      </c>
      <c r="N237" s="149" t="n">
        <v>57590715</v>
      </c>
      <c r="O237" s="22"/>
      <c r="P237" s="22"/>
      <c r="Q237" s="23" t="n">
        <f aca="false">O237*P237</f>
        <v>0</v>
      </c>
      <c r="V237" s="148" t="s">
        <v>194</v>
      </c>
      <c r="W237" s="148" t="s">
        <v>311</v>
      </c>
      <c r="X237" s="148" t="n">
        <v>186385</v>
      </c>
      <c r="Y237" s="148" t="n">
        <v>1499015844.54271</v>
      </c>
    </row>
    <row r="238" customFormat="false" ht="14.25" hidden="false" customHeight="false" outlineLevel="0" collapsed="false">
      <c r="A238" s="182" t="s">
        <v>246</v>
      </c>
      <c r="B238" s="182" t="n">
        <v>12</v>
      </c>
      <c r="C238" s="183" t="n">
        <v>8756</v>
      </c>
      <c r="D238" s="183" t="n">
        <v>62408741</v>
      </c>
      <c r="E238" s="183" t="n">
        <v>1920</v>
      </c>
      <c r="F238" s="183" t="n">
        <v>13684878</v>
      </c>
      <c r="G238" s="183" t="n">
        <v>135</v>
      </c>
      <c r="H238" s="183" t="n">
        <v>962218</v>
      </c>
      <c r="I238" s="183" t="n">
        <v>10541</v>
      </c>
      <c r="J238" s="183" t="n">
        <v>75131401</v>
      </c>
      <c r="K238" s="148" t="s">
        <v>645</v>
      </c>
      <c r="L238" s="148" t="s">
        <v>303</v>
      </c>
      <c r="M238" s="148" t="n">
        <v>2</v>
      </c>
      <c r="N238" s="149" t="n">
        <v>1195084.7</v>
      </c>
      <c r="O238" s="22"/>
      <c r="P238" s="22"/>
      <c r="Q238" s="23" t="n">
        <f aca="false">O238*P238</f>
        <v>0</v>
      </c>
      <c r="V238" s="148" t="s">
        <v>195</v>
      </c>
      <c r="W238" s="148" t="s">
        <v>528</v>
      </c>
      <c r="X238" s="148" t="n">
        <v>7805</v>
      </c>
      <c r="Y238" s="148" t="n">
        <v>2017552178.90906</v>
      </c>
    </row>
    <row r="239" customFormat="false" ht="14.25" hidden="false" customHeight="false" outlineLevel="0" collapsed="false">
      <c r="A239" s="30" t="s">
        <v>247</v>
      </c>
      <c r="B239" s="30" t="n">
        <v>12</v>
      </c>
      <c r="C239" s="158" t="n">
        <v>43404</v>
      </c>
      <c r="D239" s="158" t="n">
        <v>288267066</v>
      </c>
      <c r="E239" s="158" t="n">
        <v>2880</v>
      </c>
      <c r="F239" s="158" t="n">
        <v>20527315</v>
      </c>
      <c r="G239" s="158" t="n">
        <f aca="false">C239+E239-I239</f>
        <v>3104</v>
      </c>
      <c r="H239" s="158" t="n">
        <f aca="false">D239+F239-J239</f>
        <v>1027447</v>
      </c>
      <c r="I239" s="158" t="n">
        <v>43180</v>
      </c>
      <c r="J239" s="158" t="n">
        <v>307766934</v>
      </c>
      <c r="K239" s="148" t="s">
        <v>765</v>
      </c>
      <c r="L239" s="148" t="s">
        <v>311</v>
      </c>
      <c r="M239" s="148" t="n">
        <v>1030</v>
      </c>
      <c r="N239" s="149" t="n">
        <v>8025657.04</v>
      </c>
      <c r="O239" s="22"/>
      <c r="P239" s="22"/>
      <c r="Q239" s="23" t="n">
        <f aca="false">O239*P239</f>
        <v>0</v>
      </c>
      <c r="R239" s="149" t="n">
        <f aca="false">J239-Q395</f>
        <v>-21026486.2</v>
      </c>
      <c r="V239" s="148" t="s">
        <v>643</v>
      </c>
      <c r="W239" s="148" t="s">
        <v>303</v>
      </c>
      <c r="X239" s="148" t="n">
        <v>12</v>
      </c>
      <c r="Y239" s="148" t="n">
        <v>57590715</v>
      </c>
    </row>
    <row r="240" customFormat="false" ht="14.25" hidden="false" customHeight="false" outlineLevel="0" collapsed="false">
      <c r="A240" s="182" t="s">
        <v>248</v>
      </c>
      <c r="B240" s="182" t="n">
        <v>12</v>
      </c>
      <c r="C240" s="183" t="n">
        <v>384</v>
      </c>
      <c r="D240" s="183" t="n">
        <v>1852721</v>
      </c>
      <c r="E240" s="183" t="n">
        <v>0</v>
      </c>
      <c r="F240" s="183" t="n">
        <v>0</v>
      </c>
      <c r="G240" s="183" t="n">
        <v>0</v>
      </c>
      <c r="H240" s="183" t="n">
        <v>0</v>
      </c>
      <c r="I240" s="183" t="n">
        <v>384</v>
      </c>
      <c r="J240" s="183" t="n">
        <v>1852721</v>
      </c>
      <c r="K240" s="148" t="s">
        <v>891</v>
      </c>
      <c r="L240" s="148" t="s">
        <v>753</v>
      </c>
      <c r="M240" s="148" t="n">
        <v>15683</v>
      </c>
      <c r="N240" s="149" t="n">
        <v>442153267.220137</v>
      </c>
      <c r="O240" s="22"/>
      <c r="P240" s="22"/>
      <c r="Q240" s="23" t="n">
        <f aca="false">O240*P240</f>
        <v>0</v>
      </c>
      <c r="V240" s="148" t="s">
        <v>645</v>
      </c>
      <c r="W240" s="148" t="s">
        <v>303</v>
      </c>
      <c r="X240" s="148" t="n">
        <v>2</v>
      </c>
      <c r="Y240" s="148" t="n">
        <v>1195084.7</v>
      </c>
    </row>
    <row r="241" customFormat="false" ht="14.25" hidden="false" customHeight="false" outlineLevel="0" collapsed="false">
      <c r="A241" s="182" t="s">
        <v>249</v>
      </c>
      <c r="B241" s="182" t="n">
        <v>12</v>
      </c>
      <c r="C241" s="183" t="n">
        <v>420</v>
      </c>
      <c r="D241" s="183" t="n">
        <v>1974630</v>
      </c>
      <c r="E241" s="183" t="n">
        <v>271</v>
      </c>
      <c r="F241" s="183" t="n">
        <v>0</v>
      </c>
      <c r="G241" s="183" t="n">
        <v>0</v>
      </c>
      <c r="H241" s="183" t="n">
        <v>0</v>
      </c>
      <c r="I241" s="183" t="n">
        <v>691</v>
      </c>
      <c r="J241" s="183" t="n">
        <v>1974630</v>
      </c>
      <c r="K241" s="148" t="s">
        <v>771</v>
      </c>
      <c r="L241" s="148" t="s">
        <v>303</v>
      </c>
      <c r="M241" s="148" t="n">
        <v>19</v>
      </c>
      <c r="N241" s="149" t="n">
        <v>75273307</v>
      </c>
      <c r="O241" s="35" t="n">
        <v>250</v>
      </c>
      <c r="P241" s="33" t="n">
        <v>213651.57</v>
      </c>
      <c r="Q241" s="25" t="n">
        <f aca="false">O241*P241</f>
        <v>53412892.5</v>
      </c>
      <c r="R241" s="149" t="n">
        <f aca="false">J185-Q241</f>
        <v>229732.5</v>
      </c>
      <c r="V241" s="148" t="s">
        <v>765</v>
      </c>
      <c r="W241" s="148" t="s">
        <v>311</v>
      </c>
      <c r="X241" s="148" t="n">
        <v>1030</v>
      </c>
      <c r="Y241" s="148" t="n">
        <v>8025657.04</v>
      </c>
    </row>
    <row r="242" customFormat="false" ht="14.25" hidden="false" customHeight="false" outlineLevel="0" collapsed="false">
      <c r="A242" s="30" t="s">
        <v>250</v>
      </c>
      <c r="B242" s="30" t="n">
        <v>12</v>
      </c>
      <c r="C242" s="158" t="n">
        <v>16561</v>
      </c>
      <c r="D242" s="158" t="n">
        <v>169801355</v>
      </c>
      <c r="E242" s="158" t="n">
        <f aca="false">2160+18621</f>
        <v>20781</v>
      </c>
      <c r="F242" s="158" t="n">
        <f aca="false">15395487+184207595</f>
        <v>199603082</v>
      </c>
      <c r="G242" s="158" t="n">
        <f aca="false">C242+E242-I242</f>
        <v>11497</v>
      </c>
      <c r="H242" s="158" t="n">
        <f aca="false">D242+(2160*7128)</f>
        <v>185197835</v>
      </c>
      <c r="I242" s="158" t="n">
        <v>25845</v>
      </c>
      <c r="J242" s="158" t="n">
        <v>184207595</v>
      </c>
      <c r="K242" s="148" t="s">
        <v>773</v>
      </c>
      <c r="L242" s="148" t="s">
        <v>303</v>
      </c>
      <c r="M242" s="148" t="n">
        <v>16</v>
      </c>
      <c r="N242" s="149" t="n">
        <v>0</v>
      </c>
      <c r="O242" s="35" t="n">
        <v>9805</v>
      </c>
      <c r="P242" s="33" t="n">
        <v>213651.57</v>
      </c>
      <c r="Q242" s="25" t="n">
        <f aca="false">O242*P242</f>
        <v>2094853643.85</v>
      </c>
      <c r="R242" s="149" t="n">
        <f aca="false">J242-Q403</f>
        <v>51485641.625</v>
      </c>
      <c r="V242" s="148" t="s">
        <v>891</v>
      </c>
      <c r="W242" s="148" t="s">
        <v>753</v>
      </c>
      <c r="X242" s="148" t="n">
        <v>15683</v>
      </c>
      <c r="Y242" s="148" t="n">
        <v>442153267.220137</v>
      </c>
    </row>
    <row r="243" customFormat="false" ht="14.25" hidden="false" customHeight="false" outlineLevel="0" collapsed="false">
      <c r="A243" s="161" t="s">
        <v>251</v>
      </c>
      <c r="B243" s="161" t="n">
        <v>12</v>
      </c>
      <c r="C243" s="162" t="n">
        <v>0</v>
      </c>
      <c r="D243" s="162"/>
      <c r="E243" s="162"/>
      <c r="F243" s="162"/>
      <c r="G243" s="162"/>
      <c r="H243" s="162"/>
      <c r="I243" s="162"/>
      <c r="J243" s="162"/>
      <c r="K243" s="148" t="s">
        <v>777</v>
      </c>
      <c r="L243" s="148" t="s">
        <v>303</v>
      </c>
      <c r="M243" s="148" t="n">
        <v>1</v>
      </c>
      <c r="N243" s="149" t="n">
        <v>424842</v>
      </c>
      <c r="O243" s="22"/>
      <c r="P243" s="22"/>
      <c r="Q243" s="23" t="n">
        <f aca="false">O243*P243</f>
        <v>0</v>
      </c>
      <c r="V243" s="148" t="s">
        <v>771</v>
      </c>
      <c r="W243" s="148" t="s">
        <v>303</v>
      </c>
      <c r="X243" s="148" t="n">
        <v>19</v>
      </c>
      <c r="Y243" s="148" t="n">
        <v>75273307</v>
      </c>
    </row>
    <row r="244" customFormat="false" ht="14.25" hidden="false" customHeight="false" outlineLevel="0" collapsed="false">
      <c r="A244" s="161" t="s">
        <v>252</v>
      </c>
      <c r="B244" s="161" t="n">
        <v>12</v>
      </c>
      <c r="C244" s="162" t="n">
        <v>0</v>
      </c>
      <c r="D244" s="162" t="n">
        <v>0</v>
      </c>
      <c r="E244" s="162" t="n">
        <v>0</v>
      </c>
      <c r="F244" s="162" t="n">
        <v>0</v>
      </c>
      <c r="G244" s="162" t="n">
        <v>0</v>
      </c>
      <c r="H244" s="162" t="n">
        <v>0</v>
      </c>
      <c r="I244" s="162" t="n">
        <v>0</v>
      </c>
      <c r="J244" s="162" t="n">
        <v>0</v>
      </c>
      <c r="K244" s="148" t="s">
        <v>775</v>
      </c>
      <c r="L244" s="148" t="s">
        <v>303</v>
      </c>
      <c r="M244" s="148" t="n">
        <v>3</v>
      </c>
      <c r="N244" s="149" t="n">
        <v>0</v>
      </c>
      <c r="O244" s="22"/>
      <c r="P244" s="22"/>
      <c r="Q244" s="23" t="n">
        <f aca="false">O244*P244</f>
        <v>0</v>
      </c>
      <c r="V244" s="148" t="s">
        <v>773</v>
      </c>
      <c r="W244" s="148" t="s">
        <v>303</v>
      </c>
      <c r="X244" s="148" t="n">
        <v>16</v>
      </c>
      <c r="Y244" s="148" t="n">
        <v>0</v>
      </c>
    </row>
    <row r="245" customFormat="false" ht="14.25" hidden="false" customHeight="false" outlineLevel="0" collapsed="false">
      <c r="A245" s="161" t="s">
        <v>253</v>
      </c>
      <c r="B245" s="161" t="n">
        <v>12</v>
      </c>
      <c r="C245" s="162" t="n">
        <v>0</v>
      </c>
      <c r="D245" s="162" t="n">
        <v>0</v>
      </c>
      <c r="E245" s="162" t="n">
        <v>0</v>
      </c>
      <c r="F245" s="162" t="n">
        <v>0</v>
      </c>
      <c r="G245" s="162" t="n">
        <v>0</v>
      </c>
      <c r="H245" s="162" t="n">
        <v>0</v>
      </c>
      <c r="I245" s="162" t="n">
        <v>0</v>
      </c>
      <c r="J245" s="162" t="n">
        <v>0</v>
      </c>
      <c r="K245" s="148" t="s">
        <v>649</v>
      </c>
      <c r="L245" s="148" t="s">
        <v>303</v>
      </c>
      <c r="M245" s="148" t="n">
        <v>2</v>
      </c>
      <c r="N245" s="149" t="n">
        <v>0</v>
      </c>
      <c r="O245" s="22"/>
      <c r="P245" s="22"/>
      <c r="Q245" s="23" t="n">
        <f aca="false">O245*P245</f>
        <v>0</v>
      </c>
      <c r="V245" s="148" t="s">
        <v>777</v>
      </c>
      <c r="W245" s="148" t="s">
        <v>303</v>
      </c>
      <c r="X245" s="148" t="n">
        <v>1</v>
      </c>
      <c r="Y245" s="148" t="n">
        <v>424842</v>
      </c>
    </row>
    <row r="246" customFormat="false" ht="14.25" hidden="false" customHeight="false" outlineLevel="0" collapsed="false">
      <c r="A246" s="161" t="s">
        <v>254</v>
      </c>
      <c r="B246" s="161" t="n">
        <v>12</v>
      </c>
      <c r="C246" s="162" t="n">
        <v>178</v>
      </c>
      <c r="D246" s="162" t="n">
        <v>6117278</v>
      </c>
      <c r="E246" s="162" t="n">
        <v>62</v>
      </c>
      <c r="F246" s="162" t="n">
        <v>2130804</v>
      </c>
      <c r="G246" s="162" t="n">
        <v>240</v>
      </c>
      <c r="H246" s="162" t="n">
        <v>8248082</v>
      </c>
      <c r="I246" s="162" t="n">
        <v>0</v>
      </c>
      <c r="J246" s="162" t="n">
        <v>0</v>
      </c>
      <c r="K246" s="148" t="s">
        <v>779</v>
      </c>
      <c r="L246" s="148" t="s">
        <v>303</v>
      </c>
      <c r="M246" s="148" t="n">
        <v>4</v>
      </c>
      <c r="N246" s="149" t="n">
        <v>8364356</v>
      </c>
      <c r="O246" s="22"/>
      <c r="P246" s="22"/>
      <c r="Q246" s="23" t="n">
        <f aca="false">O246*P246</f>
        <v>0</v>
      </c>
      <c r="V246" s="148" t="s">
        <v>775</v>
      </c>
      <c r="W246" s="148" t="s">
        <v>303</v>
      </c>
      <c r="X246" s="148" t="n">
        <v>3</v>
      </c>
      <c r="Y246" s="148" t="n">
        <v>0</v>
      </c>
    </row>
    <row r="247" customFormat="false" ht="14.25" hidden="false" customHeight="false" outlineLevel="0" collapsed="false">
      <c r="A247" s="161" t="s">
        <v>255</v>
      </c>
      <c r="B247" s="161" t="n">
        <v>12</v>
      </c>
      <c r="C247" s="162" t="n">
        <v>0</v>
      </c>
      <c r="D247" s="162" t="n">
        <v>884858</v>
      </c>
      <c r="E247" s="162" t="n">
        <v>40</v>
      </c>
      <c r="F247" s="162" t="n">
        <v>3487564</v>
      </c>
      <c r="G247" s="162" t="n">
        <v>40</v>
      </c>
      <c r="H247" s="162" t="n">
        <v>4372422</v>
      </c>
      <c r="I247" s="162" t="n">
        <v>0</v>
      </c>
      <c r="J247" s="162" t="n">
        <v>0</v>
      </c>
      <c r="K247" s="148" t="s">
        <v>781</v>
      </c>
      <c r="L247" s="148" t="s">
        <v>303</v>
      </c>
      <c r="M247" s="148" t="n">
        <v>1</v>
      </c>
      <c r="N247" s="149" t="n">
        <v>5012280</v>
      </c>
      <c r="O247" s="22"/>
      <c r="P247" s="22"/>
      <c r="Q247" s="23" t="n">
        <f aca="false">O247*P247</f>
        <v>0</v>
      </c>
      <c r="V247" s="148" t="s">
        <v>649</v>
      </c>
      <c r="W247" s="148" t="s">
        <v>303</v>
      </c>
      <c r="X247" s="148" t="n">
        <v>2</v>
      </c>
      <c r="Y247" s="148" t="n">
        <v>0</v>
      </c>
    </row>
    <row r="248" customFormat="false" ht="14.25" hidden="false" customHeight="false" outlineLevel="0" collapsed="false">
      <c r="A248" s="161" t="s">
        <v>256</v>
      </c>
      <c r="B248" s="161" t="n">
        <v>12</v>
      </c>
      <c r="C248" s="162" t="n">
        <v>0</v>
      </c>
      <c r="D248" s="162" t="n">
        <v>0</v>
      </c>
      <c r="E248" s="162" t="n">
        <v>110</v>
      </c>
      <c r="F248" s="162" t="n">
        <v>4786700</v>
      </c>
      <c r="G248" s="162" t="n">
        <v>110</v>
      </c>
      <c r="H248" s="162" t="n">
        <v>4786700</v>
      </c>
      <c r="I248" s="162" t="n">
        <v>0</v>
      </c>
      <c r="J248" s="162" t="n">
        <v>0</v>
      </c>
      <c r="K248" s="148" t="s">
        <v>925</v>
      </c>
      <c r="L248" s="148" t="s">
        <v>303</v>
      </c>
      <c r="M248" s="148" t="n">
        <v>915</v>
      </c>
      <c r="N248" s="149" t="n">
        <v>0</v>
      </c>
      <c r="O248" s="22"/>
      <c r="P248" s="22"/>
      <c r="Q248" s="23" t="n">
        <f aca="false">O248*P248</f>
        <v>0</v>
      </c>
      <c r="V248" s="148" t="s">
        <v>779</v>
      </c>
      <c r="W248" s="148" t="s">
        <v>303</v>
      </c>
      <c r="X248" s="148" t="n">
        <v>4</v>
      </c>
      <c r="Y248" s="148" t="n">
        <v>8364356</v>
      </c>
    </row>
    <row r="249" customFormat="false" ht="14.25" hidden="false" customHeight="false" outlineLevel="0" collapsed="false">
      <c r="A249" s="161" t="s">
        <v>257</v>
      </c>
      <c r="B249" s="161" t="n">
        <v>12</v>
      </c>
      <c r="C249" s="162" t="n">
        <v>26</v>
      </c>
      <c r="D249" s="162" t="n">
        <v>1423200</v>
      </c>
      <c r="E249" s="162" t="n">
        <v>24</v>
      </c>
      <c r="F249" s="162" t="n">
        <v>1313723</v>
      </c>
      <c r="G249" s="162" t="n">
        <v>50</v>
      </c>
      <c r="H249" s="162" t="n">
        <v>2736923</v>
      </c>
      <c r="I249" s="162" t="n">
        <v>0</v>
      </c>
      <c r="J249" s="162" t="n">
        <v>0</v>
      </c>
      <c r="K249" s="148" t="s">
        <v>926</v>
      </c>
      <c r="L249" s="148" t="s">
        <v>844</v>
      </c>
      <c r="M249" s="148" t="n">
        <v>1</v>
      </c>
      <c r="N249" s="149" t="n">
        <v>0</v>
      </c>
      <c r="O249" s="22"/>
      <c r="P249" s="22"/>
      <c r="Q249" s="23" t="n">
        <f aca="false">O249*P249</f>
        <v>0</v>
      </c>
      <c r="V249" s="148" t="s">
        <v>781</v>
      </c>
      <c r="W249" s="148" t="s">
        <v>303</v>
      </c>
      <c r="X249" s="148" t="n">
        <v>1</v>
      </c>
      <c r="Y249" s="148" t="n">
        <v>5012280</v>
      </c>
    </row>
    <row r="250" customFormat="false" ht="14.25" hidden="false" customHeight="false" outlineLevel="0" collapsed="false">
      <c r="A250" s="30" t="s">
        <v>258</v>
      </c>
      <c r="B250" s="30" t="n">
        <v>12</v>
      </c>
      <c r="C250" s="158" t="n">
        <v>1315</v>
      </c>
      <c r="D250" s="158" t="n">
        <v>5870462</v>
      </c>
      <c r="E250" s="158" t="n">
        <v>150</v>
      </c>
      <c r="F250" s="158" t="n">
        <v>2298240</v>
      </c>
      <c r="G250" s="158" t="n">
        <f aca="false">C250+E250-I250</f>
        <v>1126</v>
      </c>
      <c r="H250" s="158" t="n">
        <f aca="false">D250+F250-J250</f>
        <v>3829633</v>
      </c>
      <c r="I250" s="158" t="n">
        <v>339</v>
      </c>
      <c r="J250" s="158" t="n">
        <v>4339069</v>
      </c>
      <c r="K250" s="148" t="s">
        <v>927</v>
      </c>
      <c r="L250" s="148" t="s">
        <v>451</v>
      </c>
      <c r="M250" s="148" t="n">
        <v>1</v>
      </c>
      <c r="N250" s="149" t="n">
        <v>0</v>
      </c>
      <c r="O250" s="22"/>
      <c r="P250" s="22"/>
      <c r="Q250" s="23" t="n">
        <f aca="false">O250*P250</f>
        <v>0</v>
      </c>
      <c r="R250" s="149" t="n">
        <f aca="false">J250-Q340</f>
        <v>-11217791</v>
      </c>
      <c r="V250" s="148" t="s">
        <v>925</v>
      </c>
      <c r="W250" s="148" t="s">
        <v>303</v>
      </c>
      <c r="X250" s="148" t="n">
        <v>915</v>
      </c>
      <c r="Y250" s="148" t="n">
        <v>0</v>
      </c>
    </row>
    <row r="251" customFormat="false" ht="14.25" hidden="false" customHeight="false" outlineLevel="0" collapsed="false">
      <c r="A251" s="182" t="s">
        <v>259</v>
      </c>
      <c r="B251" s="182" t="n">
        <v>12</v>
      </c>
      <c r="C251" s="183" t="n">
        <v>90</v>
      </c>
      <c r="D251" s="183" t="n">
        <v>1980663</v>
      </c>
      <c r="E251" s="183" t="n">
        <v>0</v>
      </c>
      <c r="F251" s="183" t="n">
        <v>0</v>
      </c>
      <c r="G251" s="183" t="n">
        <v>0</v>
      </c>
      <c r="H251" s="183" t="n">
        <v>0</v>
      </c>
      <c r="I251" s="183" t="n">
        <v>90</v>
      </c>
      <c r="J251" s="183" t="n">
        <v>1980663</v>
      </c>
      <c r="K251" s="148" t="s">
        <v>928</v>
      </c>
      <c r="L251" s="148" t="s">
        <v>327</v>
      </c>
      <c r="M251" s="148" t="n">
        <v>3</v>
      </c>
      <c r="N251" s="149" t="n">
        <v>0</v>
      </c>
      <c r="O251" s="22"/>
      <c r="P251" s="22"/>
      <c r="Q251" s="23" t="n">
        <f aca="false">O251*P251</f>
        <v>0</v>
      </c>
      <c r="R251" s="149" t="n">
        <f aca="false">J251-Q342</f>
        <v>57911.9999999998</v>
      </c>
      <c r="V251" s="148" t="s">
        <v>926</v>
      </c>
      <c r="W251" s="148" t="s">
        <v>844</v>
      </c>
      <c r="X251" s="148" t="n">
        <v>1</v>
      </c>
      <c r="Y251" s="148" t="n">
        <v>0</v>
      </c>
    </row>
    <row r="252" customFormat="false" ht="14.25" hidden="false" customHeight="false" outlineLevel="0" collapsed="false">
      <c r="A252" s="164" t="s">
        <v>260</v>
      </c>
      <c r="B252" s="164" t="n">
        <v>12</v>
      </c>
      <c r="C252" s="165" t="n">
        <v>7</v>
      </c>
      <c r="D252" s="165" t="n">
        <v>460192</v>
      </c>
      <c r="E252" s="165" t="n">
        <v>0</v>
      </c>
      <c r="F252" s="165" t="n">
        <v>0</v>
      </c>
      <c r="G252" s="165" t="n">
        <v>0</v>
      </c>
      <c r="H252" s="165" t="n">
        <v>0</v>
      </c>
      <c r="I252" s="165" t="n">
        <v>7</v>
      </c>
      <c r="J252" s="165" t="n">
        <v>460192</v>
      </c>
      <c r="K252" s="148" t="s">
        <v>929</v>
      </c>
      <c r="L252" s="148" t="s">
        <v>327</v>
      </c>
      <c r="M252" s="148" t="n">
        <v>3</v>
      </c>
      <c r="N252" s="149" t="n">
        <v>0</v>
      </c>
      <c r="O252" s="39" t="n">
        <v>7</v>
      </c>
      <c r="P252" s="40" t="n">
        <v>35040</v>
      </c>
      <c r="Q252" s="41" t="n">
        <f aca="false">O252*P252</f>
        <v>245280</v>
      </c>
      <c r="V252" s="148" t="s">
        <v>927</v>
      </c>
      <c r="W252" s="148" t="s">
        <v>451</v>
      </c>
      <c r="X252" s="148" t="n">
        <v>1</v>
      </c>
      <c r="Y252" s="148" t="n">
        <v>0</v>
      </c>
    </row>
    <row r="253" customFormat="false" ht="14.25" hidden="false" customHeight="false" outlineLevel="0" collapsed="false">
      <c r="A253" s="161" t="s">
        <v>261</v>
      </c>
      <c r="B253" s="161" t="n">
        <v>12</v>
      </c>
      <c r="C253" s="162" t="n">
        <v>0</v>
      </c>
      <c r="D253" s="162" t="n">
        <v>0</v>
      </c>
      <c r="E253" s="162" t="n">
        <v>0</v>
      </c>
      <c r="F253" s="162" t="n">
        <v>0</v>
      </c>
      <c r="G253" s="162" t="n">
        <v>0</v>
      </c>
      <c r="H253" s="162" t="n">
        <v>0</v>
      </c>
      <c r="I253" s="162" t="n">
        <v>0</v>
      </c>
      <c r="J253" s="162" t="n">
        <v>0</v>
      </c>
      <c r="K253" s="148" t="s">
        <v>930</v>
      </c>
      <c r="L253" s="148" t="s">
        <v>327</v>
      </c>
      <c r="M253" s="148" t="n">
        <v>41</v>
      </c>
      <c r="N253" s="149" t="n">
        <v>0</v>
      </c>
      <c r="O253" s="177"/>
      <c r="P253" s="177"/>
      <c r="Q253" s="41" t="n">
        <f aca="false">O253*P253</f>
        <v>0</v>
      </c>
      <c r="V253" s="148" t="s">
        <v>928</v>
      </c>
      <c r="W253" s="148" t="s">
        <v>327</v>
      </c>
      <c r="X253" s="148" t="n">
        <v>3</v>
      </c>
      <c r="Y253" s="148" t="n">
        <v>0</v>
      </c>
    </row>
    <row r="254" customFormat="false" ht="14.25" hidden="false" customHeight="false" outlineLevel="0" collapsed="false">
      <c r="A254" s="164" t="s">
        <v>262</v>
      </c>
      <c r="B254" s="164" t="n">
        <v>12</v>
      </c>
      <c r="C254" s="165" t="n">
        <v>4</v>
      </c>
      <c r="D254" s="165" t="n">
        <v>330624</v>
      </c>
      <c r="E254" s="165" t="n">
        <v>0</v>
      </c>
      <c r="F254" s="165" t="n">
        <v>0</v>
      </c>
      <c r="G254" s="165" t="n">
        <v>0</v>
      </c>
      <c r="H254" s="165" t="n">
        <v>0</v>
      </c>
      <c r="I254" s="165" t="n">
        <v>4</v>
      </c>
      <c r="J254" s="165" t="n">
        <v>330624</v>
      </c>
      <c r="K254" s="148" t="s">
        <v>931</v>
      </c>
      <c r="L254" s="148" t="s">
        <v>699</v>
      </c>
      <c r="M254" s="148" t="n">
        <v>25</v>
      </c>
      <c r="N254" s="149" t="n">
        <v>0</v>
      </c>
      <c r="O254" s="39" t="n">
        <v>4</v>
      </c>
      <c r="P254" s="40" t="n">
        <v>33060.37</v>
      </c>
      <c r="Q254" s="41" t="n">
        <f aca="false">O254*P254</f>
        <v>132241.48</v>
      </c>
      <c r="V254" s="148" t="s">
        <v>929</v>
      </c>
      <c r="W254" s="148" t="s">
        <v>327</v>
      </c>
      <c r="X254" s="148" t="n">
        <v>3</v>
      </c>
      <c r="Y254" s="148" t="n">
        <v>0</v>
      </c>
    </row>
    <row r="255" customFormat="false" ht="14.25" hidden="false" customHeight="false" outlineLevel="0" collapsed="false">
      <c r="A255" s="161" t="s">
        <v>263</v>
      </c>
      <c r="B255" s="161" t="n">
        <v>12</v>
      </c>
      <c r="C255" s="162" t="n">
        <v>0</v>
      </c>
      <c r="D255" s="162" t="n">
        <v>0</v>
      </c>
      <c r="E255" s="162" t="n">
        <v>0</v>
      </c>
      <c r="F255" s="162" t="n">
        <v>0</v>
      </c>
      <c r="G255" s="162" t="n">
        <v>0</v>
      </c>
      <c r="H255" s="162" t="n">
        <v>0</v>
      </c>
      <c r="I255" s="162" t="n">
        <v>0</v>
      </c>
      <c r="J255" s="162" t="n">
        <v>0</v>
      </c>
      <c r="K255" s="148" t="s">
        <v>202</v>
      </c>
      <c r="L255" s="148" t="s">
        <v>303</v>
      </c>
      <c r="M255" s="148" t="n">
        <v>161</v>
      </c>
      <c r="N255" s="149" t="n">
        <v>4154122</v>
      </c>
      <c r="O255" s="22"/>
      <c r="P255" s="22"/>
      <c r="Q255" s="23" t="n">
        <f aca="false">O255*P255</f>
        <v>0</v>
      </c>
      <c r="V255" s="148" t="s">
        <v>930</v>
      </c>
      <c r="W255" s="148" t="s">
        <v>327</v>
      </c>
      <c r="X255" s="148" t="n">
        <v>41</v>
      </c>
      <c r="Y255" s="148" t="n">
        <v>0</v>
      </c>
    </row>
    <row r="256" customFormat="false" ht="14.25" hidden="false" customHeight="false" outlineLevel="0" collapsed="false">
      <c r="A256" s="161" t="s">
        <v>264</v>
      </c>
      <c r="B256" s="161" t="n">
        <v>12</v>
      </c>
      <c r="C256" s="162" t="n">
        <v>0</v>
      </c>
      <c r="D256" s="162" t="n">
        <v>0</v>
      </c>
      <c r="E256" s="162" t="n">
        <v>0</v>
      </c>
      <c r="F256" s="162" t="n">
        <v>0</v>
      </c>
      <c r="G256" s="162" t="n">
        <v>0</v>
      </c>
      <c r="H256" s="162" t="n">
        <v>0</v>
      </c>
      <c r="I256" s="162" t="n">
        <v>0</v>
      </c>
      <c r="J256" s="162" t="n">
        <v>0</v>
      </c>
      <c r="K256" s="148" t="s">
        <v>203</v>
      </c>
      <c r="L256" s="148" t="s">
        <v>303</v>
      </c>
      <c r="M256" s="148" t="n">
        <v>1043</v>
      </c>
      <c r="N256" s="149" t="n">
        <v>13195098.908</v>
      </c>
      <c r="O256" s="22"/>
      <c r="P256" s="22"/>
      <c r="Q256" s="23" t="n">
        <f aca="false">O256*P256</f>
        <v>0</v>
      </c>
      <c r="V256" s="148" t="s">
        <v>931</v>
      </c>
      <c r="W256" s="148" t="s">
        <v>699</v>
      </c>
      <c r="X256" s="148" t="n">
        <v>25</v>
      </c>
      <c r="Y256" s="148" t="n">
        <v>0</v>
      </c>
    </row>
    <row r="257" customFormat="false" ht="14.25" hidden="false" customHeight="false" outlineLevel="0" collapsed="false">
      <c r="A257" s="164" t="s">
        <v>265</v>
      </c>
      <c r="B257" s="164" t="n">
        <v>12</v>
      </c>
      <c r="C257" s="165" t="n">
        <v>5</v>
      </c>
      <c r="D257" s="165" t="n">
        <v>412800</v>
      </c>
      <c r="E257" s="165" t="n">
        <v>0</v>
      </c>
      <c r="F257" s="165" t="n">
        <v>0</v>
      </c>
      <c r="G257" s="165" t="n">
        <v>0</v>
      </c>
      <c r="H257" s="165" t="n">
        <v>0</v>
      </c>
      <c r="I257" s="165" t="n">
        <v>5</v>
      </c>
      <c r="J257" s="165" t="n">
        <v>412800</v>
      </c>
      <c r="K257" s="148" t="s">
        <v>204</v>
      </c>
      <c r="L257" s="148" t="s">
        <v>303</v>
      </c>
      <c r="M257" s="148" t="n">
        <v>3152</v>
      </c>
      <c r="N257" s="149" t="n">
        <v>121803907.058606</v>
      </c>
      <c r="O257" s="22"/>
      <c r="P257" s="22"/>
      <c r="Q257" s="23" t="n">
        <f aca="false">O257*P257</f>
        <v>0</v>
      </c>
      <c r="V257" s="148" t="s">
        <v>202</v>
      </c>
      <c r="W257" s="148" t="s">
        <v>303</v>
      </c>
      <c r="X257" s="148" t="n">
        <v>161</v>
      </c>
      <c r="Y257" s="148" t="n">
        <v>4154122</v>
      </c>
    </row>
    <row r="258" customFormat="false" ht="14.25" hidden="false" customHeight="false" outlineLevel="0" collapsed="false">
      <c r="A258" s="164" t="s">
        <v>266</v>
      </c>
      <c r="B258" s="164" t="n">
        <v>12</v>
      </c>
      <c r="C258" s="165" t="n">
        <v>5</v>
      </c>
      <c r="D258" s="165" t="n">
        <v>441600</v>
      </c>
      <c r="E258" s="165" t="n">
        <v>0</v>
      </c>
      <c r="F258" s="165" t="n">
        <v>0</v>
      </c>
      <c r="G258" s="165" t="n">
        <v>0</v>
      </c>
      <c r="H258" s="165" t="n">
        <v>0</v>
      </c>
      <c r="I258" s="165" t="n">
        <v>5</v>
      </c>
      <c r="J258" s="165" t="n">
        <v>441600</v>
      </c>
      <c r="K258" s="148" t="s">
        <v>205</v>
      </c>
      <c r="L258" s="148" t="s">
        <v>303</v>
      </c>
      <c r="M258" s="148" t="n">
        <v>494</v>
      </c>
      <c r="N258" s="149" t="n">
        <v>37288380.86</v>
      </c>
      <c r="O258" s="22"/>
      <c r="P258" s="22"/>
      <c r="Q258" s="23" t="n">
        <f aca="false">O258*P258</f>
        <v>0</v>
      </c>
      <c r="V258" s="148" t="s">
        <v>203</v>
      </c>
      <c r="W258" s="148" t="s">
        <v>303</v>
      </c>
      <c r="X258" s="148" t="n">
        <v>1043</v>
      </c>
      <c r="Y258" s="148" t="n">
        <v>13195098.908</v>
      </c>
    </row>
    <row r="259" customFormat="false" ht="14.25" hidden="false" customHeight="false" outlineLevel="0" collapsed="false">
      <c r="A259" s="164" t="s">
        <v>267</v>
      </c>
      <c r="B259" s="164" t="n">
        <v>12</v>
      </c>
      <c r="C259" s="165" t="n">
        <v>6</v>
      </c>
      <c r="D259" s="165" t="n">
        <v>447000</v>
      </c>
      <c r="E259" s="165"/>
      <c r="F259" s="165" t="n">
        <v>0</v>
      </c>
      <c r="G259" s="165"/>
      <c r="H259" s="165"/>
      <c r="I259" s="165" t="n">
        <v>6</v>
      </c>
      <c r="J259" s="165" t="n">
        <v>447000</v>
      </c>
      <c r="K259" s="148" t="s">
        <v>206</v>
      </c>
      <c r="L259" s="148" t="s">
        <v>303</v>
      </c>
      <c r="M259" s="148" t="n">
        <v>360</v>
      </c>
      <c r="N259" s="149" t="n">
        <v>11969390.4</v>
      </c>
      <c r="O259" s="22"/>
      <c r="P259" s="22"/>
      <c r="Q259" s="23" t="n">
        <f aca="false">O259*P259</f>
        <v>0</v>
      </c>
      <c r="V259" s="148" t="s">
        <v>204</v>
      </c>
      <c r="W259" s="148" t="s">
        <v>303</v>
      </c>
      <c r="X259" s="148" t="n">
        <v>3152</v>
      </c>
      <c r="Y259" s="148" t="n">
        <v>121803907.058606</v>
      </c>
    </row>
    <row r="260" customFormat="false" ht="14.25" hidden="false" customHeight="false" outlineLevel="0" collapsed="false">
      <c r="A260" s="161" t="s">
        <v>268</v>
      </c>
      <c r="B260" s="161" t="n">
        <v>12</v>
      </c>
      <c r="C260" s="162" t="n">
        <v>0</v>
      </c>
      <c r="D260" s="162" t="n">
        <v>0</v>
      </c>
      <c r="E260" s="162" t="n">
        <v>0</v>
      </c>
      <c r="F260" s="162" t="n">
        <v>0</v>
      </c>
      <c r="G260" s="162" t="n">
        <v>0</v>
      </c>
      <c r="H260" s="162" t="n">
        <v>0</v>
      </c>
      <c r="I260" s="162" t="n">
        <v>0</v>
      </c>
      <c r="J260" s="162" t="n">
        <v>0</v>
      </c>
      <c r="K260" s="148" t="s">
        <v>207</v>
      </c>
      <c r="L260" s="148" t="s">
        <v>303</v>
      </c>
      <c r="M260" s="148" t="n">
        <v>197</v>
      </c>
      <c r="N260" s="149" t="n">
        <v>1688417.34</v>
      </c>
      <c r="O260" s="22"/>
      <c r="P260" s="22"/>
      <c r="Q260" s="23" t="n">
        <f aca="false">O260*P260</f>
        <v>0</v>
      </c>
      <c r="V260" s="148" t="s">
        <v>205</v>
      </c>
      <c r="W260" s="148" t="s">
        <v>303</v>
      </c>
      <c r="X260" s="148" t="n">
        <v>494</v>
      </c>
      <c r="Y260" s="148" t="n">
        <v>37288380.86</v>
      </c>
    </row>
    <row r="261" customFormat="false" ht="14.25" hidden="false" customHeight="false" outlineLevel="0" collapsed="false">
      <c r="A261" s="161" t="s">
        <v>269</v>
      </c>
      <c r="B261" s="161" t="n">
        <v>12</v>
      </c>
      <c r="C261" s="162" t="n">
        <v>0</v>
      </c>
      <c r="D261" s="162" t="n">
        <v>0</v>
      </c>
      <c r="E261" s="162" t="n">
        <v>0</v>
      </c>
      <c r="F261" s="162" t="n">
        <v>0</v>
      </c>
      <c r="G261" s="162" t="n">
        <v>0</v>
      </c>
      <c r="H261" s="162" t="n">
        <v>0</v>
      </c>
      <c r="I261" s="162" t="n">
        <v>0</v>
      </c>
      <c r="J261" s="162" t="n">
        <v>0</v>
      </c>
      <c r="K261" s="148" t="s">
        <v>208</v>
      </c>
      <c r="L261" s="148" t="s">
        <v>303</v>
      </c>
      <c r="M261" s="148" t="n">
        <v>200</v>
      </c>
      <c r="N261" s="149" t="n">
        <v>2260285.864</v>
      </c>
      <c r="O261" s="39" t="n">
        <v>5</v>
      </c>
      <c r="P261" s="40" t="n">
        <v>44160</v>
      </c>
      <c r="Q261" s="41" t="n">
        <f aca="false">O261*P261</f>
        <v>220800</v>
      </c>
      <c r="V261" s="148" t="s">
        <v>206</v>
      </c>
      <c r="W261" s="148" t="s">
        <v>303</v>
      </c>
      <c r="X261" s="148" t="n">
        <v>360</v>
      </c>
      <c r="Y261" s="148" t="n">
        <v>11969390.4</v>
      </c>
    </row>
    <row r="262" customFormat="false" ht="14.25" hidden="false" customHeight="false" outlineLevel="0" collapsed="false">
      <c r="A262" s="161" t="s">
        <v>270</v>
      </c>
      <c r="B262" s="161" t="n">
        <v>12</v>
      </c>
      <c r="C262" s="162" t="n">
        <v>0</v>
      </c>
      <c r="D262" s="162" t="n">
        <v>0</v>
      </c>
      <c r="E262" s="162" t="n">
        <v>0</v>
      </c>
      <c r="F262" s="162" t="n">
        <v>0</v>
      </c>
      <c r="G262" s="162" t="n">
        <v>0</v>
      </c>
      <c r="H262" s="162" t="n">
        <v>0</v>
      </c>
      <c r="I262" s="162" t="n">
        <v>0</v>
      </c>
      <c r="J262" s="162" t="n">
        <v>0</v>
      </c>
      <c r="K262" s="148" t="s">
        <v>209</v>
      </c>
      <c r="L262" s="148" t="s">
        <v>451</v>
      </c>
      <c r="M262" s="148" t="n">
        <v>88</v>
      </c>
      <c r="N262" s="149" t="n">
        <v>5574131.86</v>
      </c>
      <c r="O262" s="39" t="n">
        <v>5</v>
      </c>
      <c r="P262" s="40" t="n">
        <v>41280</v>
      </c>
      <c r="Q262" s="41" t="n">
        <f aca="false">O262*P262</f>
        <v>206400</v>
      </c>
      <c r="V262" s="148" t="s">
        <v>207</v>
      </c>
      <c r="W262" s="148" t="s">
        <v>303</v>
      </c>
      <c r="X262" s="148" t="n">
        <v>197</v>
      </c>
      <c r="Y262" s="148" t="n">
        <v>1688417.34</v>
      </c>
    </row>
    <row r="263" customFormat="false" ht="14.25" hidden="false" customHeight="false" outlineLevel="0" collapsed="false">
      <c r="A263" s="161" t="s">
        <v>271</v>
      </c>
      <c r="B263" s="161" t="n">
        <v>12</v>
      </c>
      <c r="C263" s="162" t="n">
        <v>0</v>
      </c>
      <c r="D263" s="162" t="n">
        <v>0</v>
      </c>
      <c r="E263" s="162" t="n">
        <v>0</v>
      </c>
      <c r="F263" s="162" t="n">
        <v>0</v>
      </c>
      <c r="G263" s="162" t="n">
        <v>0</v>
      </c>
      <c r="H263" s="162" t="n">
        <v>0</v>
      </c>
      <c r="I263" s="162" t="n">
        <v>0</v>
      </c>
      <c r="J263" s="162" t="n">
        <v>0</v>
      </c>
      <c r="K263" s="148" t="s">
        <v>257</v>
      </c>
      <c r="L263" s="148" t="s">
        <v>327</v>
      </c>
      <c r="M263" s="148" t="n">
        <v>100</v>
      </c>
      <c r="N263" s="149" t="n">
        <v>1537056</v>
      </c>
      <c r="O263" s="39" t="n">
        <v>6</v>
      </c>
      <c r="P263" s="40" t="n">
        <v>40800</v>
      </c>
      <c r="Q263" s="41" t="n">
        <f aca="false">O263*P263</f>
        <v>244800</v>
      </c>
      <c r="V263" s="148" t="s">
        <v>208</v>
      </c>
      <c r="W263" s="148" t="s">
        <v>303</v>
      </c>
      <c r="X263" s="148" t="n">
        <v>200</v>
      </c>
      <c r="Y263" s="148" t="n">
        <v>2260285.864</v>
      </c>
    </row>
    <row r="264" customFormat="false" ht="14.25" hidden="false" customHeight="false" outlineLevel="0" collapsed="false">
      <c r="A264" s="161" t="s">
        <v>272</v>
      </c>
      <c r="B264" s="161" t="n">
        <v>12</v>
      </c>
      <c r="C264" s="162" t="n">
        <v>0</v>
      </c>
      <c r="D264" s="162" t="n">
        <v>0</v>
      </c>
      <c r="E264" s="162" t="n">
        <v>0</v>
      </c>
      <c r="F264" s="162" t="n">
        <v>0</v>
      </c>
      <c r="G264" s="162" t="n">
        <v>0</v>
      </c>
      <c r="H264" s="162" t="n">
        <v>0</v>
      </c>
      <c r="I264" s="162" t="n">
        <v>0</v>
      </c>
      <c r="J264" s="162" t="n">
        <v>0</v>
      </c>
      <c r="K264" s="148" t="s">
        <v>696</v>
      </c>
      <c r="L264" s="148" t="s">
        <v>327</v>
      </c>
      <c r="M264" s="148" t="n">
        <v>124</v>
      </c>
      <c r="N264" s="149" t="n">
        <v>3716374.405</v>
      </c>
      <c r="O264" s="22"/>
      <c r="P264" s="22"/>
      <c r="Q264" s="23" t="n">
        <f aca="false">O264*P264</f>
        <v>0</v>
      </c>
      <c r="V264" s="148" t="s">
        <v>209</v>
      </c>
      <c r="W264" s="148" t="s">
        <v>451</v>
      </c>
      <c r="X264" s="148" t="n">
        <v>88</v>
      </c>
      <c r="Y264" s="148" t="n">
        <v>5574131.86</v>
      </c>
    </row>
    <row r="265" customFormat="false" ht="14.25" hidden="false" customHeight="false" outlineLevel="0" collapsed="false">
      <c r="A265" s="161" t="s">
        <v>273</v>
      </c>
      <c r="B265" s="161" t="n">
        <v>12</v>
      </c>
      <c r="C265" s="162" t="n">
        <v>0</v>
      </c>
      <c r="D265" s="162" t="n">
        <v>0</v>
      </c>
      <c r="E265" s="162" t="n">
        <v>0</v>
      </c>
      <c r="F265" s="162" t="n">
        <v>0</v>
      </c>
      <c r="G265" s="162" t="n">
        <v>0</v>
      </c>
      <c r="H265" s="162" t="n">
        <v>0</v>
      </c>
      <c r="I265" s="162" t="n">
        <v>0</v>
      </c>
      <c r="J265" s="162" t="n">
        <v>0</v>
      </c>
      <c r="K265" s="148" t="s">
        <v>258</v>
      </c>
      <c r="L265" s="148" t="s">
        <v>327</v>
      </c>
      <c r="M265" s="148" t="n">
        <v>100</v>
      </c>
      <c r="N265" s="149" t="n">
        <v>1654769.138</v>
      </c>
      <c r="O265" s="22"/>
      <c r="P265" s="22"/>
      <c r="Q265" s="23" t="n">
        <f aca="false">O265*P265</f>
        <v>0</v>
      </c>
      <c r="V265" s="148" t="s">
        <v>257</v>
      </c>
      <c r="W265" s="148" t="s">
        <v>327</v>
      </c>
      <c r="X265" s="148" t="n">
        <v>100</v>
      </c>
      <c r="Y265" s="148" t="n">
        <v>1537056</v>
      </c>
    </row>
    <row r="266" s="175" customFormat="true" ht="14.25" hidden="false" customHeight="false" outlineLevel="0" collapsed="false">
      <c r="A266" s="164" t="s">
        <v>274</v>
      </c>
      <c r="B266" s="164" t="n">
        <v>12</v>
      </c>
      <c r="C266" s="165" t="n">
        <v>14</v>
      </c>
      <c r="D266" s="165" t="n">
        <v>473144</v>
      </c>
      <c r="E266" s="165" t="n">
        <v>0</v>
      </c>
      <c r="F266" s="165" t="n">
        <v>0</v>
      </c>
      <c r="G266" s="165" t="n">
        <v>0</v>
      </c>
      <c r="H266" s="165" t="n">
        <v>0</v>
      </c>
      <c r="I266" s="165" t="n">
        <v>14</v>
      </c>
      <c r="J266" s="165" t="n">
        <v>473144</v>
      </c>
      <c r="K266" s="175" t="s">
        <v>260</v>
      </c>
      <c r="L266" s="175" t="s">
        <v>327</v>
      </c>
      <c r="M266" s="175" t="n">
        <v>10</v>
      </c>
      <c r="N266" s="176" t="n">
        <v>378431.96</v>
      </c>
      <c r="O266" s="177"/>
      <c r="P266" s="177"/>
      <c r="Q266" s="41" t="n">
        <f aca="false">O266*P266</f>
        <v>0</v>
      </c>
      <c r="R266" s="176"/>
      <c r="T266" s="176"/>
      <c r="V266" s="175" t="s">
        <v>696</v>
      </c>
      <c r="W266" s="175" t="s">
        <v>327</v>
      </c>
      <c r="X266" s="175" t="n">
        <v>124</v>
      </c>
      <c r="Y266" s="175" t="n">
        <v>3716374.405</v>
      </c>
    </row>
    <row r="267" customFormat="false" ht="14.25" hidden="false" customHeight="false" outlineLevel="0" collapsed="false">
      <c r="A267" s="161" t="s">
        <v>275</v>
      </c>
      <c r="B267" s="161" t="n">
        <v>12</v>
      </c>
      <c r="C267" s="162" t="n">
        <v>0</v>
      </c>
      <c r="D267" s="162" t="n">
        <v>0</v>
      </c>
      <c r="E267" s="162" t="n">
        <v>0</v>
      </c>
      <c r="F267" s="162" t="n">
        <v>0</v>
      </c>
      <c r="G267" s="162" t="n">
        <v>0</v>
      </c>
      <c r="H267" s="162" t="n">
        <v>0</v>
      </c>
      <c r="I267" s="162" t="n">
        <v>0</v>
      </c>
      <c r="J267" s="162" t="n">
        <v>0</v>
      </c>
      <c r="K267" s="148" t="s">
        <v>262</v>
      </c>
      <c r="L267" s="148" t="s">
        <v>327</v>
      </c>
      <c r="M267" s="148" t="n">
        <v>10</v>
      </c>
      <c r="N267" s="149" t="n">
        <v>357052</v>
      </c>
      <c r="O267" s="22"/>
      <c r="P267" s="22"/>
      <c r="Q267" s="23" t="n">
        <f aca="false">O267*P267</f>
        <v>0</v>
      </c>
      <c r="V267" s="148" t="s">
        <v>258</v>
      </c>
      <c r="W267" s="148" t="s">
        <v>327</v>
      </c>
      <c r="X267" s="148" t="n">
        <v>100</v>
      </c>
      <c r="Y267" s="148" t="n">
        <v>1654769.138</v>
      </c>
    </row>
    <row r="268" customFormat="false" ht="14.25" hidden="false" customHeight="false" outlineLevel="0" collapsed="false">
      <c r="A268" s="161" t="s">
        <v>276</v>
      </c>
      <c r="B268" s="161" t="n">
        <v>12</v>
      </c>
      <c r="C268" s="162" t="n">
        <v>0</v>
      </c>
      <c r="D268" s="162" t="n">
        <v>0</v>
      </c>
      <c r="E268" s="162" t="n">
        <v>0</v>
      </c>
      <c r="F268" s="162" t="n">
        <v>0</v>
      </c>
      <c r="G268" s="162" t="n">
        <v>0</v>
      </c>
      <c r="H268" s="162" t="n">
        <v>0</v>
      </c>
      <c r="I268" s="162" t="n">
        <v>0</v>
      </c>
      <c r="J268" s="162" t="n">
        <v>0</v>
      </c>
      <c r="K268" s="148" t="s">
        <v>265</v>
      </c>
      <c r="L268" s="148" t="s">
        <v>327</v>
      </c>
      <c r="M268" s="148" t="n">
        <v>10</v>
      </c>
      <c r="N268" s="149" t="n">
        <v>445824</v>
      </c>
      <c r="O268" s="22"/>
      <c r="P268" s="22"/>
      <c r="Q268" s="23" t="n">
        <f aca="false">O268*P268</f>
        <v>0</v>
      </c>
      <c r="V268" s="148" t="s">
        <v>260</v>
      </c>
      <c r="W268" s="148" t="s">
        <v>327</v>
      </c>
      <c r="X268" s="148" t="n">
        <v>10</v>
      </c>
      <c r="Y268" s="148" t="n">
        <v>378431.96</v>
      </c>
    </row>
    <row r="269" customFormat="false" ht="14.25" hidden="false" customHeight="false" outlineLevel="0" collapsed="false">
      <c r="A269" s="161" t="s">
        <v>277</v>
      </c>
      <c r="B269" s="161" t="n">
        <v>12</v>
      </c>
      <c r="C269" s="162" t="n">
        <v>0</v>
      </c>
      <c r="D269" s="162" t="n">
        <v>0</v>
      </c>
      <c r="E269" s="162" t="n">
        <v>0</v>
      </c>
      <c r="F269" s="162" t="n">
        <v>0</v>
      </c>
      <c r="G269" s="162" t="n">
        <v>0</v>
      </c>
      <c r="H269" s="162" t="n">
        <v>0</v>
      </c>
      <c r="I269" s="162" t="n">
        <v>0</v>
      </c>
      <c r="J269" s="162" t="n">
        <v>0</v>
      </c>
      <c r="K269" s="148" t="s">
        <v>266</v>
      </c>
      <c r="L269" s="148" t="s">
        <v>327</v>
      </c>
      <c r="M269" s="148" t="n">
        <v>10</v>
      </c>
      <c r="N269" s="149" t="n">
        <v>476927.968</v>
      </c>
      <c r="O269" s="22"/>
      <c r="P269" s="22"/>
      <c r="Q269" s="23" t="n">
        <f aca="false">O269*P269</f>
        <v>0</v>
      </c>
      <c r="V269" s="148" t="s">
        <v>262</v>
      </c>
      <c r="W269" s="148" t="s">
        <v>327</v>
      </c>
      <c r="X269" s="148" t="n">
        <v>10</v>
      </c>
      <c r="Y269" s="148" t="n">
        <v>357052</v>
      </c>
    </row>
    <row r="270" customFormat="false" ht="14.25" hidden="false" customHeight="false" outlineLevel="0" collapsed="false">
      <c r="A270" s="161" t="s">
        <v>278</v>
      </c>
      <c r="B270" s="161" t="n">
        <v>12</v>
      </c>
      <c r="C270" s="162" t="n">
        <v>0</v>
      </c>
      <c r="D270" s="162" t="n">
        <v>0</v>
      </c>
      <c r="E270" s="162" t="n">
        <v>0</v>
      </c>
      <c r="F270" s="162" t="n">
        <v>0</v>
      </c>
      <c r="G270" s="162" t="n">
        <v>0</v>
      </c>
      <c r="H270" s="162" t="n">
        <v>0</v>
      </c>
      <c r="I270" s="162" t="n">
        <v>0</v>
      </c>
      <c r="J270" s="162" t="n">
        <v>0</v>
      </c>
      <c r="K270" s="148" t="s">
        <v>956</v>
      </c>
      <c r="L270" s="148" t="s">
        <v>327</v>
      </c>
      <c r="M270" s="148" t="n">
        <v>24</v>
      </c>
      <c r="N270" s="149" t="n">
        <v>359510</v>
      </c>
      <c r="O270" s="22"/>
      <c r="P270" s="22"/>
      <c r="Q270" s="23" t="n">
        <f aca="false">O270*P270</f>
        <v>0</v>
      </c>
      <c r="V270" s="148" t="s">
        <v>265</v>
      </c>
      <c r="W270" s="148" t="s">
        <v>327</v>
      </c>
      <c r="X270" s="148" t="n">
        <v>10</v>
      </c>
      <c r="Y270" s="148" t="n">
        <v>445824</v>
      </c>
    </row>
    <row r="271" customFormat="false" ht="14.25" hidden="false" customHeight="false" outlineLevel="0" collapsed="false">
      <c r="A271" s="161" t="s">
        <v>279</v>
      </c>
      <c r="B271" s="161" t="n">
        <v>12</v>
      </c>
      <c r="C271" s="162" t="n">
        <v>0</v>
      </c>
      <c r="D271" s="162" t="n">
        <v>0</v>
      </c>
      <c r="E271" s="162" t="n">
        <v>0</v>
      </c>
      <c r="F271" s="162" t="n">
        <v>0</v>
      </c>
      <c r="G271" s="162" t="n">
        <v>0</v>
      </c>
      <c r="H271" s="162" t="n">
        <v>0</v>
      </c>
      <c r="I271" s="162" t="n">
        <v>0</v>
      </c>
      <c r="J271" s="162" t="n">
        <v>0</v>
      </c>
      <c r="K271" s="148" t="s">
        <v>957</v>
      </c>
      <c r="L271" s="148" t="s">
        <v>327</v>
      </c>
      <c r="M271" s="148" t="n">
        <v>24</v>
      </c>
      <c r="N271" s="149" t="n">
        <v>359510</v>
      </c>
      <c r="O271" s="22"/>
      <c r="P271" s="22"/>
      <c r="Q271" s="23" t="n">
        <f aca="false">O271*P271</f>
        <v>0</v>
      </c>
      <c r="V271" s="148" t="s">
        <v>266</v>
      </c>
      <c r="W271" s="148" t="s">
        <v>327</v>
      </c>
      <c r="X271" s="148" t="n">
        <v>10</v>
      </c>
      <c r="Y271" s="148" t="n">
        <v>476927.968</v>
      </c>
    </row>
    <row r="272" customFormat="false" ht="14.25" hidden="false" customHeight="false" outlineLevel="0" collapsed="false">
      <c r="A272" s="161" t="s">
        <v>280</v>
      </c>
      <c r="B272" s="161" t="n">
        <v>12</v>
      </c>
      <c r="C272" s="162" t="n">
        <v>0</v>
      </c>
      <c r="D272" s="162" t="n">
        <v>0</v>
      </c>
      <c r="E272" s="162" t="n">
        <v>0</v>
      </c>
      <c r="F272" s="162" t="n">
        <v>0</v>
      </c>
      <c r="G272" s="162" t="n">
        <v>0</v>
      </c>
      <c r="H272" s="162" t="n">
        <v>0</v>
      </c>
      <c r="I272" s="162" t="n">
        <v>0</v>
      </c>
      <c r="J272" s="162" t="n">
        <v>0</v>
      </c>
      <c r="K272" s="148" t="s">
        <v>719</v>
      </c>
      <c r="L272" s="148" t="s">
        <v>327</v>
      </c>
      <c r="M272" s="148" t="n">
        <v>205</v>
      </c>
      <c r="N272" s="149" t="n">
        <v>3907882.18</v>
      </c>
      <c r="O272" s="22"/>
      <c r="P272" s="22"/>
      <c r="Q272" s="23" t="n">
        <f aca="false">O272*P272</f>
        <v>0</v>
      </c>
      <c r="V272" s="148" t="s">
        <v>956</v>
      </c>
      <c r="W272" s="148" t="s">
        <v>327</v>
      </c>
      <c r="X272" s="148" t="n">
        <v>24</v>
      </c>
      <c r="Y272" s="148" t="n">
        <v>359510</v>
      </c>
    </row>
    <row r="273" customFormat="false" ht="14.25" hidden="false" customHeight="false" outlineLevel="0" collapsed="false">
      <c r="A273" s="164" t="s">
        <v>281</v>
      </c>
      <c r="B273" s="164" t="n">
        <v>12</v>
      </c>
      <c r="C273" s="165" t="n">
        <v>115</v>
      </c>
      <c r="D273" s="165" t="n">
        <v>1984968</v>
      </c>
      <c r="E273" s="165" t="n">
        <v>52</v>
      </c>
      <c r="F273" s="165" t="n">
        <v>882000</v>
      </c>
      <c r="G273" s="165" t="n">
        <v>0</v>
      </c>
      <c r="H273" s="165" t="n">
        <v>0</v>
      </c>
      <c r="I273" s="165" t="n">
        <v>167</v>
      </c>
      <c r="J273" s="165" t="n">
        <v>2866968</v>
      </c>
      <c r="K273" s="148" t="s">
        <v>282</v>
      </c>
      <c r="L273" s="148" t="s">
        <v>327</v>
      </c>
      <c r="M273" s="148" t="n">
        <v>155</v>
      </c>
      <c r="N273" s="149" t="n">
        <v>5921391.55</v>
      </c>
      <c r="O273" s="22"/>
      <c r="P273" s="22"/>
      <c r="Q273" s="23" t="n">
        <f aca="false">O273*P273</f>
        <v>0</v>
      </c>
      <c r="R273" s="149" t="n">
        <f aca="false">J273-Q290</f>
        <v>-78912</v>
      </c>
      <c r="V273" s="148" t="s">
        <v>957</v>
      </c>
      <c r="W273" s="148" t="s">
        <v>327</v>
      </c>
      <c r="X273" s="148" t="n">
        <v>24</v>
      </c>
      <c r="Y273" s="148" t="n">
        <v>359510</v>
      </c>
    </row>
    <row r="274" customFormat="false" ht="14.25" hidden="false" customHeight="false" outlineLevel="0" collapsed="false">
      <c r="A274" s="30" t="s">
        <v>282</v>
      </c>
      <c r="B274" s="30" t="n">
        <v>12</v>
      </c>
      <c r="C274" s="158" t="n">
        <v>0</v>
      </c>
      <c r="D274" s="158" t="n">
        <v>0</v>
      </c>
      <c r="E274" s="158" t="n">
        <v>28</v>
      </c>
      <c r="F274" s="158" t="n">
        <v>1940400</v>
      </c>
      <c r="G274" s="158" t="n">
        <f aca="false">E274-I274</f>
        <v>3</v>
      </c>
      <c r="H274" s="158" t="n">
        <f aca="false">F274-J274</f>
        <v>1044761</v>
      </c>
      <c r="I274" s="158" t="n">
        <v>25</v>
      </c>
      <c r="J274" s="158" t="n">
        <v>895639</v>
      </c>
      <c r="K274" s="148" t="s">
        <v>283</v>
      </c>
      <c r="L274" s="148" t="s">
        <v>327</v>
      </c>
      <c r="M274" s="148" t="n">
        <v>457</v>
      </c>
      <c r="N274" s="149" t="n">
        <v>17745222.67</v>
      </c>
      <c r="O274" s="52" t="n">
        <v>226</v>
      </c>
      <c r="P274" s="33" t="n">
        <v>27744</v>
      </c>
      <c r="Q274" s="25" t="n">
        <f aca="false">O274*P274</f>
        <v>6270144</v>
      </c>
      <c r="R274" s="149" t="n">
        <f aca="false">J274-Q291</f>
        <v>436999</v>
      </c>
      <c r="V274" s="148" t="s">
        <v>719</v>
      </c>
      <c r="W274" s="148" t="s">
        <v>327</v>
      </c>
      <c r="X274" s="148" t="n">
        <v>205</v>
      </c>
      <c r="Y274" s="148" t="n">
        <v>3907882.18</v>
      </c>
    </row>
    <row r="275" customFormat="false" ht="14.25" hidden="false" customHeight="false" outlineLevel="0" collapsed="false">
      <c r="A275" s="30" t="s">
        <v>283</v>
      </c>
      <c r="B275" s="30" t="n">
        <v>12</v>
      </c>
      <c r="C275" s="158" t="n">
        <v>2650</v>
      </c>
      <c r="D275" s="158" t="n">
        <v>60362629</v>
      </c>
      <c r="E275" s="158" t="n">
        <v>1138</v>
      </c>
      <c r="F275" s="158" t="n">
        <v>39547200</v>
      </c>
      <c r="G275" s="158" t="n">
        <f aca="false">C275+E275-I275</f>
        <v>3132</v>
      </c>
      <c r="H275" s="158" t="n">
        <f aca="false">D275+F275-J275</f>
        <v>76338900</v>
      </c>
      <c r="I275" s="158" t="n">
        <v>656</v>
      </c>
      <c r="J275" s="158" t="n">
        <v>23570929</v>
      </c>
      <c r="K275" s="148" t="s">
        <v>284</v>
      </c>
      <c r="L275" s="148" t="s">
        <v>327</v>
      </c>
      <c r="M275" s="148" t="n">
        <v>123</v>
      </c>
      <c r="N275" s="149" t="n">
        <v>6122999.96</v>
      </c>
      <c r="O275" s="22"/>
      <c r="P275" s="22"/>
      <c r="Q275" s="23" t="n">
        <f aca="false">O275*P275</f>
        <v>0</v>
      </c>
      <c r="V275" s="148" t="s">
        <v>282</v>
      </c>
      <c r="W275" s="148" t="s">
        <v>327</v>
      </c>
      <c r="X275" s="148" t="n">
        <v>155</v>
      </c>
      <c r="Y275" s="148" t="n">
        <v>5921391.55</v>
      </c>
    </row>
    <row r="276" customFormat="false" ht="14.25" hidden="false" customHeight="false" outlineLevel="0" collapsed="false">
      <c r="A276" s="161" t="s">
        <v>284</v>
      </c>
      <c r="B276" s="161" t="n">
        <v>12</v>
      </c>
      <c r="C276" s="162" t="n">
        <v>170</v>
      </c>
      <c r="D276" s="162" t="n">
        <v>7787064</v>
      </c>
      <c r="E276" s="162" t="n">
        <v>14</v>
      </c>
      <c r="F276" s="162" t="n">
        <v>598416</v>
      </c>
      <c r="G276" s="162" t="n">
        <v>0</v>
      </c>
      <c r="H276" s="162" t="n">
        <v>0</v>
      </c>
      <c r="I276" s="162" t="n">
        <v>184</v>
      </c>
      <c r="J276" s="162" t="n">
        <v>8385480</v>
      </c>
      <c r="K276" s="148" t="s">
        <v>212</v>
      </c>
      <c r="L276" s="148" t="s">
        <v>303</v>
      </c>
      <c r="M276" s="148" t="n">
        <v>12761</v>
      </c>
      <c r="N276" s="149" t="n">
        <v>163943573.596427</v>
      </c>
      <c r="O276" s="35" t="n">
        <v>144</v>
      </c>
      <c r="P276" s="28" t="n">
        <v>18630</v>
      </c>
      <c r="Q276" s="25" t="n">
        <f aca="false">O276*P276</f>
        <v>2682720</v>
      </c>
      <c r="V276" s="148" t="s">
        <v>283</v>
      </c>
      <c r="W276" s="148" t="s">
        <v>327</v>
      </c>
      <c r="X276" s="148" t="n">
        <v>457</v>
      </c>
      <c r="Y276" s="148" t="n">
        <v>17745222.67</v>
      </c>
    </row>
    <row r="277" customFormat="false" ht="14.25" hidden="false" customHeight="false" outlineLevel="0" collapsed="false">
      <c r="A277" s="161" t="s">
        <v>285</v>
      </c>
      <c r="B277" s="161" t="n">
        <v>12</v>
      </c>
      <c r="C277" s="162" t="n">
        <v>0</v>
      </c>
      <c r="D277" s="162" t="n">
        <v>0</v>
      </c>
      <c r="E277" s="162" t="n">
        <v>0</v>
      </c>
      <c r="F277" s="162" t="n">
        <v>0</v>
      </c>
      <c r="G277" s="162" t="n">
        <v>0</v>
      </c>
      <c r="H277" s="162" t="n">
        <v>0</v>
      </c>
      <c r="I277" s="162" t="n">
        <v>0</v>
      </c>
      <c r="J277" s="162" t="n">
        <v>0</v>
      </c>
      <c r="K277" s="148" t="s">
        <v>213</v>
      </c>
      <c r="L277" s="148" t="s">
        <v>303</v>
      </c>
      <c r="M277" s="148" t="n">
        <v>1870</v>
      </c>
      <c r="N277" s="149" t="n">
        <v>24373678.514</v>
      </c>
      <c r="O277" s="22"/>
      <c r="P277" s="22"/>
      <c r="Q277" s="23" t="n">
        <f aca="false">O277*P277</f>
        <v>0</v>
      </c>
      <c r="V277" s="148" t="s">
        <v>284</v>
      </c>
      <c r="W277" s="148" t="s">
        <v>327</v>
      </c>
      <c r="X277" s="148" t="n">
        <v>123</v>
      </c>
      <c r="Y277" s="148" t="n">
        <v>6122999.96</v>
      </c>
    </row>
    <row r="278" customFormat="false" ht="14.25" hidden="false" customHeight="false" outlineLevel="0" collapsed="false">
      <c r="A278" s="161" t="s">
        <v>286</v>
      </c>
      <c r="B278" s="161" t="n">
        <v>12</v>
      </c>
      <c r="C278" s="162" t="n">
        <v>0</v>
      </c>
      <c r="D278" s="162" t="n">
        <v>0</v>
      </c>
      <c r="E278" s="162" t="n">
        <v>0</v>
      </c>
      <c r="F278" s="162" t="n">
        <v>0</v>
      </c>
      <c r="G278" s="162" t="n">
        <v>0</v>
      </c>
      <c r="H278" s="162" t="n">
        <v>0</v>
      </c>
      <c r="I278" s="162" t="n">
        <v>0</v>
      </c>
      <c r="J278" s="162" t="n">
        <v>0</v>
      </c>
      <c r="K278" s="148" t="s">
        <v>214</v>
      </c>
      <c r="L278" s="148" t="s">
        <v>303</v>
      </c>
      <c r="M278" s="148" t="n">
        <v>166</v>
      </c>
      <c r="N278" s="149" t="n">
        <v>3475567.94</v>
      </c>
      <c r="O278" s="22"/>
      <c r="P278" s="22"/>
      <c r="Q278" s="23" t="n">
        <f aca="false">O278*P278</f>
        <v>0</v>
      </c>
      <c r="V278" s="148" t="s">
        <v>212</v>
      </c>
      <c r="W278" s="148" t="s">
        <v>303</v>
      </c>
      <c r="X278" s="148" t="n">
        <v>12761</v>
      </c>
      <c r="Y278" s="148" t="n">
        <v>163943573.596427</v>
      </c>
    </row>
    <row r="279" s="179" customFormat="true" ht="14.25" hidden="false" customHeight="false" outlineLevel="0" collapsed="false">
      <c r="A279" s="182" t="s">
        <v>287</v>
      </c>
      <c r="B279" s="182" t="n">
        <v>12</v>
      </c>
      <c r="C279" s="183" t="n">
        <v>8</v>
      </c>
      <c r="D279" s="183" t="n">
        <v>888480</v>
      </c>
      <c r="E279" s="183" t="n">
        <v>0</v>
      </c>
      <c r="F279" s="183" t="n">
        <v>0</v>
      </c>
      <c r="G279" s="183" t="n">
        <v>0</v>
      </c>
      <c r="H279" s="183" t="n">
        <v>0</v>
      </c>
      <c r="I279" s="183" t="n">
        <v>8</v>
      </c>
      <c r="J279" s="183" t="n">
        <v>888480</v>
      </c>
      <c r="K279" s="179" t="s">
        <v>811</v>
      </c>
      <c r="L279" s="179" t="s">
        <v>303</v>
      </c>
      <c r="M279" s="179" t="n">
        <v>7860</v>
      </c>
      <c r="N279" s="180" t="n">
        <v>221222904.09</v>
      </c>
      <c r="O279" s="108"/>
      <c r="P279" s="108"/>
      <c r="Q279" s="111" t="n">
        <f aca="false">O279*P279</f>
        <v>0</v>
      </c>
      <c r="R279" s="180" t="n">
        <f aca="false">J279-Q298</f>
        <v>651552</v>
      </c>
      <c r="T279" s="180"/>
      <c r="V279" s="179" t="s">
        <v>213</v>
      </c>
      <c r="W279" s="179" t="s">
        <v>303</v>
      </c>
      <c r="X279" s="179" t="n">
        <v>1870</v>
      </c>
      <c r="Y279" s="179" t="n">
        <v>24373678.514</v>
      </c>
    </row>
    <row r="280" customFormat="false" ht="14.25" hidden="false" customHeight="false" outlineLevel="0" collapsed="false">
      <c r="A280" s="161" t="s">
        <v>288</v>
      </c>
      <c r="B280" s="161" t="n">
        <v>12</v>
      </c>
      <c r="C280" s="162" t="n">
        <v>72</v>
      </c>
      <c r="D280" s="162" t="n">
        <v>1717560</v>
      </c>
      <c r="E280" s="162" t="n">
        <v>2768</v>
      </c>
      <c r="F280" s="162"/>
      <c r="G280" s="162" t="n">
        <v>0</v>
      </c>
      <c r="H280" s="162"/>
      <c r="I280" s="162" t="n">
        <v>72</v>
      </c>
      <c r="J280" s="162" t="n">
        <v>1717560</v>
      </c>
      <c r="K280" s="148" t="s">
        <v>215</v>
      </c>
      <c r="L280" s="148" t="s">
        <v>303</v>
      </c>
      <c r="M280" s="148" t="n">
        <v>117</v>
      </c>
      <c r="N280" s="149" t="n">
        <v>5698630.33</v>
      </c>
      <c r="O280" s="190" t="n">
        <v>14</v>
      </c>
      <c r="P280" s="185" t="n">
        <v>31950</v>
      </c>
      <c r="Q280" s="41" t="n">
        <f aca="false">O280*P280</f>
        <v>447300</v>
      </c>
      <c r="V280" s="148" t="s">
        <v>214</v>
      </c>
      <c r="W280" s="148" t="s">
        <v>303</v>
      </c>
      <c r="X280" s="148" t="n">
        <v>166</v>
      </c>
      <c r="Y280" s="148" t="n">
        <v>3475567.94</v>
      </c>
    </row>
    <row r="281" customFormat="false" ht="14.25" hidden="false" customHeight="false" outlineLevel="0" collapsed="false">
      <c r="A281" s="30" t="s">
        <v>289</v>
      </c>
      <c r="B281" s="30" t="n">
        <v>12</v>
      </c>
      <c r="C281" s="158" t="n">
        <v>5453</v>
      </c>
      <c r="D281" s="158" t="n">
        <v>18544800</v>
      </c>
      <c r="E281" s="158" t="n">
        <f aca="false">481+2768</f>
        <v>3249</v>
      </c>
      <c r="F281" s="158" t="e">
        <f aca="false">E281*#REF!</f>
        <v>#REF!</v>
      </c>
      <c r="G281" s="158" t="n">
        <f aca="false">C281+E281-I281</f>
        <v>5934</v>
      </c>
      <c r="H281" s="158" t="e">
        <f aca="false">D281+F281-J281</f>
        <v>#REF!</v>
      </c>
      <c r="I281" s="158" t="n">
        <v>2768</v>
      </c>
      <c r="J281" s="158" t="n">
        <v>22766880</v>
      </c>
      <c r="K281" s="148" t="s">
        <v>216</v>
      </c>
      <c r="L281" s="148" t="s">
        <v>303</v>
      </c>
      <c r="M281" s="148" t="n">
        <v>218</v>
      </c>
      <c r="N281" s="149" t="n">
        <v>1991876.29</v>
      </c>
      <c r="O281" s="35" t="n">
        <v>10868</v>
      </c>
      <c r="P281" s="33" t="n">
        <v>24638</v>
      </c>
      <c r="Q281" s="25" t="n">
        <f aca="false">O281*P281</f>
        <v>267765784</v>
      </c>
      <c r="R281" s="149" t="n">
        <f aca="false">J281-Q155</f>
        <v>-26035878.84</v>
      </c>
      <c r="V281" s="148" t="s">
        <v>811</v>
      </c>
      <c r="W281" s="148" t="s">
        <v>303</v>
      </c>
      <c r="X281" s="148" t="n">
        <v>7860</v>
      </c>
      <c r="Y281" s="148" t="n">
        <v>221222904.09</v>
      </c>
    </row>
    <row r="282" customFormat="false" ht="14.25" hidden="false" customHeight="false" outlineLevel="0" collapsed="false">
      <c r="A282" s="182" t="s">
        <v>290</v>
      </c>
      <c r="B282" s="182" t="n">
        <v>12</v>
      </c>
      <c r="C282" s="183" t="n">
        <v>294</v>
      </c>
      <c r="D282" s="183" t="n">
        <v>26161598</v>
      </c>
      <c r="E282" s="183" t="n">
        <v>612</v>
      </c>
      <c r="F282" s="183" t="n">
        <v>54458208</v>
      </c>
      <c r="G282" s="183" t="n">
        <v>462</v>
      </c>
      <c r="H282" s="183" t="n">
        <v>41110762</v>
      </c>
      <c r="I282" s="183" t="n">
        <v>444</v>
      </c>
      <c r="J282" s="183" t="n">
        <v>39509044</v>
      </c>
      <c r="K282" s="148" t="s">
        <v>932</v>
      </c>
      <c r="L282" s="148" t="s">
        <v>303</v>
      </c>
      <c r="M282" s="148" t="n">
        <v>946</v>
      </c>
      <c r="N282" s="149" t="n">
        <v>0</v>
      </c>
      <c r="O282" s="22"/>
      <c r="P282" s="22"/>
      <c r="Q282" s="23" t="n">
        <f aca="false">O282*P282</f>
        <v>0</v>
      </c>
      <c r="V282" s="148" t="s">
        <v>215</v>
      </c>
      <c r="W282" s="148" t="s">
        <v>303</v>
      </c>
      <c r="X282" s="148" t="n">
        <v>117</v>
      </c>
      <c r="Y282" s="148" t="n">
        <v>5698630.33</v>
      </c>
    </row>
    <row r="283" customFormat="false" ht="14.25" hidden="false" customHeight="false" outlineLevel="0" collapsed="false">
      <c r="A283" s="182" t="s">
        <v>291</v>
      </c>
      <c r="B283" s="182" t="n">
        <v>12</v>
      </c>
      <c r="C283" s="183" t="n">
        <v>580</v>
      </c>
      <c r="D283" s="183" t="n">
        <v>54183265</v>
      </c>
      <c r="E283" s="183" t="n">
        <v>1120</v>
      </c>
      <c r="F283" s="183" t="n">
        <v>104711040</v>
      </c>
      <c r="G283" s="183" t="n">
        <v>821</v>
      </c>
      <c r="H283" s="183" t="n">
        <v>76736603</v>
      </c>
      <c r="I283" s="183" t="n">
        <v>879</v>
      </c>
      <c r="J283" s="183" t="n">
        <v>82157702</v>
      </c>
      <c r="K283" s="148" t="s">
        <v>933</v>
      </c>
      <c r="L283" s="148" t="s">
        <v>327</v>
      </c>
      <c r="M283" s="148" t="n">
        <v>4</v>
      </c>
      <c r="N283" s="149" t="n">
        <v>0</v>
      </c>
      <c r="O283" s="22"/>
      <c r="P283" s="22"/>
      <c r="Q283" s="23" t="n">
        <f aca="false">O283*P283</f>
        <v>0</v>
      </c>
      <c r="V283" s="148" t="s">
        <v>216</v>
      </c>
      <c r="W283" s="148" t="s">
        <v>303</v>
      </c>
      <c r="X283" s="148" t="n">
        <v>218</v>
      </c>
      <c r="Y283" s="148" t="n">
        <v>1991876.29</v>
      </c>
    </row>
    <row r="284" customFormat="false" ht="14.25" hidden="false" customHeight="false" outlineLevel="0" collapsed="false">
      <c r="A284" s="161" t="s">
        <v>292</v>
      </c>
      <c r="B284" s="161" t="n">
        <v>12</v>
      </c>
      <c r="C284" s="162" t="n">
        <v>0</v>
      </c>
      <c r="D284" s="162" t="n">
        <v>0</v>
      </c>
      <c r="E284" s="162" t="n">
        <v>394</v>
      </c>
      <c r="F284" s="162" t="n">
        <v>34234181</v>
      </c>
      <c r="G284" s="162" t="n">
        <v>394</v>
      </c>
      <c r="H284" s="162" t="n">
        <v>34234181</v>
      </c>
      <c r="I284" s="162" t="n">
        <v>0</v>
      </c>
      <c r="J284" s="162" t="n">
        <v>0</v>
      </c>
      <c r="K284" s="148" t="s">
        <v>934</v>
      </c>
      <c r="L284" s="148" t="s">
        <v>327</v>
      </c>
      <c r="M284" s="148" t="n">
        <v>4</v>
      </c>
      <c r="N284" s="149" t="n">
        <v>0</v>
      </c>
      <c r="O284" s="22"/>
      <c r="P284" s="22"/>
      <c r="Q284" s="23" t="n">
        <f aca="false">O284*P284</f>
        <v>0</v>
      </c>
      <c r="V284" s="148" t="s">
        <v>932</v>
      </c>
      <c r="W284" s="148" t="s">
        <v>303</v>
      </c>
      <c r="X284" s="148" t="n">
        <v>946</v>
      </c>
      <c r="Y284" s="148" t="n">
        <v>0</v>
      </c>
    </row>
    <row r="285" customFormat="false" ht="14.25" hidden="false" customHeight="false" outlineLevel="0" collapsed="false">
      <c r="A285" s="161"/>
      <c r="B285" s="161"/>
      <c r="C285" s="156"/>
      <c r="D285" s="156" t="n">
        <f aca="false">SUM(D3:D284)</f>
        <v>15757074952.4896</v>
      </c>
      <c r="E285" s="156" t="e">
        <f aca="false">SUM(E3:E284)</f>
        <v>#REF!</v>
      </c>
      <c r="F285" s="156" t="e">
        <f aca="false">SUM(F3:F284)</f>
        <v>#REF!</v>
      </c>
      <c r="G285" s="156" t="e">
        <f aca="false">SUM(G3:G284)</f>
        <v>#REF!</v>
      </c>
      <c r="H285" s="156" t="e">
        <f aca="false">SUM(H3:H284)</f>
        <v>#REF!</v>
      </c>
      <c r="I285" s="156" t="n">
        <f aca="false">SUM(I3:I284)</f>
        <v>864541</v>
      </c>
      <c r="J285" s="156" t="n">
        <f aca="false">SUM(J3:J284)</f>
        <v>15761231523</v>
      </c>
      <c r="K285" s="148" t="s">
        <v>935</v>
      </c>
      <c r="L285" s="148" t="s">
        <v>327</v>
      </c>
      <c r="M285" s="148" t="n">
        <v>33</v>
      </c>
      <c r="N285" s="149" t="n">
        <v>0</v>
      </c>
      <c r="O285" s="22"/>
      <c r="P285" s="22"/>
      <c r="Q285" s="23" t="n">
        <f aca="false">O285*P285</f>
        <v>0</v>
      </c>
      <c r="V285" s="148" t="s">
        <v>933</v>
      </c>
      <c r="W285" s="148" t="s">
        <v>327</v>
      </c>
      <c r="X285" s="148" t="n">
        <v>4</v>
      </c>
      <c r="Y285" s="148" t="n">
        <v>0</v>
      </c>
    </row>
    <row r="286" customFormat="false" ht="14.25" hidden="false" customHeight="false" outlineLevel="0" collapsed="false">
      <c r="K286" s="148" t="s">
        <v>936</v>
      </c>
      <c r="L286" s="148" t="s">
        <v>303</v>
      </c>
      <c r="M286" s="148" t="n">
        <v>16</v>
      </c>
      <c r="N286" s="149" t="n">
        <v>0</v>
      </c>
      <c r="O286" s="22"/>
      <c r="P286" s="22"/>
      <c r="Q286" s="23" t="n">
        <f aca="false">O286*P286</f>
        <v>0</v>
      </c>
      <c r="V286" s="148" t="s">
        <v>934</v>
      </c>
      <c r="W286" s="148" t="s">
        <v>327</v>
      </c>
      <c r="X286" s="148" t="n">
        <v>4</v>
      </c>
      <c r="Y286" s="148" t="n">
        <v>0</v>
      </c>
    </row>
    <row r="287" customFormat="false" ht="14.25" hidden="false" customHeight="false" outlineLevel="0" collapsed="false">
      <c r="K287" s="148" t="s">
        <v>937</v>
      </c>
      <c r="L287" s="148" t="s">
        <v>327</v>
      </c>
      <c r="M287" s="148" t="n">
        <v>2</v>
      </c>
      <c r="N287" s="149" t="n">
        <v>0</v>
      </c>
      <c r="O287" s="22"/>
      <c r="P287" s="22"/>
      <c r="Q287" s="23" t="n">
        <f aca="false">O287*P287</f>
        <v>0</v>
      </c>
      <c r="V287" s="148" t="s">
        <v>935</v>
      </c>
      <c r="W287" s="148" t="s">
        <v>327</v>
      </c>
      <c r="X287" s="148" t="n">
        <v>33</v>
      </c>
      <c r="Y287" s="148" t="n">
        <v>0</v>
      </c>
    </row>
    <row r="288" customFormat="false" ht="14.25" hidden="false" customHeight="false" outlineLevel="0" collapsed="false">
      <c r="K288" s="148" t="s">
        <v>938</v>
      </c>
      <c r="L288" s="148" t="s">
        <v>327</v>
      </c>
      <c r="M288" s="148" t="n">
        <v>3</v>
      </c>
      <c r="N288" s="149" t="n">
        <v>0</v>
      </c>
      <c r="O288" s="22"/>
      <c r="P288" s="22"/>
      <c r="Q288" s="23" t="n">
        <f aca="false">O288*P288</f>
        <v>0</v>
      </c>
      <c r="V288" s="148" t="s">
        <v>936</v>
      </c>
      <c r="W288" s="148" t="s">
        <v>303</v>
      </c>
      <c r="X288" s="148" t="n">
        <v>16</v>
      </c>
      <c r="Y288" s="148" t="n">
        <v>0</v>
      </c>
    </row>
    <row r="289" customFormat="false" ht="14.25" hidden="false" customHeight="false" outlineLevel="0" collapsed="false">
      <c r="K289" s="148" t="s">
        <v>939</v>
      </c>
      <c r="L289" s="148" t="s">
        <v>327</v>
      </c>
      <c r="M289" s="148" t="n">
        <v>4</v>
      </c>
      <c r="N289" s="149" t="n">
        <v>0</v>
      </c>
      <c r="O289" s="22"/>
      <c r="P289" s="22"/>
      <c r="Q289" s="23" t="n">
        <f aca="false">O289*P289</f>
        <v>0</v>
      </c>
      <c r="V289" s="148" t="s">
        <v>937</v>
      </c>
      <c r="W289" s="148" t="s">
        <v>327</v>
      </c>
      <c r="X289" s="148" t="n">
        <v>2</v>
      </c>
      <c r="Y289" s="148" t="n">
        <v>0</v>
      </c>
    </row>
    <row r="290" customFormat="false" ht="14.25" hidden="false" customHeight="false" outlineLevel="0" collapsed="false">
      <c r="K290" s="148" t="s">
        <v>940</v>
      </c>
      <c r="L290" s="148" t="s">
        <v>699</v>
      </c>
      <c r="M290" s="148" t="n">
        <v>15</v>
      </c>
      <c r="N290" s="149" t="n">
        <v>0</v>
      </c>
      <c r="O290" s="35" t="n">
        <v>167</v>
      </c>
      <c r="P290" s="33" t="n">
        <v>17640</v>
      </c>
      <c r="Q290" s="25" t="n">
        <f aca="false">O290*P290</f>
        <v>2945880</v>
      </c>
      <c r="V290" s="148" t="s">
        <v>938</v>
      </c>
      <c r="W290" s="148" t="s">
        <v>327</v>
      </c>
      <c r="X290" s="148" t="n">
        <v>3</v>
      </c>
      <c r="Y290" s="148" t="n">
        <v>0</v>
      </c>
    </row>
    <row r="291" customFormat="false" ht="14.25" hidden="false" customHeight="false" outlineLevel="0" collapsed="false">
      <c r="K291" s="148" t="s">
        <v>941</v>
      </c>
      <c r="L291" s="148" t="s">
        <v>327</v>
      </c>
      <c r="M291" s="148" t="n">
        <v>6</v>
      </c>
      <c r="N291" s="149" t="n">
        <v>0</v>
      </c>
      <c r="O291" s="35" t="n">
        <v>13</v>
      </c>
      <c r="P291" s="33" t="n">
        <v>35280</v>
      </c>
      <c r="Q291" s="25" t="n">
        <f aca="false">O291*P291</f>
        <v>458640</v>
      </c>
      <c r="V291" s="148" t="s">
        <v>939</v>
      </c>
      <c r="W291" s="148" t="s">
        <v>327</v>
      </c>
      <c r="X291" s="148" t="n">
        <v>4</v>
      </c>
      <c r="Y291" s="148" t="n">
        <v>0</v>
      </c>
    </row>
    <row r="292" customFormat="false" ht="14.25" hidden="false" customHeight="false" outlineLevel="0" collapsed="false">
      <c r="K292" s="148" t="s">
        <v>942</v>
      </c>
      <c r="L292" s="148" t="s">
        <v>864</v>
      </c>
      <c r="M292" s="148" t="n">
        <v>1</v>
      </c>
      <c r="N292" s="149" t="n">
        <v>0</v>
      </c>
      <c r="O292" s="35" t="n">
        <v>2974</v>
      </c>
      <c r="P292" s="33" t="n">
        <v>62720</v>
      </c>
      <c r="Q292" s="25" t="n">
        <f aca="false">O292*P292</f>
        <v>186529280</v>
      </c>
      <c r="V292" s="148" t="s">
        <v>940</v>
      </c>
      <c r="W292" s="148" t="s">
        <v>699</v>
      </c>
      <c r="X292" s="148" t="n">
        <v>15</v>
      </c>
      <c r="Y292" s="148" t="n">
        <v>0</v>
      </c>
    </row>
    <row r="293" customFormat="false" ht="14.25" hidden="false" customHeight="false" outlineLevel="0" collapsed="false">
      <c r="K293" s="148" t="s">
        <v>821</v>
      </c>
      <c r="L293" s="148" t="s">
        <v>654</v>
      </c>
      <c r="M293" s="148" t="n">
        <v>880</v>
      </c>
      <c r="N293" s="149" t="n">
        <v>170585425.95</v>
      </c>
      <c r="O293" s="22"/>
      <c r="P293" s="22"/>
      <c r="Q293" s="23" t="n">
        <f aca="false">O293*P293</f>
        <v>0</v>
      </c>
      <c r="V293" s="148" t="s">
        <v>941</v>
      </c>
      <c r="W293" s="148" t="s">
        <v>327</v>
      </c>
      <c r="X293" s="148" t="n">
        <v>6</v>
      </c>
      <c r="Y293" s="148" t="n">
        <v>0</v>
      </c>
    </row>
    <row r="294" customFormat="false" ht="14.25" hidden="false" customHeight="false" outlineLevel="0" collapsed="false">
      <c r="K294" s="148" t="s">
        <v>217</v>
      </c>
      <c r="L294" s="148" t="s">
        <v>654</v>
      </c>
      <c r="M294" s="148" t="n">
        <v>80</v>
      </c>
      <c r="N294" s="149" t="n">
        <v>15612480.4</v>
      </c>
      <c r="O294" s="22"/>
      <c r="P294" s="22"/>
      <c r="Q294" s="23" t="n">
        <f aca="false">O294*P294</f>
        <v>0</v>
      </c>
      <c r="V294" s="148" t="s">
        <v>942</v>
      </c>
      <c r="W294" s="148" t="s">
        <v>864</v>
      </c>
      <c r="X294" s="148" t="n">
        <v>1</v>
      </c>
      <c r="Y294" s="148" t="n">
        <v>0</v>
      </c>
    </row>
    <row r="295" customFormat="false" ht="14.25" hidden="false" customHeight="false" outlineLevel="0" collapsed="false">
      <c r="K295" s="148" t="s">
        <v>218</v>
      </c>
      <c r="L295" s="148" t="s">
        <v>654</v>
      </c>
      <c r="M295" s="148" t="n">
        <v>50</v>
      </c>
      <c r="N295" s="149" t="n">
        <v>12743999.74</v>
      </c>
      <c r="O295" s="22"/>
      <c r="P295" s="22"/>
      <c r="Q295" s="23" t="n">
        <f aca="false">O295*P295</f>
        <v>0</v>
      </c>
      <c r="V295" s="148" t="s">
        <v>821</v>
      </c>
      <c r="W295" s="148" t="s">
        <v>654</v>
      </c>
      <c r="X295" s="148" t="n">
        <v>880</v>
      </c>
      <c r="Y295" s="148" t="n">
        <v>170585425.95</v>
      </c>
    </row>
    <row r="296" customFormat="false" ht="14.25" hidden="false" customHeight="false" outlineLevel="0" collapsed="false">
      <c r="K296" s="148" t="s">
        <v>219</v>
      </c>
      <c r="L296" s="148" t="s">
        <v>654</v>
      </c>
      <c r="M296" s="148" t="n">
        <v>30</v>
      </c>
      <c r="N296" s="149" t="n">
        <v>7646400</v>
      </c>
      <c r="O296" s="22"/>
      <c r="P296" s="22"/>
      <c r="Q296" s="23" t="n">
        <f aca="false">O296*P296</f>
        <v>0</v>
      </c>
      <c r="V296" s="148" t="s">
        <v>217</v>
      </c>
      <c r="W296" s="148" t="s">
        <v>654</v>
      </c>
      <c r="X296" s="148" t="n">
        <v>80</v>
      </c>
      <c r="Y296" s="148" t="n">
        <v>15612480.4</v>
      </c>
    </row>
    <row r="297" customFormat="false" ht="14.25" hidden="false" customHeight="false" outlineLevel="0" collapsed="false">
      <c r="K297" s="148" t="s">
        <v>827</v>
      </c>
      <c r="L297" s="148" t="s">
        <v>303</v>
      </c>
      <c r="M297" s="148" t="n">
        <v>144</v>
      </c>
      <c r="N297" s="149" t="n">
        <v>3991591</v>
      </c>
      <c r="O297" s="22"/>
      <c r="P297" s="22"/>
      <c r="Q297" s="23" t="n">
        <f aca="false">O297*P297</f>
        <v>0</v>
      </c>
      <c r="V297" s="148" t="s">
        <v>218</v>
      </c>
      <c r="W297" s="148" t="s">
        <v>654</v>
      </c>
      <c r="X297" s="148" t="n">
        <v>50</v>
      </c>
      <c r="Y297" s="148" t="n">
        <v>12743999.74</v>
      </c>
    </row>
    <row r="298" customFormat="false" ht="14.25" hidden="false" customHeight="false" outlineLevel="0" collapsed="false">
      <c r="K298" s="148" t="s">
        <v>221</v>
      </c>
      <c r="L298" s="148" t="s">
        <v>303</v>
      </c>
      <c r="M298" s="148" t="n">
        <v>3966</v>
      </c>
      <c r="N298" s="149" t="n">
        <v>35209048.501</v>
      </c>
      <c r="O298" s="191" t="n">
        <v>8</v>
      </c>
      <c r="P298" s="192" t="n">
        <v>29616</v>
      </c>
      <c r="Q298" s="106" t="n">
        <f aca="false">O298*P298</f>
        <v>236928</v>
      </c>
      <c r="V298" s="148" t="s">
        <v>219</v>
      </c>
      <c r="W298" s="148" t="s">
        <v>654</v>
      </c>
      <c r="X298" s="148" t="n">
        <v>30</v>
      </c>
      <c r="Y298" s="148" t="n">
        <v>7646400</v>
      </c>
    </row>
    <row r="299" customFormat="false" ht="14.25" hidden="false" customHeight="false" outlineLevel="0" collapsed="false">
      <c r="K299" s="148" t="s">
        <v>715</v>
      </c>
      <c r="L299" s="148" t="s">
        <v>303</v>
      </c>
      <c r="M299" s="148" t="n">
        <v>156</v>
      </c>
      <c r="N299" s="149" t="n">
        <v>1788474.32</v>
      </c>
      <c r="O299" s="22"/>
      <c r="P299" s="22"/>
      <c r="Q299" s="23" t="n">
        <f aca="false">O299*P299</f>
        <v>0</v>
      </c>
      <c r="V299" s="148" t="s">
        <v>827</v>
      </c>
      <c r="W299" s="148" t="s">
        <v>303</v>
      </c>
      <c r="X299" s="148" t="n">
        <v>144</v>
      </c>
      <c r="Y299" s="148" t="n">
        <v>3991591</v>
      </c>
    </row>
    <row r="300" customFormat="false" ht="14.25" hidden="false" customHeight="false" outlineLevel="0" collapsed="false">
      <c r="K300" s="148" t="s">
        <v>222</v>
      </c>
      <c r="L300" s="148" t="s">
        <v>303</v>
      </c>
      <c r="M300" s="148" t="n">
        <v>96</v>
      </c>
      <c r="N300" s="149" t="n">
        <v>2532304.87</v>
      </c>
      <c r="O300" s="193" t="n">
        <v>625</v>
      </c>
      <c r="P300" s="192" t="n">
        <v>13152</v>
      </c>
      <c r="Q300" s="106" t="n">
        <f aca="false">O300*P300</f>
        <v>8220000</v>
      </c>
      <c r="V300" s="148" t="s">
        <v>221</v>
      </c>
      <c r="W300" s="148" t="s">
        <v>303</v>
      </c>
      <c r="X300" s="148" t="n">
        <v>3966</v>
      </c>
      <c r="Y300" s="148" t="n">
        <v>35209048.501</v>
      </c>
    </row>
    <row r="301" customFormat="false" ht="14.25" hidden="false" customHeight="false" outlineLevel="0" collapsed="false">
      <c r="K301" s="148" t="s">
        <v>223</v>
      </c>
      <c r="L301" s="148" t="s">
        <v>303</v>
      </c>
      <c r="M301" s="148" t="n">
        <v>247</v>
      </c>
      <c r="N301" s="149" t="n">
        <v>7120956.96</v>
      </c>
      <c r="O301" s="22"/>
      <c r="P301" s="22"/>
      <c r="Q301" s="23" t="n">
        <f aca="false">O301*P301</f>
        <v>0</v>
      </c>
      <c r="V301" s="148" t="s">
        <v>715</v>
      </c>
      <c r="W301" s="148" t="s">
        <v>303</v>
      </c>
      <c r="X301" s="148" t="n">
        <v>156</v>
      </c>
      <c r="Y301" s="148" t="n">
        <v>1788474.32</v>
      </c>
    </row>
    <row r="302" customFormat="false" ht="14.25" hidden="false" customHeight="false" outlineLevel="0" collapsed="false">
      <c r="K302" s="148" t="s">
        <v>225</v>
      </c>
      <c r="L302" s="148" t="s">
        <v>303</v>
      </c>
      <c r="M302" s="148" t="n">
        <v>232</v>
      </c>
      <c r="N302" s="149" t="n">
        <v>5368555.9</v>
      </c>
      <c r="O302" s="22"/>
      <c r="P302" s="22"/>
      <c r="Q302" s="23" t="n">
        <f aca="false">O302*P302</f>
        <v>0</v>
      </c>
      <c r="V302" s="148" t="s">
        <v>222</v>
      </c>
      <c r="W302" s="148" t="s">
        <v>303</v>
      </c>
      <c r="X302" s="148" t="n">
        <v>96</v>
      </c>
      <c r="Y302" s="148" t="n">
        <v>2532304.87</v>
      </c>
    </row>
    <row r="303" customFormat="false" ht="14.25" hidden="false" customHeight="false" outlineLevel="0" collapsed="false">
      <c r="K303" s="148" t="s">
        <v>837</v>
      </c>
      <c r="L303" s="148" t="s">
        <v>654</v>
      </c>
      <c r="M303" s="148" t="n">
        <v>338.2</v>
      </c>
      <c r="N303" s="149" t="n">
        <v>33477104.168</v>
      </c>
      <c r="O303" s="35" t="n">
        <v>2802</v>
      </c>
      <c r="P303" s="33" t="n">
        <v>54405.18</v>
      </c>
      <c r="Q303" s="25" t="n">
        <f aca="false">O303*P303</f>
        <v>152443314.36</v>
      </c>
      <c r="V303" s="148" t="s">
        <v>223</v>
      </c>
      <c r="W303" s="148" t="s">
        <v>303</v>
      </c>
      <c r="X303" s="148" t="n">
        <v>247</v>
      </c>
      <c r="Y303" s="148" t="n">
        <v>7120956.96</v>
      </c>
    </row>
    <row r="304" customFormat="false" ht="14.25" hidden="false" customHeight="false" outlineLevel="0" collapsed="false">
      <c r="K304" s="148" t="s">
        <v>839</v>
      </c>
      <c r="L304" s="148" t="s">
        <v>654</v>
      </c>
      <c r="M304" s="148" t="n">
        <v>140</v>
      </c>
      <c r="N304" s="149" t="n">
        <v>12035091.74</v>
      </c>
      <c r="O304" s="35" t="n">
        <v>1597</v>
      </c>
      <c r="P304" s="33" t="n">
        <v>54405.18</v>
      </c>
      <c r="Q304" s="25" t="n">
        <f aca="false">O304*P304</f>
        <v>86885072.46</v>
      </c>
      <c r="V304" s="148" t="s">
        <v>225</v>
      </c>
      <c r="W304" s="148" t="s">
        <v>303</v>
      </c>
      <c r="X304" s="148" t="n">
        <v>232</v>
      </c>
      <c r="Y304" s="148" t="n">
        <v>5368555.9</v>
      </c>
    </row>
    <row r="305" customFormat="false" ht="14.25" hidden="false" customHeight="false" outlineLevel="0" collapsed="false">
      <c r="K305" s="148" t="s">
        <v>229</v>
      </c>
      <c r="L305" s="148" t="s">
        <v>654</v>
      </c>
      <c r="M305" s="148" t="n">
        <v>70</v>
      </c>
      <c r="N305" s="149" t="n">
        <v>7148977.37</v>
      </c>
      <c r="O305" s="35" t="n">
        <v>555</v>
      </c>
      <c r="P305" s="33" t="n">
        <v>44306.06</v>
      </c>
      <c r="Q305" s="25" t="n">
        <f aca="false">O305*P305</f>
        <v>24589863.3</v>
      </c>
      <c r="V305" s="148" t="s">
        <v>837</v>
      </c>
      <c r="W305" s="148" t="s">
        <v>654</v>
      </c>
      <c r="X305" s="148" t="n">
        <v>338.2</v>
      </c>
      <c r="Y305" s="148" t="n">
        <v>33477104.168</v>
      </c>
    </row>
    <row r="306" customFormat="false" ht="14.25" hidden="false" customHeight="false" outlineLevel="0" collapsed="false">
      <c r="K306" s="148" t="s">
        <v>230</v>
      </c>
      <c r="L306" s="148" t="s">
        <v>844</v>
      </c>
      <c r="M306" s="148" t="n">
        <v>88</v>
      </c>
      <c r="N306" s="149" t="n">
        <v>6749479.15</v>
      </c>
      <c r="O306" s="22"/>
      <c r="P306" s="22"/>
      <c r="Q306" s="23" t="n">
        <f aca="false">O306*P306</f>
        <v>0</v>
      </c>
      <c r="V306" s="148" t="s">
        <v>839</v>
      </c>
      <c r="W306" s="148" t="s">
        <v>654</v>
      </c>
      <c r="X306" s="148" t="n">
        <v>140</v>
      </c>
      <c r="Y306" s="148" t="n">
        <v>12035091.74</v>
      </c>
    </row>
    <row r="307" customFormat="false" ht="14.25" hidden="false" customHeight="false" outlineLevel="0" collapsed="false">
      <c r="K307" s="148" t="s">
        <v>232</v>
      </c>
      <c r="L307" s="148" t="s">
        <v>451</v>
      </c>
      <c r="M307" s="148" t="n">
        <v>419</v>
      </c>
      <c r="N307" s="149" t="n">
        <v>35373596.7</v>
      </c>
      <c r="O307" s="35" t="n">
        <v>4395</v>
      </c>
      <c r="P307" s="33" t="n">
        <v>43373.31</v>
      </c>
      <c r="Q307" s="25" t="n">
        <f aca="false">O307*P307</f>
        <v>190625697.45</v>
      </c>
      <c r="V307" s="148" t="s">
        <v>229</v>
      </c>
      <c r="W307" s="148" t="s">
        <v>654</v>
      </c>
      <c r="X307" s="148" t="n">
        <v>70</v>
      </c>
      <c r="Y307" s="148" t="n">
        <v>7148977.37</v>
      </c>
    </row>
    <row r="308" customFormat="false" ht="14.25" hidden="false" customHeight="false" outlineLevel="0" collapsed="false">
      <c r="K308" s="148" t="s">
        <v>233</v>
      </c>
      <c r="L308" s="148" t="s">
        <v>654</v>
      </c>
      <c r="M308" s="148" t="n">
        <v>1637</v>
      </c>
      <c r="N308" s="149" t="n">
        <v>111074403.21</v>
      </c>
      <c r="O308" s="22"/>
      <c r="P308" s="22"/>
      <c r="Q308" s="23" t="n">
        <f aca="false">O308*P308</f>
        <v>0</v>
      </c>
      <c r="V308" s="148" t="s">
        <v>230</v>
      </c>
      <c r="W308" s="148" t="s">
        <v>844</v>
      </c>
      <c r="X308" s="148" t="n">
        <v>88</v>
      </c>
      <c r="Y308" s="148" t="n">
        <v>6749479.15</v>
      </c>
    </row>
    <row r="309" customFormat="false" ht="14.25" hidden="false" customHeight="false" outlineLevel="0" collapsed="false">
      <c r="K309" s="148" t="s">
        <v>234</v>
      </c>
      <c r="L309" s="148" t="s">
        <v>654</v>
      </c>
      <c r="M309" s="148" t="n">
        <v>12079.8</v>
      </c>
      <c r="N309" s="149" t="n">
        <v>777959339.516881</v>
      </c>
      <c r="O309" s="35" t="n">
        <v>925</v>
      </c>
      <c r="P309" s="33" t="n">
        <v>180233.73</v>
      </c>
      <c r="Q309" s="25" t="n">
        <f aca="false">O309*P309</f>
        <v>166716200.25</v>
      </c>
      <c r="V309" s="148" t="s">
        <v>232</v>
      </c>
      <c r="W309" s="148" t="s">
        <v>451</v>
      </c>
      <c r="X309" s="148" t="n">
        <v>419</v>
      </c>
      <c r="Y309" s="148" t="n">
        <v>35373596.7</v>
      </c>
    </row>
    <row r="310" customFormat="false" ht="14.25" hidden="false" customHeight="false" outlineLevel="0" collapsed="false">
      <c r="K310" s="148" t="s">
        <v>235</v>
      </c>
      <c r="L310" s="148" t="s">
        <v>451</v>
      </c>
      <c r="M310" s="148" t="n">
        <v>44</v>
      </c>
      <c r="N310" s="149" t="n">
        <v>3405998.52</v>
      </c>
      <c r="O310" s="35" t="n">
        <v>8407</v>
      </c>
      <c r="P310" s="33" t="n">
        <v>178467</v>
      </c>
      <c r="Q310" s="25" t="n">
        <f aca="false">O310*P310</f>
        <v>1500372069</v>
      </c>
      <c r="V310" s="148" t="s">
        <v>233</v>
      </c>
      <c r="W310" s="148" t="s">
        <v>654</v>
      </c>
      <c r="X310" s="148" t="n">
        <v>1637</v>
      </c>
      <c r="Y310" s="148" t="n">
        <v>111074403.21</v>
      </c>
    </row>
    <row r="311" customFormat="false" ht="14.25" hidden="false" customHeight="false" outlineLevel="0" collapsed="false">
      <c r="K311" s="148" t="s">
        <v>236</v>
      </c>
      <c r="L311" s="148" t="s">
        <v>654</v>
      </c>
      <c r="M311" s="148" t="n">
        <v>387.6</v>
      </c>
      <c r="N311" s="149" t="n">
        <v>26849936.528</v>
      </c>
      <c r="O311" s="22"/>
      <c r="P311" s="22"/>
      <c r="Q311" s="23" t="n">
        <f aca="false">O311*P311</f>
        <v>0</v>
      </c>
      <c r="V311" s="148" t="s">
        <v>234</v>
      </c>
      <c r="W311" s="148" t="s">
        <v>654</v>
      </c>
      <c r="X311" s="148" t="n">
        <v>12079.8</v>
      </c>
      <c r="Y311" s="148" t="n">
        <v>777959339.516881</v>
      </c>
    </row>
    <row r="312" customFormat="false" ht="14.25" hidden="false" customHeight="false" outlineLevel="0" collapsed="false">
      <c r="K312" s="148" t="s">
        <v>238</v>
      </c>
      <c r="L312" s="148" t="s">
        <v>654</v>
      </c>
      <c r="M312" s="148" t="n">
        <v>953.36</v>
      </c>
      <c r="N312" s="149" t="n">
        <v>61208342.9064</v>
      </c>
      <c r="O312" s="35" t="n">
        <v>6335</v>
      </c>
      <c r="P312" s="33" t="n">
        <v>7220</v>
      </c>
      <c r="Q312" s="25" t="n">
        <f aca="false">O312*P312</f>
        <v>45738700</v>
      </c>
      <c r="V312" s="148" t="s">
        <v>235</v>
      </c>
      <c r="W312" s="148" t="s">
        <v>451</v>
      </c>
      <c r="X312" s="148" t="n">
        <v>44</v>
      </c>
      <c r="Y312" s="148" t="n">
        <v>3405998.52</v>
      </c>
    </row>
    <row r="313" customFormat="false" ht="14.25" hidden="false" customHeight="false" outlineLevel="0" collapsed="false">
      <c r="K313" s="148" t="s">
        <v>240</v>
      </c>
      <c r="L313" s="148" t="s">
        <v>654</v>
      </c>
      <c r="M313" s="148" t="n">
        <v>1254</v>
      </c>
      <c r="N313" s="149" t="n">
        <v>126639838.12</v>
      </c>
      <c r="O313" s="35" t="n">
        <v>4737</v>
      </c>
      <c r="P313" s="33" t="n">
        <v>28272</v>
      </c>
      <c r="Q313" s="25" t="n">
        <f aca="false">O313*P313</f>
        <v>133924464</v>
      </c>
      <c r="V313" s="148" t="s">
        <v>236</v>
      </c>
      <c r="W313" s="148" t="s">
        <v>654</v>
      </c>
      <c r="X313" s="148" t="n">
        <v>387.6</v>
      </c>
      <c r="Y313" s="148" t="n">
        <v>26849936.528</v>
      </c>
    </row>
    <row r="314" customFormat="false" ht="14.25" hidden="false" customHeight="false" outlineLevel="0" collapsed="false">
      <c r="K314" s="148" t="s">
        <v>241</v>
      </c>
      <c r="L314" s="148" t="s">
        <v>654</v>
      </c>
      <c r="M314" s="148" t="n">
        <v>745.54</v>
      </c>
      <c r="N314" s="149" t="n">
        <v>67190799.2192</v>
      </c>
      <c r="O314" s="191" t="n">
        <v>843</v>
      </c>
      <c r="P314" s="192" t="n">
        <v>35340</v>
      </c>
      <c r="Q314" s="106" t="n">
        <f aca="false">O314*P314</f>
        <v>29791620</v>
      </c>
      <c r="V314" s="148" t="s">
        <v>238</v>
      </c>
      <c r="W314" s="148" t="s">
        <v>654</v>
      </c>
      <c r="X314" s="148" t="n">
        <v>953.36</v>
      </c>
      <c r="Y314" s="148" t="n">
        <v>61208342.9064</v>
      </c>
    </row>
    <row r="315" customFormat="false" ht="14.25" hidden="false" customHeight="false" outlineLevel="0" collapsed="false">
      <c r="K315" s="148" t="s">
        <v>857</v>
      </c>
      <c r="L315" s="148" t="s">
        <v>654</v>
      </c>
      <c r="M315" s="148" t="n">
        <v>690.5</v>
      </c>
      <c r="N315" s="149" t="n">
        <v>70471976.94</v>
      </c>
      <c r="O315" s="35" t="n">
        <v>243366</v>
      </c>
      <c r="P315" s="33" t="n">
        <v>7068</v>
      </c>
      <c r="Q315" s="25" t="n">
        <f aca="false">O315*P315</f>
        <v>1720110888</v>
      </c>
      <c r="V315" s="148" t="s">
        <v>240</v>
      </c>
      <c r="W315" s="148" t="s">
        <v>654</v>
      </c>
      <c r="X315" s="148" t="n">
        <v>1254</v>
      </c>
      <c r="Y315" s="148" t="n">
        <v>126639838.12</v>
      </c>
    </row>
    <row r="316" customFormat="false" ht="14.25" hidden="false" customHeight="false" outlineLevel="0" collapsed="false">
      <c r="K316" s="148" t="s">
        <v>242</v>
      </c>
      <c r="L316" s="148" t="s">
        <v>654</v>
      </c>
      <c r="M316" s="148" t="n">
        <v>150</v>
      </c>
      <c r="N316" s="149" t="n">
        <v>11151666.628</v>
      </c>
      <c r="O316" s="35" t="n">
        <v>46715</v>
      </c>
      <c r="P316" s="33" t="n">
        <v>28272</v>
      </c>
      <c r="Q316" s="25" t="n">
        <f aca="false">O316*P316</f>
        <v>1320726480</v>
      </c>
      <c r="V316" s="148" t="s">
        <v>241</v>
      </c>
      <c r="W316" s="148" t="s">
        <v>654</v>
      </c>
      <c r="X316" s="148" t="n">
        <v>745.54</v>
      </c>
      <c r="Y316" s="148" t="n">
        <v>67190799.2192</v>
      </c>
    </row>
    <row r="317" customFormat="false" ht="14.25" hidden="false" customHeight="false" outlineLevel="0" collapsed="false">
      <c r="K317" s="148" t="s">
        <v>859</v>
      </c>
      <c r="L317" s="148" t="s">
        <v>654</v>
      </c>
      <c r="M317" s="148" t="n">
        <v>173</v>
      </c>
      <c r="N317" s="149" t="n">
        <v>17145087.01</v>
      </c>
      <c r="O317" s="22"/>
      <c r="P317" s="22"/>
      <c r="Q317" s="23" t="n">
        <f aca="false">O317*P317</f>
        <v>0</v>
      </c>
      <c r="V317" s="148" t="s">
        <v>857</v>
      </c>
      <c r="W317" s="148" t="s">
        <v>654</v>
      </c>
      <c r="X317" s="148" t="n">
        <v>690.5</v>
      </c>
      <c r="Y317" s="148" t="n">
        <v>70471976.94</v>
      </c>
    </row>
    <row r="318" customFormat="false" ht="14.25" hidden="false" customHeight="false" outlineLevel="0" collapsed="false">
      <c r="K318" s="148" t="s">
        <v>243</v>
      </c>
      <c r="L318" s="148" t="s">
        <v>654</v>
      </c>
      <c r="M318" s="148" t="n">
        <v>98</v>
      </c>
      <c r="N318" s="149" t="n">
        <v>8898140.275</v>
      </c>
      <c r="O318" s="22"/>
      <c r="P318" s="22"/>
      <c r="Q318" s="23" t="n">
        <f aca="false">O318*P318</f>
        <v>0</v>
      </c>
      <c r="V318" s="148" t="s">
        <v>242</v>
      </c>
      <c r="W318" s="148" t="s">
        <v>654</v>
      </c>
      <c r="X318" s="148" t="n">
        <v>150</v>
      </c>
      <c r="Y318" s="148" t="n">
        <v>11151666.628</v>
      </c>
    </row>
    <row r="319" customFormat="false" ht="14.25" hidden="false" customHeight="false" outlineLevel="0" collapsed="false">
      <c r="K319" s="148" t="s">
        <v>244</v>
      </c>
      <c r="L319" s="148" t="s">
        <v>654</v>
      </c>
      <c r="M319" s="148" t="n">
        <v>49</v>
      </c>
      <c r="N319" s="149" t="n">
        <v>2830953.48</v>
      </c>
      <c r="O319" s="22"/>
      <c r="P319" s="22"/>
      <c r="Q319" s="23" t="n">
        <f aca="false">O319*P319</f>
        <v>0</v>
      </c>
      <c r="V319" s="148" t="s">
        <v>859</v>
      </c>
      <c r="W319" s="148" t="s">
        <v>654</v>
      </c>
      <c r="X319" s="148" t="n">
        <v>173</v>
      </c>
      <c r="Y319" s="148" t="n">
        <v>17145087.01</v>
      </c>
    </row>
    <row r="320" customFormat="false" ht="14.25" hidden="false" customHeight="false" outlineLevel="0" collapsed="false">
      <c r="K320" s="148" t="s">
        <v>881</v>
      </c>
      <c r="L320" s="148" t="s">
        <v>528</v>
      </c>
      <c r="M320" s="148" t="n">
        <v>21</v>
      </c>
      <c r="N320" s="149" t="n">
        <v>7765600.14</v>
      </c>
      <c r="O320" s="22"/>
      <c r="P320" s="22"/>
      <c r="Q320" s="23" t="n">
        <f aca="false">O320*P320</f>
        <v>0</v>
      </c>
      <c r="V320" s="148" t="s">
        <v>243</v>
      </c>
      <c r="W320" s="148" t="s">
        <v>654</v>
      </c>
      <c r="X320" s="148" t="n">
        <v>98</v>
      </c>
      <c r="Y320" s="148" t="n">
        <v>8898140.275</v>
      </c>
    </row>
    <row r="321" customFormat="false" ht="14.25" hidden="false" customHeight="false" outlineLevel="0" collapsed="false">
      <c r="K321" s="148" t="s">
        <v>866</v>
      </c>
      <c r="L321" s="148" t="s">
        <v>528</v>
      </c>
      <c r="M321" s="148" t="n">
        <v>28</v>
      </c>
      <c r="N321" s="149" t="n">
        <v>10359024.7</v>
      </c>
      <c r="O321" s="191" t="n">
        <v>1150</v>
      </c>
      <c r="P321" s="192" t="n">
        <v>7220</v>
      </c>
      <c r="Q321" s="106" t="n">
        <f aca="false">O321*P321</f>
        <v>8303000</v>
      </c>
      <c r="V321" s="148" t="s">
        <v>244</v>
      </c>
      <c r="W321" s="148" t="s">
        <v>654</v>
      </c>
      <c r="X321" s="148" t="n">
        <v>49</v>
      </c>
      <c r="Y321" s="148" t="n">
        <v>2830953.48</v>
      </c>
    </row>
    <row r="322" customFormat="false" ht="14.25" hidden="false" customHeight="false" outlineLevel="0" collapsed="false">
      <c r="K322" s="148" t="s">
        <v>247</v>
      </c>
      <c r="L322" s="148" t="s">
        <v>528</v>
      </c>
      <c r="M322" s="148" t="n">
        <v>27</v>
      </c>
      <c r="N322" s="149" t="n">
        <v>9981806.11</v>
      </c>
      <c r="O322" s="22"/>
      <c r="P322" s="22"/>
      <c r="Q322" s="23" t="n">
        <f aca="false">O322*P322</f>
        <v>0</v>
      </c>
      <c r="V322" s="148" t="s">
        <v>881</v>
      </c>
      <c r="W322" s="148" t="s">
        <v>528</v>
      </c>
      <c r="X322" s="148" t="n">
        <v>21</v>
      </c>
      <c r="Y322" s="148" t="n">
        <v>7765600.14</v>
      </c>
    </row>
    <row r="323" customFormat="false" ht="14.25" hidden="false" customHeight="false" outlineLevel="0" collapsed="false">
      <c r="O323" s="22"/>
      <c r="P323" s="22"/>
      <c r="Q323" s="23" t="n">
        <f aca="false">O323*P323</f>
        <v>0</v>
      </c>
      <c r="V323" s="148" t="s">
        <v>866</v>
      </c>
      <c r="W323" s="148" t="s">
        <v>528</v>
      </c>
      <c r="X323" s="148" t="n">
        <v>28</v>
      </c>
      <c r="Y323" s="148" t="n">
        <v>10359024.7</v>
      </c>
    </row>
    <row r="324" customFormat="false" ht="14.25" hidden="false" customHeight="false" outlineLevel="0" collapsed="false">
      <c r="O324" s="22"/>
      <c r="P324" s="22"/>
      <c r="Q324" s="23" t="n">
        <f aca="false">O324*P324</f>
        <v>0</v>
      </c>
      <c r="V324" s="148" t="s">
        <v>247</v>
      </c>
      <c r="W324" s="148" t="s">
        <v>528</v>
      </c>
      <c r="X324" s="148" t="n">
        <v>27</v>
      </c>
      <c r="Y324" s="148" t="n">
        <v>9981806.11</v>
      </c>
    </row>
    <row r="325" customFormat="false" ht="14.25" hidden="false" customHeight="false" outlineLevel="0" collapsed="false">
      <c r="N325" s="149" t="n">
        <v>15732425700.7255</v>
      </c>
      <c r="O325" s="22"/>
      <c r="P325" s="22"/>
      <c r="Q325" s="23" t="n">
        <f aca="false">O325*P325</f>
        <v>0</v>
      </c>
    </row>
    <row r="326" customFormat="false" ht="14.25" hidden="false" customHeight="false" outlineLevel="0" collapsed="false">
      <c r="O326" s="22"/>
      <c r="P326" s="22"/>
      <c r="Q326" s="23" t="n">
        <f aca="false">O326*P326</f>
        <v>0</v>
      </c>
    </row>
    <row r="327" customFormat="false" ht="14.25" hidden="false" customHeight="false" outlineLevel="0" collapsed="false">
      <c r="O327" s="22"/>
      <c r="P327" s="22"/>
      <c r="Q327" s="23" t="n">
        <f aca="false">O327*P327</f>
        <v>0</v>
      </c>
      <c r="Y327" s="148" t="n">
        <v>15732425700.7255</v>
      </c>
    </row>
    <row r="328" customFormat="false" ht="14.25" hidden="false" customHeight="false" outlineLevel="0" collapsed="false">
      <c r="O328" s="22"/>
      <c r="P328" s="22"/>
      <c r="Q328" s="23" t="n">
        <f aca="false">O328*P328</f>
        <v>0</v>
      </c>
    </row>
    <row r="329" customFormat="false" ht="14.25" hidden="false" customHeight="false" outlineLevel="0" collapsed="false">
      <c r="O329" s="22"/>
      <c r="P329" s="22"/>
      <c r="Q329" s="23" t="n">
        <f aca="false">O329*P329</f>
        <v>0</v>
      </c>
    </row>
    <row r="330" customFormat="false" ht="14.25" hidden="false" customHeight="false" outlineLevel="0" collapsed="false">
      <c r="O330" s="35" t="n">
        <v>918</v>
      </c>
      <c r="P330" s="33" t="n">
        <v>11737</v>
      </c>
      <c r="Q330" s="25" t="n">
        <f aca="false">O330*P330</f>
        <v>10774566</v>
      </c>
    </row>
    <row r="331" customFormat="false" ht="14.25" hidden="false" customHeight="false" outlineLevel="0" collapsed="false">
      <c r="O331" s="191" t="n">
        <v>72</v>
      </c>
      <c r="P331" s="192" t="n">
        <v>25802</v>
      </c>
      <c r="Q331" s="106" t="n">
        <f aca="false">O331*P331</f>
        <v>1857744</v>
      </c>
    </row>
    <row r="332" customFormat="false" ht="14.25" hidden="false" customHeight="false" outlineLevel="0" collapsed="false">
      <c r="O332" s="35" t="n">
        <v>8457</v>
      </c>
      <c r="P332" s="33" t="n">
        <v>32010</v>
      </c>
      <c r="Q332" s="25" t="n">
        <f aca="false">O332*P332</f>
        <v>270708570</v>
      </c>
    </row>
    <row r="333" customFormat="false" ht="14.25" hidden="false" customHeight="false" outlineLevel="0" collapsed="false">
      <c r="O333" s="35" t="n">
        <v>190</v>
      </c>
      <c r="P333" s="33" t="n">
        <v>67124</v>
      </c>
      <c r="Q333" s="25" t="n">
        <f aca="false">O333*P333</f>
        <v>12753560</v>
      </c>
    </row>
    <row r="334" customFormat="false" ht="14.25" hidden="false" customHeight="false" outlineLevel="0" collapsed="false">
      <c r="O334" s="22"/>
      <c r="P334" s="22"/>
      <c r="Q334" s="23" t="n">
        <f aca="false">O334*P334</f>
        <v>0</v>
      </c>
    </row>
    <row r="335" customFormat="false" ht="14.25" hidden="false" customHeight="false" outlineLevel="0" collapsed="false">
      <c r="O335" s="22"/>
      <c r="P335" s="22"/>
      <c r="Q335" s="23" t="n">
        <f aca="false">O335*P335</f>
        <v>0</v>
      </c>
    </row>
    <row r="336" customFormat="false" ht="14.25" hidden="false" customHeight="false" outlineLevel="0" collapsed="false">
      <c r="O336" s="193" t="n">
        <v>76</v>
      </c>
      <c r="P336" s="192" t="n">
        <v>58410</v>
      </c>
      <c r="Q336" s="106" t="n">
        <f aca="false">O336*P336</f>
        <v>4439160</v>
      </c>
    </row>
    <row r="337" customFormat="false" ht="14.25" hidden="false" customHeight="false" outlineLevel="0" collapsed="false">
      <c r="O337" s="22"/>
      <c r="P337" s="22"/>
      <c r="Q337" s="23" t="n">
        <f aca="false">O337*P337</f>
        <v>0</v>
      </c>
    </row>
    <row r="338" customFormat="false" ht="14.25" hidden="false" customHeight="false" outlineLevel="0" collapsed="false">
      <c r="O338" s="190" t="n">
        <v>360</v>
      </c>
      <c r="P338" s="40" t="n">
        <v>32864</v>
      </c>
      <c r="Q338" s="41" t="n">
        <f aca="false">O338*P338</f>
        <v>11831040</v>
      </c>
    </row>
    <row r="339" customFormat="false" ht="14.25" hidden="false" customHeight="false" outlineLevel="0" collapsed="false">
      <c r="O339" s="35" t="n">
        <v>2634</v>
      </c>
      <c r="P339" s="33" t="n">
        <v>12804</v>
      </c>
      <c r="Q339" s="25" t="n">
        <f aca="false">O339*P339</f>
        <v>33725736</v>
      </c>
    </row>
    <row r="340" customFormat="false" ht="14.25" hidden="false" customHeight="false" outlineLevel="0" collapsed="false">
      <c r="O340" s="29" t="n">
        <v>1215</v>
      </c>
      <c r="P340" s="33" t="n">
        <v>12804</v>
      </c>
      <c r="Q340" s="25" t="n">
        <f aca="false">O340*P340</f>
        <v>15556860</v>
      </c>
    </row>
    <row r="341" customFormat="false" ht="14.25" hidden="false" customHeight="false" outlineLevel="0" collapsed="false">
      <c r="O341" s="191" t="n">
        <v>205</v>
      </c>
      <c r="P341" s="192" t="n">
        <v>10476</v>
      </c>
      <c r="Q341" s="106" t="n">
        <f aca="false">O341*P341</f>
        <v>2147580</v>
      </c>
    </row>
    <row r="342" customFormat="false" ht="14.25" hidden="false" customHeight="false" outlineLevel="0" collapsed="false">
      <c r="O342" s="191" t="n">
        <v>90</v>
      </c>
      <c r="P342" s="194" t="n">
        <v>21363.9</v>
      </c>
      <c r="Q342" s="106" t="n">
        <f aca="false">O342*P342</f>
        <v>1922751</v>
      </c>
    </row>
    <row r="343" customFormat="false" ht="14.25" hidden="false" customHeight="false" outlineLevel="0" collapsed="false">
      <c r="O343" s="22"/>
      <c r="P343" s="22"/>
      <c r="Q343" s="23" t="n">
        <f aca="false">O343*P343</f>
        <v>0</v>
      </c>
    </row>
    <row r="344" customFormat="false" ht="14.25" hidden="false" customHeight="false" outlineLevel="0" collapsed="false">
      <c r="O344" s="22"/>
      <c r="P344" s="22"/>
      <c r="Q344" s="23" t="n">
        <f aca="false">O344*P344</f>
        <v>0</v>
      </c>
    </row>
    <row r="345" customFormat="false" ht="14.25" hidden="false" customHeight="false" outlineLevel="0" collapsed="false">
      <c r="O345" s="22"/>
      <c r="P345" s="22"/>
      <c r="Q345" s="23" t="n">
        <f aca="false">O345*P345</f>
        <v>0</v>
      </c>
    </row>
    <row r="346" customFormat="false" ht="14.25" hidden="false" customHeight="false" outlineLevel="0" collapsed="false">
      <c r="O346" s="22"/>
      <c r="P346" s="22"/>
      <c r="Q346" s="23" t="n">
        <f aca="false">O346*P346</f>
        <v>0</v>
      </c>
    </row>
    <row r="347" customFormat="false" ht="14.25" hidden="false" customHeight="false" outlineLevel="0" collapsed="false">
      <c r="O347" s="22"/>
      <c r="P347" s="22"/>
      <c r="Q347" s="23" t="n">
        <f aca="false">O347*P347</f>
        <v>0</v>
      </c>
    </row>
    <row r="348" customFormat="false" ht="14.25" hidden="false" customHeight="false" outlineLevel="0" collapsed="false">
      <c r="O348" s="22"/>
      <c r="P348" s="22"/>
      <c r="Q348" s="23" t="n">
        <f aca="false">O348*P348</f>
        <v>0</v>
      </c>
    </row>
    <row r="349" customFormat="false" ht="14.25" hidden="false" customHeight="false" outlineLevel="0" collapsed="false">
      <c r="O349" s="35" t="n">
        <v>1474</v>
      </c>
      <c r="P349" s="33" t="n">
        <v>21243</v>
      </c>
      <c r="Q349" s="25" t="n">
        <f aca="false">O349*P349</f>
        <v>31312182</v>
      </c>
    </row>
    <row r="350" customFormat="false" ht="14.25" hidden="false" customHeight="false" outlineLevel="0" collapsed="false">
      <c r="O350" s="35" t="n">
        <v>20747</v>
      </c>
      <c r="P350" s="33" t="n">
        <v>12416</v>
      </c>
      <c r="Q350" s="25" t="n">
        <f aca="false">O350*P350</f>
        <v>257594752</v>
      </c>
    </row>
    <row r="351" customFormat="false" ht="14.25" hidden="false" customHeight="false" outlineLevel="0" collapsed="false">
      <c r="O351" s="22"/>
      <c r="P351" s="22"/>
      <c r="Q351" s="23" t="n">
        <f aca="false">O351*P351</f>
        <v>0</v>
      </c>
    </row>
    <row r="352" customFormat="false" ht="14.25" hidden="false" customHeight="false" outlineLevel="0" collapsed="false">
      <c r="O352" s="35" t="n">
        <v>597</v>
      </c>
      <c r="P352" s="33" t="n">
        <v>42680</v>
      </c>
      <c r="Q352" s="25" t="n">
        <f aca="false">O352*P352</f>
        <v>25479960</v>
      </c>
    </row>
    <row r="353" customFormat="false" ht="14.25" hidden="false" customHeight="false" outlineLevel="0" collapsed="false">
      <c r="O353" s="22"/>
      <c r="P353" s="22"/>
      <c r="Q353" s="23" t="n">
        <f aca="false">O353*P353</f>
        <v>0</v>
      </c>
    </row>
    <row r="354" customFormat="false" ht="14.25" hidden="false" customHeight="false" outlineLevel="0" collapsed="false">
      <c r="O354" s="22"/>
      <c r="P354" s="22"/>
      <c r="Q354" s="23" t="n">
        <f aca="false">O354*P354</f>
        <v>0</v>
      </c>
    </row>
    <row r="355" customFormat="false" ht="14.25" hidden="false" customHeight="false" outlineLevel="0" collapsed="false">
      <c r="O355" s="22"/>
      <c r="P355" s="22"/>
      <c r="Q355" s="23" t="n">
        <f aca="false">O355*P355</f>
        <v>0</v>
      </c>
    </row>
    <row r="356" customFormat="false" ht="14.25" hidden="false" customHeight="false" outlineLevel="0" collapsed="false">
      <c r="O356" s="22"/>
      <c r="P356" s="22"/>
      <c r="Q356" s="23" t="n">
        <f aca="false">O356*P356</f>
        <v>0</v>
      </c>
    </row>
    <row r="357" customFormat="false" ht="14.25" hidden="false" customHeight="false" outlineLevel="0" collapsed="false">
      <c r="O357" s="22"/>
      <c r="P357" s="22"/>
      <c r="Q357" s="23" t="n">
        <f aca="false">O357*P357</f>
        <v>0</v>
      </c>
    </row>
    <row r="358" customFormat="false" ht="14.25" hidden="false" customHeight="false" outlineLevel="0" collapsed="false">
      <c r="O358" s="22"/>
      <c r="P358" s="22"/>
      <c r="Q358" s="23" t="n">
        <f aca="false">O358*P358</f>
        <v>0</v>
      </c>
    </row>
    <row r="359" customFormat="false" ht="14.25" hidden="false" customHeight="false" outlineLevel="0" collapsed="false">
      <c r="O359" s="191" t="n">
        <v>90</v>
      </c>
      <c r="P359" s="192" t="n">
        <v>180700</v>
      </c>
      <c r="Q359" s="106" t="n">
        <f aca="false">O359*P359</f>
        <v>16263000</v>
      </c>
    </row>
    <row r="360" customFormat="false" ht="14.25" hidden="false" customHeight="false" outlineLevel="0" collapsed="false">
      <c r="O360" s="193" t="n">
        <v>50</v>
      </c>
      <c r="P360" s="192" t="n">
        <v>239590</v>
      </c>
      <c r="Q360" s="106" t="n">
        <f aca="false">O360*P360</f>
        <v>11979500</v>
      </c>
    </row>
    <row r="361" customFormat="false" ht="14.25" hidden="false" customHeight="false" outlineLevel="0" collapsed="false">
      <c r="O361" s="191" t="n">
        <v>30</v>
      </c>
      <c r="P361" s="192" t="n">
        <v>236000</v>
      </c>
      <c r="Q361" s="106" t="n">
        <f aca="false">O361*P361</f>
        <v>7080000</v>
      </c>
    </row>
    <row r="362" customFormat="false" ht="14.25" hidden="false" customHeight="false" outlineLevel="0" collapsed="false">
      <c r="O362" s="193" t="n">
        <v>72</v>
      </c>
      <c r="P362" s="192" t="n">
        <v>24444</v>
      </c>
      <c r="Q362" s="106" t="n">
        <f aca="false">O362*P362</f>
        <v>1759968</v>
      </c>
    </row>
    <row r="363" customFormat="false" ht="14.25" hidden="false" customHeight="false" outlineLevel="0" collapsed="false">
      <c r="O363" s="22"/>
      <c r="P363" s="22"/>
      <c r="Q363" s="23" t="n">
        <f aca="false">O363*P363</f>
        <v>0</v>
      </c>
    </row>
    <row r="364" customFormat="false" ht="14.25" hidden="false" customHeight="false" outlineLevel="0" collapsed="false">
      <c r="O364" s="22"/>
      <c r="P364" s="22"/>
      <c r="Q364" s="23" t="n">
        <f aca="false">O364*P364</f>
        <v>0</v>
      </c>
    </row>
    <row r="365" customFormat="false" ht="14.25" hidden="false" customHeight="false" outlineLevel="0" collapsed="false">
      <c r="O365" s="35" t="n">
        <v>3930</v>
      </c>
      <c r="P365" s="33" t="n">
        <v>19691</v>
      </c>
      <c r="Q365" s="25" t="n">
        <f aca="false">O365*P365</f>
        <v>77385630</v>
      </c>
    </row>
    <row r="366" customFormat="false" ht="14.25" hidden="false" customHeight="false" outlineLevel="0" collapsed="false">
      <c r="O366" s="35" t="n">
        <v>892</v>
      </c>
      <c r="P366" s="33" t="n">
        <v>25123</v>
      </c>
      <c r="Q366" s="25" t="n">
        <f aca="false">O366*P366</f>
        <v>22409716</v>
      </c>
    </row>
    <row r="367" customFormat="false" ht="14.25" hidden="false" customHeight="false" outlineLevel="0" collapsed="false">
      <c r="O367" s="191" t="n">
        <v>247</v>
      </c>
      <c r="P367" s="192" t="n">
        <v>43262</v>
      </c>
      <c r="Q367" s="106" t="n">
        <f aca="false">O367*P367</f>
        <v>10685714</v>
      </c>
    </row>
    <row r="368" customFormat="false" ht="14.25" hidden="false" customHeight="false" outlineLevel="0" collapsed="false">
      <c r="O368" s="22"/>
      <c r="P368" s="22"/>
      <c r="Q368" s="23" t="n">
        <f aca="false">O368*P368</f>
        <v>0</v>
      </c>
    </row>
    <row r="369" customFormat="false" ht="14.25" hidden="false" customHeight="false" outlineLevel="0" collapsed="false">
      <c r="O369" s="191" t="n">
        <v>232</v>
      </c>
      <c r="P369" s="192" t="n">
        <v>20981</v>
      </c>
      <c r="Q369" s="23" t="n">
        <f aca="false">O369*P369</f>
        <v>4867592</v>
      </c>
    </row>
    <row r="370" customFormat="false" ht="14.25" hidden="false" customHeight="false" outlineLevel="0" collapsed="false">
      <c r="O370" s="22"/>
      <c r="P370" s="22"/>
      <c r="Q370" s="23" t="n">
        <f aca="false">O370*P370</f>
        <v>0</v>
      </c>
    </row>
    <row r="371" customFormat="false" ht="14.25" hidden="false" customHeight="false" outlineLevel="0" collapsed="false">
      <c r="O371" s="191" t="n">
        <v>444</v>
      </c>
      <c r="P371" s="192" t="n">
        <v>88984</v>
      </c>
      <c r="Q371" s="106" t="n">
        <f aca="false">O371*P371</f>
        <v>39508896</v>
      </c>
    </row>
    <row r="372" customFormat="false" ht="14.25" hidden="false" customHeight="false" outlineLevel="0" collapsed="false">
      <c r="O372" s="191" t="n">
        <v>123</v>
      </c>
      <c r="P372" s="192" t="n">
        <v>87808</v>
      </c>
      <c r="Q372" s="106" t="n">
        <f aca="false">O372*P372</f>
        <v>10800384</v>
      </c>
    </row>
    <row r="373" customFormat="false" ht="14.25" hidden="false" customHeight="false" outlineLevel="0" collapsed="false">
      <c r="O373" s="35" t="n">
        <v>18807</v>
      </c>
      <c r="P373" s="33" t="n">
        <v>59682</v>
      </c>
      <c r="Q373" s="25" t="n">
        <f aca="false">O373*P373</f>
        <v>1122439374</v>
      </c>
    </row>
    <row r="374" customFormat="false" ht="14.25" hidden="false" customHeight="false" outlineLevel="0" collapsed="false">
      <c r="O374" s="35" t="n">
        <v>144</v>
      </c>
      <c r="P374" s="33" t="n">
        <v>70560</v>
      </c>
      <c r="Q374" s="23" t="n">
        <f aca="false">O374*P374</f>
        <v>10160640</v>
      </c>
    </row>
    <row r="375" customFormat="false" ht="14.25" hidden="false" customHeight="false" outlineLevel="0" collapsed="false">
      <c r="O375" s="35" t="n">
        <v>263</v>
      </c>
      <c r="P375" s="195" t="n">
        <v>65170</v>
      </c>
      <c r="Q375" s="25" t="n">
        <f aca="false">O375*P375</f>
        <v>17139710</v>
      </c>
    </row>
    <row r="376" customFormat="false" ht="14.25" hidden="false" customHeight="false" outlineLevel="0" collapsed="false">
      <c r="O376" s="56" t="n">
        <v>0</v>
      </c>
      <c r="P376" s="56"/>
      <c r="Q376" s="23" t="n">
        <f aca="false">O376*P376</f>
        <v>0</v>
      </c>
    </row>
    <row r="377" customFormat="false" ht="14.25" hidden="false" customHeight="false" outlineLevel="0" collapsed="false">
      <c r="O377" s="22"/>
      <c r="P377" s="22"/>
      <c r="Q377" s="23" t="n">
        <f aca="false">O377*P377</f>
        <v>0</v>
      </c>
    </row>
    <row r="378" customFormat="false" ht="14.25" hidden="false" customHeight="false" outlineLevel="0" collapsed="false">
      <c r="O378" s="35" t="n">
        <v>235</v>
      </c>
      <c r="P378" s="33" t="n">
        <v>59290</v>
      </c>
      <c r="Q378" s="25" t="n">
        <f aca="false">O378*P378</f>
        <v>13933150</v>
      </c>
      <c r="R378" s="149" t="n">
        <f aca="false">Q378/P378</f>
        <v>235</v>
      </c>
    </row>
    <row r="379" customFormat="false" ht="14.25" hidden="false" customHeight="false" outlineLevel="0" collapsed="false">
      <c r="O379" s="42" t="n">
        <v>810</v>
      </c>
      <c r="P379" s="43" t="n">
        <v>59100.86</v>
      </c>
      <c r="Q379" s="44" t="n">
        <f aca="false">O379*P379</f>
        <v>47871696.6</v>
      </c>
      <c r="S379" s="148" t="s">
        <v>958</v>
      </c>
    </row>
    <row r="380" customFormat="false" ht="14.25" hidden="false" customHeight="false" outlineLevel="0" collapsed="false">
      <c r="O380" s="35" t="n">
        <v>412</v>
      </c>
      <c r="P380" s="33" t="n">
        <v>64141</v>
      </c>
      <c r="Q380" s="25" t="n">
        <f aca="false">O380*P380</f>
        <v>26426092</v>
      </c>
    </row>
    <row r="381" customFormat="false" ht="14.25" hidden="false" customHeight="false" outlineLevel="0" collapsed="false">
      <c r="O381" s="22"/>
      <c r="P381" s="22"/>
      <c r="Q381" s="23" t="n">
        <f aca="false">O381*P381</f>
        <v>0</v>
      </c>
    </row>
    <row r="382" customFormat="false" ht="14.25" hidden="false" customHeight="false" outlineLevel="0" collapsed="false">
      <c r="O382" s="35" t="n">
        <v>226</v>
      </c>
      <c r="P382" s="33" t="n">
        <v>93394</v>
      </c>
      <c r="Q382" s="25" t="n">
        <f aca="false">O382*P382</f>
        <v>21107044</v>
      </c>
    </row>
    <row r="383" customFormat="false" ht="14.25" hidden="false" customHeight="false" outlineLevel="0" collapsed="false">
      <c r="O383" s="35" t="n">
        <v>549</v>
      </c>
      <c r="P383" s="33" t="n">
        <v>93492</v>
      </c>
      <c r="Q383" s="25" t="n">
        <f aca="false">O383*P383</f>
        <v>51327108</v>
      </c>
    </row>
    <row r="384" customFormat="false" ht="14.25" hidden="false" customHeight="false" outlineLevel="0" collapsed="false">
      <c r="O384" s="35" t="n">
        <v>969</v>
      </c>
      <c r="P384" s="33" t="n">
        <v>82810</v>
      </c>
      <c r="Q384" s="25" t="n">
        <f aca="false">O384*P384</f>
        <v>80242890</v>
      </c>
    </row>
    <row r="385" customFormat="false" ht="14.25" hidden="false" customHeight="false" outlineLevel="0" collapsed="false">
      <c r="O385" s="35" t="n">
        <v>158</v>
      </c>
      <c r="P385" s="33" t="n">
        <v>72324</v>
      </c>
      <c r="Q385" s="25" t="n">
        <f aca="false">O385*P385</f>
        <v>11427192</v>
      </c>
    </row>
    <row r="386" customFormat="false" ht="14.25" hidden="false" customHeight="false" outlineLevel="0" collapsed="false">
      <c r="O386" s="191" t="n">
        <v>879</v>
      </c>
      <c r="P386" s="192" t="n">
        <v>93492</v>
      </c>
      <c r="Q386" s="106" t="n">
        <f aca="false">O386*P386</f>
        <v>82179468</v>
      </c>
    </row>
    <row r="387" customFormat="false" ht="14.25" hidden="false" customHeight="false" outlineLevel="0" collapsed="false">
      <c r="O387" s="22"/>
      <c r="P387" s="22"/>
      <c r="Q387" s="23" t="n">
        <f aca="false">O387*P387</f>
        <v>0</v>
      </c>
    </row>
    <row r="388" customFormat="false" ht="14.25" hidden="false" customHeight="false" outlineLevel="0" collapsed="false">
      <c r="O388" s="22"/>
      <c r="P388" s="22"/>
      <c r="Q388" s="23" t="n">
        <f aca="false">O388*P388</f>
        <v>0</v>
      </c>
    </row>
    <row r="389" customFormat="false" ht="14.25" hidden="false" customHeight="false" outlineLevel="0" collapsed="false">
      <c r="O389" s="191" t="n">
        <v>129</v>
      </c>
      <c r="P389" s="192" t="n">
        <v>93394</v>
      </c>
      <c r="Q389" s="106" t="n">
        <f aca="false">O389*P389</f>
        <v>12047826</v>
      </c>
    </row>
    <row r="390" customFormat="false" ht="14.25" hidden="false" customHeight="false" outlineLevel="0" collapsed="false">
      <c r="O390" s="22"/>
      <c r="P390" s="22"/>
      <c r="Q390" s="23" t="n">
        <f aca="false">O390*P390</f>
        <v>0</v>
      </c>
    </row>
    <row r="391" customFormat="false" ht="14.25" hidden="false" customHeight="false" outlineLevel="0" collapsed="false">
      <c r="O391" s="22"/>
      <c r="P391" s="22"/>
      <c r="Q391" s="23" t="n">
        <f aca="false">O391*P391</f>
        <v>0</v>
      </c>
    </row>
    <row r="392" customFormat="false" ht="14.25" hidden="false" customHeight="false" outlineLevel="0" collapsed="false">
      <c r="O392" s="191" t="n">
        <v>10541</v>
      </c>
      <c r="P392" s="192" t="n">
        <v>7127.54</v>
      </c>
      <c r="Q392" s="106" t="n">
        <f aca="false">O392*P392</f>
        <v>75131399.14</v>
      </c>
    </row>
    <row r="393" customFormat="false" ht="14.25" hidden="false" customHeight="false" outlineLevel="0" collapsed="false">
      <c r="O393" s="22"/>
      <c r="P393" s="22"/>
      <c r="Q393" s="23" t="n">
        <f aca="false">O393*P393</f>
        <v>0</v>
      </c>
    </row>
    <row r="394" customFormat="false" ht="14.25" hidden="false" customHeight="false" outlineLevel="0" collapsed="false">
      <c r="O394" s="22"/>
      <c r="P394" s="22"/>
      <c r="Q394" s="23" t="n">
        <f aca="false">O394*P394</f>
        <v>0</v>
      </c>
    </row>
    <row r="395" customFormat="false" ht="14.25" hidden="false" customHeight="false" outlineLevel="0" collapsed="false">
      <c r="O395" s="35" t="n">
        <v>46130</v>
      </c>
      <c r="P395" s="33" t="n">
        <v>7127.54</v>
      </c>
      <c r="Q395" s="25" t="n">
        <f aca="false">O395*P395</f>
        <v>328793420.2</v>
      </c>
    </row>
    <row r="396" customFormat="false" ht="14.25" hidden="false" customHeight="false" outlineLevel="0" collapsed="false">
      <c r="O396" s="22"/>
      <c r="P396" s="22"/>
      <c r="Q396" s="23" t="n">
        <f aca="false">O396*P396</f>
        <v>0</v>
      </c>
    </row>
    <row r="397" customFormat="false" ht="14.25" hidden="false" customHeight="false" outlineLevel="0" collapsed="false">
      <c r="O397" s="22"/>
      <c r="P397" s="22"/>
      <c r="Q397" s="23" t="n">
        <f aca="false">O397*P397</f>
        <v>0</v>
      </c>
    </row>
    <row r="398" customFormat="false" ht="14.25" hidden="false" customHeight="false" outlineLevel="0" collapsed="false">
      <c r="O398" s="57" t="n">
        <v>384</v>
      </c>
      <c r="P398" s="57" t="n">
        <v>7127.54166666667</v>
      </c>
      <c r="Q398" s="25" t="n">
        <f aca="false">O398*P398</f>
        <v>2736976</v>
      </c>
    </row>
    <row r="399" customFormat="false" ht="14.25" hidden="false" customHeight="false" outlineLevel="0" collapsed="false">
      <c r="O399" s="24"/>
      <c r="P399" s="24"/>
      <c r="Q399" s="25" t="n">
        <f aca="false">O399*P399</f>
        <v>0</v>
      </c>
    </row>
    <row r="400" customFormat="false" ht="14.25" hidden="false" customHeight="false" outlineLevel="0" collapsed="false">
      <c r="O400" s="24"/>
      <c r="P400" s="24"/>
      <c r="Q400" s="25" t="n">
        <f aca="false">O400*P400</f>
        <v>0</v>
      </c>
    </row>
    <row r="401" customFormat="false" ht="14.25" hidden="false" customHeight="false" outlineLevel="0" collapsed="false">
      <c r="O401" s="57" t="n">
        <v>691</v>
      </c>
      <c r="P401" s="57" t="n">
        <v>7127.54166666667</v>
      </c>
      <c r="Q401" s="25" t="n">
        <f aca="false">O401*P401</f>
        <v>4925131.29166667</v>
      </c>
    </row>
    <row r="402" customFormat="false" ht="14.25" hidden="false" customHeight="false" outlineLevel="0" collapsed="false">
      <c r="O402" s="24"/>
      <c r="P402" s="24"/>
      <c r="Q402" s="25" t="n">
        <f aca="false">O402*P402</f>
        <v>0</v>
      </c>
    </row>
    <row r="403" customFormat="false" ht="14.25" hidden="false" customHeight="false" outlineLevel="0" collapsed="false">
      <c r="O403" s="57" t="n">
        <v>18621</v>
      </c>
      <c r="P403" s="57" t="n">
        <v>7127.54166666667</v>
      </c>
      <c r="Q403" s="25" t="n">
        <f aca="false">O403*P403</f>
        <v>132721953.375</v>
      </c>
    </row>
    <row r="404" customFormat="false" ht="14.25" hidden="false" customHeight="false" outlineLevel="0" collapsed="false">
      <c r="O404" s="22"/>
      <c r="P404" s="22"/>
      <c r="Q404" s="23" t="n">
        <f aca="false">O404*P404</f>
        <v>0</v>
      </c>
    </row>
    <row r="405" customFormat="false" ht="14.25" hidden="false" customHeight="false" outlineLevel="0" collapsed="false">
      <c r="O405" s="35" t="n">
        <v>1685</v>
      </c>
      <c r="P405" s="33" t="n">
        <v>35952</v>
      </c>
      <c r="Q405" s="25" t="n">
        <f aca="false">O405*P405</f>
        <v>60579120</v>
      </c>
    </row>
    <row r="406" customFormat="false" ht="14.25" hidden="false" customHeight="false" outlineLevel="0" collapsed="false">
      <c r="O406" s="35" t="n">
        <v>184</v>
      </c>
      <c r="P406" s="195" t="n">
        <v>46032</v>
      </c>
      <c r="Q406" s="25" t="n">
        <f aca="false">O406*P406</f>
        <v>8469888</v>
      </c>
    </row>
    <row r="407" customFormat="false" ht="14.25" hidden="false" customHeight="false" outlineLevel="0" collapsed="false">
      <c r="Q407" s="196" t="n">
        <f aca="false">SUM(Q3:Q406)</f>
        <v>26612853896.8167</v>
      </c>
      <c r="R407" s="196" t="n">
        <f aca="false">SUM(R3:R406)</f>
        <v>-11072907489.2894</v>
      </c>
      <c r="S407" s="196"/>
    </row>
    <row r="409" customFormat="false" ht="14.25" hidden="false" customHeight="false" outlineLevel="0" collapsed="false">
      <c r="R409" s="149" t="n">
        <f aca="false">Q407+R407</f>
        <v>15539946407.5272</v>
      </c>
      <c r="S409" s="196" t="n">
        <f aca="false">Q407+R407</f>
        <v>15539946407.5272</v>
      </c>
      <c r="T409" s="149" t="n">
        <v>16667937056</v>
      </c>
    </row>
  </sheetData>
  <mergeCells count="4">
    <mergeCell ref="C1:D1"/>
    <mergeCell ref="E1:F1"/>
    <mergeCell ref="G1:H1"/>
    <mergeCell ref="I1:J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285"/>
  <sheetViews>
    <sheetView showFormulas="false" showGridLines="true" showRowColHeaders="true" showZeros="true" rightToLeft="false" tabSelected="false" showOutlineSymbols="true" defaultGridColor="true" view="normal" topLeftCell="A277" colorId="64" zoomScale="100" zoomScaleNormal="100" zoomScalePageLayoutView="100" workbookViewId="0">
      <selection pane="topLeft" activeCell="J30" activeCellId="0" sqref="J30"/>
    </sheetView>
  </sheetViews>
  <sheetFormatPr defaultColWidth="12.5703125" defaultRowHeight="12.75" customHeight="false" zeroHeight="false" outlineLevelRow="0" outlineLevelCol="0"/>
  <cols>
    <col collapsed="false" customWidth="true" hidden="false" outlineLevel="0" max="1" min="1" style="0" width="39.85"/>
    <col collapsed="false" customWidth="true" hidden="false" outlineLevel="0" max="3" min="2" style="0" width="6"/>
    <col collapsed="false" customWidth="true" hidden="false" outlineLevel="0" max="5" min="5" style="0" width="13.86"/>
    <col collapsed="false" customWidth="true" hidden="false" outlineLevel="0" max="7" min="7" style="0" width="13.86"/>
    <col collapsed="false" customWidth="true" hidden="false" outlineLevel="0" max="8" min="8" style="0" width="10.57"/>
    <col collapsed="false" customWidth="true" hidden="false" outlineLevel="0" max="9" min="9" style="0" width="13.86"/>
    <col collapsed="false" customWidth="true" hidden="false" outlineLevel="0" max="11" min="11" style="0" width="13.86"/>
    <col collapsed="false" customWidth="true" hidden="false" outlineLevel="0" max="12" min="12" style="197" width="17.71"/>
    <col collapsed="false" customWidth="false" hidden="false" outlineLevel="0" max="13" min="13" style="197" width="12.57"/>
  </cols>
  <sheetData>
    <row r="1" customFormat="false" ht="12.75" hidden="false" customHeight="false" outlineLevel="0" collapsed="false">
      <c r="A1" s="1"/>
      <c r="B1" s="2"/>
      <c r="C1" s="2"/>
      <c r="D1" s="3" t="s">
        <v>0</v>
      </c>
      <c r="E1" s="3"/>
      <c r="F1" s="3" t="s">
        <v>1</v>
      </c>
      <c r="G1" s="3"/>
      <c r="H1" s="3" t="s">
        <v>2</v>
      </c>
      <c r="I1" s="3"/>
      <c r="J1" s="3" t="s">
        <v>3</v>
      </c>
      <c r="K1" s="3"/>
      <c r="L1" s="198"/>
      <c r="M1" s="198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customFormat="false" ht="12.75" hidden="false" customHeight="false" outlineLevel="0" collapsed="false">
      <c r="A2" s="4" t="s">
        <v>4</v>
      </c>
      <c r="B2" s="5" t="s">
        <v>5</v>
      </c>
      <c r="C2" s="5" t="s">
        <v>959</v>
      </c>
      <c r="D2" s="6" t="s">
        <v>6</v>
      </c>
      <c r="E2" s="6" t="s">
        <v>7</v>
      </c>
      <c r="F2" s="6" t="s">
        <v>8</v>
      </c>
      <c r="G2" s="6" t="s">
        <v>9</v>
      </c>
      <c r="H2" s="6" t="s">
        <v>6</v>
      </c>
      <c r="I2" s="6" t="s">
        <v>10</v>
      </c>
      <c r="J2" s="6" t="s">
        <v>6</v>
      </c>
      <c r="K2" s="6" t="s">
        <v>9</v>
      </c>
      <c r="L2" s="198"/>
      <c r="M2" s="198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customFormat="false" ht="12.75" hidden="false" customHeight="false" outlineLevel="0" collapsed="false">
      <c r="A3" s="7" t="s">
        <v>11</v>
      </c>
      <c r="B3" s="7" t="n">
        <v>12</v>
      </c>
      <c r="C3" s="7"/>
      <c r="D3" s="9" t="n">
        <v>226</v>
      </c>
      <c r="E3" s="9" t="n">
        <v>6255676</v>
      </c>
      <c r="F3" s="9" t="n">
        <v>100</v>
      </c>
      <c r="G3" s="9" t="n">
        <v>2774400</v>
      </c>
      <c r="H3" s="9" t="n">
        <v>100</v>
      </c>
      <c r="I3" s="9" t="n">
        <v>2769962</v>
      </c>
      <c r="J3" s="9" t="n">
        <v>226</v>
      </c>
      <c r="K3" s="9" t="n">
        <v>6260114</v>
      </c>
    </row>
    <row r="4" customFormat="false" ht="12.75" hidden="false" customHeight="false" outlineLevel="0" collapsed="false">
      <c r="A4" s="7" t="s">
        <v>12</v>
      </c>
      <c r="B4" s="7" t="n">
        <v>12</v>
      </c>
      <c r="C4" s="7"/>
      <c r="D4" s="9" t="n">
        <v>0</v>
      </c>
      <c r="E4" s="9" t="n">
        <v>0</v>
      </c>
      <c r="F4" s="9" t="n">
        <v>60</v>
      </c>
      <c r="G4" s="9" t="n">
        <v>1188660</v>
      </c>
      <c r="H4" s="9" t="n">
        <v>60</v>
      </c>
      <c r="I4" s="9" t="n">
        <v>1188660</v>
      </c>
      <c r="J4" s="9" t="n">
        <v>0</v>
      </c>
      <c r="K4" s="9" t="n">
        <v>0</v>
      </c>
    </row>
    <row r="5" s="202" customFormat="true" ht="12.75" hidden="false" customHeight="false" outlineLevel="0" collapsed="false">
      <c r="A5" s="199" t="s">
        <v>13</v>
      </c>
      <c r="B5" s="199" t="n">
        <v>12</v>
      </c>
      <c r="C5" s="199"/>
      <c r="D5" s="200" t="n">
        <v>587</v>
      </c>
      <c r="E5" s="200" t="n">
        <v>19248466</v>
      </c>
      <c r="F5" s="200" t="n">
        <v>0</v>
      </c>
      <c r="G5" s="200" t="n">
        <v>0</v>
      </c>
      <c r="H5" s="200" t="n">
        <v>455</v>
      </c>
      <c r="I5" s="200" t="n">
        <v>14931342</v>
      </c>
      <c r="J5" s="200" t="n">
        <v>132</v>
      </c>
      <c r="K5" s="200" t="n">
        <v>4317124</v>
      </c>
      <c r="L5" s="201" t="n">
        <f aca="false">K5/J5</f>
        <v>32705.4848484848</v>
      </c>
      <c r="M5" s="201" t="n">
        <f aca="false">'GV CTY'!E8</f>
        <v>17367.3</v>
      </c>
    </row>
    <row r="6" customFormat="false" ht="12.75" hidden="false" customHeight="false" outlineLevel="0" collapsed="false">
      <c r="A6" s="7" t="s">
        <v>14</v>
      </c>
      <c r="B6" s="7" t="n">
        <v>12</v>
      </c>
      <c r="C6" s="7"/>
      <c r="D6" s="9" t="n">
        <v>120</v>
      </c>
      <c r="E6" s="9" t="n">
        <v>35752144</v>
      </c>
      <c r="F6" s="9" t="n">
        <v>0</v>
      </c>
      <c r="G6" s="9" t="n">
        <v>0</v>
      </c>
      <c r="H6" s="9" t="n">
        <v>120</v>
      </c>
      <c r="I6" s="9" t="n">
        <v>35752144</v>
      </c>
      <c r="J6" s="9" t="n">
        <v>0</v>
      </c>
      <c r="K6" s="9" t="n">
        <v>0</v>
      </c>
    </row>
    <row r="7" s="202" customFormat="true" ht="13.8" hidden="false" customHeight="false" outlineLevel="0" collapsed="false">
      <c r="A7" s="199" t="s">
        <v>15</v>
      </c>
      <c r="B7" s="199" t="n">
        <v>12</v>
      </c>
      <c r="C7" s="199"/>
      <c r="D7" s="200" t="n">
        <v>504</v>
      </c>
      <c r="E7" s="200" t="n">
        <v>68557545</v>
      </c>
      <c r="F7" s="200" t="n">
        <v>0</v>
      </c>
      <c r="G7" s="200" t="n">
        <v>0</v>
      </c>
      <c r="H7" s="200" t="n">
        <v>277</v>
      </c>
      <c r="I7" s="200" t="n">
        <v>37679444</v>
      </c>
      <c r="J7" s="200" t="n">
        <v>227</v>
      </c>
      <c r="K7" s="200" t="n">
        <v>30878101</v>
      </c>
      <c r="L7" s="203" t="n">
        <f aca="false">K7/J7</f>
        <v>136026.876651982</v>
      </c>
      <c r="M7" s="204" t="n">
        <v>83500.2</v>
      </c>
    </row>
    <row r="8" s="202" customFormat="true" ht="13.8" hidden="false" customHeight="false" outlineLevel="0" collapsed="false">
      <c r="A8" s="199" t="s">
        <v>16</v>
      </c>
      <c r="B8" s="199" t="n">
        <v>12</v>
      </c>
      <c r="C8" s="199"/>
      <c r="D8" s="200" t="n">
        <v>344</v>
      </c>
      <c r="E8" s="200" t="n">
        <v>53839916</v>
      </c>
      <c r="F8" s="200" t="n">
        <v>0</v>
      </c>
      <c r="G8" s="200" t="n">
        <v>0</v>
      </c>
      <c r="H8" s="200" t="n">
        <v>194</v>
      </c>
      <c r="I8" s="200" t="n">
        <v>30363208</v>
      </c>
      <c r="J8" s="200" t="n">
        <v>150</v>
      </c>
      <c r="K8" s="200" t="n">
        <v>23476708</v>
      </c>
      <c r="L8" s="203" t="n">
        <f aca="false">K8/J8</f>
        <v>156511.386666667</v>
      </c>
      <c r="M8" s="204" t="n">
        <v>75700.8</v>
      </c>
    </row>
    <row r="9" customFormat="false" ht="12.75" hidden="false" customHeight="false" outlineLevel="0" collapsed="false">
      <c r="A9" s="7" t="s">
        <v>17</v>
      </c>
      <c r="B9" s="7" t="n">
        <v>12</v>
      </c>
      <c r="C9" s="7"/>
      <c r="D9" s="9" t="n">
        <v>153</v>
      </c>
      <c r="E9" s="9" t="n">
        <v>36613751</v>
      </c>
      <c r="F9" s="9" t="n">
        <v>0</v>
      </c>
      <c r="G9" s="9" t="n">
        <v>0</v>
      </c>
      <c r="H9" s="9" t="n">
        <v>153</v>
      </c>
      <c r="I9" s="9" t="n">
        <v>36613751</v>
      </c>
      <c r="J9" s="9" t="n">
        <v>0</v>
      </c>
      <c r="K9" s="9" t="n">
        <v>0</v>
      </c>
    </row>
    <row r="10" s="202" customFormat="true" ht="13.8" hidden="false" customHeight="false" outlineLevel="0" collapsed="false">
      <c r="A10" s="199" t="s">
        <v>18</v>
      </c>
      <c r="B10" s="199" t="n">
        <v>12</v>
      </c>
      <c r="C10" s="199"/>
      <c r="D10" s="200" t="n">
        <v>554</v>
      </c>
      <c r="E10" s="200" t="n">
        <v>12063982</v>
      </c>
      <c r="F10" s="200" t="n">
        <v>0</v>
      </c>
      <c r="G10" s="200" t="n">
        <v>0</v>
      </c>
      <c r="H10" s="200" t="n">
        <v>438</v>
      </c>
      <c r="I10" s="200" t="n">
        <v>9537950</v>
      </c>
      <c r="J10" s="200" t="n">
        <v>116</v>
      </c>
      <c r="K10" s="200" t="n">
        <v>2526032</v>
      </c>
      <c r="L10" s="201" t="n">
        <f aca="false">K10/J10</f>
        <v>21776.1379310345</v>
      </c>
      <c r="M10" s="28" t="n">
        <v>12041.1</v>
      </c>
    </row>
    <row r="11" s="202" customFormat="true" ht="13.8" hidden="false" customHeight="false" outlineLevel="0" collapsed="false">
      <c r="A11" s="199" t="s">
        <v>19</v>
      </c>
      <c r="B11" s="199" t="n">
        <v>12</v>
      </c>
      <c r="C11" s="199"/>
      <c r="D11" s="200" t="n">
        <v>180</v>
      </c>
      <c r="E11" s="200" t="n">
        <v>3904035</v>
      </c>
      <c r="F11" s="200" t="n">
        <v>0</v>
      </c>
      <c r="G11" s="200" t="n">
        <v>0</v>
      </c>
      <c r="H11" s="200" t="n">
        <v>102</v>
      </c>
      <c r="I11" s="200" t="n">
        <v>2212287</v>
      </c>
      <c r="J11" s="200" t="n">
        <v>78</v>
      </c>
      <c r="K11" s="200" t="n">
        <v>1691748</v>
      </c>
      <c r="L11" s="201" t="n">
        <f aca="false">K11/J11</f>
        <v>21689.0769230769</v>
      </c>
      <c r="M11" s="28" t="n">
        <v>12041.1</v>
      </c>
    </row>
    <row r="12" customFormat="false" ht="12.75" hidden="false" customHeight="false" outlineLevel="0" collapsed="false">
      <c r="A12" s="7" t="s">
        <v>20</v>
      </c>
      <c r="B12" s="7" t="n">
        <v>12</v>
      </c>
      <c r="C12" s="7"/>
      <c r="D12" s="9" t="n">
        <v>295</v>
      </c>
      <c r="E12" s="9" t="n">
        <v>31404753</v>
      </c>
      <c r="F12" s="9" t="n">
        <v>0</v>
      </c>
      <c r="G12" s="9" t="n">
        <v>0</v>
      </c>
      <c r="H12" s="9" t="n">
        <v>277</v>
      </c>
      <c r="I12" s="9" t="n">
        <v>29488531</v>
      </c>
      <c r="J12" s="9" t="n">
        <v>18</v>
      </c>
      <c r="K12" s="9" t="n">
        <v>1916222</v>
      </c>
      <c r="L12" s="197" t="n">
        <f aca="false">K12/J12</f>
        <v>106456.777777778</v>
      </c>
    </row>
    <row r="13" s="202" customFormat="true" ht="12.75" hidden="false" customHeight="false" outlineLevel="0" collapsed="false">
      <c r="A13" s="199" t="s">
        <v>21</v>
      </c>
      <c r="B13" s="199" t="n">
        <v>12</v>
      </c>
      <c r="C13" s="199"/>
      <c r="D13" s="200" t="n">
        <v>170</v>
      </c>
      <c r="E13" s="200" t="n">
        <v>40681945</v>
      </c>
      <c r="F13" s="200" t="n">
        <v>0</v>
      </c>
      <c r="G13" s="200" t="n">
        <v>0</v>
      </c>
      <c r="H13" s="200" t="n">
        <v>122</v>
      </c>
      <c r="I13" s="200" t="n">
        <v>29195278</v>
      </c>
      <c r="J13" s="200" t="n">
        <v>48</v>
      </c>
      <c r="K13" s="200" t="n">
        <v>11486667</v>
      </c>
      <c r="L13" s="201" t="n">
        <f aca="false">K13/J13</f>
        <v>239305.5625</v>
      </c>
      <c r="M13" s="201" t="n">
        <f aca="false">'GV CTY'!E20</f>
        <v>139243.5</v>
      </c>
    </row>
    <row r="14" customFormat="false" ht="12.75" hidden="false" customHeight="false" outlineLevel="0" collapsed="false">
      <c r="A14" s="7" t="s">
        <v>22</v>
      </c>
      <c r="B14" s="7" t="n">
        <v>12</v>
      </c>
      <c r="C14" s="7"/>
      <c r="D14" s="9" t="n">
        <v>18</v>
      </c>
      <c r="E14" s="9" t="n">
        <v>407934</v>
      </c>
      <c r="F14" s="9" t="n">
        <v>0</v>
      </c>
      <c r="G14" s="9" t="n">
        <v>0</v>
      </c>
      <c r="H14" s="9" t="n">
        <v>18</v>
      </c>
      <c r="I14" s="9" t="n">
        <v>407934</v>
      </c>
      <c r="J14" s="9" t="n">
        <v>0</v>
      </c>
      <c r="K14" s="9" t="n">
        <v>0</v>
      </c>
    </row>
    <row r="15" customFormat="false" ht="12.75" hidden="false" customHeight="false" outlineLevel="0" collapsed="false">
      <c r="A15" s="7" t="s">
        <v>23</v>
      </c>
      <c r="B15" s="7" t="n">
        <v>12</v>
      </c>
      <c r="C15" s="7"/>
      <c r="D15" s="9" t="n">
        <v>0</v>
      </c>
      <c r="E15" s="9" t="n">
        <v>0</v>
      </c>
      <c r="F15" s="9" t="n">
        <v>3</v>
      </c>
      <c r="G15" s="9" t="n">
        <v>57891</v>
      </c>
      <c r="H15" s="9" t="n">
        <v>3</v>
      </c>
      <c r="I15" s="9" t="n">
        <v>57891</v>
      </c>
      <c r="J15" s="9" t="n">
        <v>0</v>
      </c>
      <c r="K15" s="9" t="n">
        <v>0</v>
      </c>
    </row>
    <row r="16" customFormat="false" ht="12.75" hidden="false" customHeight="false" outlineLevel="0" collapsed="false">
      <c r="A16" s="7" t="s">
        <v>24</v>
      </c>
      <c r="B16" s="7" t="n">
        <v>12</v>
      </c>
      <c r="C16" s="7"/>
      <c r="D16" s="9" t="n">
        <v>0</v>
      </c>
      <c r="E16" s="9" t="n">
        <v>0</v>
      </c>
      <c r="F16" s="9" t="n">
        <v>12</v>
      </c>
      <c r="G16" s="9" t="n">
        <v>231564</v>
      </c>
      <c r="H16" s="9" t="n">
        <v>12</v>
      </c>
      <c r="I16" s="9" t="n">
        <v>231564</v>
      </c>
      <c r="J16" s="9" t="n">
        <v>0</v>
      </c>
      <c r="K16" s="9" t="n">
        <v>0</v>
      </c>
    </row>
    <row r="17" customFormat="false" ht="12.75" hidden="false" customHeight="false" outlineLevel="0" collapsed="false">
      <c r="A17" s="7" t="s">
        <v>25</v>
      </c>
      <c r="B17" s="7" t="n">
        <v>12</v>
      </c>
      <c r="C17" s="7"/>
      <c r="D17" s="9" t="n">
        <v>72</v>
      </c>
      <c r="E17" s="9" t="n">
        <v>1533524</v>
      </c>
      <c r="F17" s="9" t="n">
        <v>35</v>
      </c>
      <c r="G17" s="9" t="n">
        <v>745360</v>
      </c>
      <c r="H17" s="9" t="n">
        <v>70</v>
      </c>
      <c r="I17" s="9" t="n">
        <v>1490606</v>
      </c>
      <c r="J17" s="9" t="n">
        <v>37</v>
      </c>
      <c r="K17" s="9" t="n">
        <v>788278</v>
      </c>
      <c r="L17" s="197" t="n">
        <f aca="false">K17/J17</f>
        <v>21304.8108108108</v>
      </c>
    </row>
    <row r="18" customFormat="false" ht="12.75" hidden="false" customHeight="false" outlineLevel="0" collapsed="false">
      <c r="A18" s="7" t="s">
        <v>26</v>
      </c>
      <c r="B18" s="7" t="n">
        <v>12</v>
      </c>
      <c r="C18" s="7"/>
      <c r="D18" s="9" t="n">
        <v>96</v>
      </c>
      <c r="E18" s="9" t="n">
        <v>2486575</v>
      </c>
      <c r="F18" s="9" t="n">
        <v>51</v>
      </c>
      <c r="G18" s="9" t="n">
        <v>1322226</v>
      </c>
      <c r="H18" s="9" t="n">
        <v>15</v>
      </c>
      <c r="I18" s="9" t="n">
        <v>388653</v>
      </c>
      <c r="J18" s="9" t="n">
        <v>132</v>
      </c>
      <c r="K18" s="9" t="n">
        <v>3420148</v>
      </c>
      <c r="L18" s="197" t="n">
        <f aca="false">K18/J18</f>
        <v>25910.2121212121</v>
      </c>
    </row>
    <row r="19" customFormat="false" ht="12.75" hidden="false" customHeight="false" outlineLevel="0" collapsed="false">
      <c r="A19" s="7" t="s">
        <v>27</v>
      </c>
      <c r="B19" s="7" t="n">
        <v>12</v>
      </c>
      <c r="C19" s="7"/>
      <c r="D19" s="9" t="n">
        <v>67</v>
      </c>
      <c r="E19" s="9" t="n">
        <v>2083589</v>
      </c>
      <c r="F19" s="9" t="n">
        <v>0</v>
      </c>
      <c r="G19" s="9" t="n">
        <v>0</v>
      </c>
      <c r="H19" s="9" t="n">
        <v>5</v>
      </c>
      <c r="I19" s="9" t="n">
        <v>155492</v>
      </c>
      <c r="J19" s="9" t="n">
        <v>62</v>
      </c>
      <c r="K19" s="9" t="n">
        <v>1928097</v>
      </c>
      <c r="L19" s="197" t="n">
        <f aca="false">K19/J19</f>
        <v>31098.3387096774</v>
      </c>
    </row>
    <row r="20" customFormat="false" ht="12.75" hidden="false" customHeight="false" outlineLevel="0" collapsed="false">
      <c r="A20" s="7" t="s">
        <v>28</v>
      </c>
      <c r="B20" s="7" t="n">
        <v>12</v>
      </c>
      <c r="C20" s="7"/>
      <c r="D20" s="9" t="n">
        <v>650</v>
      </c>
      <c r="E20" s="9" t="n">
        <v>74700000</v>
      </c>
      <c r="F20" s="9" t="n">
        <v>160</v>
      </c>
      <c r="G20" s="9" t="n">
        <v>18432000</v>
      </c>
      <c r="H20" s="9" t="n">
        <v>0</v>
      </c>
      <c r="I20" s="9" t="n">
        <v>0</v>
      </c>
      <c r="J20" s="9" t="n">
        <v>810</v>
      </c>
      <c r="K20" s="9" t="n">
        <v>93132000</v>
      </c>
      <c r="L20" s="197" t="n">
        <f aca="false">K20/J20</f>
        <v>114977.777777778</v>
      </c>
    </row>
    <row r="21" customFormat="false" ht="12.75" hidden="false" customHeight="false" outlineLevel="0" collapsed="false">
      <c r="A21" s="7" t="s">
        <v>29</v>
      </c>
      <c r="B21" s="7" t="n">
        <v>12</v>
      </c>
      <c r="C21" s="7"/>
      <c r="D21" s="9" t="n">
        <v>280</v>
      </c>
      <c r="E21" s="9" t="n">
        <v>74052080</v>
      </c>
      <c r="F21" s="9" t="n">
        <v>0</v>
      </c>
      <c r="G21" s="9" t="n">
        <v>0</v>
      </c>
      <c r="H21" s="9" t="n">
        <v>0</v>
      </c>
      <c r="I21" s="9" t="n">
        <v>0</v>
      </c>
      <c r="J21" s="9" t="n">
        <v>280</v>
      </c>
      <c r="K21" s="9" t="n">
        <v>74052080</v>
      </c>
      <c r="L21" s="197" t="n">
        <f aca="false">K21/J21</f>
        <v>264471.714285714</v>
      </c>
    </row>
    <row r="22" customFormat="false" ht="12.75" hidden="false" customHeight="false" outlineLevel="0" collapsed="false">
      <c r="A22" s="7" t="s">
        <v>30</v>
      </c>
      <c r="B22" s="7" t="n">
        <v>12</v>
      </c>
      <c r="C22" s="7"/>
      <c r="D22" s="9" t="n">
        <v>102</v>
      </c>
      <c r="E22" s="9" t="n">
        <v>19779439</v>
      </c>
      <c r="F22" s="9" t="n">
        <v>0</v>
      </c>
      <c r="G22" s="9" t="n">
        <v>0</v>
      </c>
      <c r="H22" s="9" t="n">
        <v>100</v>
      </c>
      <c r="I22" s="9" t="n">
        <v>19391607</v>
      </c>
      <c r="J22" s="9" t="n">
        <v>2</v>
      </c>
      <c r="K22" s="9" t="n">
        <v>387832</v>
      </c>
      <c r="L22" s="197" t="n">
        <f aca="false">K22/J22</f>
        <v>193916</v>
      </c>
    </row>
    <row r="23" customFormat="false" ht="12.75" hidden="false" customHeight="false" outlineLevel="0" collapsed="false">
      <c r="A23" s="7" t="s">
        <v>31</v>
      </c>
      <c r="B23" s="7" t="n">
        <v>12</v>
      </c>
      <c r="C23" s="7"/>
      <c r="D23" s="9" t="n">
        <v>0</v>
      </c>
      <c r="E23" s="9" t="n">
        <v>0</v>
      </c>
      <c r="F23" s="9" t="n">
        <v>50</v>
      </c>
      <c r="G23" s="9" t="n">
        <v>8509100</v>
      </c>
      <c r="H23" s="9" t="n">
        <v>0</v>
      </c>
      <c r="I23" s="9" t="n">
        <v>0</v>
      </c>
      <c r="J23" s="9" t="n">
        <v>50</v>
      </c>
      <c r="K23" s="9" t="n">
        <v>8509100</v>
      </c>
      <c r="L23" s="197" t="n">
        <f aca="false">K23/J23</f>
        <v>170182</v>
      </c>
    </row>
    <row r="24" customFormat="false" ht="12.75" hidden="false" customHeight="false" outlineLevel="0" collapsed="false">
      <c r="A24" s="7" t="s">
        <v>32</v>
      </c>
      <c r="B24" s="7" t="n">
        <v>12</v>
      </c>
      <c r="C24" s="7"/>
      <c r="D24" s="9" t="n">
        <v>137</v>
      </c>
      <c r="E24" s="9" t="n">
        <v>22821826</v>
      </c>
      <c r="F24" s="9" t="n">
        <v>0</v>
      </c>
      <c r="G24" s="9" t="n">
        <v>0</v>
      </c>
      <c r="H24" s="9" t="n">
        <v>20</v>
      </c>
      <c r="I24" s="9" t="n">
        <v>3331653</v>
      </c>
      <c r="J24" s="9" t="n">
        <v>117</v>
      </c>
      <c r="K24" s="9" t="n">
        <v>19490173</v>
      </c>
      <c r="L24" s="197" t="n">
        <f aca="false">K24/J24</f>
        <v>166582.675213675</v>
      </c>
    </row>
    <row r="25" customFormat="false" ht="12.75" hidden="false" customHeight="false" outlineLevel="0" collapsed="false">
      <c r="A25" s="7" t="s">
        <v>33</v>
      </c>
      <c r="B25" s="7" t="n">
        <v>12</v>
      </c>
      <c r="C25" s="7"/>
      <c r="D25" s="9" t="n">
        <v>106</v>
      </c>
      <c r="E25" s="9" t="n">
        <v>16323470</v>
      </c>
      <c r="F25" s="9" t="n">
        <v>45</v>
      </c>
      <c r="G25" s="9" t="n">
        <v>10556505</v>
      </c>
      <c r="H25" s="9" t="n">
        <v>28</v>
      </c>
      <c r="I25" s="9" t="n">
        <v>4984366</v>
      </c>
      <c r="J25" s="9" t="n">
        <v>123</v>
      </c>
      <c r="K25" s="9" t="n">
        <v>21895609</v>
      </c>
      <c r="L25" s="197" t="n">
        <f aca="false">K25/J25</f>
        <v>178013.081300813</v>
      </c>
    </row>
    <row r="26" customFormat="false" ht="12.75" hidden="false" customHeight="false" outlineLevel="0" collapsed="false">
      <c r="A26" s="7" t="s">
        <v>34</v>
      </c>
      <c r="B26" s="7" t="n">
        <v>12</v>
      </c>
      <c r="C26" s="7"/>
      <c r="D26" s="9" t="n">
        <v>94</v>
      </c>
      <c r="E26" s="9" t="n">
        <v>17372116</v>
      </c>
      <c r="F26" s="9" t="n">
        <v>40</v>
      </c>
      <c r="G26" s="9" t="n">
        <v>9383560</v>
      </c>
      <c r="H26" s="9" t="n">
        <v>50</v>
      </c>
      <c r="I26" s="9" t="n">
        <v>9983461</v>
      </c>
      <c r="J26" s="9" t="n">
        <v>84</v>
      </c>
      <c r="K26" s="9" t="n">
        <v>16772215</v>
      </c>
      <c r="L26" s="197" t="n">
        <f aca="false">K26/J26</f>
        <v>199669.226190476</v>
      </c>
    </row>
    <row r="27" customFormat="false" ht="12.75" hidden="false" customHeight="false" outlineLevel="0" collapsed="false">
      <c r="A27" s="7" t="s">
        <v>35</v>
      </c>
      <c r="B27" s="7" t="n">
        <v>12</v>
      </c>
      <c r="C27" s="7"/>
      <c r="D27" s="9" t="n">
        <v>351</v>
      </c>
      <c r="E27" s="9" t="n">
        <v>40194000</v>
      </c>
      <c r="F27" s="9" t="n">
        <v>0</v>
      </c>
      <c r="G27" s="9" t="n">
        <v>0</v>
      </c>
      <c r="H27" s="9" t="n">
        <v>0</v>
      </c>
      <c r="I27" s="9" t="n">
        <v>0</v>
      </c>
      <c r="J27" s="9" t="n">
        <v>351</v>
      </c>
      <c r="K27" s="9" t="n">
        <v>40194000</v>
      </c>
      <c r="L27" s="197" t="n">
        <f aca="false">K27/J27</f>
        <v>114512.820512821</v>
      </c>
    </row>
    <row r="28" customFormat="false" ht="12.75" hidden="false" customHeight="false" outlineLevel="0" collapsed="false">
      <c r="A28" s="7" t="s">
        <v>36</v>
      </c>
      <c r="B28" s="7" t="n">
        <v>12</v>
      </c>
      <c r="C28" s="7"/>
      <c r="D28" s="9" t="n">
        <v>40</v>
      </c>
      <c r="E28" s="9" t="n">
        <v>1818200</v>
      </c>
      <c r="F28" s="9" t="n">
        <v>0</v>
      </c>
      <c r="G28" s="9" t="n">
        <v>0</v>
      </c>
      <c r="H28" s="9" t="n">
        <v>0</v>
      </c>
      <c r="I28" s="9" t="n">
        <v>0</v>
      </c>
      <c r="J28" s="9" t="n">
        <v>40</v>
      </c>
      <c r="K28" s="9" t="n">
        <v>1818200</v>
      </c>
      <c r="L28" s="197" t="n">
        <f aca="false">K28/J28</f>
        <v>45455</v>
      </c>
    </row>
    <row r="29" customFormat="false" ht="12.75" hidden="false" customHeight="false" outlineLevel="0" collapsed="false">
      <c r="A29" s="7" t="s">
        <v>37</v>
      </c>
      <c r="B29" s="7" t="n">
        <v>12</v>
      </c>
      <c r="C29" s="7"/>
      <c r="D29" s="9" t="n">
        <v>833</v>
      </c>
      <c r="E29" s="9" t="n">
        <v>46378988</v>
      </c>
      <c r="F29" s="9" t="n">
        <v>4571</v>
      </c>
      <c r="G29" s="9" t="n">
        <v>254508576</v>
      </c>
      <c r="H29" s="9" t="n">
        <v>5404</v>
      </c>
      <c r="I29" s="9" t="n">
        <v>300887564</v>
      </c>
      <c r="J29" s="9" t="n">
        <v>0</v>
      </c>
      <c r="K29" s="9" t="n">
        <v>0</v>
      </c>
    </row>
    <row r="30" s="202" customFormat="true" ht="12.75" hidden="false" customHeight="false" outlineLevel="0" collapsed="false">
      <c r="A30" s="199" t="s">
        <v>38</v>
      </c>
      <c r="B30" s="199" t="n">
        <v>12</v>
      </c>
      <c r="C30" s="199"/>
      <c r="D30" s="200" t="n">
        <v>273867</v>
      </c>
      <c r="E30" s="200" t="n">
        <v>255643095</v>
      </c>
      <c r="F30" s="200" t="n">
        <v>8568</v>
      </c>
      <c r="G30" s="200" t="n">
        <v>267390144</v>
      </c>
      <c r="H30" s="200" t="n">
        <v>8950</v>
      </c>
      <c r="I30" s="200" t="n">
        <v>279311599</v>
      </c>
      <c r="J30" s="200" t="n">
        <v>273485</v>
      </c>
      <c r="K30" s="200" t="n">
        <v>243721640</v>
      </c>
      <c r="L30" s="201" t="n">
        <f aca="false">K30/J30</f>
        <v>891.170045889171</v>
      </c>
      <c r="M30" s="201" t="n">
        <f aca="false">'GV CTY'!E27</f>
        <v>31208</v>
      </c>
    </row>
    <row r="31" s="202" customFormat="true" ht="12.75" hidden="false" customHeight="false" outlineLevel="0" collapsed="false">
      <c r="A31" s="199" t="s">
        <v>39</v>
      </c>
      <c r="B31" s="199" t="n">
        <v>12</v>
      </c>
      <c r="C31" s="199"/>
      <c r="D31" s="200" t="n">
        <v>25915</v>
      </c>
      <c r="E31" s="200" t="n">
        <v>50321430</v>
      </c>
      <c r="F31" s="200" t="n">
        <v>1500</v>
      </c>
      <c r="G31" s="200" t="n">
        <v>54276000</v>
      </c>
      <c r="H31" s="200" t="n">
        <v>2339</v>
      </c>
      <c r="I31" s="200" t="n">
        <v>84634375</v>
      </c>
      <c r="J31" s="200" t="n">
        <v>25076</v>
      </c>
      <c r="K31" s="200" t="n">
        <v>19963055</v>
      </c>
      <c r="L31" s="201" t="n">
        <f aca="false">K31/J31</f>
        <v>796.102049768703</v>
      </c>
      <c r="M31" s="201" t="n">
        <f aca="false">'GV CTY'!E33</f>
        <v>36184</v>
      </c>
    </row>
    <row r="32" customFormat="false" ht="12.75" hidden="false" customHeight="false" outlineLevel="0" collapsed="false">
      <c r="A32" s="7" t="s">
        <v>40</v>
      </c>
      <c r="B32" s="7" t="n">
        <v>12</v>
      </c>
      <c r="C32" s="7"/>
      <c r="D32" s="9" t="n">
        <v>2430</v>
      </c>
      <c r="E32" s="9" t="n">
        <v>87927120</v>
      </c>
      <c r="F32" s="9" t="n">
        <v>0</v>
      </c>
      <c r="G32" s="9" t="n">
        <v>0</v>
      </c>
      <c r="H32" s="9" t="n">
        <v>0</v>
      </c>
      <c r="I32" s="9" t="n">
        <v>0</v>
      </c>
      <c r="J32" s="9" t="n">
        <v>2430</v>
      </c>
      <c r="K32" s="9" t="n">
        <v>87927120</v>
      </c>
      <c r="L32" s="197" t="n">
        <f aca="false">K32/J32</f>
        <v>36184</v>
      </c>
    </row>
    <row r="33" customFormat="false" ht="12.75" hidden="false" customHeight="false" outlineLevel="0" collapsed="false">
      <c r="A33" s="7" t="s">
        <v>41</v>
      </c>
      <c r="B33" s="7" t="n">
        <v>12</v>
      </c>
      <c r="C33" s="7"/>
      <c r="D33" s="9" t="n">
        <v>0</v>
      </c>
      <c r="E33" s="9" t="n">
        <v>189538</v>
      </c>
      <c r="F33" s="9" t="n">
        <v>0</v>
      </c>
      <c r="G33" s="9" t="n">
        <v>0</v>
      </c>
      <c r="H33" s="9" t="n">
        <v>0</v>
      </c>
      <c r="I33" s="9" t="n">
        <v>0</v>
      </c>
      <c r="J33" s="9" t="n">
        <v>0</v>
      </c>
      <c r="K33" s="9" t="n">
        <v>189538</v>
      </c>
    </row>
    <row r="34" s="202" customFormat="true" ht="12.75" hidden="false" customHeight="false" outlineLevel="0" collapsed="false">
      <c r="A34" s="199" t="s">
        <v>42</v>
      </c>
      <c r="B34" s="199" t="n">
        <v>12</v>
      </c>
      <c r="C34" s="199"/>
      <c r="D34" s="200" t="n">
        <v>160</v>
      </c>
      <c r="E34" s="200" t="n">
        <v>8538638</v>
      </c>
      <c r="F34" s="200" t="n">
        <v>0</v>
      </c>
      <c r="G34" s="200" t="n">
        <v>0</v>
      </c>
      <c r="H34" s="200" t="n">
        <v>30</v>
      </c>
      <c r="I34" s="200" t="n">
        <v>1526583</v>
      </c>
      <c r="J34" s="200" t="n">
        <v>130</v>
      </c>
      <c r="K34" s="200" t="n">
        <v>7012055</v>
      </c>
      <c r="L34" s="201" t="n">
        <f aca="false">K34/J34</f>
        <v>53938.8846153846</v>
      </c>
      <c r="M34" s="201" t="n">
        <f aca="false">'GV CTY'!E34</f>
        <v>52485</v>
      </c>
    </row>
    <row r="35" customFormat="false" ht="12.75" hidden="false" customHeight="false" outlineLevel="0" collapsed="false">
      <c r="A35" s="7" t="s">
        <v>43</v>
      </c>
      <c r="B35" s="7" t="n">
        <v>12</v>
      </c>
      <c r="C35" s="7"/>
      <c r="D35" s="9" t="n">
        <v>0</v>
      </c>
      <c r="E35" s="9" t="n">
        <v>0</v>
      </c>
      <c r="F35" s="9" t="n">
        <v>0</v>
      </c>
      <c r="G35" s="9" t="n">
        <v>0</v>
      </c>
      <c r="H35" s="9" t="n">
        <v>0</v>
      </c>
      <c r="I35" s="9" t="n">
        <v>0</v>
      </c>
      <c r="J35" s="9" t="n">
        <v>0</v>
      </c>
      <c r="K35" s="9" t="n">
        <v>0</v>
      </c>
    </row>
    <row r="36" customFormat="false" ht="12.75" hidden="false" customHeight="false" outlineLevel="0" collapsed="false">
      <c r="A36" s="7" t="s">
        <v>44</v>
      </c>
      <c r="B36" s="7" t="n">
        <v>12</v>
      </c>
      <c r="C36" s="7"/>
      <c r="D36" s="9" t="n">
        <v>9485</v>
      </c>
      <c r="E36" s="9" t="n">
        <v>33640650</v>
      </c>
      <c r="F36" s="9" t="n">
        <v>1050</v>
      </c>
      <c r="G36" s="9" t="n">
        <v>37993200</v>
      </c>
      <c r="H36" s="9" t="n">
        <v>1080</v>
      </c>
      <c r="I36" s="9" t="n">
        <v>39077621</v>
      </c>
      <c r="J36" s="9" t="n">
        <v>9455</v>
      </c>
      <c r="K36" s="9" t="n">
        <v>32556229</v>
      </c>
      <c r="L36" s="197" t="n">
        <f aca="false">K36/J36</f>
        <v>3443.28175568482</v>
      </c>
    </row>
    <row r="37" customFormat="false" ht="12.75" hidden="false" customHeight="false" outlineLevel="0" collapsed="false">
      <c r="A37" s="7" t="s">
        <v>45</v>
      </c>
      <c r="B37" s="7" t="n">
        <v>12</v>
      </c>
      <c r="C37" s="7"/>
      <c r="D37" s="9" t="n">
        <v>320</v>
      </c>
      <c r="E37" s="9" t="n">
        <v>11571799</v>
      </c>
      <c r="F37" s="9" t="n">
        <v>405</v>
      </c>
      <c r="G37" s="9" t="n">
        <v>14654520</v>
      </c>
      <c r="H37" s="9" t="n">
        <v>630</v>
      </c>
      <c r="I37" s="9" t="n">
        <v>22789767</v>
      </c>
      <c r="J37" s="9" t="n">
        <v>95</v>
      </c>
      <c r="K37" s="9" t="n">
        <v>3436552</v>
      </c>
      <c r="L37" s="197" t="n">
        <f aca="false">K37/J37</f>
        <v>36174.2315789474</v>
      </c>
    </row>
    <row r="38" customFormat="false" ht="12.75" hidden="false" customHeight="false" outlineLevel="0" collapsed="false">
      <c r="A38" s="7" t="s">
        <v>46</v>
      </c>
      <c r="B38" s="7" t="n">
        <v>12</v>
      </c>
      <c r="C38" s="7"/>
      <c r="D38" s="9" t="n">
        <v>270</v>
      </c>
      <c r="E38" s="9" t="n">
        <v>9896208</v>
      </c>
      <c r="F38" s="9" t="n">
        <v>120</v>
      </c>
      <c r="G38" s="9" t="n">
        <v>4342080</v>
      </c>
      <c r="H38" s="9" t="n">
        <v>325</v>
      </c>
      <c r="I38" s="9" t="n">
        <v>11669303</v>
      </c>
      <c r="J38" s="9" t="n">
        <v>65</v>
      </c>
      <c r="K38" s="9" t="n">
        <v>2568985</v>
      </c>
      <c r="L38" s="197" t="n">
        <f aca="false">K38/J38</f>
        <v>39522.8461538462</v>
      </c>
    </row>
    <row r="39" customFormat="false" ht="12.75" hidden="false" customHeight="false" outlineLevel="0" collapsed="false">
      <c r="A39" s="7" t="s">
        <v>47</v>
      </c>
      <c r="B39" s="7" t="n">
        <v>12</v>
      </c>
      <c r="C39" s="7"/>
      <c r="D39" s="9" t="n">
        <v>1500</v>
      </c>
      <c r="E39" s="9" t="n">
        <v>7597338</v>
      </c>
      <c r="F39" s="9" t="n">
        <v>250</v>
      </c>
      <c r="G39" s="9" t="n">
        <v>1273250</v>
      </c>
      <c r="H39" s="9" t="n">
        <v>755</v>
      </c>
      <c r="I39" s="9" t="n">
        <v>3827026</v>
      </c>
      <c r="J39" s="9" t="n">
        <v>995</v>
      </c>
      <c r="K39" s="9" t="n">
        <v>5043562</v>
      </c>
      <c r="L39" s="197" t="n">
        <f aca="false">K39/J39</f>
        <v>5068.90653266332</v>
      </c>
    </row>
    <row r="40" customFormat="false" ht="12.75" hidden="false" customHeight="false" outlineLevel="0" collapsed="false">
      <c r="A40" s="7" t="s">
        <v>48</v>
      </c>
      <c r="B40" s="7" t="n">
        <v>12</v>
      </c>
      <c r="C40" s="7"/>
      <c r="D40" s="9" t="n">
        <v>192</v>
      </c>
      <c r="E40" s="9" t="n">
        <v>4111968</v>
      </c>
      <c r="F40" s="9" t="n">
        <v>48</v>
      </c>
      <c r="G40" s="9" t="n">
        <v>933312</v>
      </c>
      <c r="H40" s="9" t="n">
        <v>0</v>
      </c>
      <c r="I40" s="9" t="n">
        <v>0</v>
      </c>
      <c r="J40" s="9" t="n">
        <v>240</v>
      </c>
      <c r="K40" s="9" t="n">
        <v>5045280</v>
      </c>
      <c r="L40" s="197" t="n">
        <f aca="false">K40/J40</f>
        <v>21022</v>
      </c>
    </row>
    <row r="41" customFormat="false" ht="12.75" hidden="false" customHeight="false" outlineLevel="0" collapsed="false">
      <c r="A41" s="7" t="s">
        <v>49</v>
      </c>
      <c r="B41" s="7" t="n">
        <v>12</v>
      </c>
      <c r="C41" s="7"/>
      <c r="D41" s="9" t="n">
        <v>4020</v>
      </c>
      <c r="E41" s="9" t="n">
        <v>19708744</v>
      </c>
      <c r="F41" s="9" t="n">
        <v>3360</v>
      </c>
      <c r="G41" s="9" t="n">
        <v>16487520</v>
      </c>
      <c r="H41" s="9" t="n">
        <v>5810</v>
      </c>
      <c r="I41" s="9" t="n">
        <v>28495976</v>
      </c>
      <c r="J41" s="9" t="n">
        <v>1570</v>
      </c>
      <c r="K41" s="9" t="n">
        <v>7700288</v>
      </c>
      <c r="L41" s="197" t="n">
        <f aca="false">K41/J41</f>
        <v>4904.64203821656</v>
      </c>
    </row>
    <row r="42" customFormat="false" ht="12.75" hidden="false" customHeight="false" outlineLevel="0" collapsed="false">
      <c r="A42" s="7" t="s">
        <v>50</v>
      </c>
      <c r="B42" s="7" t="n">
        <v>12</v>
      </c>
      <c r="C42" s="7"/>
      <c r="D42" s="9" t="n">
        <v>750</v>
      </c>
      <c r="E42" s="9" t="n">
        <v>2517000</v>
      </c>
      <c r="F42" s="9" t="n">
        <v>0</v>
      </c>
      <c r="G42" s="9" t="n">
        <v>0</v>
      </c>
      <c r="H42" s="9" t="n">
        <v>0</v>
      </c>
      <c r="I42" s="9" t="n">
        <v>0</v>
      </c>
      <c r="J42" s="9" t="n">
        <v>750</v>
      </c>
      <c r="K42" s="9" t="n">
        <v>2517000</v>
      </c>
      <c r="L42" s="197" t="n">
        <f aca="false">K42/J42</f>
        <v>3356</v>
      </c>
    </row>
    <row r="43" customFormat="false" ht="12.75" hidden="false" customHeight="false" outlineLevel="0" collapsed="false">
      <c r="A43" s="7" t="s">
        <v>51</v>
      </c>
      <c r="B43" s="7" t="n">
        <v>12</v>
      </c>
      <c r="C43" s="7"/>
      <c r="D43" s="9" t="n">
        <v>1350</v>
      </c>
      <c r="E43" s="9" t="n">
        <v>5561964</v>
      </c>
      <c r="F43" s="9" t="n">
        <v>200</v>
      </c>
      <c r="G43" s="9" t="n">
        <v>833400</v>
      </c>
      <c r="H43" s="9" t="n">
        <v>780</v>
      </c>
      <c r="I43" s="9" t="n">
        <v>3218313</v>
      </c>
      <c r="J43" s="9" t="n">
        <v>770</v>
      </c>
      <c r="K43" s="9" t="n">
        <v>3177051</v>
      </c>
      <c r="L43" s="197" t="n">
        <f aca="false">K43/J43</f>
        <v>4126.04025974026</v>
      </c>
    </row>
    <row r="44" customFormat="false" ht="12.75" hidden="false" customHeight="false" outlineLevel="0" collapsed="false">
      <c r="A44" s="7" t="s">
        <v>52</v>
      </c>
      <c r="B44" s="7" t="n">
        <v>12</v>
      </c>
      <c r="C44" s="7"/>
      <c r="D44" s="9" t="n">
        <v>1676</v>
      </c>
      <c r="E44" s="9" t="n">
        <v>38641471</v>
      </c>
      <c r="F44" s="9" t="n">
        <v>288</v>
      </c>
      <c r="G44" s="9" t="n">
        <v>6666624</v>
      </c>
      <c r="H44" s="9" t="n">
        <v>256</v>
      </c>
      <c r="I44" s="9" t="n">
        <v>5905739</v>
      </c>
      <c r="J44" s="9" t="n">
        <v>1708</v>
      </c>
      <c r="K44" s="9" t="n">
        <v>39402356</v>
      </c>
      <c r="L44" s="197" t="n">
        <f aca="false">K44/J44</f>
        <v>23069.2950819672</v>
      </c>
    </row>
    <row r="45" customFormat="false" ht="12.75" hidden="false" customHeight="false" outlineLevel="0" collapsed="false">
      <c r="A45" s="7" t="s">
        <v>53</v>
      </c>
      <c r="B45" s="7" t="n">
        <v>12</v>
      </c>
      <c r="C45" s="7"/>
      <c r="D45" s="9" t="n">
        <v>0</v>
      </c>
      <c r="E45" s="9" t="n">
        <v>0</v>
      </c>
      <c r="F45" s="9" t="n">
        <v>3600</v>
      </c>
      <c r="G45" s="9" t="n">
        <v>38332800</v>
      </c>
      <c r="H45" s="9" t="n">
        <v>10</v>
      </c>
      <c r="I45" s="9" t="n">
        <v>106480</v>
      </c>
      <c r="J45" s="9" t="n">
        <v>3590</v>
      </c>
      <c r="K45" s="9" t="n">
        <v>38226320</v>
      </c>
      <c r="L45" s="197" t="n">
        <f aca="false">K45/J45</f>
        <v>10648</v>
      </c>
    </row>
    <row r="46" customFormat="false" ht="12.75" hidden="false" customHeight="false" outlineLevel="0" collapsed="false">
      <c r="A46" s="7" t="s">
        <v>54</v>
      </c>
      <c r="B46" s="7" t="n">
        <v>12</v>
      </c>
      <c r="C46" s="7"/>
      <c r="D46" s="9" t="n">
        <v>4478</v>
      </c>
      <c r="E46" s="9" t="n">
        <v>65694476</v>
      </c>
      <c r="F46" s="9" t="n">
        <v>9176</v>
      </c>
      <c r="G46" s="9" t="n">
        <v>133335000</v>
      </c>
      <c r="H46" s="9" t="n">
        <v>7962</v>
      </c>
      <c r="I46" s="9" t="n">
        <v>116059227</v>
      </c>
      <c r="J46" s="9" t="n">
        <v>5692</v>
      </c>
      <c r="K46" s="9" t="n">
        <v>82970249</v>
      </c>
      <c r="L46" s="197" t="n">
        <f aca="false">K46/J46</f>
        <v>14576.6424806746</v>
      </c>
    </row>
    <row r="47" customFormat="false" ht="12.75" hidden="false" customHeight="false" outlineLevel="0" collapsed="false">
      <c r="A47" s="7" t="s">
        <v>55</v>
      </c>
      <c r="B47" s="7" t="n">
        <v>12</v>
      </c>
      <c r="C47" s="7"/>
      <c r="D47" s="9" t="n">
        <v>162</v>
      </c>
      <c r="E47" s="9" t="n">
        <v>14271796</v>
      </c>
      <c r="F47" s="9" t="n">
        <v>102</v>
      </c>
      <c r="G47" s="9" t="n">
        <v>9019452</v>
      </c>
      <c r="H47" s="9" t="n">
        <v>6</v>
      </c>
      <c r="I47" s="9" t="n">
        <v>529347</v>
      </c>
      <c r="J47" s="9" t="n">
        <v>258</v>
      </c>
      <c r="K47" s="9" t="n">
        <v>22761901</v>
      </c>
      <c r="L47" s="197" t="n">
        <f aca="false">K47/J47</f>
        <v>88224.4224806202</v>
      </c>
    </row>
    <row r="48" customFormat="false" ht="12.75" hidden="false" customHeight="false" outlineLevel="0" collapsed="false">
      <c r="A48" s="7" t="s">
        <v>56</v>
      </c>
      <c r="B48" s="7" t="n">
        <v>12</v>
      </c>
      <c r="C48" s="7"/>
      <c r="D48" s="9" t="n">
        <v>864</v>
      </c>
      <c r="E48" s="9" t="n">
        <v>8294400</v>
      </c>
      <c r="F48" s="9" t="n">
        <v>192</v>
      </c>
      <c r="G48" s="9" t="n">
        <v>1848960</v>
      </c>
      <c r="H48" s="9" t="n">
        <v>0</v>
      </c>
      <c r="I48" s="9" t="n">
        <v>0</v>
      </c>
      <c r="J48" s="9" t="n">
        <v>1056</v>
      </c>
      <c r="K48" s="9" t="n">
        <v>10143360</v>
      </c>
      <c r="L48" s="197" t="n">
        <f aca="false">K48/J48</f>
        <v>9605.45454545455</v>
      </c>
    </row>
    <row r="49" customFormat="false" ht="12.75" hidden="false" customHeight="false" outlineLevel="0" collapsed="false">
      <c r="A49" s="7" t="s">
        <v>57</v>
      </c>
      <c r="B49" s="7" t="n">
        <v>12</v>
      </c>
      <c r="C49" s="7"/>
      <c r="D49" s="9" t="n">
        <v>758</v>
      </c>
      <c r="E49" s="9" t="n">
        <v>13116517</v>
      </c>
      <c r="F49" s="9" t="n">
        <v>168</v>
      </c>
      <c r="G49" s="9" t="n">
        <v>2955624</v>
      </c>
      <c r="H49" s="9" t="n">
        <v>160</v>
      </c>
      <c r="I49" s="9" t="n">
        <v>2777044</v>
      </c>
      <c r="J49" s="9" t="n">
        <v>766</v>
      </c>
      <c r="K49" s="9" t="n">
        <v>13295097</v>
      </c>
      <c r="L49" s="197" t="n">
        <f aca="false">K49/J49</f>
        <v>17356.5234986945</v>
      </c>
    </row>
    <row r="50" customFormat="false" ht="12.75" hidden="false" customHeight="false" outlineLevel="0" collapsed="false">
      <c r="A50" s="7" t="s">
        <v>58</v>
      </c>
      <c r="B50" s="7" t="n">
        <v>12</v>
      </c>
      <c r="C50" s="7"/>
      <c r="D50" s="9" t="n">
        <v>3660</v>
      </c>
      <c r="E50" s="9" t="n">
        <v>31105758</v>
      </c>
      <c r="F50" s="9" t="n">
        <v>816</v>
      </c>
      <c r="G50" s="9" t="n">
        <v>7026576</v>
      </c>
      <c r="H50" s="9" t="n">
        <v>1584</v>
      </c>
      <c r="I50" s="9" t="n">
        <v>13494553</v>
      </c>
      <c r="J50" s="9" t="n">
        <v>2892</v>
      </c>
      <c r="K50" s="9" t="n">
        <v>24637781</v>
      </c>
      <c r="L50" s="197" t="n">
        <f aca="false">K50/J50</f>
        <v>8519.28803596127</v>
      </c>
    </row>
    <row r="51" customFormat="false" ht="12.75" hidden="false" customHeight="false" outlineLevel="0" collapsed="false">
      <c r="A51" s="7" t="s">
        <v>59</v>
      </c>
      <c r="B51" s="7" t="n">
        <v>12</v>
      </c>
      <c r="C51" s="7"/>
      <c r="D51" s="9" t="n">
        <v>4076</v>
      </c>
      <c r="E51" s="9" t="n">
        <v>66900098</v>
      </c>
      <c r="F51" s="9" t="n">
        <v>2466</v>
      </c>
      <c r="G51" s="9" t="n">
        <v>30000600</v>
      </c>
      <c r="H51" s="9" t="n">
        <v>3694</v>
      </c>
      <c r="I51" s="9" t="n">
        <v>54715863</v>
      </c>
      <c r="J51" s="9" t="n">
        <v>2848</v>
      </c>
      <c r="K51" s="9" t="n">
        <v>42184835</v>
      </c>
      <c r="L51" s="197" t="n">
        <f aca="false">K51/J51</f>
        <v>14812.0909410112</v>
      </c>
    </row>
    <row r="52" customFormat="false" ht="12.75" hidden="false" customHeight="false" outlineLevel="0" collapsed="false">
      <c r="A52" s="7" t="s">
        <v>60</v>
      </c>
      <c r="B52" s="7" t="n">
        <v>12</v>
      </c>
      <c r="C52" s="7"/>
      <c r="D52" s="9" t="n">
        <v>3051</v>
      </c>
      <c r="E52" s="9" t="n">
        <v>99561656</v>
      </c>
      <c r="F52" s="9" t="n">
        <v>1476</v>
      </c>
      <c r="G52" s="9" t="n">
        <v>51966396</v>
      </c>
      <c r="H52" s="9" t="n">
        <v>2890</v>
      </c>
      <c r="I52" s="9" t="n">
        <v>96734277</v>
      </c>
      <c r="J52" s="9" t="n">
        <v>1637</v>
      </c>
      <c r="K52" s="9" t="n">
        <v>54793775</v>
      </c>
      <c r="L52" s="197" t="n">
        <f aca="false">K52/J52</f>
        <v>33472.067806964</v>
      </c>
    </row>
    <row r="53" customFormat="false" ht="12.75" hidden="false" customHeight="false" outlineLevel="0" collapsed="false">
      <c r="A53" s="7" t="s">
        <v>61</v>
      </c>
      <c r="B53" s="7" t="n">
        <v>12</v>
      </c>
      <c r="C53" s="7"/>
      <c r="D53" s="9" t="n">
        <v>0</v>
      </c>
      <c r="E53" s="9" t="n">
        <v>0</v>
      </c>
      <c r="F53" s="9" t="n">
        <v>0</v>
      </c>
      <c r="G53" s="9" t="n">
        <v>0</v>
      </c>
      <c r="H53" s="9" t="n">
        <v>0</v>
      </c>
      <c r="I53" s="9" t="n">
        <v>0</v>
      </c>
      <c r="J53" s="9" t="n">
        <v>0</v>
      </c>
      <c r="K53" s="9" t="n">
        <v>0</v>
      </c>
    </row>
    <row r="54" customFormat="false" ht="12.75" hidden="false" customHeight="false" outlineLevel="0" collapsed="false">
      <c r="A54" s="7" t="s">
        <v>62</v>
      </c>
      <c r="B54" s="7" t="n">
        <v>12</v>
      </c>
      <c r="C54" s="7"/>
      <c r="D54" s="9" t="n">
        <v>4034</v>
      </c>
      <c r="E54" s="9" t="n">
        <v>19765883</v>
      </c>
      <c r="F54" s="9" t="n">
        <v>4080</v>
      </c>
      <c r="G54" s="9" t="n">
        <v>20020560</v>
      </c>
      <c r="H54" s="9" t="n">
        <v>6270</v>
      </c>
      <c r="I54" s="9" t="n">
        <v>30744515</v>
      </c>
      <c r="J54" s="9" t="n">
        <v>1844</v>
      </c>
      <c r="K54" s="9" t="n">
        <v>9041928</v>
      </c>
      <c r="L54" s="197" t="n">
        <f aca="false">K54/J54</f>
        <v>4903.431670282</v>
      </c>
    </row>
    <row r="55" customFormat="false" ht="12.75" hidden="false" customHeight="false" outlineLevel="0" collapsed="false">
      <c r="A55" s="7" t="s">
        <v>63</v>
      </c>
      <c r="B55" s="7" t="n">
        <v>12</v>
      </c>
      <c r="C55" s="7"/>
      <c r="D55" s="9" t="n">
        <v>0</v>
      </c>
      <c r="E55" s="9" t="n">
        <v>0</v>
      </c>
      <c r="F55" s="9" t="n">
        <v>0</v>
      </c>
      <c r="G55" s="9" t="n">
        <v>0</v>
      </c>
      <c r="H55" s="9" t="n">
        <v>0</v>
      </c>
      <c r="I55" s="9" t="n">
        <v>0</v>
      </c>
      <c r="J55" s="9" t="n">
        <v>0</v>
      </c>
      <c r="K55" s="9" t="n">
        <v>0</v>
      </c>
    </row>
    <row r="56" customFormat="false" ht="12.75" hidden="false" customHeight="false" outlineLevel="0" collapsed="false">
      <c r="A56" s="7" t="s">
        <v>64</v>
      </c>
      <c r="B56" s="7" t="n">
        <v>12</v>
      </c>
      <c r="C56" s="7"/>
      <c r="D56" s="9" t="n">
        <v>25</v>
      </c>
      <c r="E56" s="9" t="n">
        <v>4861100</v>
      </c>
      <c r="F56" s="9" t="n">
        <v>0</v>
      </c>
      <c r="G56" s="9" t="n">
        <v>0</v>
      </c>
      <c r="H56" s="9" t="n">
        <v>0</v>
      </c>
      <c r="I56" s="9" t="n">
        <v>0</v>
      </c>
      <c r="J56" s="9" t="n">
        <v>25</v>
      </c>
      <c r="K56" s="9" t="n">
        <v>4861100</v>
      </c>
      <c r="L56" s="197" t="n">
        <f aca="false">K56/J56</f>
        <v>194444</v>
      </c>
    </row>
    <row r="57" customFormat="false" ht="12.75" hidden="false" customHeight="false" outlineLevel="0" collapsed="false">
      <c r="A57" s="7" t="s">
        <v>65</v>
      </c>
      <c r="B57" s="7" t="n">
        <v>12</v>
      </c>
      <c r="C57" s="7"/>
      <c r="D57" s="9" t="n">
        <v>7</v>
      </c>
      <c r="E57" s="9" t="n">
        <v>1328705</v>
      </c>
      <c r="F57" s="9" t="n">
        <v>0</v>
      </c>
      <c r="G57" s="9" t="n">
        <v>0</v>
      </c>
      <c r="H57" s="9" t="n">
        <v>0</v>
      </c>
      <c r="I57" s="9" t="n">
        <v>0</v>
      </c>
      <c r="J57" s="9" t="n">
        <v>7</v>
      </c>
      <c r="K57" s="9" t="n">
        <v>1328705</v>
      </c>
      <c r="L57" s="197" t="n">
        <f aca="false">K57/J57</f>
        <v>189815</v>
      </c>
    </row>
    <row r="58" customFormat="false" ht="12.75" hidden="false" customHeight="false" outlineLevel="0" collapsed="false">
      <c r="A58" s="7" t="s">
        <v>66</v>
      </c>
      <c r="B58" s="7" t="n">
        <v>12</v>
      </c>
      <c r="C58" s="7"/>
      <c r="D58" s="9" t="n">
        <v>3640</v>
      </c>
      <c r="E58" s="9" t="n">
        <v>56770482</v>
      </c>
      <c r="F58" s="9" t="n">
        <v>4421</v>
      </c>
      <c r="G58" s="9" t="n">
        <v>68567796</v>
      </c>
      <c r="H58" s="9" t="n">
        <v>6642</v>
      </c>
      <c r="I58" s="9" t="n">
        <v>103274636</v>
      </c>
      <c r="J58" s="9" t="n">
        <v>1419</v>
      </c>
      <c r="K58" s="9" t="n">
        <v>22063642</v>
      </c>
      <c r="L58" s="197" t="n">
        <f aca="false">K58/J58</f>
        <v>15548.725863284</v>
      </c>
    </row>
    <row r="59" customFormat="false" ht="12.75" hidden="false" customHeight="false" outlineLevel="0" collapsed="false">
      <c r="A59" s="7" t="s">
        <v>67</v>
      </c>
      <c r="B59" s="7" t="n">
        <v>12</v>
      </c>
      <c r="C59" s="7"/>
      <c r="D59" s="9" t="n">
        <v>170</v>
      </c>
      <c r="E59" s="9" t="n">
        <v>1385264</v>
      </c>
      <c r="F59" s="9" t="n">
        <v>24</v>
      </c>
      <c r="G59" s="9" t="n">
        <v>400008</v>
      </c>
      <c r="H59" s="9" t="n">
        <v>3</v>
      </c>
      <c r="I59" s="9" t="n">
        <v>27607</v>
      </c>
      <c r="J59" s="9" t="n">
        <v>191</v>
      </c>
      <c r="K59" s="9" t="n">
        <v>1757665</v>
      </c>
      <c r="L59" s="197" t="n">
        <f aca="false">K59/J59</f>
        <v>9202.43455497382</v>
      </c>
    </row>
    <row r="60" customFormat="false" ht="12.75" hidden="false" customHeight="false" outlineLevel="0" collapsed="false">
      <c r="A60" s="7" t="s">
        <v>68</v>
      </c>
      <c r="B60" s="7" t="n">
        <v>12</v>
      </c>
      <c r="C60" s="7"/>
      <c r="D60" s="9" t="n">
        <v>384</v>
      </c>
      <c r="E60" s="9" t="n">
        <v>17725913</v>
      </c>
      <c r="F60" s="9" t="n">
        <v>0</v>
      </c>
      <c r="G60" s="9" t="n">
        <v>0</v>
      </c>
      <c r="H60" s="9" t="n">
        <v>20</v>
      </c>
      <c r="I60" s="9" t="n">
        <v>923225</v>
      </c>
      <c r="J60" s="9" t="n">
        <v>364</v>
      </c>
      <c r="K60" s="9" t="n">
        <v>16802688</v>
      </c>
      <c r="L60" s="197" t="n">
        <f aca="false">K60/J60</f>
        <v>46161.2307692308</v>
      </c>
    </row>
    <row r="61" customFormat="false" ht="12.75" hidden="false" customHeight="false" outlineLevel="0" collapsed="false">
      <c r="A61" s="7" t="s">
        <v>69</v>
      </c>
      <c r="B61" s="7" t="n">
        <v>12</v>
      </c>
      <c r="C61" s="7"/>
      <c r="D61" s="9" t="n">
        <v>156</v>
      </c>
      <c r="E61" s="9" t="n">
        <v>16177824</v>
      </c>
      <c r="F61" s="9" t="n">
        <v>0</v>
      </c>
      <c r="G61" s="9" t="n">
        <v>0</v>
      </c>
      <c r="H61" s="9" t="n">
        <v>6</v>
      </c>
      <c r="I61" s="9" t="n">
        <v>622224</v>
      </c>
      <c r="J61" s="9" t="n">
        <v>150</v>
      </c>
      <c r="K61" s="9" t="n">
        <v>15555600</v>
      </c>
      <c r="L61" s="197" t="n">
        <f aca="false">K61/J61</f>
        <v>103704</v>
      </c>
    </row>
    <row r="62" customFormat="false" ht="12.75" hidden="false" customHeight="false" outlineLevel="0" collapsed="false">
      <c r="A62" s="7" t="s">
        <v>70</v>
      </c>
      <c r="B62" s="7" t="n">
        <v>12</v>
      </c>
      <c r="C62" s="7"/>
      <c r="D62" s="9" t="n">
        <v>84</v>
      </c>
      <c r="E62" s="9" t="n">
        <v>12133296</v>
      </c>
      <c r="F62" s="9" t="n">
        <v>0</v>
      </c>
      <c r="G62" s="9" t="n">
        <v>0</v>
      </c>
      <c r="H62" s="9" t="n">
        <v>5</v>
      </c>
      <c r="I62" s="9" t="n">
        <v>722220</v>
      </c>
      <c r="J62" s="9" t="n">
        <v>79</v>
      </c>
      <c r="K62" s="9" t="n">
        <v>11411076</v>
      </c>
      <c r="L62" s="197" t="n">
        <f aca="false">K62/J62</f>
        <v>144444</v>
      </c>
    </row>
    <row r="63" customFormat="false" ht="12.75" hidden="false" customHeight="false" outlineLevel="0" collapsed="false">
      <c r="A63" s="7" t="s">
        <v>71</v>
      </c>
      <c r="B63" s="7" t="n">
        <v>12</v>
      </c>
      <c r="C63" s="7"/>
      <c r="D63" s="9" t="n">
        <v>1608</v>
      </c>
      <c r="E63" s="9" t="n">
        <v>25016122</v>
      </c>
      <c r="F63" s="9" t="n">
        <v>552</v>
      </c>
      <c r="G63" s="9" t="n">
        <v>8689032</v>
      </c>
      <c r="H63" s="9" t="n">
        <v>1343</v>
      </c>
      <c r="I63" s="9" t="n">
        <v>20956492</v>
      </c>
      <c r="J63" s="9" t="n">
        <v>817</v>
      </c>
      <c r="K63" s="9" t="n">
        <v>12748662</v>
      </c>
      <c r="L63" s="197" t="n">
        <f aca="false">K63/J63</f>
        <v>15604.2374541004</v>
      </c>
    </row>
    <row r="64" customFormat="false" ht="12.75" hidden="false" customHeight="false" outlineLevel="0" collapsed="false">
      <c r="A64" s="7" t="s">
        <v>72</v>
      </c>
      <c r="B64" s="7" t="n">
        <v>12</v>
      </c>
      <c r="C64" s="7"/>
      <c r="D64" s="9" t="n">
        <v>3852</v>
      </c>
      <c r="E64" s="9" t="n">
        <v>90280472</v>
      </c>
      <c r="F64" s="9" t="n">
        <v>648</v>
      </c>
      <c r="G64" s="9" t="n">
        <v>15599952</v>
      </c>
      <c r="H64" s="9" t="n">
        <v>2766</v>
      </c>
      <c r="I64" s="9" t="n">
        <v>65081167</v>
      </c>
      <c r="J64" s="9" t="n">
        <v>1734</v>
      </c>
      <c r="K64" s="9" t="n">
        <v>40799257</v>
      </c>
      <c r="L64" s="197" t="n">
        <f aca="false">K64/J64</f>
        <v>23528.9832756632</v>
      </c>
    </row>
    <row r="65" customFormat="false" ht="12.75" hidden="false" customHeight="false" outlineLevel="0" collapsed="false">
      <c r="A65" s="7" t="s">
        <v>73</v>
      </c>
      <c r="B65" s="7" t="n">
        <v>12</v>
      </c>
      <c r="C65" s="7"/>
      <c r="D65" s="9" t="n">
        <v>4218</v>
      </c>
      <c r="E65" s="9" t="n">
        <v>143970514</v>
      </c>
      <c r="F65" s="9" t="n">
        <v>1800</v>
      </c>
      <c r="G65" s="9" t="n">
        <v>61666200</v>
      </c>
      <c r="H65" s="9" t="n">
        <v>4946</v>
      </c>
      <c r="I65" s="9" t="n">
        <v>169006179</v>
      </c>
      <c r="J65" s="9" t="n">
        <v>1072</v>
      </c>
      <c r="K65" s="9" t="n">
        <v>36630535</v>
      </c>
      <c r="L65" s="197" t="n">
        <f aca="false">K65/J65</f>
        <v>34170.2751865672</v>
      </c>
    </row>
    <row r="66" customFormat="false" ht="12.75" hidden="false" customHeight="false" outlineLevel="0" collapsed="false">
      <c r="A66" s="7" t="s">
        <v>74</v>
      </c>
      <c r="B66" s="7" t="n">
        <v>12</v>
      </c>
      <c r="C66" s="7"/>
      <c r="D66" s="9" t="n">
        <v>5136</v>
      </c>
      <c r="E66" s="9" t="n">
        <v>75745997</v>
      </c>
      <c r="F66" s="9" t="n">
        <v>1752</v>
      </c>
      <c r="G66" s="9" t="n">
        <v>25955880</v>
      </c>
      <c r="H66" s="9" t="n">
        <v>6110</v>
      </c>
      <c r="I66" s="9" t="n">
        <v>90214644</v>
      </c>
      <c r="J66" s="9" t="n">
        <v>778</v>
      </c>
      <c r="K66" s="9" t="n">
        <v>11487233</v>
      </c>
      <c r="L66" s="197" t="n">
        <f aca="false">K66/J66</f>
        <v>14765.0809768638</v>
      </c>
    </row>
    <row r="67" customFormat="false" ht="12.75" hidden="false" customHeight="false" outlineLevel="0" collapsed="false">
      <c r="A67" s="7" t="s">
        <v>75</v>
      </c>
      <c r="B67" s="7" t="n">
        <v>12</v>
      </c>
      <c r="C67" s="7"/>
      <c r="D67" s="9" t="n">
        <v>10400</v>
      </c>
      <c r="E67" s="9" t="n">
        <v>3813333</v>
      </c>
      <c r="F67" s="9" t="n">
        <v>0</v>
      </c>
      <c r="G67" s="9" t="n">
        <v>0</v>
      </c>
      <c r="H67" s="9" t="n">
        <v>9600</v>
      </c>
      <c r="I67" s="9" t="n">
        <v>3520000</v>
      </c>
      <c r="J67" s="9" t="n">
        <v>800</v>
      </c>
      <c r="K67" s="9" t="n">
        <v>293333</v>
      </c>
      <c r="L67" s="197" t="n">
        <f aca="false">K67/J67</f>
        <v>366.66625</v>
      </c>
    </row>
    <row r="68" customFormat="false" ht="12.75" hidden="false" customHeight="false" outlineLevel="0" collapsed="false">
      <c r="A68" s="7" t="s">
        <v>76</v>
      </c>
      <c r="B68" s="7" t="n">
        <v>12</v>
      </c>
      <c r="C68" s="7"/>
      <c r="D68" s="9" t="n">
        <v>168</v>
      </c>
      <c r="E68" s="9" t="n">
        <v>9544198</v>
      </c>
      <c r="F68" s="9" t="n">
        <v>81</v>
      </c>
      <c r="G68" s="9" t="n">
        <v>4275018</v>
      </c>
      <c r="H68" s="9" t="n">
        <v>4</v>
      </c>
      <c r="I68" s="9" t="n">
        <v>221995</v>
      </c>
      <c r="J68" s="9" t="n">
        <v>245</v>
      </c>
      <c r="K68" s="9" t="n">
        <v>13597221</v>
      </c>
      <c r="L68" s="197" t="n">
        <f aca="false">K68/J68</f>
        <v>55498.8612244898</v>
      </c>
    </row>
    <row r="69" customFormat="false" ht="12.75" hidden="false" customHeight="false" outlineLevel="0" collapsed="false">
      <c r="A69" s="7" t="s">
        <v>77</v>
      </c>
      <c r="B69" s="7" t="n">
        <v>12</v>
      </c>
      <c r="C69" s="7"/>
      <c r="D69" s="9" t="n">
        <v>1092</v>
      </c>
      <c r="E69" s="9" t="n">
        <v>6735333</v>
      </c>
      <c r="F69" s="9" t="n">
        <v>0</v>
      </c>
      <c r="G69" s="9" t="n">
        <v>0</v>
      </c>
      <c r="H69" s="9" t="n">
        <v>246</v>
      </c>
      <c r="I69" s="9" t="n">
        <v>1517300</v>
      </c>
      <c r="J69" s="9" t="n">
        <v>846</v>
      </c>
      <c r="K69" s="9" t="n">
        <v>5218033</v>
      </c>
      <c r="L69" s="197" t="n">
        <f aca="false">K69/J69</f>
        <v>6167.88770685579</v>
      </c>
    </row>
    <row r="70" customFormat="false" ht="12.75" hidden="false" customHeight="false" outlineLevel="0" collapsed="false">
      <c r="A70" s="7" t="s">
        <v>78</v>
      </c>
      <c r="B70" s="7" t="n">
        <v>12</v>
      </c>
      <c r="C70" s="7"/>
      <c r="D70" s="9" t="n">
        <v>7371</v>
      </c>
      <c r="E70" s="9" t="n">
        <v>66190155</v>
      </c>
      <c r="F70" s="9" t="n">
        <v>1920</v>
      </c>
      <c r="G70" s="9" t="n">
        <v>21333120</v>
      </c>
      <c r="H70" s="9" t="n">
        <v>4490</v>
      </c>
      <c r="I70" s="9" t="n">
        <v>42296793</v>
      </c>
      <c r="J70" s="9" t="n">
        <v>4801</v>
      </c>
      <c r="K70" s="9" t="n">
        <v>45226482</v>
      </c>
      <c r="L70" s="197" t="n">
        <f aca="false">K70/J70</f>
        <v>9420.22120391585</v>
      </c>
    </row>
    <row r="71" customFormat="false" ht="12.75" hidden="false" customHeight="false" outlineLevel="0" collapsed="false">
      <c r="A71" s="7" t="s">
        <v>79</v>
      </c>
      <c r="B71" s="7" t="n">
        <v>12</v>
      </c>
      <c r="C71" s="7"/>
      <c r="D71" s="9" t="n">
        <v>1912</v>
      </c>
      <c r="E71" s="9" t="n">
        <v>38449684</v>
      </c>
      <c r="F71" s="9" t="n">
        <v>1560</v>
      </c>
      <c r="G71" s="9" t="n">
        <v>33221760</v>
      </c>
      <c r="H71" s="9" t="n">
        <v>3133</v>
      </c>
      <c r="I71" s="9" t="n">
        <v>64673570</v>
      </c>
      <c r="J71" s="9" t="n">
        <v>339</v>
      </c>
      <c r="K71" s="9" t="n">
        <v>6997874</v>
      </c>
      <c r="L71" s="197" t="n">
        <f aca="false">K71/J71</f>
        <v>20642.6961651917</v>
      </c>
    </row>
    <row r="72" customFormat="false" ht="12.75" hidden="false" customHeight="false" outlineLevel="0" collapsed="false">
      <c r="A72" s="7" t="s">
        <v>80</v>
      </c>
      <c r="B72" s="7" t="n">
        <v>12</v>
      </c>
      <c r="C72" s="7"/>
      <c r="D72" s="9" t="n">
        <v>180</v>
      </c>
      <c r="E72" s="9" t="n">
        <v>2602954</v>
      </c>
      <c r="F72" s="9" t="n">
        <v>72</v>
      </c>
      <c r="G72" s="9" t="n">
        <v>1066680</v>
      </c>
      <c r="H72" s="9" t="n">
        <v>0</v>
      </c>
      <c r="I72" s="9" t="n">
        <v>0</v>
      </c>
      <c r="J72" s="9" t="n">
        <v>252</v>
      </c>
      <c r="K72" s="9" t="n">
        <v>3669634</v>
      </c>
      <c r="L72" s="197" t="n">
        <f aca="false">K72/J72</f>
        <v>14562.0396825397</v>
      </c>
    </row>
    <row r="73" customFormat="false" ht="12.75" hidden="false" customHeight="false" outlineLevel="0" collapsed="false">
      <c r="A73" s="7" t="s">
        <v>81</v>
      </c>
      <c r="B73" s="7" t="n">
        <v>12</v>
      </c>
      <c r="C73" s="7"/>
      <c r="D73" s="9" t="n">
        <v>2052</v>
      </c>
      <c r="E73" s="9" t="n">
        <v>31426776</v>
      </c>
      <c r="F73" s="9" t="n">
        <v>504</v>
      </c>
      <c r="G73" s="9" t="n">
        <v>7933464</v>
      </c>
      <c r="H73" s="9" t="n">
        <v>2040</v>
      </c>
      <c r="I73" s="9" t="n">
        <v>31414276</v>
      </c>
      <c r="J73" s="9" t="n">
        <v>516</v>
      </c>
      <c r="K73" s="9" t="n">
        <v>7945964</v>
      </c>
      <c r="L73" s="197" t="n">
        <f aca="false">K73/J73</f>
        <v>15399.1550387597</v>
      </c>
    </row>
    <row r="74" customFormat="false" ht="12.75" hidden="false" customHeight="false" outlineLevel="0" collapsed="false">
      <c r="A74" s="7" t="s">
        <v>82</v>
      </c>
      <c r="B74" s="7" t="n">
        <v>12</v>
      </c>
      <c r="C74" s="7"/>
      <c r="D74" s="9" t="n">
        <v>5760</v>
      </c>
      <c r="E74" s="9" t="n">
        <v>42106565</v>
      </c>
      <c r="F74" s="9" t="n">
        <v>1368</v>
      </c>
      <c r="G74" s="9" t="n">
        <v>10132776</v>
      </c>
      <c r="H74" s="9" t="n">
        <v>5104</v>
      </c>
      <c r="I74" s="9" t="n">
        <v>37405948</v>
      </c>
      <c r="J74" s="9" t="n">
        <v>2024</v>
      </c>
      <c r="K74" s="9" t="n">
        <v>14833393</v>
      </c>
      <c r="L74" s="197" t="n">
        <f aca="false">K74/J74</f>
        <v>7328.75148221344</v>
      </c>
    </row>
    <row r="75" customFormat="false" ht="12.75" hidden="false" customHeight="false" outlineLevel="0" collapsed="false">
      <c r="A75" s="7" t="s">
        <v>83</v>
      </c>
      <c r="B75" s="7" t="n">
        <v>12</v>
      </c>
      <c r="C75" s="7"/>
      <c r="D75" s="9" t="n">
        <v>2646</v>
      </c>
      <c r="E75" s="9" t="n">
        <v>20061031</v>
      </c>
      <c r="F75" s="9" t="n">
        <v>720</v>
      </c>
      <c r="G75" s="9" t="n">
        <v>5600160</v>
      </c>
      <c r="H75" s="9" t="n">
        <v>2622</v>
      </c>
      <c r="I75" s="9" t="n">
        <v>19989199</v>
      </c>
      <c r="J75" s="9" t="n">
        <v>744</v>
      </c>
      <c r="K75" s="9" t="n">
        <v>5671992</v>
      </c>
      <c r="L75" s="197" t="n">
        <f aca="false">K75/J75</f>
        <v>7623.64516129032</v>
      </c>
    </row>
    <row r="76" customFormat="false" ht="12.75" hidden="false" customHeight="false" outlineLevel="0" collapsed="false">
      <c r="A76" s="7" t="s">
        <v>84</v>
      </c>
      <c r="B76" s="7" t="n">
        <v>12</v>
      </c>
      <c r="C76" s="7"/>
      <c r="D76" s="9" t="n">
        <v>21344</v>
      </c>
      <c r="E76" s="9" t="n">
        <v>656441651</v>
      </c>
      <c r="F76" s="9" t="n">
        <v>13870</v>
      </c>
      <c r="G76" s="9" t="n">
        <v>423104640</v>
      </c>
      <c r="H76" s="9" t="n">
        <v>25896</v>
      </c>
      <c r="I76" s="9" t="n">
        <v>793886828</v>
      </c>
      <c r="J76" s="9" t="n">
        <v>9318</v>
      </c>
      <c r="K76" s="9" t="n">
        <v>285659463</v>
      </c>
      <c r="L76" s="197" t="n">
        <f aca="false">K76/J76</f>
        <v>30656.7356728912</v>
      </c>
    </row>
    <row r="77" customFormat="false" ht="12.75" hidden="false" customHeight="false" outlineLevel="0" collapsed="false">
      <c r="A77" s="7" t="s">
        <v>85</v>
      </c>
      <c r="B77" s="7" t="n">
        <v>12</v>
      </c>
      <c r="C77" s="7"/>
      <c r="D77" s="9" t="n">
        <v>22711</v>
      </c>
      <c r="E77" s="9" t="n">
        <v>206800382</v>
      </c>
      <c r="F77" s="9" t="n">
        <v>8744</v>
      </c>
      <c r="G77" s="9" t="n">
        <v>79997760</v>
      </c>
      <c r="H77" s="9" t="n">
        <v>16402</v>
      </c>
      <c r="I77" s="9" t="n">
        <v>149548979</v>
      </c>
      <c r="J77" s="9" t="n">
        <v>15053</v>
      </c>
      <c r="K77" s="9" t="n">
        <v>137249163</v>
      </c>
      <c r="L77" s="197" t="n">
        <f aca="false">K77/J77</f>
        <v>9117.72822693151</v>
      </c>
    </row>
    <row r="78" customFormat="false" ht="12.75" hidden="false" customHeight="false" outlineLevel="0" collapsed="false">
      <c r="A78" s="7" t="s">
        <v>86</v>
      </c>
      <c r="B78" s="7" t="n">
        <v>12</v>
      </c>
      <c r="C78" s="7"/>
      <c r="D78" s="9" t="n">
        <v>51521</v>
      </c>
      <c r="E78" s="9" t="n">
        <v>363655744</v>
      </c>
      <c r="F78" s="9" t="n">
        <v>37214</v>
      </c>
      <c r="G78" s="9" t="n">
        <v>266652000</v>
      </c>
      <c r="H78" s="9" t="n">
        <v>41008</v>
      </c>
      <c r="I78" s="9" t="n">
        <v>295371958</v>
      </c>
      <c r="J78" s="9" t="n">
        <v>47727</v>
      </c>
      <c r="K78" s="9" t="n">
        <v>334935786</v>
      </c>
      <c r="L78" s="197" t="n">
        <f aca="false">K78/J78</f>
        <v>7017.74228424162</v>
      </c>
    </row>
    <row r="79" customFormat="false" ht="12.75" hidden="false" customHeight="false" outlineLevel="0" collapsed="false">
      <c r="A79" s="7" t="s">
        <v>87</v>
      </c>
      <c r="B79" s="7" t="n">
        <v>12</v>
      </c>
      <c r="C79" s="7"/>
      <c r="D79" s="9" t="n">
        <v>3195</v>
      </c>
      <c r="E79" s="9" t="n">
        <v>57619421</v>
      </c>
      <c r="F79" s="9" t="n">
        <v>7471</v>
      </c>
      <c r="G79" s="9" t="n">
        <v>133253280</v>
      </c>
      <c r="H79" s="9" t="n">
        <v>7856</v>
      </c>
      <c r="I79" s="9" t="n">
        <v>140586531</v>
      </c>
      <c r="J79" s="9" t="n">
        <v>2810</v>
      </c>
      <c r="K79" s="9" t="n">
        <v>50286170</v>
      </c>
      <c r="L79" s="197" t="n">
        <f aca="false">K79/J79</f>
        <v>17895.4341637011</v>
      </c>
    </row>
    <row r="80" customFormat="false" ht="12.75" hidden="false" customHeight="false" outlineLevel="0" collapsed="false">
      <c r="A80" s="7" t="s">
        <v>88</v>
      </c>
      <c r="B80" s="7" t="n">
        <v>12</v>
      </c>
      <c r="C80" s="7"/>
      <c r="D80" s="9" t="n">
        <v>618</v>
      </c>
      <c r="E80" s="9" t="n">
        <v>12921762</v>
      </c>
      <c r="F80" s="9" t="n">
        <v>0</v>
      </c>
      <c r="G80" s="9" t="n">
        <v>0</v>
      </c>
      <c r="H80" s="9" t="n">
        <v>70</v>
      </c>
      <c r="I80" s="9" t="n">
        <v>1463630</v>
      </c>
      <c r="J80" s="9" t="n">
        <v>548</v>
      </c>
      <c r="K80" s="9" t="n">
        <v>11458132</v>
      </c>
      <c r="L80" s="197" t="n">
        <f aca="false">K80/J80</f>
        <v>20909</v>
      </c>
    </row>
    <row r="81" customFormat="false" ht="12.75" hidden="false" customHeight="false" outlineLevel="0" collapsed="false">
      <c r="A81" s="7" t="s">
        <v>89</v>
      </c>
      <c r="B81" s="7" t="n">
        <v>12</v>
      </c>
      <c r="C81" s="7"/>
      <c r="D81" s="9" t="n">
        <v>564</v>
      </c>
      <c r="E81" s="9" t="n">
        <v>13801691</v>
      </c>
      <c r="F81" s="9" t="n">
        <v>216</v>
      </c>
      <c r="G81" s="9" t="n">
        <v>5299992</v>
      </c>
      <c r="H81" s="9" t="n">
        <v>336</v>
      </c>
      <c r="I81" s="9" t="n">
        <v>8228417</v>
      </c>
      <c r="J81" s="9" t="n">
        <v>444</v>
      </c>
      <c r="K81" s="9" t="n">
        <v>10873266</v>
      </c>
      <c r="L81" s="197" t="n">
        <f aca="false">K81/J81</f>
        <v>24489.3378378378</v>
      </c>
    </row>
    <row r="82" customFormat="false" ht="12.75" hidden="false" customHeight="false" outlineLevel="0" collapsed="false">
      <c r="A82" s="7" t="s">
        <v>90</v>
      </c>
      <c r="B82" s="7" t="n">
        <v>12</v>
      </c>
      <c r="C82" s="7"/>
      <c r="D82" s="9" t="n">
        <v>1045</v>
      </c>
      <c r="E82" s="9" t="n">
        <v>55627273</v>
      </c>
      <c r="F82" s="9" t="n">
        <v>2820</v>
      </c>
      <c r="G82" s="9" t="n">
        <v>150139620</v>
      </c>
      <c r="H82" s="9" t="n">
        <v>3326</v>
      </c>
      <c r="I82" s="9" t="n">
        <v>177071330</v>
      </c>
      <c r="J82" s="9" t="n">
        <v>539</v>
      </c>
      <c r="K82" s="9" t="n">
        <v>28695563</v>
      </c>
      <c r="L82" s="197" t="n">
        <f aca="false">K82/J82</f>
        <v>53238.5213358071</v>
      </c>
    </row>
    <row r="83" customFormat="false" ht="12.75" hidden="false" customHeight="false" outlineLevel="0" collapsed="false">
      <c r="A83" s="7" t="s">
        <v>91</v>
      </c>
      <c r="B83" s="7" t="n">
        <v>12</v>
      </c>
      <c r="C83" s="7"/>
      <c r="D83" s="9" t="n">
        <v>6789</v>
      </c>
      <c r="E83" s="9" t="n">
        <v>63245985</v>
      </c>
      <c r="F83" s="9" t="n">
        <v>4920</v>
      </c>
      <c r="G83" s="9" t="n">
        <v>44332320</v>
      </c>
      <c r="H83" s="9" t="n">
        <v>5862</v>
      </c>
      <c r="I83" s="9" t="n">
        <v>53858060</v>
      </c>
      <c r="J83" s="9" t="n">
        <v>5847</v>
      </c>
      <c r="K83" s="9" t="n">
        <v>53720245</v>
      </c>
      <c r="L83" s="197" t="n">
        <f aca="false">K83/J83</f>
        <v>9187.65948349581</v>
      </c>
    </row>
    <row r="84" customFormat="false" ht="12.75" hidden="false" customHeight="false" outlineLevel="0" collapsed="false">
      <c r="A84" s="7" t="s">
        <v>92</v>
      </c>
      <c r="B84" s="7" t="n">
        <v>12</v>
      </c>
      <c r="C84" s="7"/>
      <c r="D84" s="9" t="n">
        <v>50800</v>
      </c>
      <c r="E84" s="9" t="n">
        <v>24895116</v>
      </c>
      <c r="F84" s="9" t="n">
        <v>23200</v>
      </c>
      <c r="G84" s="9" t="n">
        <v>11391200</v>
      </c>
      <c r="H84" s="9" t="n">
        <v>36000</v>
      </c>
      <c r="I84" s="9" t="n">
        <v>17652802</v>
      </c>
      <c r="J84" s="9" t="n">
        <v>38000</v>
      </c>
      <c r="K84" s="9" t="n">
        <v>18633514</v>
      </c>
      <c r="L84" s="197" t="n">
        <f aca="false">K84/J84</f>
        <v>490.355631578947</v>
      </c>
    </row>
    <row r="85" customFormat="false" ht="12.75" hidden="false" customHeight="false" outlineLevel="0" collapsed="false">
      <c r="A85" s="7" t="s">
        <v>93</v>
      </c>
      <c r="B85" s="7" t="n">
        <v>12</v>
      </c>
      <c r="C85" s="7"/>
      <c r="D85" s="9" t="n">
        <v>444</v>
      </c>
      <c r="E85" s="9" t="n">
        <v>23449263</v>
      </c>
      <c r="F85" s="9" t="n">
        <v>96</v>
      </c>
      <c r="G85" s="9" t="n">
        <v>5111136</v>
      </c>
      <c r="H85" s="9" t="n">
        <v>504</v>
      </c>
      <c r="I85" s="9" t="n">
        <v>26656372</v>
      </c>
      <c r="J85" s="9" t="n">
        <v>36</v>
      </c>
      <c r="K85" s="9" t="n">
        <v>1904027</v>
      </c>
      <c r="L85" s="197" t="n">
        <f aca="false">K85/J85</f>
        <v>52889.6388888889</v>
      </c>
    </row>
    <row r="86" customFormat="false" ht="12.75" hidden="false" customHeight="false" outlineLevel="0" collapsed="false">
      <c r="A86" s="7" t="s">
        <v>94</v>
      </c>
      <c r="B86" s="7" t="n">
        <v>12</v>
      </c>
      <c r="C86" s="7"/>
      <c r="D86" s="9" t="n">
        <v>408</v>
      </c>
      <c r="E86" s="9" t="n">
        <v>3857098</v>
      </c>
      <c r="F86" s="9" t="n">
        <v>0</v>
      </c>
      <c r="G86" s="9" t="n">
        <v>0</v>
      </c>
      <c r="H86" s="9" t="n">
        <v>240</v>
      </c>
      <c r="I86" s="9" t="n">
        <v>2268881</v>
      </c>
      <c r="J86" s="9" t="n">
        <v>168</v>
      </c>
      <c r="K86" s="9" t="n">
        <v>1588217</v>
      </c>
      <c r="L86" s="197" t="n">
        <f aca="false">K86/J86</f>
        <v>9453.67261904762</v>
      </c>
    </row>
    <row r="87" customFormat="false" ht="12.75" hidden="false" customHeight="false" outlineLevel="0" collapsed="false">
      <c r="A87" s="7" t="s">
        <v>95</v>
      </c>
      <c r="B87" s="7" t="n">
        <v>12</v>
      </c>
      <c r="C87" s="7"/>
      <c r="D87" s="9" t="n">
        <v>900</v>
      </c>
      <c r="E87" s="9" t="n">
        <v>7404657</v>
      </c>
      <c r="F87" s="9" t="n">
        <v>468</v>
      </c>
      <c r="G87" s="9" t="n">
        <v>3899844</v>
      </c>
      <c r="H87" s="9" t="n">
        <v>1290</v>
      </c>
      <c r="I87" s="9" t="n">
        <v>10659946</v>
      </c>
      <c r="J87" s="9" t="n">
        <v>78</v>
      </c>
      <c r="K87" s="9" t="n">
        <v>644555</v>
      </c>
      <c r="L87" s="197" t="n">
        <f aca="false">K87/J87</f>
        <v>8263.52564102564</v>
      </c>
    </row>
    <row r="88" customFormat="false" ht="12.75" hidden="false" customHeight="false" outlineLevel="0" collapsed="false">
      <c r="A88" s="7" t="s">
        <v>96</v>
      </c>
      <c r="B88" s="7" t="n">
        <v>12</v>
      </c>
      <c r="C88" s="7"/>
      <c r="D88" s="9" t="n">
        <v>225</v>
      </c>
      <c r="E88" s="9" t="n">
        <v>25942946</v>
      </c>
      <c r="F88" s="9" t="n">
        <v>147</v>
      </c>
      <c r="G88" s="9" t="n">
        <v>17081988</v>
      </c>
      <c r="H88" s="9" t="n">
        <v>32</v>
      </c>
      <c r="I88" s="9" t="n">
        <v>3701070</v>
      </c>
      <c r="J88" s="9" t="n">
        <v>340</v>
      </c>
      <c r="K88" s="9" t="n">
        <v>39323864</v>
      </c>
      <c r="L88" s="197" t="n">
        <f aca="false">K88/J88</f>
        <v>115658.423529412</v>
      </c>
    </row>
    <row r="89" customFormat="false" ht="12.75" hidden="false" customHeight="false" outlineLevel="0" collapsed="false">
      <c r="A89" s="7" t="s">
        <v>97</v>
      </c>
      <c r="B89" s="7" t="n">
        <v>12</v>
      </c>
      <c r="C89" s="7"/>
      <c r="D89" s="9" t="n">
        <v>57200</v>
      </c>
      <c r="E89" s="9" t="n">
        <v>28035599</v>
      </c>
      <c r="F89" s="9" t="n">
        <v>24800</v>
      </c>
      <c r="G89" s="9" t="n">
        <v>12176800</v>
      </c>
      <c r="H89" s="9" t="n">
        <v>39200</v>
      </c>
      <c r="I89" s="9" t="n">
        <v>19223488</v>
      </c>
      <c r="J89" s="9" t="n">
        <v>42800</v>
      </c>
      <c r="K89" s="9" t="n">
        <v>20988911</v>
      </c>
      <c r="L89" s="197" t="n">
        <f aca="false">K89/J89</f>
        <v>490.39511682243</v>
      </c>
    </row>
    <row r="90" customFormat="false" ht="12.75" hidden="false" customHeight="false" outlineLevel="0" collapsed="false">
      <c r="A90" s="7" t="s">
        <v>98</v>
      </c>
      <c r="B90" s="7" t="n">
        <v>12</v>
      </c>
      <c r="C90" s="7"/>
      <c r="D90" s="9" t="n">
        <v>1920</v>
      </c>
      <c r="E90" s="9" t="n">
        <v>19627720</v>
      </c>
      <c r="F90" s="9" t="n">
        <v>192</v>
      </c>
      <c r="G90" s="9" t="n">
        <v>2026752</v>
      </c>
      <c r="H90" s="9" t="n">
        <v>1374</v>
      </c>
      <c r="I90" s="9" t="n">
        <v>14087710</v>
      </c>
      <c r="J90" s="9" t="n">
        <v>738</v>
      </c>
      <c r="K90" s="9" t="n">
        <v>7566762</v>
      </c>
      <c r="L90" s="197" t="n">
        <f aca="false">K90/J90</f>
        <v>10253.0650406504</v>
      </c>
    </row>
    <row r="91" customFormat="false" ht="12.75" hidden="false" customHeight="false" outlineLevel="0" collapsed="false">
      <c r="A91" s="7" t="s">
        <v>99</v>
      </c>
      <c r="B91" s="7" t="n">
        <v>12</v>
      </c>
      <c r="C91" s="7"/>
      <c r="D91" s="9" t="n">
        <v>96</v>
      </c>
      <c r="E91" s="9" t="n">
        <v>595584</v>
      </c>
      <c r="F91" s="9" t="n">
        <v>96</v>
      </c>
      <c r="G91" s="9" t="n">
        <v>595584</v>
      </c>
      <c r="H91" s="9" t="n">
        <v>20</v>
      </c>
      <c r="I91" s="9" t="n">
        <v>124080</v>
      </c>
      <c r="J91" s="9" t="n">
        <v>172</v>
      </c>
      <c r="K91" s="9" t="n">
        <v>1067088</v>
      </c>
      <c r="L91" s="197" t="n">
        <f aca="false">K91/J91</f>
        <v>6204</v>
      </c>
    </row>
    <row r="92" customFormat="false" ht="12.75" hidden="false" customHeight="false" outlineLevel="0" collapsed="false">
      <c r="A92" s="7" t="s">
        <v>100</v>
      </c>
      <c r="B92" s="7" t="n">
        <v>12</v>
      </c>
      <c r="C92" s="7"/>
      <c r="D92" s="9" t="n">
        <v>2105</v>
      </c>
      <c r="E92" s="9" t="n">
        <v>108155379</v>
      </c>
      <c r="F92" s="9" t="n">
        <v>3340</v>
      </c>
      <c r="G92" s="9" t="n">
        <v>162917460</v>
      </c>
      <c r="H92" s="9" t="n">
        <v>3522</v>
      </c>
      <c r="I92" s="9" t="n">
        <v>175338575</v>
      </c>
      <c r="J92" s="9" t="n">
        <v>1923</v>
      </c>
      <c r="K92" s="9" t="n">
        <v>95734264</v>
      </c>
      <c r="L92" s="197" t="n">
        <f aca="false">K92/J92</f>
        <v>49783.8086323453</v>
      </c>
    </row>
    <row r="93" customFormat="false" ht="12.75" hidden="false" customHeight="false" outlineLevel="0" collapsed="false">
      <c r="A93" s="7" t="s">
        <v>101</v>
      </c>
      <c r="B93" s="7" t="n">
        <v>12</v>
      </c>
      <c r="C93" s="7"/>
      <c r="D93" s="9" t="n">
        <v>21454</v>
      </c>
      <c r="E93" s="9" t="n">
        <v>153225770</v>
      </c>
      <c r="F93" s="9" t="n">
        <v>9132</v>
      </c>
      <c r="G93" s="9" t="n">
        <v>39665760</v>
      </c>
      <c r="H93" s="9" t="n">
        <v>4014</v>
      </c>
      <c r="I93" s="9" t="n">
        <v>25314412</v>
      </c>
      <c r="J93" s="9" t="n">
        <v>26572</v>
      </c>
      <c r="K93" s="9" t="n">
        <v>167577118</v>
      </c>
      <c r="L93" s="197" t="n">
        <f aca="false">K93/J93</f>
        <v>6306.53010687942</v>
      </c>
    </row>
    <row r="94" customFormat="false" ht="12.75" hidden="false" customHeight="false" outlineLevel="0" collapsed="false">
      <c r="A94" s="7" t="s">
        <v>102</v>
      </c>
      <c r="B94" s="7" t="n">
        <v>12</v>
      </c>
      <c r="C94" s="7"/>
      <c r="D94" s="9" t="n">
        <v>540</v>
      </c>
      <c r="E94" s="9" t="n">
        <v>13238841</v>
      </c>
      <c r="F94" s="9" t="n">
        <v>588</v>
      </c>
      <c r="G94" s="9" t="n">
        <v>14427756</v>
      </c>
      <c r="H94" s="9" t="n">
        <v>639</v>
      </c>
      <c r="I94" s="9" t="n">
        <v>15672834</v>
      </c>
      <c r="J94" s="9" t="n">
        <v>489</v>
      </c>
      <c r="K94" s="9" t="n">
        <v>11993763</v>
      </c>
      <c r="L94" s="197" t="n">
        <f aca="false">K94/J94</f>
        <v>24527.1226993865</v>
      </c>
    </row>
    <row r="95" customFormat="false" ht="12.75" hidden="false" customHeight="false" outlineLevel="0" collapsed="false">
      <c r="A95" s="7" t="s">
        <v>103</v>
      </c>
      <c r="B95" s="7" t="n">
        <v>12</v>
      </c>
      <c r="C95" s="7"/>
      <c r="D95" s="9" t="n">
        <v>2454</v>
      </c>
      <c r="E95" s="9" t="n">
        <v>27075398</v>
      </c>
      <c r="F95" s="9" t="n">
        <v>342</v>
      </c>
      <c r="G95" s="9" t="n">
        <v>1333344</v>
      </c>
      <c r="H95" s="9" t="n">
        <v>1560</v>
      </c>
      <c r="I95" s="9" t="n">
        <v>15850371</v>
      </c>
      <c r="J95" s="9" t="n">
        <v>1236</v>
      </c>
      <c r="K95" s="9" t="n">
        <v>12558371</v>
      </c>
      <c r="L95" s="197" t="n">
        <f aca="false">K95/J95</f>
        <v>10160.4943365696</v>
      </c>
    </row>
    <row r="96" customFormat="false" ht="12.75" hidden="false" customHeight="false" outlineLevel="0" collapsed="false">
      <c r="A96" s="7" t="s">
        <v>104</v>
      </c>
      <c r="B96" s="7" t="n">
        <v>12</v>
      </c>
      <c r="C96" s="7"/>
      <c r="D96" s="9" t="n">
        <v>192</v>
      </c>
      <c r="E96" s="9" t="n">
        <v>3657528</v>
      </c>
      <c r="F96" s="9" t="n">
        <v>96</v>
      </c>
      <c r="G96" s="9" t="n">
        <v>1866624</v>
      </c>
      <c r="H96" s="9" t="n">
        <v>3</v>
      </c>
      <c r="I96" s="9" t="n">
        <v>57543</v>
      </c>
      <c r="J96" s="9" t="n">
        <v>285</v>
      </c>
      <c r="K96" s="9" t="n">
        <v>5466609</v>
      </c>
      <c r="L96" s="197" t="n">
        <f aca="false">K96/J96</f>
        <v>19181.0842105263</v>
      </c>
    </row>
    <row r="97" customFormat="false" ht="12.75" hidden="false" customHeight="false" outlineLevel="0" collapsed="false">
      <c r="A97" s="7" t="s">
        <v>105</v>
      </c>
      <c r="B97" s="7" t="n">
        <v>12</v>
      </c>
      <c r="C97" s="7"/>
      <c r="D97" s="9" t="n">
        <v>258</v>
      </c>
      <c r="E97" s="9" t="n">
        <v>13370216</v>
      </c>
      <c r="F97" s="9" t="n">
        <v>174</v>
      </c>
      <c r="G97" s="9" t="n">
        <v>9263934</v>
      </c>
      <c r="H97" s="9" t="n">
        <v>402</v>
      </c>
      <c r="I97" s="9" t="n">
        <v>21062334</v>
      </c>
      <c r="J97" s="9" t="n">
        <v>30</v>
      </c>
      <c r="K97" s="9" t="n">
        <v>1571816</v>
      </c>
      <c r="L97" s="197" t="n">
        <f aca="false">K97/J97</f>
        <v>52393.8666666667</v>
      </c>
    </row>
    <row r="98" customFormat="false" ht="12.75" hidden="false" customHeight="false" outlineLevel="0" collapsed="false">
      <c r="A98" s="7" t="s">
        <v>106</v>
      </c>
      <c r="B98" s="7" t="n">
        <v>12</v>
      </c>
      <c r="C98" s="7"/>
      <c r="D98" s="9" t="n">
        <v>1512</v>
      </c>
      <c r="E98" s="9" t="n">
        <v>14292784</v>
      </c>
      <c r="F98" s="9" t="n">
        <v>192</v>
      </c>
      <c r="G98" s="9" t="n">
        <v>1866624</v>
      </c>
      <c r="H98" s="9" t="n">
        <v>955</v>
      </c>
      <c r="I98" s="9" t="n">
        <v>9056476</v>
      </c>
      <c r="J98" s="9" t="n">
        <v>749</v>
      </c>
      <c r="K98" s="9" t="n">
        <v>7102932</v>
      </c>
      <c r="L98" s="197" t="n">
        <f aca="false">K98/J98</f>
        <v>9483.22029372497</v>
      </c>
    </row>
    <row r="99" customFormat="false" ht="12.75" hidden="false" customHeight="false" outlineLevel="0" collapsed="false">
      <c r="A99" s="7" t="s">
        <v>107</v>
      </c>
      <c r="B99" s="7" t="n">
        <v>12</v>
      </c>
      <c r="C99" s="7"/>
      <c r="D99" s="9" t="n">
        <v>1190</v>
      </c>
      <c r="E99" s="9" t="n">
        <v>4560276</v>
      </c>
      <c r="F99" s="9" t="n">
        <v>180</v>
      </c>
      <c r="G99" s="9" t="n">
        <v>0</v>
      </c>
      <c r="H99" s="9" t="n">
        <v>0</v>
      </c>
      <c r="I99" s="9" t="n">
        <v>0</v>
      </c>
      <c r="J99" s="9" t="n">
        <v>1370</v>
      </c>
      <c r="K99" s="9" t="n">
        <v>4560276</v>
      </c>
      <c r="L99" s="197" t="n">
        <f aca="false">K99/J99</f>
        <v>3328.66861313869</v>
      </c>
    </row>
    <row r="100" customFormat="false" ht="12.75" hidden="false" customHeight="false" outlineLevel="0" collapsed="false">
      <c r="A100" s="7" t="s">
        <v>108</v>
      </c>
      <c r="B100" s="7" t="n">
        <v>12</v>
      </c>
      <c r="C100" s="7"/>
      <c r="D100" s="9" t="n">
        <v>46476</v>
      </c>
      <c r="E100" s="9" t="n">
        <v>335124139</v>
      </c>
      <c r="F100" s="9" t="n">
        <v>6120</v>
      </c>
      <c r="G100" s="9" t="n">
        <v>45330840</v>
      </c>
      <c r="H100" s="9" t="n">
        <v>38108</v>
      </c>
      <c r="I100" s="9" t="n">
        <v>287712936</v>
      </c>
      <c r="J100" s="9" t="n">
        <v>14488</v>
      </c>
      <c r="K100" s="9" t="n">
        <v>92742043</v>
      </c>
      <c r="L100" s="197" t="n">
        <f aca="false">K100/J100</f>
        <v>6401.3005935947</v>
      </c>
    </row>
    <row r="101" s="202" customFormat="true" ht="12.75" hidden="false" customHeight="false" outlineLevel="0" collapsed="false">
      <c r="A101" s="199" t="s">
        <v>109</v>
      </c>
      <c r="B101" s="199" t="n">
        <v>12</v>
      </c>
      <c r="C101" s="199"/>
      <c r="D101" s="200"/>
      <c r="E101" s="200"/>
      <c r="F101" s="200"/>
      <c r="G101" s="200"/>
      <c r="H101" s="200"/>
      <c r="I101" s="200"/>
      <c r="J101" s="200"/>
      <c r="K101" s="200"/>
      <c r="L101" s="197"/>
      <c r="M101" s="201"/>
      <c r="N101" s="202" t="e">
        <f aca="false">E101/D101</f>
        <v>#DIV/0!</v>
      </c>
    </row>
    <row r="102" customFormat="false" ht="12.75" hidden="false" customHeight="false" outlineLevel="0" collapsed="false">
      <c r="A102" s="7" t="s">
        <v>110</v>
      </c>
      <c r="B102" s="7" t="n">
        <v>12</v>
      </c>
      <c r="C102" s="7"/>
      <c r="D102" s="9" t="n">
        <v>864</v>
      </c>
      <c r="E102" s="9" t="n">
        <v>15351650</v>
      </c>
      <c r="F102" s="9" t="n">
        <v>684</v>
      </c>
      <c r="G102" s="9" t="n">
        <v>12350304</v>
      </c>
      <c r="H102" s="9" t="n">
        <v>1128</v>
      </c>
      <c r="I102" s="9" t="n">
        <v>20185920</v>
      </c>
      <c r="J102" s="9" t="n">
        <v>420</v>
      </c>
      <c r="K102" s="9" t="n">
        <v>7516034</v>
      </c>
      <c r="L102" s="197" t="n">
        <f aca="false">K102/J102</f>
        <v>17895.319047619</v>
      </c>
    </row>
    <row r="103" customFormat="false" ht="12.75" hidden="false" customHeight="false" outlineLevel="0" collapsed="false">
      <c r="A103" s="7" t="s">
        <v>111</v>
      </c>
      <c r="B103" s="7" t="n">
        <v>12</v>
      </c>
      <c r="C103" s="7"/>
      <c r="D103" s="9" t="n">
        <v>7094</v>
      </c>
      <c r="E103" s="9" t="n">
        <v>57800393</v>
      </c>
      <c r="F103" s="9" t="n">
        <v>7800</v>
      </c>
      <c r="G103" s="9" t="n">
        <v>63554400</v>
      </c>
      <c r="H103" s="9" t="n">
        <v>13434</v>
      </c>
      <c r="I103" s="9" t="n">
        <v>109458862</v>
      </c>
      <c r="J103" s="9" t="n">
        <v>1460</v>
      </c>
      <c r="K103" s="9" t="n">
        <v>11895931</v>
      </c>
      <c r="L103" s="197" t="n">
        <f aca="false">K103/J103</f>
        <v>8147.89794520548</v>
      </c>
    </row>
    <row r="104" customFormat="false" ht="12.75" hidden="false" customHeight="false" outlineLevel="0" collapsed="false">
      <c r="A104" s="7" t="s">
        <v>112</v>
      </c>
      <c r="B104" s="7" t="n">
        <v>12</v>
      </c>
      <c r="C104" s="7"/>
      <c r="D104" s="9" t="n">
        <v>2500</v>
      </c>
      <c r="E104" s="9" t="n">
        <v>20355350</v>
      </c>
      <c r="F104" s="9" t="n">
        <v>1320</v>
      </c>
      <c r="G104" s="9" t="n">
        <v>10755360</v>
      </c>
      <c r="H104" s="9" t="n">
        <v>2950</v>
      </c>
      <c r="I104" s="9" t="n">
        <v>24025287</v>
      </c>
      <c r="J104" s="9" t="n">
        <v>870</v>
      </c>
      <c r="K104" s="9" t="n">
        <v>7085423</v>
      </c>
      <c r="L104" s="197" t="n">
        <f aca="false">K104/J104</f>
        <v>8144.16436781609</v>
      </c>
    </row>
    <row r="105" customFormat="false" ht="12.75" hidden="false" customHeight="false" outlineLevel="0" collapsed="false">
      <c r="A105" s="7" t="s">
        <v>113</v>
      </c>
      <c r="B105" s="7" t="n">
        <v>12</v>
      </c>
      <c r="C105" s="7"/>
      <c r="D105" s="9" t="n">
        <v>240</v>
      </c>
      <c r="E105" s="9" t="n">
        <v>3935440</v>
      </c>
      <c r="F105" s="9" t="n">
        <v>72</v>
      </c>
      <c r="G105" s="9" t="n">
        <v>1200024</v>
      </c>
      <c r="H105" s="9" t="n">
        <v>0</v>
      </c>
      <c r="I105" s="9" t="n">
        <v>0</v>
      </c>
      <c r="J105" s="9" t="n">
        <v>312</v>
      </c>
      <c r="K105" s="9" t="n">
        <v>5135464</v>
      </c>
      <c r="L105" s="197" t="n">
        <f aca="false">K105/J105</f>
        <v>16459.8205128205</v>
      </c>
    </row>
    <row r="106" customFormat="false" ht="12.75" hidden="false" customHeight="false" outlineLevel="0" collapsed="false">
      <c r="A106" s="7" t="s">
        <v>114</v>
      </c>
      <c r="B106" s="7" t="n">
        <v>12</v>
      </c>
      <c r="C106" s="7"/>
      <c r="D106" s="9" t="n">
        <v>192</v>
      </c>
      <c r="E106" s="9" t="n">
        <v>3650221</v>
      </c>
      <c r="F106" s="9" t="n">
        <v>72</v>
      </c>
      <c r="G106" s="9" t="n">
        <v>1399968</v>
      </c>
      <c r="H106" s="9" t="n">
        <v>3</v>
      </c>
      <c r="I106" s="9" t="n">
        <v>57389</v>
      </c>
      <c r="J106" s="9" t="n">
        <v>261</v>
      </c>
      <c r="K106" s="9" t="n">
        <v>4992800</v>
      </c>
      <c r="L106" s="197" t="n">
        <f aca="false">K106/J106</f>
        <v>19129.5019157088</v>
      </c>
    </row>
    <row r="107" customFormat="false" ht="12.75" hidden="false" customHeight="false" outlineLevel="0" collapsed="false">
      <c r="A107" s="7" t="s">
        <v>115</v>
      </c>
      <c r="B107" s="7" t="n">
        <v>12</v>
      </c>
      <c r="C107" s="7"/>
      <c r="D107" s="9" t="n">
        <v>4325</v>
      </c>
      <c r="E107" s="9" t="n">
        <v>27997920</v>
      </c>
      <c r="F107" s="9" t="n">
        <v>2412</v>
      </c>
      <c r="G107" s="9" t="n">
        <v>15554400</v>
      </c>
      <c r="H107" s="9" t="n">
        <v>4790</v>
      </c>
      <c r="I107" s="9" t="n">
        <v>30965654</v>
      </c>
      <c r="J107" s="9" t="n">
        <v>1947</v>
      </c>
      <c r="K107" s="9" t="n">
        <v>12586666</v>
      </c>
      <c r="L107" s="197" t="n">
        <f aca="false">K107/J107</f>
        <v>6464.64612223934</v>
      </c>
    </row>
    <row r="108" customFormat="false" ht="12.75" hidden="false" customHeight="false" outlineLevel="0" collapsed="false">
      <c r="A108" s="7" t="s">
        <v>116</v>
      </c>
      <c r="B108" s="7" t="n">
        <v>12</v>
      </c>
      <c r="C108" s="7"/>
      <c r="D108" s="9" t="n">
        <v>4565</v>
      </c>
      <c r="E108" s="9" t="n">
        <v>92887200</v>
      </c>
      <c r="F108" s="9" t="n">
        <v>0</v>
      </c>
      <c r="G108" s="9" t="n">
        <v>0</v>
      </c>
      <c r="H108" s="9" t="n">
        <v>2596</v>
      </c>
      <c r="I108" s="9" t="n">
        <v>52822600</v>
      </c>
      <c r="J108" s="9" t="n">
        <v>1969</v>
      </c>
      <c r="K108" s="9" t="n">
        <v>40064600</v>
      </c>
      <c r="L108" s="197" t="n">
        <f aca="false">K108/J108</f>
        <v>20347.6891823261</v>
      </c>
    </row>
    <row r="109" customFormat="false" ht="12.75" hidden="false" customHeight="false" outlineLevel="0" collapsed="false">
      <c r="A109" s="7" t="s">
        <v>117</v>
      </c>
      <c r="B109" s="7" t="n">
        <v>12</v>
      </c>
      <c r="C109" s="7"/>
      <c r="D109" s="9" t="n">
        <v>336</v>
      </c>
      <c r="E109" s="9" t="n">
        <v>5841722</v>
      </c>
      <c r="F109" s="9" t="n">
        <v>312</v>
      </c>
      <c r="G109" s="9" t="n">
        <v>5489016</v>
      </c>
      <c r="H109" s="9" t="n">
        <v>178</v>
      </c>
      <c r="I109" s="9" t="n">
        <v>3112456</v>
      </c>
      <c r="J109" s="9" t="n">
        <v>470</v>
      </c>
      <c r="K109" s="9" t="n">
        <v>8218282</v>
      </c>
      <c r="L109" s="197" t="n">
        <f aca="false">K109/J109</f>
        <v>17485.7063829787</v>
      </c>
    </row>
    <row r="110" customFormat="false" ht="12.75" hidden="false" customHeight="false" outlineLevel="0" collapsed="false">
      <c r="A110" s="7" t="s">
        <v>118</v>
      </c>
      <c r="B110" s="7" t="n">
        <v>12</v>
      </c>
      <c r="C110" s="7"/>
      <c r="D110" s="9" t="n">
        <v>612</v>
      </c>
      <c r="E110" s="9" t="n">
        <v>25119032</v>
      </c>
      <c r="F110" s="9" t="n">
        <v>84</v>
      </c>
      <c r="G110" s="9" t="n">
        <v>3500028</v>
      </c>
      <c r="H110" s="9" t="n">
        <v>408</v>
      </c>
      <c r="I110" s="9" t="n">
        <v>16776690</v>
      </c>
      <c r="J110" s="9" t="n">
        <v>288</v>
      </c>
      <c r="K110" s="9" t="n">
        <v>11842370</v>
      </c>
      <c r="L110" s="197" t="n">
        <f aca="false">K110/J110</f>
        <v>41119.3402777778</v>
      </c>
    </row>
    <row r="111" customFormat="false" ht="12.75" hidden="false" customHeight="false" outlineLevel="0" collapsed="false">
      <c r="A111" s="7" t="s">
        <v>119</v>
      </c>
      <c r="B111" s="7" t="n">
        <v>12</v>
      </c>
      <c r="C111" s="7"/>
      <c r="D111" s="9" t="n">
        <v>320</v>
      </c>
      <c r="E111" s="9" t="n">
        <v>7371274</v>
      </c>
      <c r="F111" s="9" t="n">
        <v>160</v>
      </c>
      <c r="G111" s="9" t="n">
        <v>3703680</v>
      </c>
      <c r="H111" s="9" t="n">
        <v>220</v>
      </c>
      <c r="I111" s="9" t="n">
        <v>5076021</v>
      </c>
      <c r="J111" s="9" t="n">
        <v>260</v>
      </c>
      <c r="K111" s="9" t="n">
        <v>5998933</v>
      </c>
      <c r="L111" s="197" t="n">
        <f aca="false">K111/J111</f>
        <v>23072.8192307692</v>
      </c>
    </row>
    <row r="112" customFormat="false" ht="12.75" hidden="false" customHeight="false" outlineLevel="0" collapsed="false">
      <c r="A112" s="7" t="s">
        <v>120</v>
      </c>
      <c r="B112" s="7" t="n">
        <v>12</v>
      </c>
      <c r="C112" s="7"/>
      <c r="D112" s="9" t="n">
        <v>120</v>
      </c>
      <c r="E112" s="9" t="n">
        <v>2654520</v>
      </c>
      <c r="F112" s="9" t="n">
        <v>80</v>
      </c>
      <c r="G112" s="9" t="n">
        <v>1777760</v>
      </c>
      <c r="H112" s="9" t="n">
        <v>120</v>
      </c>
      <c r="I112" s="9" t="n">
        <v>2659368</v>
      </c>
      <c r="J112" s="9" t="n">
        <v>80</v>
      </c>
      <c r="K112" s="9" t="n">
        <v>1772912</v>
      </c>
      <c r="L112" s="197" t="n">
        <f aca="false">K112/J112</f>
        <v>22161.4</v>
      </c>
    </row>
    <row r="113" customFormat="false" ht="12.75" hidden="false" customHeight="false" outlineLevel="0" collapsed="false">
      <c r="A113" s="7" t="s">
        <v>121</v>
      </c>
      <c r="B113" s="7" t="n">
        <v>12</v>
      </c>
      <c r="C113" s="7"/>
      <c r="D113" s="9" t="n">
        <v>2652</v>
      </c>
      <c r="E113" s="9" t="n">
        <v>31770271</v>
      </c>
      <c r="F113" s="9" t="n">
        <v>3648</v>
      </c>
      <c r="G113" s="9" t="n">
        <v>43333200</v>
      </c>
      <c r="H113" s="9" t="n">
        <v>3366</v>
      </c>
      <c r="I113" s="9" t="n">
        <v>40126712</v>
      </c>
      <c r="J113" s="9" t="n">
        <v>2934</v>
      </c>
      <c r="K113" s="9" t="n">
        <v>34976759</v>
      </c>
      <c r="L113" s="197" t="n">
        <f aca="false">K113/J113</f>
        <v>11921.1857532379</v>
      </c>
    </row>
    <row r="114" customFormat="false" ht="12.75" hidden="false" customHeight="false" outlineLevel="0" collapsed="false">
      <c r="A114" s="7" t="s">
        <v>122</v>
      </c>
      <c r="B114" s="7" t="n">
        <v>12</v>
      </c>
      <c r="C114" s="7"/>
      <c r="D114" s="9" t="n">
        <v>4685</v>
      </c>
      <c r="E114" s="9" t="n">
        <v>40734720</v>
      </c>
      <c r="F114" s="9" t="n">
        <v>2400</v>
      </c>
      <c r="G114" s="9" t="n">
        <v>20889600</v>
      </c>
      <c r="H114" s="9" t="n">
        <v>6922</v>
      </c>
      <c r="I114" s="9" t="n">
        <v>60206569</v>
      </c>
      <c r="J114" s="9" t="n">
        <v>163</v>
      </c>
      <c r="K114" s="9" t="n">
        <v>1417751</v>
      </c>
      <c r="L114" s="197" t="n">
        <f aca="false">K114/J114</f>
        <v>8697.85889570552</v>
      </c>
    </row>
    <row r="115" customFormat="false" ht="12.75" hidden="false" customHeight="false" outlineLevel="0" collapsed="false">
      <c r="A115" s="7" t="s">
        <v>123</v>
      </c>
      <c r="B115" s="7" t="n">
        <v>12</v>
      </c>
      <c r="C115" s="7"/>
      <c r="D115" s="9" t="n">
        <v>216</v>
      </c>
      <c r="E115" s="9" t="n">
        <v>3755160</v>
      </c>
      <c r="F115" s="9" t="n">
        <v>36</v>
      </c>
      <c r="G115" s="9" t="n">
        <v>666684</v>
      </c>
      <c r="H115" s="9" t="n">
        <v>120</v>
      </c>
      <c r="I115" s="9" t="n">
        <v>2105640</v>
      </c>
      <c r="J115" s="9" t="n">
        <v>132</v>
      </c>
      <c r="K115" s="9" t="n">
        <v>2316204</v>
      </c>
      <c r="L115" s="197" t="n">
        <f aca="false">K115/J115</f>
        <v>17547</v>
      </c>
    </row>
    <row r="116" customFormat="false" ht="12.75" hidden="false" customHeight="false" outlineLevel="0" collapsed="false">
      <c r="A116" s="7" t="s">
        <v>124</v>
      </c>
      <c r="B116" s="7" t="n">
        <v>12</v>
      </c>
      <c r="C116" s="7"/>
      <c r="D116" s="9" t="n">
        <v>72</v>
      </c>
      <c r="E116" s="9" t="n">
        <v>1333368</v>
      </c>
      <c r="F116" s="9" t="n">
        <v>36</v>
      </c>
      <c r="G116" s="9" t="n">
        <v>666684</v>
      </c>
      <c r="H116" s="9" t="n">
        <v>100</v>
      </c>
      <c r="I116" s="9" t="n">
        <v>1851900</v>
      </c>
      <c r="J116" s="9" t="n">
        <v>8</v>
      </c>
      <c r="K116" s="9" t="n">
        <v>148152</v>
      </c>
      <c r="L116" s="197" t="n">
        <f aca="false">K116/J116</f>
        <v>18519</v>
      </c>
    </row>
    <row r="117" customFormat="false" ht="12.75" hidden="false" customHeight="false" outlineLevel="0" collapsed="false">
      <c r="A117" s="7" t="s">
        <v>125</v>
      </c>
      <c r="B117" s="7" t="n">
        <v>12</v>
      </c>
      <c r="C117" s="7"/>
      <c r="D117" s="9" t="n">
        <v>944</v>
      </c>
      <c r="E117" s="9" t="n">
        <v>42152428</v>
      </c>
      <c r="F117" s="9" t="n">
        <v>840</v>
      </c>
      <c r="G117" s="9" t="n">
        <v>37721880</v>
      </c>
      <c r="H117" s="9" t="n">
        <v>1140</v>
      </c>
      <c r="I117" s="9" t="n">
        <v>51040757</v>
      </c>
      <c r="J117" s="9" t="n">
        <v>644</v>
      </c>
      <c r="K117" s="9" t="n">
        <v>28833551</v>
      </c>
      <c r="L117" s="197" t="n">
        <f aca="false">K117/J117</f>
        <v>44772.5947204969</v>
      </c>
    </row>
    <row r="118" customFormat="false" ht="12.75" hidden="false" customHeight="false" outlineLevel="0" collapsed="false">
      <c r="A118" s="7" t="s">
        <v>126</v>
      </c>
      <c r="B118" s="7" t="n">
        <v>12</v>
      </c>
      <c r="C118" s="7"/>
      <c r="D118" s="9" t="n">
        <v>33073</v>
      </c>
      <c r="E118" s="9" t="n">
        <v>182697004</v>
      </c>
      <c r="F118" s="9" t="n">
        <v>44511</v>
      </c>
      <c r="G118" s="9" t="n">
        <v>248485800</v>
      </c>
      <c r="H118" s="9" t="n">
        <v>43510</v>
      </c>
      <c r="I118" s="9" t="n">
        <v>258882160</v>
      </c>
      <c r="J118" s="9" t="n">
        <v>34074</v>
      </c>
      <c r="K118" s="9" t="n">
        <v>172300644</v>
      </c>
      <c r="L118" s="197" t="n">
        <f aca="false">K118/J118</f>
        <v>5056.66032752245</v>
      </c>
    </row>
    <row r="119" customFormat="false" ht="12.75" hidden="false" customHeight="false" outlineLevel="0" collapsed="false">
      <c r="A119" s="7" t="s">
        <v>127</v>
      </c>
      <c r="B119" s="7" t="n">
        <v>12</v>
      </c>
      <c r="C119" s="7"/>
      <c r="D119" s="9" t="n">
        <v>6123</v>
      </c>
      <c r="E119" s="9" t="n">
        <v>34229824</v>
      </c>
      <c r="F119" s="9" t="n">
        <v>2760</v>
      </c>
      <c r="G119" s="9" t="n">
        <v>16099080</v>
      </c>
      <c r="H119" s="9" t="n">
        <v>6420</v>
      </c>
      <c r="I119" s="9" t="n">
        <v>36374149</v>
      </c>
      <c r="J119" s="9" t="n">
        <v>2463</v>
      </c>
      <c r="K119" s="9" t="n">
        <v>13954755</v>
      </c>
      <c r="L119" s="197" t="n">
        <f aca="false">K119/J119</f>
        <v>5665.75517661389</v>
      </c>
    </row>
    <row r="120" customFormat="false" ht="12.75" hidden="false" customHeight="false" outlineLevel="0" collapsed="false">
      <c r="A120" s="7" t="s">
        <v>128</v>
      </c>
      <c r="B120" s="7" t="n">
        <v>12</v>
      </c>
      <c r="C120" s="7"/>
      <c r="D120" s="9" t="n">
        <v>374</v>
      </c>
      <c r="E120" s="9" t="n">
        <v>5702198</v>
      </c>
      <c r="F120" s="9" t="n">
        <v>200</v>
      </c>
      <c r="G120" s="9" t="n">
        <v>3055600</v>
      </c>
      <c r="H120" s="9" t="n">
        <v>120</v>
      </c>
      <c r="I120" s="9" t="n">
        <v>1830899</v>
      </c>
      <c r="J120" s="9" t="n">
        <v>454</v>
      </c>
      <c r="K120" s="9" t="n">
        <v>6926899</v>
      </c>
      <c r="L120" s="197" t="n">
        <f aca="false">K120/J120</f>
        <v>15257.486784141</v>
      </c>
    </row>
    <row r="121" customFormat="false" ht="12.75" hidden="false" customHeight="false" outlineLevel="0" collapsed="false">
      <c r="A121" s="7" t="s">
        <v>129</v>
      </c>
      <c r="B121" s="7" t="n">
        <v>12</v>
      </c>
      <c r="C121" s="7"/>
      <c r="D121" s="9" t="n">
        <v>20</v>
      </c>
      <c r="E121" s="9" t="n">
        <v>685180</v>
      </c>
      <c r="F121" s="9" t="n">
        <v>0</v>
      </c>
      <c r="G121" s="9" t="n">
        <v>0</v>
      </c>
      <c r="H121" s="9" t="n">
        <v>5</v>
      </c>
      <c r="I121" s="9" t="n">
        <v>171295</v>
      </c>
      <c r="J121" s="9" t="n">
        <v>15</v>
      </c>
      <c r="K121" s="9" t="n">
        <v>513885</v>
      </c>
      <c r="L121" s="197" t="n">
        <f aca="false">K121/J121</f>
        <v>34259</v>
      </c>
    </row>
    <row r="122" customFormat="false" ht="12.75" hidden="false" customHeight="false" outlineLevel="0" collapsed="false">
      <c r="A122" s="7" t="s">
        <v>130</v>
      </c>
      <c r="B122" s="7" t="n">
        <v>12</v>
      </c>
      <c r="C122" s="7"/>
      <c r="D122" s="9" t="n">
        <v>85</v>
      </c>
      <c r="E122" s="9" t="n">
        <v>4046541</v>
      </c>
      <c r="F122" s="9" t="n">
        <v>41</v>
      </c>
      <c r="G122" s="9" t="n">
        <v>1955085</v>
      </c>
      <c r="H122" s="9" t="n">
        <v>40</v>
      </c>
      <c r="I122" s="9" t="n">
        <v>1905278</v>
      </c>
      <c r="J122" s="9" t="n">
        <v>86</v>
      </c>
      <c r="K122" s="9" t="n">
        <v>4096348</v>
      </c>
      <c r="L122" s="197" t="n">
        <f aca="false">K122/J122</f>
        <v>47631.9534883721</v>
      </c>
    </row>
    <row r="123" customFormat="false" ht="12.75" hidden="false" customHeight="false" outlineLevel="0" collapsed="false">
      <c r="A123" s="7" t="s">
        <v>131</v>
      </c>
      <c r="B123" s="7" t="n">
        <v>12</v>
      </c>
      <c r="C123" s="7"/>
      <c r="D123" s="9" t="n">
        <v>70</v>
      </c>
      <c r="E123" s="9" t="n">
        <v>3488402</v>
      </c>
      <c r="F123" s="9" t="n">
        <v>16</v>
      </c>
      <c r="G123" s="9" t="n">
        <v>800000</v>
      </c>
      <c r="H123" s="9" t="n">
        <v>50</v>
      </c>
      <c r="I123" s="9" t="n">
        <v>2493257</v>
      </c>
      <c r="J123" s="9" t="n">
        <v>36</v>
      </c>
      <c r="K123" s="9" t="n">
        <v>1795145</v>
      </c>
      <c r="L123" s="197" t="n">
        <f aca="false">K123/J123</f>
        <v>49865.1388888889</v>
      </c>
    </row>
    <row r="124" customFormat="false" ht="12.75" hidden="false" customHeight="false" outlineLevel="0" collapsed="false">
      <c r="A124" s="7" t="s">
        <v>132</v>
      </c>
      <c r="B124" s="7" t="n">
        <v>12</v>
      </c>
      <c r="C124" s="7"/>
      <c r="D124" s="9" t="n">
        <v>98</v>
      </c>
      <c r="E124" s="9" t="n">
        <v>4356568</v>
      </c>
      <c r="F124" s="9" t="n">
        <v>255</v>
      </c>
      <c r="G124" s="9" t="n">
        <v>11333220</v>
      </c>
      <c r="H124" s="9" t="n">
        <v>300</v>
      </c>
      <c r="I124" s="9" t="n">
        <v>13333180</v>
      </c>
      <c r="J124" s="9" t="n">
        <v>53</v>
      </c>
      <c r="K124" s="9" t="n">
        <v>2356608</v>
      </c>
      <c r="L124" s="197" t="n">
        <f aca="false">K124/J124</f>
        <v>44464.3018867925</v>
      </c>
    </row>
    <row r="125" customFormat="false" ht="12.75" hidden="false" customHeight="false" outlineLevel="0" collapsed="false">
      <c r="A125" s="7" t="s">
        <v>133</v>
      </c>
      <c r="B125" s="7" t="n">
        <v>12</v>
      </c>
      <c r="C125" s="7"/>
      <c r="D125" s="9" t="n">
        <v>119</v>
      </c>
      <c r="E125" s="9" t="n">
        <v>4585298</v>
      </c>
      <c r="F125" s="9" t="n">
        <v>66</v>
      </c>
      <c r="G125" s="9" t="n">
        <v>2609254</v>
      </c>
      <c r="H125" s="9" t="n">
        <v>150</v>
      </c>
      <c r="I125" s="9" t="n">
        <v>5833421</v>
      </c>
      <c r="J125" s="9" t="n">
        <v>35</v>
      </c>
      <c r="K125" s="9" t="n">
        <v>1361131</v>
      </c>
      <c r="L125" s="197" t="n">
        <f aca="false">K125/J125</f>
        <v>38889.4571428571</v>
      </c>
    </row>
    <row r="126" customFormat="false" ht="12.75" hidden="false" customHeight="false" outlineLevel="0" collapsed="false">
      <c r="A126" s="7" t="s">
        <v>134</v>
      </c>
      <c r="B126" s="7" t="n">
        <v>12</v>
      </c>
      <c r="C126" s="7"/>
      <c r="D126" s="9" t="n">
        <v>15</v>
      </c>
      <c r="E126" s="9" t="n">
        <v>431794</v>
      </c>
      <c r="F126" s="9" t="n">
        <v>0</v>
      </c>
      <c r="G126" s="9" t="n">
        <v>0</v>
      </c>
      <c r="H126" s="9" t="n">
        <v>0</v>
      </c>
      <c r="I126" s="9" t="n">
        <v>0</v>
      </c>
      <c r="J126" s="9" t="n">
        <v>15</v>
      </c>
      <c r="K126" s="9" t="n">
        <v>431794</v>
      </c>
      <c r="L126" s="197" t="n">
        <f aca="false">K126/J126</f>
        <v>28786.2666666667</v>
      </c>
    </row>
    <row r="127" s="202" customFormat="true" ht="12.75" hidden="false" customHeight="false" outlineLevel="0" collapsed="false">
      <c r="A127" s="199" t="s">
        <v>135</v>
      </c>
      <c r="B127" s="199" t="n">
        <v>12</v>
      </c>
      <c r="C127" s="199"/>
      <c r="D127" s="200" t="n">
        <v>155</v>
      </c>
      <c r="E127" s="200" t="n">
        <v>28475986</v>
      </c>
      <c r="F127" s="200" t="n">
        <v>770</v>
      </c>
      <c r="G127" s="200" t="n">
        <v>137740260</v>
      </c>
      <c r="H127" s="200" t="n">
        <v>15</v>
      </c>
      <c r="I127" s="200" t="n">
        <v>2695399</v>
      </c>
      <c r="J127" s="200" t="n">
        <v>910</v>
      </c>
      <c r="K127" s="200" t="n">
        <v>163520847</v>
      </c>
      <c r="L127" s="197" t="n">
        <f aca="false">K127/J127</f>
        <v>179693.238461538</v>
      </c>
      <c r="M127" s="201"/>
    </row>
    <row r="128" s="208" customFormat="true" ht="12.75" hidden="false" customHeight="false" outlineLevel="0" collapsed="false">
      <c r="A128" s="205" t="s">
        <v>136</v>
      </c>
      <c r="B128" s="205" t="n">
        <v>12</v>
      </c>
      <c r="C128" s="205"/>
      <c r="D128" s="206" t="n">
        <v>4853</v>
      </c>
      <c r="E128" s="206" t="n">
        <v>73565457</v>
      </c>
      <c r="F128" s="206" t="n">
        <v>5768</v>
      </c>
      <c r="G128" s="206" t="n">
        <v>86167920</v>
      </c>
      <c r="H128" s="206" t="n">
        <v>5498</v>
      </c>
      <c r="I128" s="206" t="n">
        <v>82686574</v>
      </c>
      <c r="J128" s="206" t="n">
        <v>5123</v>
      </c>
      <c r="K128" s="206" t="n">
        <v>77046803</v>
      </c>
      <c r="L128" s="197" t="n">
        <f aca="false">K128/J128</f>
        <v>15039.391567441</v>
      </c>
      <c r="M128" s="207"/>
    </row>
    <row r="129" customFormat="false" ht="12.75" hidden="false" customHeight="false" outlineLevel="0" collapsed="false">
      <c r="A129" s="7" t="s">
        <v>137</v>
      </c>
      <c r="B129" s="7" t="n">
        <v>12</v>
      </c>
      <c r="C129" s="7"/>
      <c r="D129" s="9" t="n">
        <v>144</v>
      </c>
      <c r="E129" s="9" t="n">
        <v>22621104</v>
      </c>
      <c r="F129" s="9" t="n">
        <v>0</v>
      </c>
      <c r="G129" s="9" t="n">
        <v>0</v>
      </c>
      <c r="H129" s="9" t="n">
        <v>0</v>
      </c>
      <c r="I129" s="9" t="n">
        <v>0</v>
      </c>
      <c r="J129" s="9" t="n">
        <v>144</v>
      </c>
      <c r="K129" s="9" t="n">
        <v>22621104</v>
      </c>
      <c r="L129" s="197" t="n">
        <f aca="false">K129/J129</f>
        <v>157091</v>
      </c>
    </row>
    <row r="130" customFormat="false" ht="12.75" hidden="false" customHeight="false" outlineLevel="0" collapsed="false">
      <c r="A130" s="7" t="s">
        <v>138</v>
      </c>
      <c r="B130" s="7" t="n">
        <v>12</v>
      </c>
      <c r="C130" s="7"/>
      <c r="D130" s="9" t="n">
        <v>149</v>
      </c>
      <c r="E130" s="9" t="n">
        <v>22621104</v>
      </c>
      <c r="F130" s="9" t="n">
        <v>0</v>
      </c>
      <c r="G130" s="9" t="n">
        <v>0</v>
      </c>
      <c r="H130" s="9" t="n">
        <v>0</v>
      </c>
      <c r="I130" s="9" t="n">
        <v>0</v>
      </c>
      <c r="J130" s="9" t="n">
        <v>149</v>
      </c>
      <c r="K130" s="9" t="n">
        <v>22621104</v>
      </c>
      <c r="L130" s="197" t="n">
        <f aca="false">K130/J130</f>
        <v>151819.489932886</v>
      </c>
    </row>
    <row r="131" customFormat="false" ht="12.75" hidden="false" customHeight="false" outlineLevel="0" collapsed="false">
      <c r="A131" s="7" t="s">
        <v>139</v>
      </c>
      <c r="B131" s="7" t="n">
        <v>12</v>
      </c>
      <c r="C131" s="7"/>
      <c r="D131" s="9" t="n">
        <v>188</v>
      </c>
      <c r="E131" s="9" t="n">
        <v>34137846</v>
      </c>
      <c r="F131" s="9" t="n">
        <v>0</v>
      </c>
      <c r="G131" s="9" t="n">
        <v>0</v>
      </c>
      <c r="H131" s="9" t="n">
        <v>0</v>
      </c>
      <c r="I131" s="9" t="n">
        <v>0</v>
      </c>
      <c r="J131" s="9" t="n">
        <v>188</v>
      </c>
      <c r="K131" s="9" t="n">
        <v>34137846</v>
      </c>
      <c r="L131" s="197" t="n">
        <f aca="false">K131/J131</f>
        <v>181584.287234043</v>
      </c>
    </row>
    <row r="132" customFormat="false" ht="12.75" hidden="false" customHeight="false" outlineLevel="0" collapsed="false">
      <c r="A132" s="7" t="s">
        <v>140</v>
      </c>
      <c r="B132" s="7" t="n">
        <v>12</v>
      </c>
      <c r="C132" s="7"/>
      <c r="D132" s="9" t="n">
        <v>1326</v>
      </c>
      <c r="E132" s="9" t="n">
        <v>245672490</v>
      </c>
      <c r="F132" s="9" t="n">
        <v>1500</v>
      </c>
      <c r="G132" s="9" t="n">
        <v>279622500</v>
      </c>
      <c r="H132" s="9" t="n">
        <v>1498</v>
      </c>
      <c r="I132" s="9" t="n">
        <v>278447238</v>
      </c>
      <c r="J132" s="9" t="n">
        <v>1328</v>
      </c>
      <c r="K132" s="9" t="n">
        <v>246847752</v>
      </c>
      <c r="L132" s="197" t="n">
        <f aca="false">K132/J132</f>
        <v>185879.331325301</v>
      </c>
    </row>
    <row r="133" customFormat="false" ht="12.75" hidden="false" customHeight="false" outlineLevel="0" collapsed="false">
      <c r="A133" s="7" t="s">
        <v>141</v>
      </c>
      <c r="B133" s="7" t="n">
        <v>12</v>
      </c>
      <c r="C133" s="7"/>
      <c r="D133" s="9" t="n">
        <v>2712</v>
      </c>
      <c r="E133" s="9" t="n">
        <v>404819278</v>
      </c>
      <c r="F133" s="9" t="n">
        <v>2350</v>
      </c>
      <c r="G133" s="9" t="n">
        <v>438075250</v>
      </c>
      <c r="H133" s="9" t="n">
        <v>2523</v>
      </c>
      <c r="I133" s="9" t="n">
        <v>466755000</v>
      </c>
      <c r="J133" s="9" t="n">
        <v>2539</v>
      </c>
      <c r="K133" s="9" t="n">
        <v>376139528</v>
      </c>
      <c r="L133" s="197" t="n">
        <f aca="false">K133/J133</f>
        <v>148144.753052383</v>
      </c>
    </row>
    <row r="134" customFormat="false" ht="12.75" hidden="false" customHeight="false" outlineLevel="0" collapsed="false">
      <c r="A134" s="7" t="s">
        <v>142</v>
      </c>
      <c r="B134" s="7" t="n">
        <v>12</v>
      </c>
      <c r="C134" s="7"/>
      <c r="D134" s="9" t="n">
        <v>1150</v>
      </c>
      <c r="E134" s="9" t="n">
        <v>211217050</v>
      </c>
      <c r="F134" s="9" t="n">
        <v>0</v>
      </c>
      <c r="G134" s="9" t="n">
        <v>0</v>
      </c>
      <c r="H134" s="9" t="n">
        <v>0</v>
      </c>
      <c r="I134" s="9" t="n">
        <v>0</v>
      </c>
      <c r="J134" s="9" t="n">
        <v>1150</v>
      </c>
      <c r="K134" s="9" t="n">
        <v>211217050</v>
      </c>
      <c r="L134" s="197" t="n">
        <f aca="false">K134/J134</f>
        <v>183667</v>
      </c>
    </row>
    <row r="135" customFormat="false" ht="12.75" hidden="false" customHeight="false" outlineLevel="0" collapsed="false">
      <c r="A135" s="7" t="s">
        <v>143</v>
      </c>
      <c r="B135" s="7" t="n">
        <v>12</v>
      </c>
      <c r="C135" s="7"/>
      <c r="D135" s="9" t="n">
        <v>0</v>
      </c>
      <c r="E135" s="9" t="n">
        <v>0</v>
      </c>
      <c r="F135" s="9" t="n">
        <v>0</v>
      </c>
      <c r="G135" s="9" t="n">
        <v>0</v>
      </c>
      <c r="H135" s="9" t="n">
        <v>0</v>
      </c>
      <c r="I135" s="9" t="n">
        <v>0</v>
      </c>
      <c r="J135" s="9" t="n">
        <v>0</v>
      </c>
      <c r="K135" s="9" t="n">
        <v>0</v>
      </c>
    </row>
    <row r="136" customFormat="false" ht="12.75" hidden="false" customHeight="false" outlineLevel="0" collapsed="false">
      <c r="A136" s="7" t="s">
        <v>144</v>
      </c>
      <c r="B136" s="7" t="n">
        <v>12</v>
      </c>
      <c r="C136" s="7"/>
      <c r="D136" s="9" t="n">
        <v>898</v>
      </c>
      <c r="E136" s="9" t="n">
        <v>164227145</v>
      </c>
      <c r="F136" s="9" t="n">
        <v>455</v>
      </c>
      <c r="G136" s="9" t="n">
        <v>83865600</v>
      </c>
      <c r="H136" s="9" t="n">
        <v>770</v>
      </c>
      <c r="I136" s="9" t="n">
        <v>141190993</v>
      </c>
      <c r="J136" s="9" t="n">
        <v>583</v>
      </c>
      <c r="K136" s="9" t="n">
        <v>106901752</v>
      </c>
      <c r="L136" s="197" t="n">
        <f aca="false">K136/J136</f>
        <v>183364.926243568</v>
      </c>
    </row>
    <row r="137" customFormat="false" ht="12.75" hidden="false" customHeight="false" outlineLevel="0" collapsed="false">
      <c r="A137" s="7" t="s">
        <v>145</v>
      </c>
      <c r="B137" s="7" t="n">
        <v>12</v>
      </c>
      <c r="C137" s="7"/>
      <c r="D137" s="9" t="n">
        <v>13</v>
      </c>
      <c r="E137" s="9" t="n">
        <v>2323520</v>
      </c>
      <c r="F137" s="9" t="n">
        <v>67</v>
      </c>
      <c r="G137" s="9" t="n">
        <v>11975065</v>
      </c>
      <c r="H137" s="9" t="n">
        <v>80</v>
      </c>
      <c r="I137" s="9" t="n">
        <v>14298585</v>
      </c>
      <c r="J137" s="9" t="n">
        <v>0</v>
      </c>
      <c r="K137" s="9" t="n">
        <v>0</v>
      </c>
    </row>
    <row r="138" customFormat="false" ht="12.75" hidden="false" customHeight="false" outlineLevel="0" collapsed="false">
      <c r="A138" s="7" t="s">
        <v>146</v>
      </c>
      <c r="B138" s="7" t="n">
        <v>12</v>
      </c>
      <c r="C138" s="7"/>
      <c r="D138" s="9" t="n">
        <v>427</v>
      </c>
      <c r="E138" s="9" t="n">
        <v>83128984</v>
      </c>
      <c r="F138" s="9" t="n">
        <v>690</v>
      </c>
      <c r="G138" s="9" t="n">
        <v>132239190</v>
      </c>
      <c r="H138" s="9" t="n">
        <v>1002</v>
      </c>
      <c r="I138" s="9" t="n">
        <v>191147067</v>
      </c>
      <c r="J138" s="9" t="n">
        <v>115</v>
      </c>
      <c r="K138" s="9" t="n">
        <v>24221107</v>
      </c>
      <c r="L138" s="197" t="n">
        <f aca="false">K138/J138</f>
        <v>210618.32173913</v>
      </c>
    </row>
    <row r="139" customFormat="false" ht="12.75" hidden="false" customHeight="false" outlineLevel="0" collapsed="false">
      <c r="A139" s="7" t="s">
        <v>147</v>
      </c>
      <c r="B139" s="7" t="n">
        <v>12</v>
      </c>
      <c r="C139" s="7"/>
      <c r="D139" s="9" t="n">
        <v>888</v>
      </c>
      <c r="E139" s="9" t="n">
        <v>82354219</v>
      </c>
      <c r="F139" s="9" t="n">
        <v>100</v>
      </c>
      <c r="G139" s="9" t="n">
        <v>27752700</v>
      </c>
      <c r="H139" s="9" t="n">
        <v>644</v>
      </c>
      <c r="I139" s="9" t="n">
        <v>73819303</v>
      </c>
      <c r="J139" s="9" t="n">
        <v>344</v>
      </c>
      <c r="K139" s="9" t="n">
        <v>36287616</v>
      </c>
      <c r="L139" s="197" t="n">
        <f aca="false">K139/J139</f>
        <v>105487.255813953</v>
      </c>
    </row>
    <row r="140" customFormat="false" ht="12.75" hidden="false" customHeight="false" outlineLevel="0" collapsed="false">
      <c r="A140" s="7" t="s">
        <v>148</v>
      </c>
      <c r="B140" s="7" t="n">
        <v>12</v>
      </c>
      <c r="C140" s="7"/>
      <c r="D140" s="9" t="n">
        <v>0</v>
      </c>
      <c r="E140" s="9" t="n">
        <v>0</v>
      </c>
      <c r="F140" s="9" t="n">
        <v>0</v>
      </c>
      <c r="G140" s="9" t="n">
        <v>0</v>
      </c>
      <c r="H140" s="9" t="n">
        <v>0</v>
      </c>
      <c r="I140" s="9" t="n">
        <v>0</v>
      </c>
      <c r="J140" s="9" t="n">
        <v>0</v>
      </c>
      <c r="K140" s="9" t="n">
        <v>0</v>
      </c>
    </row>
    <row r="141" customFormat="false" ht="12.75" hidden="false" customHeight="false" outlineLevel="0" collapsed="false">
      <c r="A141" s="7" t="s">
        <v>149</v>
      </c>
      <c r="B141" s="7" t="n">
        <v>12</v>
      </c>
      <c r="C141" s="7"/>
      <c r="D141" s="9" t="n">
        <v>1197</v>
      </c>
      <c r="E141" s="9" t="n">
        <v>228002752</v>
      </c>
      <c r="F141" s="9" t="n">
        <v>495</v>
      </c>
      <c r="G141" s="9" t="n">
        <v>94867245</v>
      </c>
      <c r="H141" s="9" t="n">
        <v>456</v>
      </c>
      <c r="I141" s="9" t="n">
        <v>87014609</v>
      </c>
      <c r="J141" s="9" t="n">
        <v>1236</v>
      </c>
      <c r="K141" s="9" t="n">
        <v>235855388</v>
      </c>
      <c r="L141" s="197" t="n">
        <f aca="false">K141/J141</f>
        <v>190821.511326861</v>
      </c>
    </row>
    <row r="142" customFormat="false" ht="12.75" hidden="false" customHeight="false" outlineLevel="0" collapsed="false">
      <c r="A142" s="7" t="s">
        <v>150</v>
      </c>
      <c r="B142" s="7" t="n">
        <v>12</v>
      </c>
      <c r="C142" s="7"/>
      <c r="D142" s="9" t="n">
        <v>0</v>
      </c>
      <c r="E142" s="9" t="n">
        <v>0</v>
      </c>
      <c r="F142" s="9" t="n">
        <v>0</v>
      </c>
      <c r="G142" s="9" t="n">
        <v>0</v>
      </c>
      <c r="H142" s="9" t="n">
        <v>0</v>
      </c>
      <c r="I142" s="9" t="n">
        <v>0</v>
      </c>
      <c r="J142" s="9" t="n">
        <v>0</v>
      </c>
      <c r="K142" s="9" t="n">
        <v>0</v>
      </c>
    </row>
    <row r="143" customFormat="false" ht="12.75" hidden="false" customHeight="false" outlineLevel="0" collapsed="false">
      <c r="A143" s="7" t="s">
        <v>151</v>
      </c>
      <c r="B143" s="7" t="n">
        <v>12</v>
      </c>
      <c r="C143" s="7"/>
      <c r="D143" s="9" t="n">
        <v>319</v>
      </c>
      <c r="E143" s="9" t="n">
        <v>60576489</v>
      </c>
      <c r="F143" s="9" t="n">
        <v>0</v>
      </c>
      <c r="G143" s="9" t="n">
        <v>0</v>
      </c>
      <c r="H143" s="9" t="n">
        <v>0</v>
      </c>
      <c r="I143" s="9" t="n">
        <v>0</v>
      </c>
      <c r="J143" s="9" t="n">
        <v>319</v>
      </c>
      <c r="K143" s="9" t="n">
        <v>60576489</v>
      </c>
      <c r="L143" s="197" t="n">
        <f aca="false">K143/J143</f>
        <v>189894.94984326</v>
      </c>
    </row>
    <row r="144" customFormat="false" ht="12.75" hidden="false" customHeight="false" outlineLevel="0" collapsed="false">
      <c r="A144" s="7" t="s">
        <v>152</v>
      </c>
      <c r="B144" s="7" t="n">
        <v>12</v>
      </c>
      <c r="C144" s="7"/>
      <c r="D144" s="9" t="n">
        <v>0</v>
      </c>
      <c r="E144" s="9" t="n">
        <v>0</v>
      </c>
      <c r="F144" s="9" t="n">
        <v>0</v>
      </c>
      <c r="G144" s="9" t="n">
        <v>0</v>
      </c>
      <c r="H144" s="9" t="n">
        <v>0</v>
      </c>
      <c r="I144" s="9" t="n">
        <v>0</v>
      </c>
      <c r="J144" s="9" t="n">
        <v>0</v>
      </c>
      <c r="K144" s="9" t="n">
        <v>0</v>
      </c>
    </row>
    <row r="145" customFormat="false" ht="12.75" hidden="false" customHeight="false" outlineLevel="0" collapsed="false">
      <c r="A145" s="7" t="s">
        <v>153</v>
      </c>
      <c r="B145" s="7" t="n">
        <v>12</v>
      </c>
      <c r="C145" s="7"/>
      <c r="D145" s="9" t="n">
        <v>0</v>
      </c>
      <c r="E145" s="9" t="n">
        <v>0</v>
      </c>
      <c r="F145" s="9" t="n">
        <v>0</v>
      </c>
      <c r="G145" s="9" t="n">
        <v>0</v>
      </c>
      <c r="H145" s="9" t="n">
        <v>0</v>
      </c>
      <c r="I145" s="9" t="n">
        <v>0</v>
      </c>
      <c r="J145" s="9" t="n">
        <v>0</v>
      </c>
      <c r="K145" s="9" t="n">
        <v>0</v>
      </c>
    </row>
    <row r="146" customFormat="false" ht="12.75" hidden="false" customHeight="false" outlineLevel="0" collapsed="false">
      <c r="A146" s="7" t="s">
        <v>154</v>
      </c>
      <c r="B146" s="7" t="n">
        <v>12</v>
      </c>
      <c r="C146" s="7"/>
      <c r="D146" s="9" t="n">
        <v>50</v>
      </c>
      <c r="E146" s="9" t="n">
        <v>11656130</v>
      </c>
      <c r="F146" s="9" t="n">
        <v>45</v>
      </c>
      <c r="G146" s="9" t="n">
        <v>10556505</v>
      </c>
      <c r="H146" s="9" t="n">
        <v>25</v>
      </c>
      <c r="I146" s="9" t="n">
        <v>5845430</v>
      </c>
      <c r="J146" s="9" t="n">
        <v>70</v>
      </c>
      <c r="K146" s="9" t="n">
        <v>16367205</v>
      </c>
      <c r="L146" s="197" t="n">
        <f aca="false">K146/J146</f>
        <v>233817.214285714</v>
      </c>
    </row>
    <row r="147" customFormat="false" ht="12.75" hidden="false" customHeight="false" outlineLevel="0" collapsed="false">
      <c r="A147" s="7" t="s">
        <v>155</v>
      </c>
      <c r="B147" s="7" t="n">
        <v>12</v>
      </c>
      <c r="C147" s="7"/>
      <c r="D147" s="9" t="n">
        <v>0</v>
      </c>
      <c r="E147" s="9" t="n">
        <v>0</v>
      </c>
      <c r="F147" s="9" t="n">
        <v>24</v>
      </c>
      <c r="G147" s="9" t="n">
        <v>6959131</v>
      </c>
      <c r="H147" s="9" t="n">
        <v>24</v>
      </c>
      <c r="I147" s="9" t="n">
        <v>6959131</v>
      </c>
      <c r="J147" s="9" t="n">
        <v>0</v>
      </c>
      <c r="K147" s="9" t="n">
        <v>0</v>
      </c>
    </row>
    <row r="148" customFormat="false" ht="12.75" hidden="false" customHeight="false" outlineLevel="0" collapsed="false">
      <c r="A148" s="7" t="s">
        <v>156</v>
      </c>
      <c r="B148" s="7" t="n">
        <v>12</v>
      </c>
      <c r="C148" s="7"/>
      <c r="D148" s="9" t="n">
        <v>265</v>
      </c>
      <c r="E148" s="9" t="n">
        <v>51536190</v>
      </c>
      <c r="F148" s="9" t="n">
        <v>20</v>
      </c>
      <c r="G148" s="9" t="n">
        <v>4691780</v>
      </c>
      <c r="H148" s="9" t="n">
        <v>148</v>
      </c>
      <c r="I148" s="9" t="n">
        <v>29199086</v>
      </c>
      <c r="J148" s="9" t="n">
        <v>137</v>
      </c>
      <c r="K148" s="9" t="n">
        <v>27028884</v>
      </c>
      <c r="L148" s="197" t="n">
        <f aca="false">K148/J148</f>
        <v>197291.124087591</v>
      </c>
    </row>
    <row r="149" customFormat="false" ht="12.75" hidden="false" customHeight="false" outlineLevel="0" collapsed="false">
      <c r="A149" s="7" t="s">
        <v>157</v>
      </c>
      <c r="B149" s="7" t="n">
        <v>12</v>
      </c>
      <c r="C149" s="7"/>
      <c r="D149" s="9" t="n">
        <v>100</v>
      </c>
      <c r="E149" s="9" t="n">
        <v>23336700</v>
      </c>
      <c r="F149" s="9" t="n">
        <v>45</v>
      </c>
      <c r="G149" s="9" t="n">
        <v>10556505</v>
      </c>
      <c r="H149" s="9" t="n">
        <v>45</v>
      </c>
      <c r="I149" s="9" t="n">
        <v>10518581</v>
      </c>
      <c r="J149" s="9" t="n">
        <v>100</v>
      </c>
      <c r="K149" s="9" t="n">
        <v>23374624</v>
      </c>
      <c r="L149" s="197" t="n">
        <f aca="false">K149/J149</f>
        <v>233746.24</v>
      </c>
    </row>
    <row r="150" customFormat="false" ht="12.75" hidden="false" customHeight="false" outlineLevel="0" collapsed="false">
      <c r="A150" s="7" t="s">
        <v>158</v>
      </c>
      <c r="B150" s="7" t="n">
        <v>12</v>
      </c>
      <c r="C150" s="7"/>
      <c r="D150" s="9" t="n">
        <v>0</v>
      </c>
      <c r="E150" s="9" t="n">
        <v>0</v>
      </c>
      <c r="F150" s="9" t="n">
        <v>0</v>
      </c>
      <c r="G150" s="9" t="n">
        <v>0</v>
      </c>
      <c r="H150" s="9" t="n">
        <v>0</v>
      </c>
      <c r="I150" s="9" t="n">
        <v>0</v>
      </c>
      <c r="J150" s="9" t="n">
        <v>0</v>
      </c>
      <c r="K150" s="9" t="n">
        <v>0</v>
      </c>
    </row>
    <row r="151" customFormat="false" ht="12.75" hidden="false" customHeight="false" outlineLevel="0" collapsed="false">
      <c r="A151" s="7" t="s">
        <v>159</v>
      </c>
      <c r="B151" s="7" t="n">
        <v>12</v>
      </c>
      <c r="C151" s="7"/>
      <c r="D151" s="9" t="n">
        <v>81</v>
      </c>
      <c r="E151" s="9" t="n">
        <v>17829621</v>
      </c>
      <c r="F151" s="9" t="n">
        <v>0</v>
      </c>
      <c r="G151" s="9" t="n">
        <v>0</v>
      </c>
      <c r="H151" s="9" t="n">
        <v>22</v>
      </c>
      <c r="I151" s="9" t="n">
        <v>4842658</v>
      </c>
      <c r="J151" s="9" t="n">
        <v>59</v>
      </c>
      <c r="K151" s="9" t="n">
        <v>12986963</v>
      </c>
      <c r="L151" s="197" t="n">
        <f aca="false">K151/J151</f>
        <v>220118.016949153</v>
      </c>
    </row>
    <row r="152" customFormat="false" ht="12.75" hidden="false" customHeight="false" outlineLevel="0" collapsed="false">
      <c r="A152" s="7" t="s">
        <v>160</v>
      </c>
      <c r="B152" s="7" t="n">
        <v>12</v>
      </c>
      <c r="C152" s="7"/>
      <c r="D152" s="9" t="n">
        <v>46</v>
      </c>
      <c r="E152" s="9" t="n">
        <v>12161583</v>
      </c>
      <c r="F152" s="9" t="n">
        <v>0</v>
      </c>
      <c r="G152" s="9" t="n">
        <v>0</v>
      </c>
      <c r="H152" s="9" t="n">
        <v>42</v>
      </c>
      <c r="I152" s="9" t="n">
        <v>11093015</v>
      </c>
      <c r="J152" s="9" t="n">
        <v>4</v>
      </c>
      <c r="K152" s="9" t="n">
        <v>1068568</v>
      </c>
      <c r="L152" s="197" t="n">
        <f aca="false">K152/J152</f>
        <v>267142</v>
      </c>
    </row>
    <row r="153" customFormat="false" ht="12.75" hidden="false" customHeight="false" outlineLevel="0" collapsed="false">
      <c r="A153" s="7" t="s">
        <v>161</v>
      </c>
      <c r="B153" s="7" t="n">
        <v>12</v>
      </c>
      <c r="C153" s="7"/>
      <c r="D153" s="9" t="n">
        <v>110</v>
      </c>
      <c r="E153" s="9" t="n">
        <v>25633710</v>
      </c>
      <c r="F153" s="9" t="n">
        <v>50</v>
      </c>
      <c r="G153" s="9" t="n">
        <v>11729450</v>
      </c>
      <c r="H153" s="9" t="n">
        <v>68</v>
      </c>
      <c r="I153" s="9" t="n">
        <v>11432029</v>
      </c>
      <c r="J153" s="9" t="n">
        <v>92</v>
      </c>
      <c r="K153" s="9" t="n">
        <v>25931131</v>
      </c>
      <c r="L153" s="197" t="n">
        <f aca="false">K153/J153</f>
        <v>281860.119565217</v>
      </c>
    </row>
    <row r="154" customFormat="false" ht="12.75" hidden="false" customHeight="false" outlineLevel="0" collapsed="false">
      <c r="A154" s="7" t="s">
        <v>162</v>
      </c>
      <c r="B154" s="7" t="n">
        <v>12</v>
      </c>
      <c r="C154" s="7"/>
      <c r="D154" s="9" t="n">
        <v>0</v>
      </c>
      <c r="E154" s="9" t="n">
        <v>0</v>
      </c>
      <c r="F154" s="9" t="n">
        <v>4</v>
      </c>
      <c r="G154" s="9" t="n">
        <v>1264364</v>
      </c>
      <c r="H154" s="9" t="n">
        <v>4</v>
      </c>
      <c r="I154" s="9" t="n">
        <v>1264364</v>
      </c>
      <c r="J154" s="9" t="n">
        <v>0</v>
      </c>
      <c r="K154" s="9" t="n">
        <v>0</v>
      </c>
    </row>
    <row r="155" customFormat="false" ht="12.75" hidden="false" customHeight="false" outlineLevel="0" collapsed="false">
      <c r="A155" s="7" t="s">
        <v>163</v>
      </c>
      <c r="B155" s="7" t="n">
        <v>12</v>
      </c>
      <c r="C155" s="7"/>
      <c r="D155" s="9" t="n">
        <v>986</v>
      </c>
      <c r="E155" s="9" t="n">
        <v>312560997</v>
      </c>
      <c r="F155" s="9" t="n">
        <v>300</v>
      </c>
      <c r="G155" s="9" t="n">
        <v>95825400</v>
      </c>
      <c r="H155" s="9" t="n">
        <v>0</v>
      </c>
      <c r="I155" s="9" t="n">
        <v>0</v>
      </c>
      <c r="J155" s="9" t="n">
        <v>1286</v>
      </c>
      <c r="K155" s="9" t="n">
        <v>408386397</v>
      </c>
      <c r="L155" s="197" t="n">
        <f aca="false">K155/J155</f>
        <v>317563.294712286</v>
      </c>
    </row>
    <row r="156" customFormat="false" ht="12.75" hidden="false" customHeight="false" outlineLevel="0" collapsed="false">
      <c r="A156" s="7" t="s">
        <v>164</v>
      </c>
      <c r="B156" s="7" t="n">
        <v>12</v>
      </c>
      <c r="C156" s="7"/>
      <c r="D156" s="9" t="n">
        <v>0</v>
      </c>
      <c r="E156" s="9" t="n">
        <v>0</v>
      </c>
      <c r="F156" s="9" t="n">
        <v>92</v>
      </c>
      <c r="G156" s="9" t="n">
        <v>13264312</v>
      </c>
      <c r="H156" s="9" t="n">
        <v>92</v>
      </c>
      <c r="I156" s="9" t="n">
        <v>13264312</v>
      </c>
      <c r="J156" s="9" t="n">
        <v>0</v>
      </c>
      <c r="K156" s="9" t="n">
        <v>0</v>
      </c>
    </row>
    <row r="157" customFormat="false" ht="12.75" hidden="false" customHeight="false" outlineLevel="0" collapsed="false">
      <c r="A157" s="7" t="s">
        <v>165</v>
      </c>
      <c r="B157" s="7" t="n">
        <v>12</v>
      </c>
      <c r="C157" s="7"/>
      <c r="D157" s="9" t="n">
        <v>100</v>
      </c>
      <c r="E157" s="9" t="n">
        <v>15396441</v>
      </c>
      <c r="F157" s="9" t="n">
        <v>0</v>
      </c>
      <c r="G157" s="9" t="n">
        <v>0</v>
      </c>
      <c r="H157" s="9" t="n">
        <v>6</v>
      </c>
      <c r="I157" s="9" t="n">
        <v>923786</v>
      </c>
      <c r="J157" s="9" t="n">
        <v>94</v>
      </c>
      <c r="K157" s="9" t="n">
        <v>14472655</v>
      </c>
      <c r="L157" s="197" t="n">
        <f aca="false">K157/J157</f>
        <v>153964.414893617</v>
      </c>
    </row>
    <row r="158" customFormat="false" ht="12.75" hidden="false" customHeight="false" outlineLevel="0" collapsed="false">
      <c r="A158" s="7" t="s">
        <v>166</v>
      </c>
      <c r="B158" s="7" t="n">
        <v>12</v>
      </c>
      <c r="C158" s="7"/>
      <c r="D158" s="9" t="n">
        <v>0</v>
      </c>
      <c r="E158" s="9" t="n">
        <v>0</v>
      </c>
      <c r="F158" s="9" t="n">
        <v>0</v>
      </c>
      <c r="G158" s="9" t="n">
        <v>0</v>
      </c>
      <c r="H158" s="9" t="n">
        <v>0</v>
      </c>
      <c r="I158" s="9" t="n">
        <v>0</v>
      </c>
      <c r="J158" s="9" t="n">
        <v>0</v>
      </c>
      <c r="K158" s="9" t="n">
        <v>0</v>
      </c>
    </row>
    <row r="159" customFormat="false" ht="12.75" hidden="false" customHeight="false" outlineLevel="0" collapsed="false">
      <c r="A159" s="7" t="s">
        <v>167</v>
      </c>
      <c r="B159" s="7" t="n">
        <v>12</v>
      </c>
      <c r="C159" s="7"/>
      <c r="D159" s="9" t="n">
        <v>0</v>
      </c>
      <c r="E159" s="9" t="n">
        <v>0</v>
      </c>
      <c r="F159" s="9" t="n">
        <v>0</v>
      </c>
      <c r="G159" s="9" t="n">
        <v>0</v>
      </c>
      <c r="H159" s="9" t="n">
        <v>0</v>
      </c>
      <c r="I159" s="9" t="n">
        <v>0</v>
      </c>
      <c r="J159" s="9" t="n">
        <v>0</v>
      </c>
      <c r="K159" s="9" t="n">
        <v>0</v>
      </c>
    </row>
    <row r="160" customFormat="false" ht="12.75" hidden="false" customHeight="false" outlineLevel="0" collapsed="false">
      <c r="A160" s="7" t="s">
        <v>168</v>
      </c>
      <c r="B160" s="7" t="n">
        <v>12</v>
      </c>
      <c r="C160" s="7"/>
      <c r="D160" s="9" t="n">
        <v>436</v>
      </c>
      <c r="E160" s="9" t="n">
        <v>79778379</v>
      </c>
      <c r="F160" s="9" t="n">
        <v>150</v>
      </c>
      <c r="G160" s="9" t="n">
        <v>27648000</v>
      </c>
      <c r="H160" s="9" t="n">
        <v>503</v>
      </c>
      <c r="I160" s="9" t="n">
        <v>92210697</v>
      </c>
      <c r="J160" s="9" t="n">
        <v>83</v>
      </c>
      <c r="K160" s="9" t="n">
        <v>15215682</v>
      </c>
      <c r="L160" s="197" t="n">
        <f aca="false">K160/J160</f>
        <v>183321.469879518</v>
      </c>
    </row>
    <row r="161" customFormat="false" ht="12.75" hidden="false" customHeight="false" outlineLevel="0" collapsed="false">
      <c r="A161" s="7" t="s">
        <v>169</v>
      </c>
      <c r="B161" s="7" t="n">
        <v>12</v>
      </c>
      <c r="C161" s="7"/>
      <c r="D161" s="9" t="n">
        <v>856</v>
      </c>
      <c r="E161" s="9" t="n">
        <v>151588068</v>
      </c>
      <c r="F161" s="9" t="n">
        <v>0</v>
      </c>
      <c r="G161" s="9" t="n">
        <v>0</v>
      </c>
      <c r="H161" s="9" t="n">
        <v>186</v>
      </c>
      <c r="I161" s="9" t="n">
        <v>32938529</v>
      </c>
      <c r="J161" s="9" t="n">
        <v>670</v>
      </c>
      <c r="K161" s="9" t="n">
        <v>118649539</v>
      </c>
      <c r="L161" s="197" t="n">
        <f aca="false">K161/J161</f>
        <v>177088.864179104</v>
      </c>
    </row>
    <row r="162" customFormat="false" ht="12.75" hidden="false" customHeight="false" outlineLevel="0" collapsed="false">
      <c r="A162" s="7" t="s">
        <v>170</v>
      </c>
      <c r="B162" s="7" t="n">
        <v>12</v>
      </c>
      <c r="C162" s="7"/>
      <c r="D162" s="9" t="n">
        <v>164</v>
      </c>
      <c r="E162" s="9" t="n">
        <v>44675744</v>
      </c>
      <c r="F162" s="9" t="n">
        <v>175</v>
      </c>
      <c r="G162" s="9" t="n">
        <v>49157166</v>
      </c>
      <c r="H162" s="9" t="n">
        <v>339</v>
      </c>
      <c r="I162" s="9" t="n">
        <v>93832910</v>
      </c>
      <c r="J162" s="9" t="n">
        <v>0</v>
      </c>
      <c r="K162" s="9" t="n">
        <v>0</v>
      </c>
    </row>
    <row r="163" customFormat="false" ht="12.75" hidden="false" customHeight="false" outlineLevel="0" collapsed="false">
      <c r="A163" s="7" t="s">
        <v>171</v>
      </c>
      <c r="B163" s="7" t="n">
        <v>12</v>
      </c>
      <c r="C163" s="7"/>
      <c r="D163" s="9" t="n">
        <v>0</v>
      </c>
      <c r="E163" s="9" t="n">
        <v>0</v>
      </c>
      <c r="F163" s="9" t="n">
        <v>30</v>
      </c>
      <c r="G163" s="9" t="n">
        <v>8280000</v>
      </c>
      <c r="H163" s="9" t="n">
        <v>30</v>
      </c>
      <c r="I163" s="9" t="n">
        <v>8280000</v>
      </c>
      <c r="J163" s="9" t="n">
        <v>0</v>
      </c>
      <c r="K163" s="9" t="n">
        <v>0</v>
      </c>
    </row>
    <row r="164" customFormat="false" ht="12.75" hidden="false" customHeight="false" outlineLevel="0" collapsed="false">
      <c r="A164" s="7" t="s">
        <v>172</v>
      </c>
      <c r="B164" s="7" t="n">
        <v>12</v>
      </c>
      <c r="C164" s="7"/>
      <c r="D164" s="9" t="n">
        <v>459</v>
      </c>
      <c r="E164" s="9" t="n">
        <v>85500524</v>
      </c>
      <c r="F164" s="9" t="n">
        <v>30</v>
      </c>
      <c r="G164" s="9" t="n">
        <v>5655270</v>
      </c>
      <c r="H164" s="9" t="n">
        <v>0</v>
      </c>
      <c r="I164" s="9" t="n">
        <v>0</v>
      </c>
      <c r="J164" s="9" t="n">
        <v>489</v>
      </c>
      <c r="K164" s="9" t="n">
        <v>91155794</v>
      </c>
      <c r="L164" s="197" t="n">
        <f aca="false">K164/J164</f>
        <v>186412.666666667</v>
      </c>
    </row>
    <row r="165" customFormat="false" ht="12.75" hidden="false" customHeight="false" outlineLevel="0" collapsed="false">
      <c r="A165" s="7" t="s">
        <v>173</v>
      </c>
      <c r="B165" s="7" t="n">
        <v>12</v>
      </c>
      <c r="C165" s="7"/>
      <c r="D165" s="9" t="n">
        <v>484</v>
      </c>
      <c r="E165" s="9" t="n">
        <v>88893600</v>
      </c>
      <c r="F165" s="9" t="n">
        <v>25</v>
      </c>
      <c r="G165" s="9" t="n">
        <v>4712725</v>
      </c>
      <c r="H165" s="9" t="n">
        <v>0</v>
      </c>
      <c r="I165" s="9" t="n">
        <v>0</v>
      </c>
      <c r="J165" s="9" t="n">
        <v>509</v>
      </c>
      <c r="K165" s="9" t="n">
        <v>93606325</v>
      </c>
      <c r="L165" s="197" t="n">
        <f aca="false">K165/J165</f>
        <v>183902.406679764</v>
      </c>
    </row>
    <row r="166" customFormat="false" ht="12.75" hidden="false" customHeight="false" outlineLevel="0" collapsed="false">
      <c r="A166" s="7" t="s">
        <v>174</v>
      </c>
      <c r="B166" s="7" t="n">
        <v>12</v>
      </c>
      <c r="C166" s="7"/>
      <c r="D166" s="9" t="n">
        <v>5</v>
      </c>
      <c r="E166" s="9" t="n">
        <v>1372892</v>
      </c>
      <c r="F166" s="9" t="n">
        <v>0</v>
      </c>
      <c r="G166" s="9" t="n">
        <v>0</v>
      </c>
      <c r="H166" s="9" t="n">
        <v>0</v>
      </c>
      <c r="I166" s="9" t="n">
        <v>0</v>
      </c>
      <c r="J166" s="9" t="n">
        <v>5</v>
      </c>
      <c r="K166" s="9" t="n">
        <v>1372892</v>
      </c>
      <c r="L166" s="197" t="n">
        <f aca="false">K166/J166</f>
        <v>274578.4</v>
      </c>
    </row>
    <row r="167" customFormat="false" ht="12.75" hidden="false" customHeight="false" outlineLevel="0" collapsed="false">
      <c r="A167" s="7" t="s">
        <v>175</v>
      </c>
      <c r="B167" s="7" t="n">
        <v>12</v>
      </c>
      <c r="C167" s="7"/>
      <c r="D167" s="9" t="n">
        <v>0</v>
      </c>
      <c r="E167" s="9" t="n">
        <v>0</v>
      </c>
      <c r="F167" s="9" t="n">
        <v>0</v>
      </c>
      <c r="G167" s="9" t="n">
        <v>0</v>
      </c>
      <c r="H167" s="9" t="n">
        <v>0</v>
      </c>
      <c r="I167" s="9" t="n">
        <v>0</v>
      </c>
      <c r="J167" s="9" t="n">
        <v>0</v>
      </c>
      <c r="K167" s="9" t="n">
        <v>0</v>
      </c>
    </row>
    <row r="168" customFormat="false" ht="12.75" hidden="false" customHeight="false" outlineLevel="0" collapsed="false">
      <c r="A168" s="7" t="s">
        <v>176</v>
      </c>
      <c r="B168" s="7" t="n">
        <v>12</v>
      </c>
      <c r="C168" s="7"/>
      <c r="D168" s="9" t="n">
        <v>0</v>
      </c>
      <c r="E168" s="9" t="n">
        <v>0</v>
      </c>
      <c r="F168" s="9" t="n">
        <v>0</v>
      </c>
      <c r="G168" s="9" t="n">
        <v>0</v>
      </c>
      <c r="H168" s="9" t="n">
        <v>0</v>
      </c>
      <c r="I168" s="9" t="n">
        <v>0</v>
      </c>
      <c r="J168" s="9" t="n">
        <v>0</v>
      </c>
      <c r="K168" s="9" t="n">
        <v>0</v>
      </c>
    </row>
    <row r="169" customFormat="false" ht="12.75" hidden="false" customHeight="false" outlineLevel="0" collapsed="false">
      <c r="A169" s="7" t="s">
        <v>177</v>
      </c>
      <c r="B169" s="7" t="n">
        <v>12</v>
      </c>
      <c r="C169" s="7"/>
      <c r="D169" s="9" t="n">
        <v>1</v>
      </c>
      <c r="E169" s="9" t="n">
        <v>537037</v>
      </c>
      <c r="F169" s="9" t="n">
        <v>0</v>
      </c>
      <c r="G169" s="9" t="n">
        <v>0</v>
      </c>
      <c r="H169" s="9" t="n">
        <v>0</v>
      </c>
      <c r="I169" s="9" t="n">
        <v>0</v>
      </c>
      <c r="J169" s="9" t="n">
        <v>1</v>
      </c>
      <c r="K169" s="9" t="n">
        <v>537037</v>
      </c>
      <c r="L169" s="197" t="n">
        <f aca="false">K169/J169</f>
        <v>537037</v>
      </c>
    </row>
    <row r="170" customFormat="false" ht="12.75" hidden="false" customHeight="false" outlineLevel="0" collapsed="false">
      <c r="A170" s="7" t="s">
        <v>178</v>
      </c>
      <c r="B170" s="7" t="n">
        <v>12</v>
      </c>
      <c r="C170" s="7"/>
      <c r="D170" s="9" t="n">
        <v>144</v>
      </c>
      <c r="E170" s="9" t="n">
        <v>8408880</v>
      </c>
      <c r="F170" s="9" t="n">
        <v>576</v>
      </c>
      <c r="G170" s="9" t="n">
        <v>28791120</v>
      </c>
      <c r="H170" s="9" t="n">
        <v>0</v>
      </c>
      <c r="I170" s="9" t="n">
        <v>0</v>
      </c>
      <c r="J170" s="9" t="n">
        <v>720</v>
      </c>
      <c r="K170" s="9" t="n">
        <v>37200000</v>
      </c>
      <c r="L170" s="197" t="n">
        <f aca="false">K170/J170</f>
        <v>51666.6666666667</v>
      </c>
    </row>
    <row r="171" customFormat="false" ht="12.75" hidden="false" customHeight="false" outlineLevel="0" collapsed="false">
      <c r="A171" s="7" t="s">
        <v>179</v>
      </c>
      <c r="B171" s="7" t="n">
        <v>12</v>
      </c>
      <c r="C171" s="7"/>
      <c r="D171" s="9" t="n">
        <v>24797</v>
      </c>
      <c r="E171" s="9" t="n">
        <v>127113973</v>
      </c>
      <c r="F171" s="9" t="n">
        <v>15719</v>
      </c>
      <c r="G171" s="9" t="n">
        <v>82006560</v>
      </c>
      <c r="H171" s="9" t="n">
        <v>14442</v>
      </c>
      <c r="I171" s="9" t="n">
        <v>74541385</v>
      </c>
      <c r="J171" s="9" t="n">
        <v>26074</v>
      </c>
      <c r="K171" s="9" t="n">
        <v>134579148</v>
      </c>
      <c r="L171" s="197" t="n">
        <f aca="false">K171/J171</f>
        <v>5161.43085065583</v>
      </c>
    </row>
    <row r="172" customFormat="false" ht="12.75" hidden="false" customHeight="false" outlineLevel="0" collapsed="false">
      <c r="A172" s="7" t="s">
        <v>180</v>
      </c>
      <c r="B172" s="7" t="n">
        <v>12</v>
      </c>
      <c r="C172" s="7"/>
      <c r="D172" s="9" t="n">
        <v>1056</v>
      </c>
      <c r="E172" s="9" t="n">
        <v>82980480</v>
      </c>
      <c r="F172" s="9" t="n">
        <v>360</v>
      </c>
      <c r="G172" s="9" t="n">
        <v>27106680</v>
      </c>
      <c r="H172" s="9" t="n">
        <v>1416</v>
      </c>
      <c r="I172" s="9" t="n">
        <v>110087160</v>
      </c>
      <c r="J172" s="9" t="n">
        <v>0</v>
      </c>
      <c r="K172" s="9" t="n">
        <v>0</v>
      </c>
    </row>
    <row r="173" customFormat="false" ht="12.75" hidden="false" customHeight="false" outlineLevel="0" collapsed="false">
      <c r="A173" s="7" t="s">
        <v>181</v>
      </c>
      <c r="B173" s="7" t="n">
        <v>12</v>
      </c>
      <c r="C173" s="7"/>
      <c r="D173" s="9" t="n">
        <v>432</v>
      </c>
      <c r="E173" s="9" t="n">
        <v>22188108</v>
      </c>
      <c r="F173" s="9" t="n">
        <v>375</v>
      </c>
      <c r="G173" s="9" t="n">
        <v>19270875</v>
      </c>
      <c r="H173" s="9" t="n">
        <v>501</v>
      </c>
      <c r="I173" s="9" t="n">
        <v>25738476</v>
      </c>
      <c r="J173" s="9" t="n">
        <v>306</v>
      </c>
      <c r="K173" s="9" t="n">
        <v>15720507</v>
      </c>
      <c r="L173" s="197" t="n">
        <f aca="false">K173/J173</f>
        <v>51374.2058823529</v>
      </c>
    </row>
    <row r="174" customFormat="false" ht="12.75" hidden="false" customHeight="false" outlineLevel="0" collapsed="false">
      <c r="A174" s="7" t="s">
        <v>182</v>
      </c>
      <c r="B174" s="7" t="n">
        <v>12</v>
      </c>
      <c r="C174" s="7"/>
      <c r="D174" s="9" t="n">
        <v>0</v>
      </c>
      <c r="E174" s="9" t="n">
        <v>0</v>
      </c>
      <c r="F174" s="9" t="n">
        <v>180</v>
      </c>
      <c r="G174" s="9" t="n">
        <v>11127420</v>
      </c>
      <c r="H174" s="9" t="n">
        <v>180</v>
      </c>
      <c r="I174" s="9" t="n">
        <v>11127420</v>
      </c>
      <c r="J174" s="9" t="n">
        <v>0</v>
      </c>
      <c r="K174" s="9" t="n">
        <v>0</v>
      </c>
    </row>
    <row r="175" customFormat="false" ht="12.75" hidden="false" customHeight="false" outlineLevel="0" collapsed="false">
      <c r="A175" s="7" t="s">
        <v>183</v>
      </c>
      <c r="B175" s="7" t="n">
        <v>12</v>
      </c>
      <c r="C175" s="7"/>
      <c r="D175" s="9" t="n">
        <v>2751</v>
      </c>
      <c r="E175" s="9" t="n">
        <v>148297433</v>
      </c>
      <c r="F175" s="9" t="n">
        <v>306</v>
      </c>
      <c r="G175" s="9" t="n">
        <v>16321556</v>
      </c>
      <c r="H175" s="9" t="n">
        <v>255</v>
      </c>
      <c r="I175" s="9" t="n">
        <v>13731712</v>
      </c>
      <c r="J175" s="9" t="n">
        <v>2802</v>
      </c>
      <c r="K175" s="9" t="n">
        <v>150887277</v>
      </c>
      <c r="L175" s="197" t="n">
        <f aca="false">K175/J175</f>
        <v>53849.8490364026</v>
      </c>
    </row>
    <row r="176" customFormat="false" ht="12.75" hidden="false" customHeight="false" outlineLevel="0" collapsed="false">
      <c r="A176" s="7" t="s">
        <v>184</v>
      </c>
      <c r="B176" s="7" t="n">
        <v>12</v>
      </c>
      <c r="C176" s="7"/>
      <c r="D176" s="9" t="n">
        <v>2074</v>
      </c>
      <c r="E176" s="9" t="n">
        <v>111994520</v>
      </c>
      <c r="F176" s="9" t="n">
        <v>408</v>
      </c>
      <c r="G176" s="9" t="n">
        <v>21762074</v>
      </c>
      <c r="H176" s="9" t="n">
        <v>885</v>
      </c>
      <c r="I176" s="9" t="n">
        <v>47693225</v>
      </c>
      <c r="J176" s="9" t="n">
        <v>1597</v>
      </c>
      <c r="K176" s="9" t="n">
        <v>86063369</v>
      </c>
      <c r="L176" s="197" t="n">
        <f aca="false">K176/J176</f>
        <v>53890.6505948654</v>
      </c>
    </row>
    <row r="177" customFormat="false" ht="12.75" hidden="false" customHeight="false" outlineLevel="0" collapsed="false">
      <c r="A177" s="7" t="s">
        <v>185</v>
      </c>
      <c r="B177" s="7" t="n">
        <v>12</v>
      </c>
      <c r="C177" s="7"/>
      <c r="D177" s="9" t="n">
        <v>770</v>
      </c>
      <c r="E177" s="9" t="n">
        <v>141860096</v>
      </c>
      <c r="F177" s="9" t="n">
        <v>400</v>
      </c>
      <c r="G177" s="9" t="n">
        <v>72675000</v>
      </c>
      <c r="H177" s="9" t="n">
        <v>245</v>
      </c>
      <c r="I177" s="9" t="n">
        <v>44862468</v>
      </c>
      <c r="J177" s="9" t="n">
        <v>925</v>
      </c>
      <c r="K177" s="9" t="n">
        <v>169672628</v>
      </c>
      <c r="L177" s="197" t="n">
        <f aca="false">K177/J177</f>
        <v>183429.868108108</v>
      </c>
    </row>
    <row r="178" customFormat="false" ht="12.75" hidden="false" customHeight="false" outlineLevel="0" collapsed="false">
      <c r="A178" s="7" t="s">
        <v>186</v>
      </c>
      <c r="B178" s="7" t="n">
        <v>12</v>
      </c>
      <c r="C178" s="7"/>
      <c r="D178" s="9" t="n">
        <v>1555</v>
      </c>
      <c r="E178" s="9" t="n">
        <v>69495853</v>
      </c>
      <c r="F178" s="9" t="n">
        <v>3000</v>
      </c>
      <c r="G178" s="9" t="n">
        <v>139764792</v>
      </c>
      <c r="H178" s="9" t="n">
        <v>160</v>
      </c>
      <c r="I178" s="9" t="n">
        <v>6778913</v>
      </c>
      <c r="J178" s="9" t="n">
        <v>4395</v>
      </c>
      <c r="K178" s="9" t="n">
        <v>202481732</v>
      </c>
      <c r="L178" s="197" t="n">
        <f aca="false">K178/J178</f>
        <v>46070.9287827076</v>
      </c>
    </row>
    <row r="179" customFormat="false" ht="12.75" hidden="false" customHeight="false" outlineLevel="0" collapsed="false">
      <c r="A179" s="7" t="s">
        <v>187</v>
      </c>
      <c r="B179" s="7" t="n">
        <v>12</v>
      </c>
      <c r="C179" s="7"/>
      <c r="D179" s="9" t="n">
        <v>973</v>
      </c>
      <c r="E179" s="9" t="n">
        <v>34563746</v>
      </c>
      <c r="F179" s="9" t="n">
        <v>0</v>
      </c>
      <c r="G179" s="9" t="n">
        <v>0</v>
      </c>
      <c r="H179" s="9" t="n">
        <v>130</v>
      </c>
      <c r="I179" s="9" t="n">
        <v>4689892</v>
      </c>
      <c r="J179" s="9" t="n">
        <v>843</v>
      </c>
      <c r="K179" s="9" t="n">
        <v>29873854</v>
      </c>
      <c r="L179" s="197" t="n">
        <f aca="false">K179/J179</f>
        <v>35437.5492289443</v>
      </c>
    </row>
    <row r="180" customFormat="false" ht="12.75" hidden="false" customHeight="false" outlineLevel="0" collapsed="false">
      <c r="A180" s="7" t="s">
        <v>188</v>
      </c>
      <c r="B180" s="7" t="n">
        <v>12</v>
      </c>
      <c r="C180" s="7"/>
      <c r="D180" s="9" t="n">
        <v>7616</v>
      </c>
      <c r="E180" s="9" t="n">
        <v>1284172909</v>
      </c>
      <c r="F180" s="9" t="n">
        <v>4500</v>
      </c>
      <c r="G180" s="9" t="n">
        <v>816216250</v>
      </c>
      <c r="H180" s="9" t="n">
        <v>3709</v>
      </c>
      <c r="I180" s="9" t="n">
        <v>754127000</v>
      </c>
      <c r="J180" s="9" t="n">
        <v>8407</v>
      </c>
      <c r="K180" s="9" t="n">
        <v>1346262159</v>
      </c>
      <c r="L180" s="197" t="n">
        <f aca="false">K180/J180</f>
        <v>160135.858094445</v>
      </c>
    </row>
    <row r="181" customFormat="false" ht="12.75" hidden="false" customHeight="false" outlineLevel="0" collapsed="false">
      <c r="A181" s="7" t="s">
        <v>189</v>
      </c>
      <c r="B181" s="7" t="n">
        <v>12</v>
      </c>
      <c r="C181" s="7"/>
      <c r="D181" s="9" t="n">
        <v>690</v>
      </c>
      <c r="E181" s="9" t="n">
        <v>30148907</v>
      </c>
      <c r="F181" s="9" t="n">
        <v>0</v>
      </c>
      <c r="G181" s="9" t="n">
        <v>0</v>
      </c>
      <c r="H181" s="9" t="n">
        <v>135</v>
      </c>
      <c r="I181" s="9" t="n">
        <v>5958168</v>
      </c>
      <c r="J181" s="9" t="n">
        <v>555</v>
      </c>
      <c r="K181" s="9" t="n">
        <v>24190739</v>
      </c>
      <c r="L181" s="197" t="n">
        <f aca="false">K181/J181</f>
        <v>43586.9171171171</v>
      </c>
    </row>
    <row r="182" customFormat="false" ht="12.75" hidden="false" customHeight="false" outlineLevel="0" collapsed="false">
      <c r="A182" s="7" t="s">
        <v>190</v>
      </c>
      <c r="B182" s="7" t="n">
        <v>12</v>
      </c>
      <c r="C182" s="7"/>
      <c r="D182" s="9" t="n">
        <v>11502</v>
      </c>
      <c r="E182" s="9" t="n">
        <v>332240556</v>
      </c>
      <c r="F182" s="9" t="n">
        <v>3150</v>
      </c>
      <c r="G182" s="9" t="n">
        <v>90972000</v>
      </c>
      <c r="H182" s="9" t="n">
        <v>9915</v>
      </c>
      <c r="I182" s="9" t="n">
        <v>286291540</v>
      </c>
      <c r="J182" s="9" t="n">
        <v>4737</v>
      </c>
      <c r="K182" s="9" t="n">
        <v>136921016</v>
      </c>
      <c r="L182" s="197" t="n">
        <f aca="false">K182/J182</f>
        <v>28904.5843360777</v>
      </c>
    </row>
    <row r="183" customFormat="false" ht="12.75" hidden="false" customHeight="false" outlineLevel="0" collapsed="false">
      <c r="A183" s="7" t="s">
        <v>191</v>
      </c>
      <c r="B183" s="7" t="n">
        <v>12</v>
      </c>
      <c r="C183" s="7"/>
      <c r="D183" s="9" t="n">
        <v>15969</v>
      </c>
      <c r="E183" s="9" t="n">
        <v>459112502</v>
      </c>
      <c r="F183" s="9" t="n">
        <v>65615</v>
      </c>
      <c r="G183" s="9" t="n">
        <v>1833319500</v>
      </c>
      <c r="H183" s="9" t="n">
        <v>34869</v>
      </c>
      <c r="I183" s="9" t="n">
        <v>1123236500</v>
      </c>
      <c r="J183" s="9" t="n">
        <v>46715</v>
      </c>
      <c r="K183" s="9" t="n">
        <v>1169195502</v>
      </c>
      <c r="L183" s="197" t="n">
        <f aca="false">K183/J183</f>
        <v>25028.2671946912</v>
      </c>
    </row>
    <row r="184" customFormat="false" ht="12.75" hidden="false" customHeight="false" outlineLevel="0" collapsed="false">
      <c r="A184" s="7" t="s">
        <v>192</v>
      </c>
      <c r="B184" s="7" t="n">
        <v>12</v>
      </c>
      <c r="C184" s="7"/>
      <c r="D184" s="9" t="n">
        <v>10975</v>
      </c>
      <c r="E184" s="9" t="n">
        <v>79007874</v>
      </c>
      <c r="F184" s="9" t="n">
        <v>0</v>
      </c>
      <c r="G184" s="9" t="n">
        <v>0</v>
      </c>
      <c r="H184" s="9" t="n">
        <v>4640</v>
      </c>
      <c r="I184" s="9" t="n">
        <v>33402873</v>
      </c>
      <c r="J184" s="9" t="n">
        <v>6335</v>
      </c>
      <c r="K184" s="9" t="n">
        <v>45605001</v>
      </c>
      <c r="L184" s="197" t="n">
        <f aca="false">K184/J184</f>
        <v>7198.89518547751</v>
      </c>
    </row>
    <row r="185" customFormat="false" ht="12.75" hidden="false" customHeight="false" outlineLevel="0" collapsed="false">
      <c r="A185" s="7" t="s">
        <v>193</v>
      </c>
      <c r="B185" s="7" t="n">
        <v>12</v>
      </c>
      <c r="C185" s="7"/>
      <c r="D185" s="9" t="n">
        <v>0</v>
      </c>
      <c r="E185" s="9" t="n">
        <v>0</v>
      </c>
      <c r="F185" s="9" t="n">
        <v>250</v>
      </c>
      <c r="G185" s="9" t="n">
        <v>53642625</v>
      </c>
      <c r="H185" s="9" t="n">
        <v>0</v>
      </c>
      <c r="I185" s="9" t="n">
        <v>0</v>
      </c>
      <c r="J185" s="9" t="n">
        <v>250</v>
      </c>
      <c r="K185" s="9" t="n">
        <v>53642625</v>
      </c>
      <c r="L185" s="197" t="n">
        <f aca="false">K185/J185</f>
        <v>214570.5</v>
      </c>
    </row>
    <row r="186" customFormat="false" ht="12.75" hidden="false" customHeight="false" outlineLevel="0" collapsed="false">
      <c r="A186" s="7" t="s">
        <v>194</v>
      </c>
      <c r="B186" s="7" t="n">
        <v>12</v>
      </c>
      <c r="C186" s="7"/>
      <c r="D186" s="9" t="n">
        <v>131535</v>
      </c>
      <c r="E186" s="9" t="n">
        <v>626836099</v>
      </c>
      <c r="F186" s="9" t="n">
        <v>273861</v>
      </c>
      <c r="G186" s="9" t="n">
        <v>1931160000</v>
      </c>
      <c r="H186" s="9" t="n">
        <v>162030</v>
      </c>
      <c r="I186" s="9" t="n">
        <v>1303281000</v>
      </c>
      <c r="J186" s="9" t="n">
        <v>243366</v>
      </c>
      <c r="K186" s="9" t="n">
        <v>1254715099</v>
      </c>
      <c r="L186" s="197" t="n">
        <f aca="false">K186/J186</f>
        <v>5155.67128933376</v>
      </c>
    </row>
    <row r="187" customFormat="false" ht="12.75" hidden="false" customHeight="false" outlineLevel="0" collapsed="false">
      <c r="A187" s="7" t="s">
        <v>195</v>
      </c>
      <c r="B187" s="7" t="n">
        <v>12</v>
      </c>
      <c r="C187" s="7"/>
      <c r="D187" s="9" t="n">
        <v>0</v>
      </c>
      <c r="E187" s="9" t="n">
        <v>0</v>
      </c>
      <c r="F187" s="9" t="n">
        <v>11200</v>
      </c>
      <c r="G187" s="9" t="n">
        <v>2411276207</v>
      </c>
      <c r="H187" s="9" t="n">
        <v>1395</v>
      </c>
      <c r="I187" s="9" t="n">
        <v>303268263</v>
      </c>
      <c r="J187" s="9" t="n">
        <v>9805</v>
      </c>
      <c r="K187" s="9" t="n">
        <v>2108007944</v>
      </c>
      <c r="L187" s="197" t="n">
        <f aca="false">K187/J187</f>
        <v>214993.161040286</v>
      </c>
    </row>
    <row r="188" customFormat="false" ht="12.75" hidden="false" customHeight="false" outlineLevel="0" collapsed="false">
      <c r="A188" s="7" t="s">
        <v>196</v>
      </c>
      <c r="B188" s="7" t="n">
        <v>12</v>
      </c>
      <c r="C188" s="7"/>
      <c r="D188" s="9" t="n">
        <v>0</v>
      </c>
      <c r="E188" s="9" t="n">
        <v>0</v>
      </c>
      <c r="F188" s="9" t="n">
        <v>0</v>
      </c>
      <c r="G188" s="9" t="n">
        <v>0</v>
      </c>
      <c r="H188" s="9" t="n">
        <v>0</v>
      </c>
      <c r="I188" s="9" t="n">
        <v>0</v>
      </c>
      <c r="J188" s="9" t="n">
        <v>0</v>
      </c>
      <c r="K188" s="9" t="n">
        <v>0</v>
      </c>
    </row>
    <row r="189" customFormat="false" ht="12.75" hidden="false" customHeight="false" outlineLevel="0" collapsed="false">
      <c r="A189" s="7" t="s">
        <v>197</v>
      </c>
      <c r="B189" s="7" t="n">
        <v>12</v>
      </c>
      <c r="C189" s="7"/>
      <c r="D189" s="9" t="n">
        <v>1170</v>
      </c>
      <c r="E189" s="9" t="n">
        <v>8433374</v>
      </c>
      <c r="F189" s="9" t="n">
        <v>0</v>
      </c>
      <c r="G189" s="9" t="n">
        <v>0</v>
      </c>
      <c r="H189" s="9" t="n">
        <v>20</v>
      </c>
      <c r="I189" s="9" t="n">
        <v>144160</v>
      </c>
      <c r="J189" s="9" t="n">
        <v>1150</v>
      </c>
      <c r="K189" s="9" t="n">
        <v>8289214</v>
      </c>
      <c r="L189" s="197" t="n">
        <f aca="false">K189/J189</f>
        <v>7208.01217391304</v>
      </c>
    </row>
    <row r="190" customFormat="false" ht="12.75" hidden="false" customHeight="false" outlineLevel="0" collapsed="false">
      <c r="A190" s="7" t="s">
        <v>198</v>
      </c>
      <c r="B190" s="7" t="n">
        <v>12</v>
      </c>
      <c r="C190" s="7"/>
      <c r="D190" s="9" t="n">
        <v>0</v>
      </c>
      <c r="E190" s="9" t="n">
        <v>0</v>
      </c>
      <c r="F190" s="9" t="n">
        <v>0</v>
      </c>
      <c r="G190" s="9" t="n">
        <v>0</v>
      </c>
      <c r="H190" s="9" t="n">
        <v>0</v>
      </c>
      <c r="I190" s="9" t="n">
        <v>0</v>
      </c>
      <c r="J190" s="9" t="n">
        <v>0</v>
      </c>
      <c r="K190" s="9" t="n">
        <v>0</v>
      </c>
    </row>
    <row r="191" customFormat="false" ht="12.75" hidden="false" customHeight="false" outlineLevel="0" collapsed="false">
      <c r="A191" s="7" t="s">
        <v>199</v>
      </c>
      <c r="B191" s="7" t="n">
        <v>12</v>
      </c>
      <c r="C191" s="7"/>
      <c r="D191" s="9" t="n">
        <v>77684</v>
      </c>
      <c r="E191" s="9" t="n">
        <v>588888</v>
      </c>
      <c r="F191" s="9" t="n">
        <v>24</v>
      </c>
      <c r="G191" s="9" t="n">
        <v>588888</v>
      </c>
      <c r="H191" s="9" t="n">
        <v>0</v>
      </c>
      <c r="I191" s="9" t="n">
        <v>0</v>
      </c>
      <c r="J191" s="9" t="n">
        <v>77708</v>
      </c>
      <c r="K191" s="9" t="n">
        <v>1177776</v>
      </c>
      <c r="L191" s="197" t="n">
        <f aca="false">K191/J191</f>
        <v>15.1564317702167</v>
      </c>
      <c r="M191" s="209"/>
      <c r="N191" s="210"/>
    </row>
    <row r="192" customFormat="false" ht="12.75" hidden="false" customHeight="false" outlineLevel="0" collapsed="false">
      <c r="A192" s="7" t="s">
        <v>200</v>
      </c>
      <c r="B192" s="7" t="n">
        <v>12</v>
      </c>
      <c r="C192" s="7"/>
      <c r="D192" s="9" t="n">
        <v>144</v>
      </c>
      <c r="E192" s="9" t="n">
        <v>1037304</v>
      </c>
      <c r="F192" s="9" t="n">
        <v>0</v>
      </c>
      <c r="G192" s="9" t="n">
        <v>0</v>
      </c>
      <c r="H192" s="9" t="n">
        <v>0</v>
      </c>
      <c r="I192" s="9" t="n">
        <v>0</v>
      </c>
      <c r="J192" s="9" t="n">
        <v>144</v>
      </c>
      <c r="K192" s="9" t="n">
        <v>1037304</v>
      </c>
      <c r="L192" s="197" t="n">
        <f aca="false">K192/J192</f>
        <v>7203.5</v>
      </c>
    </row>
    <row r="193" s="202" customFormat="true" ht="12.75" hidden="false" customHeight="false" outlineLevel="0" collapsed="false">
      <c r="A193" s="199" t="s">
        <v>201</v>
      </c>
      <c r="B193" s="199" t="n">
        <v>12</v>
      </c>
      <c r="C193" s="199"/>
      <c r="D193" s="200" t="n">
        <v>1080</v>
      </c>
      <c r="E193" s="200" t="n">
        <v>18601167</v>
      </c>
      <c r="F193" s="200" t="n">
        <v>210</v>
      </c>
      <c r="G193" s="200" t="n">
        <v>4375050</v>
      </c>
      <c r="H193" s="200" t="n">
        <v>720</v>
      </c>
      <c r="I193" s="200" t="n">
        <v>11396768</v>
      </c>
      <c r="J193" s="200" t="n">
        <f aca="false">D193+F193-H193</f>
        <v>570</v>
      </c>
      <c r="K193" s="200" t="n">
        <f aca="false">E193+G193-I193</f>
        <v>11579449</v>
      </c>
      <c r="L193" s="197" t="n">
        <f aca="false">K193/J193</f>
        <v>20314.8228070175</v>
      </c>
      <c r="M193" s="201"/>
      <c r="N193" s="211"/>
      <c r="O193" s="211"/>
      <c r="P193" s="211"/>
      <c r="Q193" s="211"/>
    </row>
    <row r="194" customFormat="false" ht="12.75" hidden="false" customHeight="false" outlineLevel="0" collapsed="false">
      <c r="A194" s="7" t="s">
        <v>202</v>
      </c>
      <c r="B194" s="7" t="n">
        <v>12</v>
      </c>
      <c r="C194" s="7"/>
      <c r="D194" s="9" t="n">
        <v>0</v>
      </c>
      <c r="E194" s="9" t="n">
        <v>0</v>
      </c>
      <c r="F194" s="9" t="n">
        <v>72</v>
      </c>
      <c r="G194" s="9" t="n">
        <v>1857744</v>
      </c>
      <c r="H194" s="9" t="n">
        <v>0</v>
      </c>
      <c r="I194" s="9" t="n">
        <v>0</v>
      </c>
      <c r="J194" s="9" t="n">
        <v>72</v>
      </c>
      <c r="K194" s="9" t="n">
        <v>1857744</v>
      </c>
      <c r="L194" s="197" t="n">
        <f aca="false">K194/J194</f>
        <v>25802</v>
      </c>
    </row>
    <row r="195" customFormat="false" ht="12.75" hidden="false" customHeight="false" outlineLevel="0" collapsed="false">
      <c r="A195" s="7" t="s">
        <v>203</v>
      </c>
      <c r="B195" s="7" t="n">
        <v>12</v>
      </c>
      <c r="C195" s="7"/>
      <c r="D195" s="9" t="n">
        <v>5208</v>
      </c>
      <c r="E195" s="9" t="n">
        <v>58948499</v>
      </c>
      <c r="F195" s="9" t="n">
        <v>360</v>
      </c>
      <c r="G195" s="9" t="n">
        <v>4225320</v>
      </c>
      <c r="H195" s="9" t="n">
        <v>4650</v>
      </c>
      <c r="I195" s="9" t="n">
        <v>52758308</v>
      </c>
      <c r="J195" s="9" t="n">
        <v>918</v>
      </c>
      <c r="K195" s="9" t="n">
        <v>10415511</v>
      </c>
      <c r="L195" s="197" t="n">
        <f aca="false">K195/J195</f>
        <v>11345.8725490196</v>
      </c>
    </row>
    <row r="196" customFormat="false" ht="12.75" hidden="false" customHeight="false" outlineLevel="0" collapsed="false">
      <c r="A196" s="7" t="s">
        <v>204</v>
      </c>
      <c r="B196" s="7" t="n">
        <v>12</v>
      </c>
      <c r="C196" s="7"/>
      <c r="D196" s="9" t="n">
        <v>12491</v>
      </c>
      <c r="E196" s="9" t="n">
        <v>384147850</v>
      </c>
      <c r="F196" s="9" t="n">
        <v>914</v>
      </c>
      <c r="G196" s="9" t="n">
        <v>0</v>
      </c>
      <c r="H196" s="9" t="n">
        <v>4948</v>
      </c>
      <c r="I196" s="9" t="n">
        <v>160810000</v>
      </c>
      <c r="J196" s="9" t="n">
        <v>8457</v>
      </c>
      <c r="K196" s="9" t="n">
        <v>223337850</v>
      </c>
      <c r="L196" s="197" t="n">
        <f aca="false">K196/J196</f>
        <v>26408.637814828</v>
      </c>
    </row>
    <row r="197" customFormat="false" ht="12.75" hidden="false" customHeight="false" outlineLevel="0" collapsed="false">
      <c r="A197" s="7" t="s">
        <v>205</v>
      </c>
      <c r="B197" s="7" t="n">
        <v>12</v>
      </c>
      <c r="C197" s="7"/>
      <c r="D197" s="9" t="n">
        <v>820</v>
      </c>
      <c r="E197" s="9" t="n">
        <v>49022428</v>
      </c>
      <c r="F197" s="9" t="n">
        <v>0</v>
      </c>
      <c r="G197" s="9" t="n">
        <v>0</v>
      </c>
      <c r="H197" s="9" t="n">
        <v>630</v>
      </c>
      <c r="I197" s="9" t="n">
        <v>37663574</v>
      </c>
      <c r="J197" s="9" t="n">
        <v>190</v>
      </c>
      <c r="K197" s="9" t="n">
        <v>11358854</v>
      </c>
      <c r="L197" s="197" t="n">
        <f aca="false">K197/J197</f>
        <v>59783.4421052632</v>
      </c>
    </row>
    <row r="198" customFormat="false" ht="12.75" hidden="false" customHeight="false" outlineLevel="0" collapsed="false">
      <c r="A198" s="7" t="s">
        <v>206</v>
      </c>
      <c r="B198" s="7" t="n">
        <v>12</v>
      </c>
      <c r="C198" s="7"/>
      <c r="D198" s="9" t="n">
        <v>814</v>
      </c>
      <c r="E198" s="9" t="n">
        <v>26110276</v>
      </c>
      <c r="F198" s="9" t="n">
        <v>192</v>
      </c>
      <c r="G198" s="9" t="n">
        <v>6309812</v>
      </c>
      <c r="H198" s="9" t="n">
        <v>646</v>
      </c>
      <c r="I198" s="9" t="n">
        <v>20818466</v>
      </c>
      <c r="J198" s="9" t="n">
        <v>360</v>
      </c>
      <c r="K198" s="9" t="n">
        <v>11601622</v>
      </c>
      <c r="L198" s="197" t="n">
        <f aca="false">K198/J198</f>
        <v>32226.7277777778</v>
      </c>
    </row>
    <row r="199" customFormat="false" ht="12.75" hidden="false" customHeight="false" outlineLevel="0" collapsed="false">
      <c r="A199" s="7" t="s">
        <v>207</v>
      </c>
      <c r="B199" s="7" t="n">
        <v>12</v>
      </c>
      <c r="C199" s="7"/>
      <c r="D199" s="9" t="n">
        <v>1728</v>
      </c>
      <c r="E199" s="9" t="n">
        <v>3454644</v>
      </c>
      <c r="F199" s="9" t="n">
        <v>936</v>
      </c>
      <c r="G199" s="9" t="n">
        <v>0</v>
      </c>
      <c r="H199" s="9" t="n">
        <v>30</v>
      </c>
      <c r="I199" s="9" t="n">
        <v>38904</v>
      </c>
      <c r="J199" s="9" t="n">
        <v>2634</v>
      </c>
      <c r="K199" s="9" t="n">
        <v>3415740</v>
      </c>
      <c r="L199" s="197" t="n">
        <f aca="false">K199/J199</f>
        <v>1296.78815489749</v>
      </c>
    </row>
    <row r="200" customFormat="false" ht="12.75" hidden="false" customHeight="false" outlineLevel="0" collapsed="false">
      <c r="A200" s="7" t="s">
        <v>208</v>
      </c>
      <c r="B200" s="7" t="n">
        <v>12</v>
      </c>
      <c r="C200" s="7"/>
      <c r="D200" s="9" t="n">
        <v>13</v>
      </c>
      <c r="E200" s="9" t="n">
        <v>107765</v>
      </c>
      <c r="F200" s="9" t="n">
        <v>432</v>
      </c>
      <c r="G200" s="9" t="n">
        <v>4525632</v>
      </c>
      <c r="H200" s="9" t="n">
        <v>240</v>
      </c>
      <c r="I200" s="9" t="n">
        <v>2498911</v>
      </c>
      <c r="J200" s="9" t="n">
        <v>205</v>
      </c>
      <c r="K200" s="9" t="n">
        <v>2134486</v>
      </c>
      <c r="L200" s="197" t="n">
        <f aca="false">K200/J200</f>
        <v>10412.1268292683</v>
      </c>
    </row>
    <row r="201" customFormat="false" ht="12.75" hidden="false" customHeight="false" outlineLevel="0" collapsed="false">
      <c r="A201" s="7" t="s">
        <v>209</v>
      </c>
      <c r="B201" s="7" t="n">
        <v>12</v>
      </c>
      <c r="C201" s="7"/>
      <c r="D201" s="9" t="n">
        <v>60</v>
      </c>
      <c r="E201" s="9" t="n">
        <v>3504600</v>
      </c>
      <c r="F201" s="9" t="n">
        <v>36</v>
      </c>
      <c r="G201" s="9" t="n">
        <v>2102760</v>
      </c>
      <c r="H201" s="9" t="n">
        <v>20</v>
      </c>
      <c r="I201" s="9" t="n">
        <v>1168200</v>
      </c>
      <c r="J201" s="9" t="n">
        <v>76</v>
      </c>
      <c r="K201" s="9" t="n">
        <v>4439160</v>
      </c>
      <c r="L201" s="197" t="n">
        <f aca="false">K201/J201</f>
        <v>58410</v>
      </c>
    </row>
    <row r="202" customFormat="false" ht="12.75" hidden="false" customHeight="false" outlineLevel="0" collapsed="false">
      <c r="A202" s="7" t="s">
        <v>210</v>
      </c>
      <c r="B202" s="7" t="n">
        <v>12</v>
      </c>
      <c r="C202" s="7"/>
      <c r="D202" s="9" t="n">
        <v>625</v>
      </c>
      <c r="E202" s="9" t="n">
        <v>6930861</v>
      </c>
      <c r="F202" s="9" t="n">
        <v>0</v>
      </c>
      <c r="G202" s="9" t="n">
        <v>0</v>
      </c>
      <c r="H202" s="9" t="n">
        <v>0</v>
      </c>
      <c r="I202" s="9" t="n">
        <v>0</v>
      </c>
      <c r="J202" s="9" t="n">
        <v>625</v>
      </c>
      <c r="K202" s="9" t="n">
        <v>6930861</v>
      </c>
      <c r="L202" s="197" t="n">
        <f aca="false">K202/J202</f>
        <v>11089.3776</v>
      </c>
    </row>
    <row r="203" customFormat="false" ht="12.75" hidden="false" customHeight="false" outlineLevel="0" collapsed="false">
      <c r="A203" s="7" t="s">
        <v>211</v>
      </c>
      <c r="B203" s="7" t="n">
        <v>12</v>
      </c>
      <c r="C203" s="7"/>
      <c r="D203" s="9" t="n">
        <v>0</v>
      </c>
      <c r="E203" s="9" t="n">
        <v>0</v>
      </c>
      <c r="F203" s="9" t="n">
        <v>144</v>
      </c>
      <c r="G203" s="9" t="n">
        <v>2133360</v>
      </c>
      <c r="H203" s="9" t="n">
        <v>0</v>
      </c>
      <c r="I203" s="9" t="n">
        <v>0</v>
      </c>
      <c r="J203" s="9" t="n">
        <v>144</v>
      </c>
      <c r="K203" s="9" t="n">
        <v>2133360</v>
      </c>
      <c r="L203" s="197" t="n">
        <f aca="false">K203/J203</f>
        <v>14815</v>
      </c>
    </row>
    <row r="204" customFormat="false" ht="12.75" hidden="false" customHeight="false" outlineLevel="0" collapsed="false">
      <c r="A204" s="7" t="s">
        <v>212</v>
      </c>
      <c r="B204" s="7" t="n">
        <v>12</v>
      </c>
      <c r="C204" s="7"/>
      <c r="D204" s="9" t="n">
        <v>33249</v>
      </c>
      <c r="E204" s="9" t="n">
        <v>411726334</v>
      </c>
      <c r="F204" s="9" t="n">
        <v>6084</v>
      </c>
      <c r="G204" s="9" t="n">
        <v>40227840</v>
      </c>
      <c r="H204" s="9" t="n">
        <v>18586</v>
      </c>
      <c r="I204" s="9" t="n">
        <v>234183600</v>
      </c>
      <c r="J204" s="9" t="n">
        <v>20747</v>
      </c>
      <c r="K204" s="9" t="n">
        <v>217770574</v>
      </c>
      <c r="L204" s="197" t="n">
        <f aca="false">K204/J204</f>
        <v>10496.4849857811</v>
      </c>
    </row>
    <row r="205" customFormat="false" ht="12.75" hidden="false" customHeight="false" outlineLevel="0" collapsed="false">
      <c r="A205" s="7" t="s">
        <v>213</v>
      </c>
      <c r="B205" s="7" t="n">
        <v>12</v>
      </c>
      <c r="C205" s="7"/>
      <c r="D205" s="9" t="n">
        <v>3820</v>
      </c>
      <c r="E205" s="9" t="n">
        <v>76529330</v>
      </c>
      <c r="F205" s="9" t="n">
        <v>0</v>
      </c>
      <c r="G205" s="9" t="n">
        <v>0</v>
      </c>
      <c r="H205" s="9" t="n">
        <v>2346</v>
      </c>
      <c r="I205" s="9" t="n">
        <v>46999426</v>
      </c>
      <c r="J205" s="9" t="n">
        <v>1474</v>
      </c>
      <c r="K205" s="9" t="n">
        <v>29529904</v>
      </c>
      <c r="L205" s="197" t="n">
        <f aca="false">K205/J205</f>
        <v>20033.8561736771</v>
      </c>
    </row>
    <row r="206" customFormat="false" ht="12.75" hidden="false" customHeight="false" outlineLevel="0" collapsed="false">
      <c r="A206" s="7" t="s">
        <v>214</v>
      </c>
      <c r="B206" s="7" t="n">
        <v>12</v>
      </c>
      <c r="C206" s="7"/>
      <c r="D206" s="9" t="n">
        <v>9946</v>
      </c>
      <c r="E206" s="9" t="n">
        <v>217056384</v>
      </c>
      <c r="F206" s="9" t="n">
        <v>11664</v>
      </c>
      <c r="G206" s="9" t="n">
        <v>287377632</v>
      </c>
      <c r="H206" s="9" t="n">
        <v>10742</v>
      </c>
      <c r="I206" s="9" t="n">
        <v>266401600</v>
      </c>
      <c r="J206" s="9" t="n">
        <v>10868</v>
      </c>
      <c r="K206" s="9" t="n">
        <v>238032416</v>
      </c>
      <c r="L206" s="197" t="n">
        <f aca="false">K206/J206</f>
        <v>21902.1361796099</v>
      </c>
    </row>
    <row r="207" customFormat="false" ht="12.75" hidden="false" customHeight="false" outlineLevel="0" collapsed="false">
      <c r="A207" s="7" t="s">
        <v>215</v>
      </c>
      <c r="B207" s="7" t="n">
        <v>12</v>
      </c>
      <c r="C207" s="7"/>
      <c r="D207" s="9" t="n">
        <v>2800</v>
      </c>
      <c r="E207" s="9" t="n">
        <v>111956379</v>
      </c>
      <c r="F207" s="9" t="n">
        <v>0</v>
      </c>
      <c r="G207" s="9" t="n">
        <v>0</v>
      </c>
      <c r="H207" s="9" t="n">
        <v>2203</v>
      </c>
      <c r="I207" s="9" t="n">
        <v>88085680</v>
      </c>
      <c r="J207" s="9" t="n">
        <v>597</v>
      </c>
      <c r="K207" s="9" t="n">
        <v>23870699</v>
      </c>
      <c r="L207" s="197" t="n">
        <f aca="false">K207/J207</f>
        <v>39984.4204355109</v>
      </c>
    </row>
    <row r="208" customFormat="false" ht="12.75" hidden="false" customHeight="false" outlineLevel="0" collapsed="false">
      <c r="A208" s="7" t="s">
        <v>216</v>
      </c>
      <c r="B208" s="7" t="n">
        <v>12</v>
      </c>
      <c r="C208" s="7"/>
      <c r="D208" s="9" t="n">
        <v>0</v>
      </c>
      <c r="E208" s="9" t="n">
        <v>0</v>
      </c>
      <c r="F208" s="9" t="n">
        <v>160</v>
      </c>
      <c r="G208" s="9" t="n">
        <v>2778080</v>
      </c>
      <c r="H208" s="9" t="n">
        <v>160</v>
      </c>
      <c r="I208" s="9" t="n">
        <v>2778080</v>
      </c>
      <c r="J208" s="9" t="n">
        <v>0</v>
      </c>
      <c r="K208" s="9" t="n">
        <v>0</v>
      </c>
    </row>
    <row r="209" customFormat="false" ht="12.75" hidden="false" customHeight="false" outlineLevel="0" collapsed="false">
      <c r="A209" s="7" t="s">
        <v>217</v>
      </c>
      <c r="B209" s="7" t="n">
        <v>12</v>
      </c>
      <c r="C209" s="7"/>
      <c r="D209" s="9" t="n">
        <v>10</v>
      </c>
      <c r="E209" s="9" t="n">
        <v>1775003</v>
      </c>
      <c r="F209" s="9" t="n">
        <v>80</v>
      </c>
      <c r="G209" s="9" t="n">
        <v>14456000</v>
      </c>
      <c r="H209" s="9" t="n">
        <v>0</v>
      </c>
      <c r="I209" s="9" t="n">
        <v>0</v>
      </c>
      <c r="J209" s="9" t="n">
        <v>90</v>
      </c>
      <c r="K209" s="9" t="n">
        <v>16231003</v>
      </c>
      <c r="L209" s="197" t="n">
        <f aca="false">K209/J209</f>
        <v>180344.477777778</v>
      </c>
    </row>
    <row r="210" customFormat="false" ht="12.75" hidden="false" customHeight="false" outlineLevel="0" collapsed="false">
      <c r="A210" s="7" t="s">
        <v>218</v>
      </c>
      <c r="B210" s="7" t="n">
        <v>12</v>
      </c>
      <c r="C210" s="7"/>
      <c r="D210" s="9" t="n">
        <v>0</v>
      </c>
      <c r="E210" s="9" t="n">
        <v>0</v>
      </c>
      <c r="F210" s="9" t="n">
        <v>50</v>
      </c>
      <c r="G210" s="9" t="n">
        <v>11800000</v>
      </c>
      <c r="H210" s="9" t="n">
        <v>0</v>
      </c>
      <c r="I210" s="9" t="n">
        <v>0</v>
      </c>
      <c r="J210" s="9" t="n">
        <v>50</v>
      </c>
      <c r="K210" s="9" t="n">
        <v>11800000</v>
      </c>
      <c r="L210" s="197" t="n">
        <f aca="false">K210/J210</f>
        <v>236000</v>
      </c>
    </row>
    <row r="211" customFormat="false" ht="12.75" hidden="false" customHeight="false" outlineLevel="0" collapsed="false">
      <c r="A211" s="7" t="s">
        <v>219</v>
      </c>
      <c r="B211" s="7" t="n">
        <v>12</v>
      </c>
      <c r="C211" s="7"/>
      <c r="D211" s="9" t="n">
        <v>0</v>
      </c>
      <c r="E211" s="9" t="n">
        <v>0</v>
      </c>
      <c r="F211" s="9" t="n">
        <v>30</v>
      </c>
      <c r="G211" s="9" t="n">
        <v>7080000</v>
      </c>
      <c r="H211" s="9" t="n">
        <v>0</v>
      </c>
      <c r="I211" s="9" t="n">
        <v>0</v>
      </c>
      <c r="J211" s="9" t="n">
        <v>30</v>
      </c>
      <c r="K211" s="9" t="n">
        <v>7080000</v>
      </c>
      <c r="L211" s="197" t="n">
        <f aca="false">K211/J211</f>
        <v>236000</v>
      </c>
    </row>
    <row r="212" customFormat="false" ht="12.75" hidden="false" customHeight="false" outlineLevel="0" collapsed="false">
      <c r="A212" s="7" t="s">
        <v>220</v>
      </c>
      <c r="B212" s="7" t="n">
        <v>12</v>
      </c>
      <c r="C212" s="7"/>
      <c r="D212" s="9" t="n">
        <v>0</v>
      </c>
      <c r="E212" s="9" t="n">
        <v>0</v>
      </c>
      <c r="F212" s="9" t="n">
        <v>72</v>
      </c>
      <c r="G212" s="9" t="n">
        <v>1847966</v>
      </c>
      <c r="H212" s="9" t="n">
        <v>0</v>
      </c>
      <c r="I212" s="9" t="n">
        <v>0</v>
      </c>
      <c r="J212" s="9" t="n">
        <v>72</v>
      </c>
      <c r="K212" s="9" t="n">
        <v>1847966</v>
      </c>
      <c r="L212" s="197" t="n">
        <f aca="false">K212/J212</f>
        <v>25666.1944444444</v>
      </c>
    </row>
    <row r="213" customFormat="false" ht="12.75" hidden="false" customHeight="false" outlineLevel="0" collapsed="false">
      <c r="A213" s="7" t="s">
        <v>221</v>
      </c>
      <c r="B213" s="7" t="n">
        <v>12</v>
      </c>
      <c r="C213" s="7"/>
      <c r="D213" s="9" t="n">
        <v>4178</v>
      </c>
      <c r="E213" s="9" t="n">
        <v>81823781</v>
      </c>
      <c r="F213" s="9" t="n">
        <v>1656</v>
      </c>
      <c r="G213" s="9" t="n">
        <v>32608296</v>
      </c>
      <c r="H213" s="9" t="n">
        <v>1904</v>
      </c>
      <c r="I213" s="9" t="n">
        <v>37346362</v>
      </c>
      <c r="J213" s="9" t="n">
        <v>3930</v>
      </c>
      <c r="K213" s="9" t="n">
        <v>77085715</v>
      </c>
      <c r="L213" s="197" t="n">
        <f aca="false">K213/J213</f>
        <v>19614.6857506361</v>
      </c>
    </row>
    <row r="214" customFormat="false" ht="12.75" hidden="false" customHeight="false" outlineLevel="0" collapsed="false">
      <c r="A214" s="7" t="s">
        <v>222</v>
      </c>
      <c r="B214" s="7" t="n">
        <v>12</v>
      </c>
      <c r="C214" s="7"/>
      <c r="D214" s="9" t="n">
        <v>1066</v>
      </c>
      <c r="E214" s="9" t="n">
        <v>22876165</v>
      </c>
      <c r="F214" s="9" t="n">
        <v>0</v>
      </c>
      <c r="G214" s="9" t="n">
        <v>0</v>
      </c>
      <c r="H214" s="9" t="n">
        <v>174</v>
      </c>
      <c r="I214" s="9" t="n">
        <v>3734008</v>
      </c>
      <c r="J214" s="9" t="n">
        <v>892</v>
      </c>
      <c r="K214" s="9" t="n">
        <v>19142157</v>
      </c>
      <c r="L214" s="197" t="n">
        <f aca="false">K214/J214</f>
        <v>21459.817264574</v>
      </c>
    </row>
    <row r="215" customFormat="false" ht="12.75" hidden="false" customHeight="false" outlineLevel="0" collapsed="false">
      <c r="A215" s="7" t="s">
        <v>223</v>
      </c>
      <c r="B215" s="7" t="n">
        <v>12</v>
      </c>
      <c r="C215" s="7"/>
      <c r="D215" s="9" t="n">
        <v>337</v>
      </c>
      <c r="E215" s="9" t="n">
        <v>14575142</v>
      </c>
      <c r="F215" s="9" t="n">
        <v>0</v>
      </c>
      <c r="G215" s="9" t="n">
        <v>0</v>
      </c>
      <c r="H215" s="9" t="n">
        <v>90</v>
      </c>
      <c r="I215" s="9" t="n">
        <v>3892471</v>
      </c>
      <c r="J215" s="9" t="n">
        <v>247</v>
      </c>
      <c r="K215" s="9" t="n">
        <v>10682671</v>
      </c>
      <c r="L215" s="197" t="n">
        <f aca="false">K215/J215</f>
        <v>43249.6801619433</v>
      </c>
    </row>
    <row r="216" customFormat="false" ht="12.75" hidden="false" customHeight="false" outlineLevel="0" collapsed="false">
      <c r="A216" s="7" t="s">
        <v>224</v>
      </c>
      <c r="B216" s="7" t="n">
        <v>12</v>
      </c>
      <c r="C216" s="7"/>
      <c r="D216" s="9" t="n">
        <v>0</v>
      </c>
      <c r="E216" s="9" t="n">
        <v>0</v>
      </c>
      <c r="F216" s="9" t="n">
        <v>0</v>
      </c>
      <c r="G216" s="9" t="n">
        <v>0</v>
      </c>
      <c r="H216" s="9" t="n">
        <v>0</v>
      </c>
      <c r="I216" s="9" t="n">
        <v>0</v>
      </c>
      <c r="J216" s="9" t="n">
        <v>0</v>
      </c>
      <c r="K216" s="9" t="n">
        <v>0</v>
      </c>
    </row>
    <row r="217" customFormat="false" ht="12.75" hidden="false" customHeight="false" outlineLevel="0" collapsed="false">
      <c r="A217" s="7" t="s">
        <v>225</v>
      </c>
      <c r="B217" s="7" t="n">
        <v>12</v>
      </c>
      <c r="C217" s="7"/>
      <c r="D217" s="9" t="n">
        <v>268</v>
      </c>
      <c r="E217" s="9" t="n">
        <v>5622934</v>
      </c>
      <c r="F217" s="9" t="n">
        <v>144</v>
      </c>
      <c r="G217" s="9" t="n">
        <v>3021278</v>
      </c>
      <c r="H217" s="9" t="n">
        <v>180</v>
      </c>
      <c r="I217" s="9" t="n">
        <v>3776597</v>
      </c>
      <c r="J217" s="9" t="n">
        <v>232</v>
      </c>
      <c r="K217" s="9" t="n">
        <v>4867615</v>
      </c>
      <c r="L217" s="197" t="n">
        <f aca="false">K217/J217</f>
        <v>20981.099137931</v>
      </c>
    </row>
    <row r="218" customFormat="false" ht="12.75" hidden="false" customHeight="false" outlineLevel="0" collapsed="false">
      <c r="A218" s="7" t="s">
        <v>226</v>
      </c>
      <c r="B218" s="7" t="n">
        <v>12</v>
      </c>
      <c r="C218" s="7"/>
      <c r="D218" s="9" t="n">
        <v>0</v>
      </c>
      <c r="E218" s="9" t="n">
        <v>0</v>
      </c>
      <c r="F218" s="9" t="n">
        <v>0</v>
      </c>
      <c r="G218" s="9" t="n">
        <v>0</v>
      </c>
      <c r="H218" s="9" t="n">
        <v>0</v>
      </c>
      <c r="I218" s="9" t="n">
        <v>0</v>
      </c>
      <c r="J218" s="9" t="n">
        <v>0</v>
      </c>
      <c r="K218" s="9" t="n">
        <v>0</v>
      </c>
    </row>
    <row r="219" customFormat="false" ht="12.75" hidden="false" customHeight="false" outlineLevel="0" collapsed="false">
      <c r="A219" s="7" t="s">
        <v>227</v>
      </c>
      <c r="B219" s="7" t="n">
        <v>12</v>
      </c>
      <c r="C219" s="7"/>
      <c r="D219" s="9" t="n">
        <v>470</v>
      </c>
      <c r="E219" s="9" t="n">
        <v>0</v>
      </c>
      <c r="F219" s="9" t="n">
        <v>0</v>
      </c>
      <c r="G219" s="9" t="n">
        <v>0</v>
      </c>
      <c r="H219" s="9" t="n">
        <v>0</v>
      </c>
      <c r="I219" s="9" t="n">
        <v>0</v>
      </c>
      <c r="J219" s="9" t="n">
        <v>470</v>
      </c>
      <c r="K219" s="9" t="n">
        <v>0</v>
      </c>
      <c r="L219" s="197" t="n">
        <f aca="false">K219/J219</f>
        <v>0</v>
      </c>
    </row>
    <row r="220" customFormat="false" ht="12.75" hidden="false" customHeight="false" outlineLevel="0" collapsed="false">
      <c r="A220" s="7" t="s">
        <v>228</v>
      </c>
      <c r="B220" s="7" t="n">
        <v>12</v>
      </c>
      <c r="C220" s="7"/>
      <c r="D220" s="9" t="n">
        <v>67</v>
      </c>
      <c r="E220" s="9" t="n">
        <v>5925955</v>
      </c>
      <c r="F220" s="9" t="n">
        <v>56</v>
      </c>
      <c r="G220" s="9" t="n">
        <v>4917248</v>
      </c>
      <c r="H220" s="9" t="n">
        <v>0</v>
      </c>
      <c r="I220" s="9" t="n">
        <v>0</v>
      </c>
      <c r="J220" s="9" t="n">
        <v>123</v>
      </c>
      <c r="K220" s="9" t="n">
        <v>10843203</v>
      </c>
      <c r="L220" s="197" t="n">
        <f aca="false">K220/J220</f>
        <v>88156.1219512195</v>
      </c>
    </row>
    <row r="221" customFormat="false" ht="12.75" hidden="false" customHeight="false" outlineLevel="0" collapsed="false">
      <c r="A221" s="7" t="s">
        <v>229</v>
      </c>
      <c r="B221" s="7" t="n">
        <v>12</v>
      </c>
      <c r="C221" s="7"/>
      <c r="D221" s="9" t="n">
        <v>2747</v>
      </c>
      <c r="E221" s="9" t="n">
        <v>247783362</v>
      </c>
      <c r="F221" s="9" t="n">
        <v>412</v>
      </c>
      <c r="G221" s="9" t="n">
        <v>36610448</v>
      </c>
      <c r="H221" s="9" t="n">
        <v>2933</v>
      </c>
      <c r="I221" s="9" t="n">
        <v>275702000</v>
      </c>
      <c r="J221" s="9" t="n">
        <v>226</v>
      </c>
      <c r="K221" s="9" t="n">
        <v>8691810</v>
      </c>
      <c r="L221" s="197" t="n">
        <f aca="false">K221/J221</f>
        <v>38459.3362831858</v>
      </c>
    </row>
    <row r="222" customFormat="false" ht="12.75" hidden="false" customHeight="false" outlineLevel="0" collapsed="false">
      <c r="A222" s="7" t="s">
        <v>230</v>
      </c>
      <c r="B222" s="7" t="n">
        <v>12</v>
      </c>
      <c r="C222" s="7"/>
      <c r="D222" s="9" t="n">
        <v>1429</v>
      </c>
      <c r="E222" s="9" t="n">
        <v>91033464</v>
      </c>
      <c r="F222" s="9" t="n">
        <v>924</v>
      </c>
      <c r="G222" s="9" t="n">
        <v>52136000</v>
      </c>
      <c r="H222" s="9" t="n">
        <v>2090</v>
      </c>
      <c r="I222" s="9" t="n">
        <v>127167097</v>
      </c>
      <c r="J222" s="9" t="n">
        <v>263</v>
      </c>
      <c r="K222" s="9" t="n">
        <v>16002367</v>
      </c>
      <c r="L222" s="197" t="n">
        <f aca="false">K222/J222</f>
        <v>60845.5019011407</v>
      </c>
    </row>
    <row r="223" customFormat="false" ht="12.75" hidden="false" customHeight="false" outlineLevel="0" collapsed="false">
      <c r="A223" s="7" t="s">
        <v>231</v>
      </c>
      <c r="B223" s="7" t="n">
        <v>12</v>
      </c>
      <c r="C223" s="7"/>
      <c r="D223" s="9" t="n">
        <v>0</v>
      </c>
      <c r="E223" s="9" t="n">
        <v>0</v>
      </c>
      <c r="F223" s="9" t="n">
        <v>0</v>
      </c>
      <c r="G223" s="9" t="n">
        <v>0</v>
      </c>
      <c r="H223" s="9" t="n">
        <v>0</v>
      </c>
      <c r="I223" s="9" t="n">
        <v>0</v>
      </c>
      <c r="J223" s="9" t="n">
        <v>0</v>
      </c>
      <c r="K223" s="9" t="n">
        <v>0</v>
      </c>
    </row>
    <row r="224" customFormat="false" ht="12.75" hidden="false" customHeight="false" outlineLevel="0" collapsed="false">
      <c r="A224" s="7" t="s">
        <v>232</v>
      </c>
      <c r="B224" s="7" t="n">
        <v>12</v>
      </c>
      <c r="C224" s="7"/>
      <c r="D224" s="9" t="n">
        <v>897</v>
      </c>
      <c r="E224" s="9" t="n">
        <v>54866918</v>
      </c>
      <c r="F224" s="9" t="n">
        <v>389</v>
      </c>
      <c r="G224" s="9" t="n">
        <v>22866732</v>
      </c>
      <c r="H224" s="9" t="n">
        <v>665</v>
      </c>
      <c r="I224" s="9" t="n">
        <v>40196639</v>
      </c>
      <c r="J224" s="9" t="n">
        <v>621</v>
      </c>
      <c r="K224" s="9" t="n">
        <v>37537011</v>
      </c>
      <c r="L224" s="197" t="n">
        <f aca="false">K224/J224</f>
        <v>60446.0724637681</v>
      </c>
    </row>
    <row r="225" customFormat="false" ht="12.75" hidden="false" customHeight="false" outlineLevel="0" collapsed="false">
      <c r="A225" s="7" t="s">
        <v>233</v>
      </c>
      <c r="B225" s="7" t="n">
        <v>12</v>
      </c>
      <c r="C225" s="7"/>
      <c r="D225" s="9" t="n">
        <v>5775</v>
      </c>
      <c r="E225" s="9" t="n">
        <v>348275500</v>
      </c>
      <c r="F225" s="9" t="n">
        <v>2032</v>
      </c>
      <c r="G225" s="9" t="n">
        <v>100352000</v>
      </c>
      <c r="H225" s="9" t="n">
        <v>4833</v>
      </c>
      <c r="I225" s="9" t="n">
        <v>277727259</v>
      </c>
      <c r="J225" s="9" t="n">
        <v>2974</v>
      </c>
      <c r="K225" s="9" t="n">
        <v>170900241</v>
      </c>
      <c r="L225" s="197" t="n">
        <f aca="false">K225/J225</f>
        <v>57464.7750504371</v>
      </c>
    </row>
    <row r="226" customFormat="false" ht="12.75" hidden="false" customHeight="false" outlineLevel="0" collapsed="false">
      <c r="A226" s="7" t="s">
        <v>234</v>
      </c>
      <c r="B226" s="7" t="n">
        <v>12</v>
      </c>
      <c r="C226" s="7"/>
      <c r="D226" s="9" t="n">
        <v>22923</v>
      </c>
      <c r="E226" s="9" t="n">
        <v>1293167657</v>
      </c>
      <c r="F226" s="9" t="n">
        <v>17433</v>
      </c>
      <c r="G226" s="9" t="n">
        <v>905972760</v>
      </c>
      <c r="H226" s="9" t="n">
        <v>21549</v>
      </c>
      <c r="I226" s="9" t="n">
        <v>1286033703</v>
      </c>
      <c r="J226" s="9" t="n">
        <v>18807</v>
      </c>
      <c r="K226" s="9" t="n">
        <v>913106714</v>
      </c>
      <c r="L226" s="197" t="n">
        <f aca="false">K226/J226</f>
        <v>48551.4284043175</v>
      </c>
    </row>
    <row r="227" customFormat="false" ht="12.75" hidden="false" customHeight="false" outlineLevel="0" collapsed="false">
      <c r="A227" s="7" t="s">
        <v>235</v>
      </c>
      <c r="B227" s="7" t="n">
        <v>12</v>
      </c>
      <c r="C227" s="7"/>
      <c r="D227" s="9" t="n">
        <v>322</v>
      </c>
      <c r="E227" s="9" t="n">
        <v>22632087</v>
      </c>
      <c r="F227" s="9" t="n">
        <v>120</v>
      </c>
      <c r="G227" s="9" t="n">
        <v>8467200</v>
      </c>
      <c r="H227" s="9" t="n">
        <v>298</v>
      </c>
      <c r="I227" s="9" t="n">
        <v>20967393</v>
      </c>
      <c r="J227" s="9" t="n">
        <v>144</v>
      </c>
      <c r="K227" s="9" t="n">
        <v>10131894</v>
      </c>
      <c r="L227" s="197" t="n">
        <f aca="false">K227/J227</f>
        <v>70360.375</v>
      </c>
    </row>
    <row r="228" customFormat="false" ht="12.75" hidden="false" customHeight="false" outlineLevel="0" collapsed="false">
      <c r="A228" s="7" t="s">
        <v>236</v>
      </c>
      <c r="B228" s="7" t="n">
        <v>12</v>
      </c>
      <c r="C228" s="7"/>
      <c r="D228" s="9" t="n">
        <v>252</v>
      </c>
      <c r="E228" s="9" t="n">
        <v>16163532</v>
      </c>
      <c r="F228" s="9" t="n">
        <v>612</v>
      </c>
      <c r="G228" s="9" t="n">
        <v>37714908</v>
      </c>
      <c r="H228" s="9" t="n">
        <v>452</v>
      </c>
      <c r="I228" s="9" t="n">
        <v>28186406</v>
      </c>
      <c r="J228" s="9" t="n">
        <v>412</v>
      </c>
      <c r="K228" s="9" t="n">
        <v>25692034</v>
      </c>
      <c r="L228" s="197" t="n">
        <f aca="false">K228/J228</f>
        <v>62359.3058252427</v>
      </c>
    </row>
    <row r="229" customFormat="false" ht="12.75" hidden="false" customHeight="false" outlineLevel="0" collapsed="false">
      <c r="A229" s="7" t="s">
        <v>237</v>
      </c>
      <c r="B229" s="7" t="n">
        <v>12</v>
      </c>
      <c r="C229" s="7"/>
      <c r="D229" s="9" t="n">
        <v>235</v>
      </c>
      <c r="E229" s="9" t="n">
        <v>1918332</v>
      </c>
      <c r="F229" s="9" t="n">
        <v>0</v>
      </c>
      <c r="G229" s="9" t="n">
        <v>0</v>
      </c>
      <c r="H229" s="9" t="n">
        <v>0</v>
      </c>
      <c r="I229" s="9" t="n">
        <v>0</v>
      </c>
      <c r="J229" s="9" t="n">
        <v>235</v>
      </c>
      <c r="K229" s="9" t="n">
        <v>1918332</v>
      </c>
      <c r="L229" s="197" t="n">
        <f aca="false">K229/J229</f>
        <v>8163.11489361702</v>
      </c>
    </row>
    <row r="230" customFormat="false" ht="12.75" hidden="false" customHeight="false" outlineLevel="0" collapsed="false">
      <c r="A230" s="7" t="s">
        <v>238</v>
      </c>
      <c r="B230" s="7" t="n">
        <v>12</v>
      </c>
      <c r="C230" s="7"/>
      <c r="D230" s="9" t="n">
        <v>942</v>
      </c>
      <c r="E230" s="9" t="n">
        <v>53507694</v>
      </c>
      <c r="F230" s="9" t="n">
        <v>0</v>
      </c>
      <c r="G230" s="9" t="n">
        <v>0</v>
      </c>
      <c r="H230" s="9" t="n">
        <v>132</v>
      </c>
      <c r="I230" s="9" t="n">
        <v>7497893</v>
      </c>
      <c r="J230" s="9" t="n">
        <v>810</v>
      </c>
      <c r="K230" s="9" t="n">
        <v>46009801</v>
      </c>
      <c r="L230" s="197" t="n">
        <f aca="false">K230/J230</f>
        <v>56802.2234567901</v>
      </c>
    </row>
    <row r="231" customFormat="false" ht="12.75" hidden="false" customHeight="false" outlineLevel="0" collapsed="false">
      <c r="A231" s="7" t="s">
        <v>239</v>
      </c>
      <c r="B231" s="7" t="n">
        <v>12</v>
      </c>
      <c r="C231" s="7"/>
      <c r="D231" s="9" t="n">
        <v>0</v>
      </c>
      <c r="E231" s="9" t="n">
        <v>0</v>
      </c>
      <c r="F231" s="9" t="n">
        <v>0</v>
      </c>
      <c r="G231" s="9" t="n">
        <v>0</v>
      </c>
      <c r="H231" s="9" t="n">
        <v>0</v>
      </c>
      <c r="I231" s="9" t="n">
        <v>0</v>
      </c>
      <c r="J231" s="9" t="n">
        <v>0</v>
      </c>
      <c r="K231" s="9" t="n">
        <v>0</v>
      </c>
    </row>
    <row r="232" customFormat="false" ht="12.75" hidden="false" customHeight="false" outlineLevel="0" collapsed="false">
      <c r="A232" s="7" t="s">
        <v>240</v>
      </c>
      <c r="B232" s="7" t="n">
        <v>12</v>
      </c>
      <c r="C232" s="7"/>
      <c r="D232" s="9" t="n">
        <v>25</v>
      </c>
      <c r="E232" s="9" t="n">
        <v>2337348</v>
      </c>
      <c r="F232" s="9" t="n">
        <v>2030</v>
      </c>
      <c r="G232" s="9" t="n">
        <v>189788760</v>
      </c>
      <c r="H232" s="9" t="n">
        <v>1506</v>
      </c>
      <c r="I232" s="9" t="n">
        <v>140798987</v>
      </c>
      <c r="J232" s="9" t="n">
        <v>549</v>
      </c>
      <c r="K232" s="9" t="n">
        <v>51327121</v>
      </c>
      <c r="L232" s="197" t="n">
        <f aca="false">K232/J232</f>
        <v>93492.0236794171</v>
      </c>
    </row>
    <row r="233" customFormat="false" ht="12.75" hidden="false" customHeight="false" outlineLevel="0" collapsed="false">
      <c r="A233" s="7" t="s">
        <v>241</v>
      </c>
      <c r="B233" s="7" t="n">
        <v>12</v>
      </c>
      <c r="C233" s="7"/>
      <c r="D233" s="9" t="n">
        <v>1186</v>
      </c>
      <c r="E233" s="9" t="n">
        <v>91489935</v>
      </c>
      <c r="F233" s="9" t="n">
        <v>464</v>
      </c>
      <c r="G233" s="9" t="n">
        <v>32792760</v>
      </c>
      <c r="H233" s="9" t="n">
        <v>681</v>
      </c>
      <c r="I233" s="9" t="n">
        <v>51294858</v>
      </c>
      <c r="J233" s="9" t="n">
        <v>969</v>
      </c>
      <c r="K233" s="9" t="n">
        <v>72987837</v>
      </c>
      <c r="L233" s="197" t="n">
        <f aca="false">K233/J233</f>
        <v>75322.8452012384</v>
      </c>
    </row>
    <row r="234" customFormat="false" ht="12.75" hidden="false" customHeight="false" outlineLevel="0" collapsed="false">
      <c r="A234" s="7" t="s">
        <v>242</v>
      </c>
      <c r="B234" s="7" t="n">
        <v>12</v>
      </c>
      <c r="C234" s="7"/>
      <c r="D234" s="9" t="n">
        <v>137</v>
      </c>
      <c r="E234" s="9" t="n">
        <v>9584186</v>
      </c>
      <c r="F234" s="9" t="n">
        <v>54</v>
      </c>
      <c r="G234" s="9" t="n">
        <v>3797010</v>
      </c>
      <c r="H234" s="9" t="n">
        <v>33</v>
      </c>
      <c r="I234" s="9" t="n">
        <v>2311934</v>
      </c>
      <c r="J234" s="9" t="n">
        <v>158</v>
      </c>
      <c r="K234" s="9" t="n">
        <v>11069262</v>
      </c>
      <c r="L234" s="197" t="n">
        <f aca="false">K234/J234</f>
        <v>70058.6202531646</v>
      </c>
    </row>
    <row r="235" customFormat="false" ht="12.75" hidden="false" customHeight="false" outlineLevel="0" collapsed="false">
      <c r="A235" s="7" t="s">
        <v>243</v>
      </c>
      <c r="B235" s="7" t="n">
        <v>12</v>
      </c>
      <c r="C235" s="7"/>
      <c r="D235" s="9" t="n">
        <v>1575</v>
      </c>
      <c r="E235" s="9" t="n">
        <v>144885570</v>
      </c>
      <c r="F235" s="9" t="n">
        <v>171</v>
      </c>
      <c r="G235" s="9" t="n">
        <v>15690192</v>
      </c>
      <c r="H235" s="9" t="n">
        <v>1617</v>
      </c>
      <c r="I235" s="9" t="n">
        <v>148711917</v>
      </c>
      <c r="J235" s="9" t="n">
        <v>129</v>
      </c>
      <c r="K235" s="9" t="n">
        <v>11863845</v>
      </c>
      <c r="L235" s="197" t="n">
        <f aca="false">K235/J235</f>
        <v>91967.7906976744</v>
      </c>
    </row>
    <row r="236" customFormat="false" ht="12.75" hidden="false" customHeight="false" outlineLevel="0" collapsed="false">
      <c r="A236" s="7" t="s">
        <v>244</v>
      </c>
      <c r="B236" s="7" t="n">
        <v>12</v>
      </c>
      <c r="C236" s="7"/>
      <c r="D236" s="9" t="n">
        <v>4</v>
      </c>
      <c r="E236" s="9" t="n">
        <v>351232</v>
      </c>
      <c r="F236" s="9" t="n">
        <v>48</v>
      </c>
      <c r="G236" s="9" t="n">
        <v>4214784</v>
      </c>
      <c r="H236" s="9" t="n">
        <v>52</v>
      </c>
      <c r="I236" s="9" t="n">
        <v>4566016</v>
      </c>
      <c r="J236" s="9" t="n">
        <v>0</v>
      </c>
      <c r="K236" s="9" t="n">
        <v>0</v>
      </c>
    </row>
    <row r="237" customFormat="false" ht="12.75" hidden="false" customHeight="false" outlineLevel="0" collapsed="false">
      <c r="A237" s="7" t="s">
        <v>245</v>
      </c>
      <c r="B237" s="7" t="n">
        <v>12</v>
      </c>
      <c r="C237" s="7"/>
      <c r="D237" s="9" t="n">
        <v>0</v>
      </c>
      <c r="E237" s="9" t="n">
        <v>0</v>
      </c>
      <c r="F237" s="9" t="n">
        <v>0</v>
      </c>
      <c r="G237" s="9" t="n">
        <v>0</v>
      </c>
      <c r="H237" s="9" t="n">
        <v>0</v>
      </c>
      <c r="I237" s="9" t="n">
        <v>0</v>
      </c>
      <c r="J237" s="9" t="n">
        <v>0</v>
      </c>
      <c r="K237" s="9" t="n">
        <v>0</v>
      </c>
    </row>
    <row r="238" customFormat="false" ht="12.75" hidden="false" customHeight="false" outlineLevel="0" collapsed="false">
      <c r="A238" s="7" t="s">
        <v>246</v>
      </c>
      <c r="B238" s="7" t="n">
        <v>12</v>
      </c>
      <c r="C238" s="7"/>
      <c r="D238" s="9" t="n">
        <v>8756</v>
      </c>
      <c r="E238" s="9" t="n">
        <v>62408741</v>
      </c>
      <c r="F238" s="9" t="n">
        <v>1920</v>
      </c>
      <c r="G238" s="9" t="n">
        <v>13684878</v>
      </c>
      <c r="H238" s="9" t="n">
        <v>135</v>
      </c>
      <c r="I238" s="9" t="n">
        <v>962218</v>
      </c>
      <c r="J238" s="9" t="n">
        <v>10541</v>
      </c>
      <c r="K238" s="9" t="n">
        <v>75131401</v>
      </c>
      <c r="L238" s="197" t="n">
        <f aca="false">K238/J238</f>
        <v>7127.54017645385</v>
      </c>
    </row>
    <row r="239" customFormat="false" ht="12.75" hidden="false" customHeight="false" outlineLevel="0" collapsed="false">
      <c r="A239" s="7" t="s">
        <v>247</v>
      </c>
      <c r="B239" s="7" t="n">
        <v>12</v>
      </c>
      <c r="C239" s="7"/>
      <c r="D239" s="9" t="n">
        <v>43404</v>
      </c>
      <c r="E239" s="9" t="n">
        <v>288267066</v>
      </c>
      <c r="F239" s="9" t="n">
        <v>2880</v>
      </c>
      <c r="G239" s="9" t="n">
        <v>20527315</v>
      </c>
      <c r="H239" s="9" t="n">
        <v>154</v>
      </c>
      <c r="I239" s="9" t="n">
        <v>1027447</v>
      </c>
      <c r="J239" s="9" t="n">
        <v>46130</v>
      </c>
      <c r="K239" s="9" t="n">
        <v>307766934</v>
      </c>
      <c r="L239" s="197" t="n">
        <f aca="false">K239/J239</f>
        <v>6671.73063082593</v>
      </c>
    </row>
    <row r="240" customFormat="false" ht="12.75" hidden="false" customHeight="false" outlineLevel="0" collapsed="false">
      <c r="A240" s="7" t="s">
        <v>248</v>
      </c>
      <c r="B240" s="7" t="n">
        <v>12</v>
      </c>
      <c r="C240" s="7"/>
      <c r="D240" s="9" t="n">
        <v>384</v>
      </c>
      <c r="E240" s="9" t="n">
        <v>1852721</v>
      </c>
      <c r="F240" s="9" t="n">
        <v>0</v>
      </c>
      <c r="G240" s="9" t="n">
        <v>0</v>
      </c>
      <c r="H240" s="9" t="n">
        <v>0</v>
      </c>
      <c r="I240" s="9" t="n">
        <v>0</v>
      </c>
      <c r="J240" s="9" t="n">
        <v>384</v>
      </c>
      <c r="K240" s="9" t="n">
        <v>1852721</v>
      </c>
      <c r="L240" s="197" t="n">
        <f aca="false">K240/J240</f>
        <v>4824.79427083333</v>
      </c>
    </row>
    <row r="241" customFormat="false" ht="12.75" hidden="false" customHeight="false" outlineLevel="0" collapsed="false">
      <c r="A241" s="7" t="s">
        <v>249</v>
      </c>
      <c r="B241" s="7" t="n">
        <v>12</v>
      </c>
      <c r="C241" s="7"/>
      <c r="D241" s="9" t="n">
        <v>420</v>
      </c>
      <c r="E241" s="9" t="n">
        <v>1974630</v>
      </c>
      <c r="F241" s="9" t="n">
        <v>271</v>
      </c>
      <c r="G241" s="9" t="n">
        <v>0</v>
      </c>
      <c r="H241" s="9" t="n">
        <v>0</v>
      </c>
      <c r="I241" s="9" t="n">
        <v>0</v>
      </c>
      <c r="J241" s="9" t="n">
        <v>691</v>
      </c>
      <c r="K241" s="9" t="n">
        <v>1974630</v>
      </c>
      <c r="L241" s="197" t="n">
        <f aca="false">K241/J241</f>
        <v>2857.64109985528</v>
      </c>
    </row>
    <row r="242" customFormat="false" ht="12.75" hidden="false" customHeight="false" outlineLevel="0" collapsed="false">
      <c r="A242" s="7" t="s">
        <v>250</v>
      </c>
      <c r="B242" s="7" t="n">
        <v>12</v>
      </c>
      <c r="C242" s="7"/>
      <c r="D242" s="9" t="n">
        <v>16561</v>
      </c>
      <c r="E242" s="9" t="n">
        <v>169801355</v>
      </c>
      <c r="F242" s="9" t="n">
        <v>2160</v>
      </c>
      <c r="G242" s="9" t="n">
        <v>15395487</v>
      </c>
      <c r="H242" s="9" t="n">
        <v>100</v>
      </c>
      <c r="I242" s="9" t="n">
        <v>989247</v>
      </c>
      <c r="J242" s="9" t="n">
        <v>18621</v>
      </c>
      <c r="K242" s="9" t="n">
        <v>184207595</v>
      </c>
      <c r="L242" s="197" t="n">
        <f aca="false">K242/J242</f>
        <v>9892.46522743139</v>
      </c>
    </row>
    <row r="243" customFormat="false" ht="12.75" hidden="false" customHeight="false" outlineLevel="0" collapsed="false">
      <c r="A243" s="7" t="s">
        <v>251</v>
      </c>
      <c r="B243" s="7" t="n">
        <v>12</v>
      </c>
      <c r="C243" s="7"/>
      <c r="D243" s="9" t="n">
        <v>0</v>
      </c>
      <c r="E243" s="9" t="n">
        <v>0</v>
      </c>
      <c r="F243" s="9" t="n">
        <v>0</v>
      </c>
      <c r="G243" s="9" t="n">
        <v>0</v>
      </c>
      <c r="H243" s="9" t="n">
        <v>0</v>
      </c>
      <c r="I243" s="9" t="n">
        <v>0</v>
      </c>
      <c r="J243" s="9" t="n">
        <v>0</v>
      </c>
      <c r="K243" s="9" t="n">
        <v>0</v>
      </c>
    </row>
    <row r="244" customFormat="false" ht="12.75" hidden="false" customHeight="false" outlineLevel="0" collapsed="false">
      <c r="A244" s="7" t="s">
        <v>252</v>
      </c>
      <c r="B244" s="7" t="n">
        <v>12</v>
      </c>
      <c r="C244" s="7"/>
      <c r="D244" s="9" t="n">
        <v>0</v>
      </c>
      <c r="E244" s="9" t="n">
        <v>0</v>
      </c>
      <c r="F244" s="9" t="n">
        <v>0</v>
      </c>
      <c r="G244" s="9" t="n">
        <v>0</v>
      </c>
      <c r="H244" s="9" t="n">
        <v>0</v>
      </c>
      <c r="I244" s="9" t="n">
        <v>0</v>
      </c>
      <c r="J244" s="9" t="n">
        <v>0</v>
      </c>
      <c r="K244" s="9" t="n">
        <v>0</v>
      </c>
    </row>
    <row r="245" customFormat="false" ht="12.75" hidden="false" customHeight="false" outlineLevel="0" collapsed="false">
      <c r="A245" s="7" t="s">
        <v>253</v>
      </c>
      <c r="B245" s="7" t="n">
        <v>12</v>
      </c>
      <c r="C245" s="7"/>
      <c r="D245" s="9" t="n">
        <v>0</v>
      </c>
      <c r="E245" s="9" t="n">
        <v>0</v>
      </c>
      <c r="F245" s="9" t="n">
        <v>0</v>
      </c>
      <c r="G245" s="9" t="n">
        <v>0</v>
      </c>
      <c r="H245" s="9" t="n">
        <v>0</v>
      </c>
      <c r="I245" s="9" t="n">
        <v>0</v>
      </c>
      <c r="J245" s="9" t="n">
        <v>0</v>
      </c>
      <c r="K245" s="9" t="n">
        <v>0</v>
      </c>
    </row>
    <row r="246" customFormat="false" ht="12.75" hidden="false" customHeight="false" outlineLevel="0" collapsed="false">
      <c r="A246" s="7" t="s">
        <v>254</v>
      </c>
      <c r="B246" s="7" t="n">
        <v>12</v>
      </c>
      <c r="C246" s="7"/>
      <c r="D246" s="9" t="n">
        <v>178</v>
      </c>
      <c r="E246" s="9" t="n">
        <v>6117278</v>
      </c>
      <c r="F246" s="9" t="n">
        <v>62</v>
      </c>
      <c r="G246" s="9" t="n">
        <v>2130804</v>
      </c>
      <c r="H246" s="9" t="n">
        <v>240</v>
      </c>
      <c r="I246" s="9" t="n">
        <v>8248082</v>
      </c>
      <c r="J246" s="9" t="n">
        <v>0</v>
      </c>
      <c r="K246" s="9" t="n">
        <v>0</v>
      </c>
    </row>
    <row r="247" customFormat="false" ht="12.75" hidden="false" customHeight="false" outlineLevel="0" collapsed="false">
      <c r="A247" s="7" t="s">
        <v>255</v>
      </c>
      <c r="B247" s="7" t="n">
        <v>12</v>
      </c>
      <c r="C247" s="7"/>
      <c r="D247" s="9" t="n">
        <v>0</v>
      </c>
      <c r="E247" s="9" t="n">
        <v>884858</v>
      </c>
      <c r="F247" s="9" t="n">
        <v>40</v>
      </c>
      <c r="G247" s="9" t="n">
        <v>3487564</v>
      </c>
      <c r="H247" s="9" t="n">
        <v>40</v>
      </c>
      <c r="I247" s="9" t="n">
        <v>4372422</v>
      </c>
      <c r="J247" s="9" t="n">
        <v>0</v>
      </c>
      <c r="K247" s="9" t="n">
        <v>0</v>
      </c>
    </row>
    <row r="248" customFormat="false" ht="12.75" hidden="false" customHeight="false" outlineLevel="0" collapsed="false">
      <c r="A248" s="7" t="s">
        <v>256</v>
      </c>
      <c r="B248" s="7" t="n">
        <v>12</v>
      </c>
      <c r="C248" s="7"/>
      <c r="D248" s="9" t="n">
        <v>0</v>
      </c>
      <c r="E248" s="9" t="n">
        <v>0</v>
      </c>
      <c r="F248" s="9" t="n">
        <v>110</v>
      </c>
      <c r="G248" s="9" t="n">
        <v>4786700</v>
      </c>
      <c r="H248" s="9" t="n">
        <v>110</v>
      </c>
      <c r="I248" s="9" t="n">
        <v>4786700</v>
      </c>
      <c r="J248" s="9" t="n">
        <v>0</v>
      </c>
      <c r="K248" s="9" t="n">
        <v>0</v>
      </c>
    </row>
    <row r="249" customFormat="false" ht="12.75" hidden="false" customHeight="false" outlineLevel="0" collapsed="false">
      <c r="A249" s="7" t="s">
        <v>257</v>
      </c>
      <c r="B249" s="7" t="n">
        <v>12</v>
      </c>
      <c r="C249" s="7"/>
      <c r="D249" s="9" t="n">
        <v>26</v>
      </c>
      <c r="E249" s="9" t="n">
        <v>1423200</v>
      </c>
      <c r="F249" s="9" t="n">
        <v>24</v>
      </c>
      <c r="G249" s="9" t="n">
        <v>1313723</v>
      </c>
      <c r="H249" s="9" t="n">
        <v>50</v>
      </c>
      <c r="I249" s="9" t="n">
        <v>2736923</v>
      </c>
      <c r="J249" s="9" t="n">
        <v>0</v>
      </c>
      <c r="K249" s="9" t="n">
        <v>0</v>
      </c>
    </row>
    <row r="250" customFormat="false" ht="12.75" hidden="false" customHeight="false" outlineLevel="0" collapsed="false">
      <c r="A250" s="7" t="s">
        <v>258</v>
      </c>
      <c r="B250" s="7" t="n">
        <v>12</v>
      </c>
      <c r="C250" s="7"/>
      <c r="D250" s="9" t="n">
        <v>1315</v>
      </c>
      <c r="E250" s="9" t="n">
        <v>5870462</v>
      </c>
      <c r="F250" s="9" t="n">
        <v>150</v>
      </c>
      <c r="G250" s="9" t="n">
        <v>2298240</v>
      </c>
      <c r="H250" s="9" t="n">
        <v>250</v>
      </c>
      <c r="I250" s="9" t="n">
        <v>3829633</v>
      </c>
      <c r="J250" s="9" t="n">
        <v>1215</v>
      </c>
      <c r="K250" s="9" t="n">
        <v>4339069</v>
      </c>
      <c r="L250" s="197" t="n">
        <f aca="false">K250/J250</f>
        <v>3571.25020576132</v>
      </c>
    </row>
    <row r="251" customFormat="false" ht="12.75" hidden="false" customHeight="false" outlineLevel="0" collapsed="false">
      <c r="A251" s="7" t="s">
        <v>259</v>
      </c>
      <c r="B251" s="7" t="n">
        <v>12</v>
      </c>
      <c r="C251" s="7"/>
      <c r="D251" s="9" t="n">
        <v>90</v>
      </c>
      <c r="E251" s="9" t="n">
        <v>1980663</v>
      </c>
      <c r="F251" s="9" t="n">
        <v>0</v>
      </c>
      <c r="G251" s="9" t="n">
        <v>0</v>
      </c>
      <c r="H251" s="9" t="n">
        <v>0</v>
      </c>
      <c r="I251" s="9" t="n">
        <v>0</v>
      </c>
      <c r="J251" s="9" t="n">
        <v>90</v>
      </c>
      <c r="K251" s="9" t="n">
        <v>1980663</v>
      </c>
      <c r="L251" s="197" t="n">
        <f aca="false">K251/J251</f>
        <v>22007.3666666667</v>
      </c>
    </row>
    <row r="252" customFormat="false" ht="12.75" hidden="false" customHeight="false" outlineLevel="0" collapsed="false">
      <c r="A252" s="7" t="s">
        <v>260</v>
      </c>
      <c r="B252" s="7" t="n">
        <v>12</v>
      </c>
      <c r="C252" s="7"/>
      <c r="D252" s="9" t="n">
        <v>7</v>
      </c>
      <c r="E252" s="9" t="n">
        <v>460192</v>
      </c>
      <c r="F252" s="9" t="n">
        <v>0</v>
      </c>
      <c r="G252" s="9" t="n">
        <v>0</v>
      </c>
      <c r="H252" s="9" t="n">
        <v>0</v>
      </c>
      <c r="I252" s="9" t="n">
        <v>0</v>
      </c>
      <c r="J252" s="9" t="n">
        <v>7</v>
      </c>
      <c r="K252" s="9" t="n">
        <v>460192</v>
      </c>
      <c r="L252" s="197" t="n">
        <f aca="false">K252/J252</f>
        <v>65741.7142857143</v>
      </c>
    </row>
    <row r="253" customFormat="false" ht="12.75" hidden="false" customHeight="false" outlineLevel="0" collapsed="false">
      <c r="A253" s="7" t="s">
        <v>261</v>
      </c>
      <c r="B253" s="7" t="n">
        <v>12</v>
      </c>
      <c r="C253" s="7"/>
      <c r="D253" s="9" t="n">
        <v>0</v>
      </c>
      <c r="E253" s="9" t="n">
        <v>0</v>
      </c>
      <c r="F253" s="9" t="n">
        <v>0</v>
      </c>
      <c r="G253" s="9" t="n">
        <v>0</v>
      </c>
      <c r="H253" s="9" t="n">
        <v>0</v>
      </c>
      <c r="I253" s="9" t="n">
        <v>0</v>
      </c>
      <c r="J253" s="9" t="n">
        <v>0</v>
      </c>
      <c r="K253" s="9" t="n">
        <v>0</v>
      </c>
      <c r="L253" s="197" t="e">
        <f aca="false">K253/J253</f>
        <v>#DIV/0!</v>
      </c>
    </row>
    <row r="254" customFormat="false" ht="12.75" hidden="false" customHeight="false" outlineLevel="0" collapsed="false">
      <c r="A254" s="7" t="s">
        <v>262</v>
      </c>
      <c r="B254" s="7" t="n">
        <v>12</v>
      </c>
      <c r="C254" s="7"/>
      <c r="D254" s="9" t="n">
        <v>4</v>
      </c>
      <c r="E254" s="9" t="n">
        <v>330624</v>
      </c>
      <c r="F254" s="9" t="n">
        <v>0</v>
      </c>
      <c r="G254" s="9" t="n">
        <v>0</v>
      </c>
      <c r="H254" s="9" t="n">
        <v>0</v>
      </c>
      <c r="I254" s="9" t="n">
        <v>0</v>
      </c>
      <c r="J254" s="9" t="n">
        <v>4</v>
      </c>
      <c r="K254" s="9" t="n">
        <v>330624</v>
      </c>
      <c r="L254" s="197" t="n">
        <f aca="false">K254/J254</f>
        <v>82656</v>
      </c>
    </row>
    <row r="255" customFormat="false" ht="12.75" hidden="false" customHeight="false" outlineLevel="0" collapsed="false">
      <c r="A255" s="7" t="s">
        <v>263</v>
      </c>
      <c r="B255" s="7" t="n">
        <v>12</v>
      </c>
      <c r="C255" s="7"/>
      <c r="D255" s="9" t="n">
        <v>0</v>
      </c>
      <c r="E255" s="9" t="n">
        <v>0</v>
      </c>
      <c r="F255" s="9" t="n">
        <v>0</v>
      </c>
      <c r="G255" s="9" t="n">
        <v>0</v>
      </c>
      <c r="H255" s="9" t="n">
        <v>0</v>
      </c>
      <c r="I255" s="9" t="n">
        <v>0</v>
      </c>
      <c r="J255" s="9" t="n">
        <v>0</v>
      </c>
      <c r="K255" s="9" t="n">
        <v>0</v>
      </c>
    </row>
    <row r="256" customFormat="false" ht="12.75" hidden="false" customHeight="false" outlineLevel="0" collapsed="false">
      <c r="A256" s="7" t="s">
        <v>264</v>
      </c>
      <c r="B256" s="7" t="n">
        <v>12</v>
      </c>
      <c r="C256" s="7"/>
      <c r="D256" s="9" t="n">
        <v>0</v>
      </c>
      <c r="E256" s="9" t="n">
        <v>0</v>
      </c>
      <c r="F256" s="9" t="n">
        <v>0</v>
      </c>
      <c r="G256" s="9" t="n">
        <v>0</v>
      </c>
      <c r="H256" s="9" t="n">
        <v>0</v>
      </c>
      <c r="I256" s="9" t="n">
        <v>0</v>
      </c>
      <c r="J256" s="9" t="n">
        <v>0</v>
      </c>
      <c r="K256" s="9" t="n">
        <v>0</v>
      </c>
    </row>
    <row r="257" customFormat="false" ht="12.75" hidden="false" customHeight="false" outlineLevel="0" collapsed="false">
      <c r="A257" s="7" t="s">
        <v>265</v>
      </c>
      <c r="B257" s="7" t="n">
        <v>12</v>
      </c>
      <c r="C257" s="7"/>
      <c r="D257" s="9" t="n">
        <v>5</v>
      </c>
      <c r="E257" s="9" t="n">
        <v>412800</v>
      </c>
      <c r="F257" s="9" t="n">
        <v>0</v>
      </c>
      <c r="G257" s="9" t="n">
        <v>0</v>
      </c>
      <c r="H257" s="9" t="n">
        <v>0</v>
      </c>
      <c r="I257" s="9" t="n">
        <v>0</v>
      </c>
      <c r="J257" s="9" t="n">
        <v>5</v>
      </c>
      <c r="K257" s="9" t="n">
        <v>412800</v>
      </c>
      <c r="L257" s="197" t="n">
        <f aca="false">K257/J257</f>
        <v>82560</v>
      </c>
    </row>
    <row r="258" customFormat="false" ht="12.75" hidden="false" customHeight="false" outlineLevel="0" collapsed="false">
      <c r="A258" s="7" t="s">
        <v>266</v>
      </c>
      <c r="B258" s="7" t="n">
        <v>12</v>
      </c>
      <c r="C258" s="7"/>
      <c r="D258" s="9" t="n">
        <v>5</v>
      </c>
      <c r="E258" s="9" t="n">
        <v>441600</v>
      </c>
      <c r="F258" s="9" t="n">
        <v>0</v>
      </c>
      <c r="G258" s="9" t="n">
        <v>0</v>
      </c>
      <c r="H258" s="9" t="n">
        <v>0</v>
      </c>
      <c r="I258" s="9" t="n">
        <v>0</v>
      </c>
      <c r="J258" s="9" t="n">
        <v>5</v>
      </c>
      <c r="K258" s="9" t="n">
        <v>441600</v>
      </c>
      <c r="L258" s="197" t="n">
        <f aca="false">K258/J258</f>
        <v>88320</v>
      </c>
    </row>
    <row r="259" customFormat="false" ht="12.75" hidden="false" customHeight="false" outlineLevel="0" collapsed="false">
      <c r="A259" s="7" t="s">
        <v>267</v>
      </c>
      <c r="B259" s="7" t="n">
        <v>12</v>
      </c>
      <c r="C259" s="7"/>
      <c r="D259" s="9" t="n">
        <v>6</v>
      </c>
      <c r="E259" s="9" t="n">
        <v>447000</v>
      </c>
      <c r="F259" s="9"/>
      <c r="G259" s="9" t="n">
        <v>0</v>
      </c>
      <c r="H259" s="9"/>
      <c r="I259" s="9"/>
      <c r="J259" s="9" t="n">
        <v>6</v>
      </c>
      <c r="K259" s="9" t="n">
        <v>447000</v>
      </c>
      <c r="L259" s="197" t="n">
        <f aca="false">K259/J259</f>
        <v>74500</v>
      </c>
    </row>
    <row r="260" customFormat="false" ht="12.75" hidden="false" customHeight="false" outlineLevel="0" collapsed="false">
      <c r="A260" s="7" t="s">
        <v>268</v>
      </c>
      <c r="B260" s="7" t="n">
        <v>12</v>
      </c>
      <c r="C260" s="7"/>
      <c r="D260" s="9" t="n">
        <v>0</v>
      </c>
      <c r="E260" s="9" t="n">
        <v>0</v>
      </c>
      <c r="F260" s="9" t="n">
        <v>0</v>
      </c>
      <c r="G260" s="9" t="n">
        <v>0</v>
      </c>
      <c r="H260" s="9" t="n">
        <v>0</v>
      </c>
      <c r="I260" s="9" t="n">
        <v>0</v>
      </c>
      <c r="J260" s="9" t="n">
        <v>0</v>
      </c>
      <c r="K260" s="9" t="n">
        <v>0</v>
      </c>
    </row>
    <row r="261" customFormat="false" ht="12.75" hidden="false" customHeight="false" outlineLevel="0" collapsed="false">
      <c r="A261" s="7" t="s">
        <v>269</v>
      </c>
      <c r="B261" s="7" t="n">
        <v>12</v>
      </c>
      <c r="C261" s="7"/>
      <c r="D261" s="9" t="n">
        <v>0</v>
      </c>
      <c r="E261" s="9" t="n">
        <v>0</v>
      </c>
      <c r="F261" s="9" t="n">
        <v>0</v>
      </c>
      <c r="G261" s="9" t="n">
        <v>0</v>
      </c>
      <c r="H261" s="9" t="n">
        <v>0</v>
      </c>
      <c r="I261" s="9" t="n">
        <v>0</v>
      </c>
      <c r="J261" s="9" t="n">
        <v>0</v>
      </c>
      <c r="K261" s="9" t="n">
        <v>0</v>
      </c>
    </row>
    <row r="262" customFormat="false" ht="12.75" hidden="false" customHeight="false" outlineLevel="0" collapsed="false">
      <c r="A262" s="7" t="s">
        <v>270</v>
      </c>
      <c r="B262" s="7" t="n">
        <v>12</v>
      </c>
      <c r="C262" s="7"/>
      <c r="D262" s="9" t="n">
        <v>0</v>
      </c>
      <c r="E262" s="9" t="n">
        <v>0</v>
      </c>
      <c r="F262" s="9" t="n">
        <v>0</v>
      </c>
      <c r="G262" s="9" t="n">
        <v>0</v>
      </c>
      <c r="H262" s="9" t="n">
        <v>0</v>
      </c>
      <c r="I262" s="9" t="n">
        <v>0</v>
      </c>
      <c r="J262" s="9" t="n">
        <v>0</v>
      </c>
      <c r="K262" s="9" t="n">
        <v>0</v>
      </c>
    </row>
    <row r="263" customFormat="false" ht="12.75" hidden="false" customHeight="false" outlineLevel="0" collapsed="false">
      <c r="A263" s="7" t="s">
        <v>271</v>
      </c>
      <c r="B263" s="7" t="n">
        <v>12</v>
      </c>
      <c r="C263" s="7"/>
      <c r="D263" s="9" t="n">
        <v>0</v>
      </c>
      <c r="E263" s="9" t="n">
        <v>0</v>
      </c>
      <c r="F263" s="9" t="n">
        <v>0</v>
      </c>
      <c r="G263" s="9" t="n">
        <v>0</v>
      </c>
      <c r="H263" s="9" t="n">
        <v>0</v>
      </c>
      <c r="I263" s="9" t="n">
        <v>0</v>
      </c>
      <c r="J263" s="9" t="n">
        <v>0</v>
      </c>
      <c r="K263" s="9" t="n">
        <v>0</v>
      </c>
    </row>
    <row r="264" customFormat="false" ht="12.75" hidden="false" customHeight="false" outlineLevel="0" collapsed="false">
      <c r="A264" s="7" t="s">
        <v>272</v>
      </c>
      <c r="B264" s="7" t="n">
        <v>12</v>
      </c>
      <c r="C264" s="7"/>
      <c r="D264" s="9" t="n">
        <v>0</v>
      </c>
      <c r="E264" s="9" t="n">
        <v>0</v>
      </c>
      <c r="F264" s="9" t="n">
        <v>0</v>
      </c>
      <c r="G264" s="9" t="n">
        <v>0</v>
      </c>
      <c r="H264" s="9" t="n">
        <v>0</v>
      </c>
      <c r="I264" s="9" t="n">
        <v>0</v>
      </c>
      <c r="J264" s="9" t="n">
        <v>0</v>
      </c>
      <c r="K264" s="9" t="n">
        <v>0</v>
      </c>
    </row>
    <row r="265" customFormat="false" ht="12.75" hidden="false" customHeight="false" outlineLevel="0" collapsed="false">
      <c r="A265" s="7" t="s">
        <v>273</v>
      </c>
      <c r="B265" s="7" t="n">
        <v>12</v>
      </c>
      <c r="C265" s="7"/>
      <c r="D265" s="9" t="n">
        <v>0</v>
      </c>
      <c r="E265" s="9" t="n">
        <v>0</v>
      </c>
      <c r="F265" s="9" t="n">
        <v>0</v>
      </c>
      <c r="G265" s="9" t="n">
        <v>0</v>
      </c>
      <c r="H265" s="9" t="n">
        <v>0</v>
      </c>
      <c r="I265" s="9" t="n">
        <v>0</v>
      </c>
      <c r="J265" s="9" t="n">
        <v>0</v>
      </c>
      <c r="K265" s="9" t="n">
        <v>0</v>
      </c>
    </row>
    <row r="266" customFormat="false" ht="12.75" hidden="false" customHeight="false" outlineLevel="0" collapsed="false">
      <c r="A266" s="7" t="s">
        <v>274</v>
      </c>
      <c r="B266" s="7" t="n">
        <v>12</v>
      </c>
      <c r="C266" s="7"/>
      <c r="D266" s="9" t="n">
        <v>14</v>
      </c>
      <c r="E266" s="9" t="n">
        <v>473144</v>
      </c>
      <c r="F266" s="9" t="n">
        <v>0</v>
      </c>
      <c r="G266" s="9" t="n">
        <v>0</v>
      </c>
      <c r="H266" s="9" t="n">
        <v>0</v>
      </c>
      <c r="I266" s="9" t="n">
        <v>0</v>
      </c>
      <c r="J266" s="9" t="n">
        <v>14</v>
      </c>
      <c r="K266" s="9" t="n">
        <v>473144</v>
      </c>
      <c r="L266" s="197" t="n">
        <f aca="false">K266/J266</f>
        <v>33796</v>
      </c>
    </row>
    <row r="267" customFormat="false" ht="12.75" hidden="false" customHeight="false" outlineLevel="0" collapsed="false">
      <c r="A267" s="7" t="s">
        <v>275</v>
      </c>
      <c r="B267" s="7" t="n">
        <v>12</v>
      </c>
      <c r="C267" s="7"/>
      <c r="D267" s="9" t="n">
        <v>0</v>
      </c>
      <c r="E267" s="9" t="n">
        <v>0</v>
      </c>
      <c r="F267" s="9" t="n">
        <v>0</v>
      </c>
      <c r="G267" s="9" t="n">
        <v>0</v>
      </c>
      <c r="H267" s="9" t="n">
        <v>0</v>
      </c>
      <c r="I267" s="9" t="n">
        <v>0</v>
      </c>
      <c r="J267" s="9" t="n">
        <v>0</v>
      </c>
      <c r="K267" s="9" t="n">
        <v>0</v>
      </c>
    </row>
    <row r="268" customFormat="false" ht="12.75" hidden="false" customHeight="false" outlineLevel="0" collapsed="false">
      <c r="A268" s="7" t="s">
        <v>276</v>
      </c>
      <c r="B268" s="7" t="n">
        <v>12</v>
      </c>
      <c r="C268" s="7"/>
      <c r="D268" s="9" t="n">
        <v>0</v>
      </c>
      <c r="E268" s="9" t="n">
        <v>0</v>
      </c>
      <c r="F268" s="9" t="n">
        <v>0</v>
      </c>
      <c r="G268" s="9" t="n">
        <v>0</v>
      </c>
      <c r="H268" s="9" t="n">
        <v>0</v>
      </c>
      <c r="I268" s="9" t="n">
        <v>0</v>
      </c>
      <c r="J268" s="9" t="n">
        <v>0</v>
      </c>
      <c r="K268" s="9" t="n">
        <v>0</v>
      </c>
    </row>
    <row r="269" customFormat="false" ht="12.75" hidden="false" customHeight="false" outlineLevel="0" collapsed="false">
      <c r="A269" s="7" t="s">
        <v>277</v>
      </c>
      <c r="B269" s="7" t="n">
        <v>12</v>
      </c>
      <c r="C269" s="7"/>
      <c r="D269" s="9" t="n">
        <v>0</v>
      </c>
      <c r="E269" s="9" t="n">
        <v>0</v>
      </c>
      <c r="F269" s="9" t="n">
        <v>0</v>
      </c>
      <c r="G269" s="9" t="n">
        <v>0</v>
      </c>
      <c r="H269" s="9" t="n">
        <v>0</v>
      </c>
      <c r="I269" s="9" t="n">
        <v>0</v>
      </c>
      <c r="J269" s="9" t="n">
        <v>0</v>
      </c>
      <c r="K269" s="9" t="n">
        <v>0</v>
      </c>
    </row>
    <row r="270" customFormat="false" ht="12.75" hidden="false" customHeight="false" outlineLevel="0" collapsed="false">
      <c r="A270" s="7" t="s">
        <v>278</v>
      </c>
      <c r="B270" s="7" t="n">
        <v>12</v>
      </c>
      <c r="C270" s="7"/>
      <c r="D270" s="9" t="n">
        <v>0</v>
      </c>
      <c r="E270" s="9" t="n">
        <v>0</v>
      </c>
      <c r="F270" s="9" t="n">
        <v>0</v>
      </c>
      <c r="G270" s="9" t="n">
        <v>0</v>
      </c>
      <c r="H270" s="9" t="n">
        <v>0</v>
      </c>
      <c r="I270" s="9" t="n">
        <v>0</v>
      </c>
      <c r="J270" s="9" t="n">
        <v>0</v>
      </c>
      <c r="K270" s="9" t="n">
        <v>0</v>
      </c>
    </row>
    <row r="271" customFormat="false" ht="12.75" hidden="false" customHeight="false" outlineLevel="0" collapsed="false">
      <c r="A271" s="7" t="s">
        <v>279</v>
      </c>
      <c r="B271" s="7" t="n">
        <v>12</v>
      </c>
      <c r="C271" s="7"/>
      <c r="D271" s="9" t="n">
        <v>0</v>
      </c>
      <c r="E271" s="9" t="n">
        <v>0</v>
      </c>
      <c r="F271" s="9" t="n">
        <v>0</v>
      </c>
      <c r="G271" s="9" t="n">
        <v>0</v>
      </c>
      <c r="H271" s="9" t="n">
        <v>0</v>
      </c>
      <c r="I271" s="9" t="n">
        <v>0</v>
      </c>
      <c r="J271" s="9" t="n">
        <v>0</v>
      </c>
      <c r="K271" s="9" t="n">
        <v>0</v>
      </c>
    </row>
    <row r="272" customFormat="false" ht="12.75" hidden="false" customHeight="false" outlineLevel="0" collapsed="false">
      <c r="A272" s="7" t="s">
        <v>280</v>
      </c>
      <c r="B272" s="7" t="n">
        <v>12</v>
      </c>
      <c r="C272" s="7"/>
      <c r="D272" s="9" t="n">
        <v>0</v>
      </c>
      <c r="E272" s="9" t="n">
        <v>0</v>
      </c>
      <c r="F272" s="9" t="n">
        <v>0</v>
      </c>
      <c r="G272" s="9" t="n">
        <v>0</v>
      </c>
      <c r="H272" s="9" t="n">
        <v>0</v>
      </c>
      <c r="I272" s="9" t="n">
        <v>0</v>
      </c>
      <c r="J272" s="9" t="n">
        <v>0</v>
      </c>
      <c r="K272" s="9" t="n">
        <v>0</v>
      </c>
    </row>
    <row r="273" customFormat="false" ht="12.75" hidden="false" customHeight="false" outlineLevel="0" collapsed="false">
      <c r="A273" s="7" t="s">
        <v>281</v>
      </c>
      <c r="B273" s="7" t="n">
        <v>12</v>
      </c>
      <c r="C273" s="7"/>
      <c r="D273" s="9" t="n">
        <v>115</v>
      </c>
      <c r="E273" s="9" t="n">
        <v>1984968</v>
      </c>
      <c r="F273" s="9" t="n">
        <v>52</v>
      </c>
      <c r="G273" s="9" t="n">
        <v>882000</v>
      </c>
      <c r="H273" s="9" t="n">
        <v>0</v>
      </c>
      <c r="I273" s="9" t="n">
        <v>0</v>
      </c>
      <c r="J273" s="9" t="n">
        <v>167</v>
      </c>
      <c r="K273" s="9" t="n">
        <v>2866968</v>
      </c>
      <c r="L273" s="197" t="n">
        <f aca="false">K273/J273</f>
        <v>17167.4730538922</v>
      </c>
    </row>
    <row r="274" customFormat="false" ht="12.75" hidden="false" customHeight="false" outlineLevel="0" collapsed="false">
      <c r="A274" s="7" t="s">
        <v>282</v>
      </c>
      <c r="B274" s="7" t="n">
        <v>12</v>
      </c>
      <c r="C274" s="7"/>
      <c r="D274" s="9" t="n">
        <v>0</v>
      </c>
      <c r="E274" s="9" t="n">
        <v>0</v>
      </c>
      <c r="F274" s="9" t="n">
        <v>28</v>
      </c>
      <c r="G274" s="9" t="n">
        <v>1940400</v>
      </c>
      <c r="H274" s="9" t="n">
        <v>15</v>
      </c>
      <c r="I274" s="9" t="n">
        <v>1044761</v>
      </c>
      <c r="J274" s="9" t="n">
        <v>13</v>
      </c>
      <c r="K274" s="9" t="n">
        <v>895639</v>
      </c>
      <c r="L274" s="197" t="n">
        <f aca="false">K274/J274</f>
        <v>68895.3076923077</v>
      </c>
    </row>
    <row r="275" customFormat="false" ht="12.75" hidden="false" customHeight="false" outlineLevel="0" collapsed="false">
      <c r="A275" s="7" t="s">
        <v>283</v>
      </c>
      <c r="B275" s="7" t="n">
        <v>12</v>
      </c>
      <c r="C275" s="7"/>
      <c r="D275" s="9" t="n">
        <v>2650</v>
      </c>
      <c r="E275" s="9" t="n">
        <v>60362629</v>
      </c>
      <c r="F275" s="9" t="n">
        <v>1138</v>
      </c>
      <c r="G275" s="9" t="n">
        <v>39547200</v>
      </c>
      <c r="H275" s="9" t="n">
        <v>2103</v>
      </c>
      <c r="I275" s="9" t="n">
        <v>76338900</v>
      </c>
      <c r="J275" s="9" t="n">
        <v>1685</v>
      </c>
      <c r="K275" s="9" t="n">
        <v>23570929</v>
      </c>
      <c r="L275" s="197" t="n">
        <f aca="false">K275/J275</f>
        <v>13988.6818991098</v>
      </c>
    </row>
    <row r="276" customFormat="false" ht="12.75" hidden="false" customHeight="false" outlineLevel="0" collapsed="false">
      <c r="A276" s="7" t="s">
        <v>284</v>
      </c>
      <c r="B276" s="7" t="n">
        <v>12</v>
      </c>
      <c r="C276" s="7"/>
      <c r="D276" s="9" t="n">
        <v>170</v>
      </c>
      <c r="E276" s="9" t="n">
        <v>7787064</v>
      </c>
      <c r="F276" s="9" t="n">
        <v>14</v>
      </c>
      <c r="G276" s="9" t="n">
        <v>598416</v>
      </c>
      <c r="H276" s="9" t="n">
        <v>0</v>
      </c>
      <c r="I276" s="9" t="n">
        <v>0</v>
      </c>
      <c r="J276" s="9" t="n">
        <v>184</v>
      </c>
      <c r="K276" s="9" t="n">
        <v>8385480</v>
      </c>
      <c r="L276" s="197" t="n">
        <f aca="false">K276/J276</f>
        <v>45573.2608695652</v>
      </c>
    </row>
    <row r="277" customFormat="false" ht="12.75" hidden="false" customHeight="false" outlineLevel="0" collapsed="false">
      <c r="A277" s="7" t="s">
        <v>285</v>
      </c>
      <c r="B277" s="7" t="n">
        <v>12</v>
      </c>
      <c r="C277" s="7"/>
      <c r="D277" s="9" t="n">
        <v>0</v>
      </c>
      <c r="E277" s="9" t="n">
        <v>0</v>
      </c>
      <c r="F277" s="9" t="n">
        <v>0</v>
      </c>
      <c r="G277" s="9" t="n">
        <v>0</v>
      </c>
      <c r="H277" s="9" t="n">
        <v>0</v>
      </c>
      <c r="I277" s="9" t="n">
        <v>0</v>
      </c>
      <c r="J277" s="9" t="n">
        <v>0</v>
      </c>
      <c r="K277" s="9" t="n">
        <v>0</v>
      </c>
    </row>
    <row r="278" customFormat="false" ht="12.75" hidden="false" customHeight="false" outlineLevel="0" collapsed="false">
      <c r="A278" s="7" t="s">
        <v>286</v>
      </c>
      <c r="B278" s="7" t="n">
        <v>12</v>
      </c>
      <c r="C278" s="7"/>
      <c r="D278" s="9" t="n">
        <v>0</v>
      </c>
      <c r="E278" s="9" t="n">
        <v>0</v>
      </c>
      <c r="F278" s="9" t="n">
        <v>0</v>
      </c>
      <c r="G278" s="9" t="n">
        <v>0</v>
      </c>
      <c r="H278" s="9" t="n">
        <v>0</v>
      </c>
      <c r="I278" s="9" t="n">
        <v>0</v>
      </c>
      <c r="J278" s="9" t="n">
        <v>0</v>
      </c>
      <c r="K278" s="9" t="n">
        <v>0</v>
      </c>
    </row>
    <row r="279" customFormat="false" ht="12.75" hidden="false" customHeight="false" outlineLevel="0" collapsed="false">
      <c r="A279" s="7" t="s">
        <v>287</v>
      </c>
      <c r="B279" s="7" t="n">
        <v>12</v>
      </c>
      <c r="C279" s="7"/>
      <c r="D279" s="9" t="n">
        <v>8</v>
      </c>
      <c r="E279" s="9" t="n">
        <v>888480</v>
      </c>
      <c r="F279" s="9" t="n">
        <v>0</v>
      </c>
      <c r="G279" s="9" t="n">
        <v>0</v>
      </c>
      <c r="H279" s="9" t="n">
        <v>0</v>
      </c>
      <c r="I279" s="9" t="n">
        <v>0</v>
      </c>
      <c r="J279" s="9" t="n">
        <v>8</v>
      </c>
      <c r="K279" s="9" t="n">
        <v>888480</v>
      </c>
      <c r="L279" s="197" t="n">
        <f aca="false">K279/J279</f>
        <v>111060</v>
      </c>
    </row>
    <row r="280" customFormat="false" ht="12.75" hidden="false" customHeight="false" outlineLevel="0" collapsed="false">
      <c r="A280" s="7" t="s">
        <v>288</v>
      </c>
      <c r="B280" s="7" t="n">
        <v>12</v>
      </c>
      <c r="C280" s="7"/>
      <c r="D280" s="9" t="n">
        <v>72</v>
      </c>
      <c r="E280" s="9" t="n">
        <v>1717560</v>
      </c>
      <c r="F280" s="9" t="n">
        <v>0</v>
      </c>
      <c r="G280" s="9" t="n">
        <v>0</v>
      </c>
      <c r="H280" s="9" t="n">
        <v>0</v>
      </c>
      <c r="I280" s="9" t="n">
        <v>0</v>
      </c>
      <c r="J280" s="9" t="n">
        <v>72</v>
      </c>
      <c r="K280" s="9" t="n">
        <v>1717560</v>
      </c>
      <c r="L280" s="197" t="n">
        <f aca="false">K280/J280</f>
        <v>23855</v>
      </c>
    </row>
    <row r="281" customFormat="false" ht="12.75" hidden="false" customHeight="false" outlineLevel="0" collapsed="false">
      <c r="A281" s="7" t="s">
        <v>289</v>
      </c>
      <c r="B281" s="7" t="n">
        <v>12</v>
      </c>
      <c r="C281" s="7"/>
      <c r="D281" s="9" t="n">
        <v>5453</v>
      </c>
      <c r="E281" s="9" t="n">
        <v>18544800</v>
      </c>
      <c r="F281" s="9" t="n">
        <v>481</v>
      </c>
      <c r="G281" s="9" t="n">
        <v>4222080</v>
      </c>
      <c r="H281" s="9" t="n">
        <v>0</v>
      </c>
      <c r="I281" s="9" t="n">
        <v>0</v>
      </c>
      <c r="J281" s="9" t="n">
        <v>5934</v>
      </c>
      <c r="K281" s="9" t="n">
        <v>22766880</v>
      </c>
      <c r="L281" s="197" t="n">
        <f aca="false">K281/J281</f>
        <v>3836.68351870576</v>
      </c>
    </row>
    <row r="282" customFormat="false" ht="12.75" hidden="false" customHeight="false" outlineLevel="0" collapsed="false">
      <c r="A282" s="7" t="s">
        <v>290</v>
      </c>
      <c r="B282" s="7" t="n">
        <v>12</v>
      </c>
      <c r="C282" s="7"/>
      <c r="D282" s="9" t="n">
        <v>294</v>
      </c>
      <c r="E282" s="9" t="n">
        <v>26161598</v>
      </c>
      <c r="F282" s="9" t="n">
        <v>612</v>
      </c>
      <c r="G282" s="9" t="n">
        <v>54458208</v>
      </c>
      <c r="H282" s="9" t="n">
        <v>462</v>
      </c>
      <c r="I282" s="9" t="n">
        <v>41110762</v>
      </c>
      <c r="J282" s="9" t="n">
        <v>444</v>
      </c>
      <c r="K282" s="9" t="n">
        <v>39509044</v>
      </c>
      <c r="L282" s="197" t="n">
        <f aca="false">K282/J282</f>
        <v>88984.3333333333</v>
      </c>
    </row>
    <row r="283" customFormat="false" ht="12.75" hidden="false" customHeight="false" outlineLevel="0" collapsed="false">
      <c r="A283" s="7" t="s">
        <v>291</v>
      </c>
      <c r="B283" s="7" t="n">
        <v>12</v>
      </c>
      <c r="C283" s="7"/>
      <c r="D283" s="9" t="n">
        <v>580</v>
      </c>
      <c r="E283" s="9" t="n">
        <v>54183265</v>
      </c>
      <c r="F283" s="9" t="n">
        <v>1120</v>
      </c>
      <c r="G283" s="9" t="n">
        <v>104711040</v>
      </c>
      <c r="H283" s="9" t="n">
        <v>821</v>
      </c>
      <c r="I283" s="9" t="n">
        <v>76736603</v>
      </c>
      <c r="J283" s="9" t="n">
        <v>879</v>
      </c>
      <c r="K283" s="9" t="n">
        <v>82157702</v>
      </c>
      <c r="L283" s="197" t="n">
        <f aca="false">K283/J283</f>
        <v>93467.2377701934</v>
      </c>
    </row>
    <row r="284" customFormat="false" ht="12.75" hidden="false" customHeight="false" outlineLevel="0" collapsed="false">
      <c r="A284" s="7" t="s">
        <v>292</v>
      </c>
      <c r="B284" s="7" t="n">
        <v>12</v>
      </c>
      <c r="C284" s="7"/>
      <c r="D284" s="9" t="n">
        <v>0</v>
      </c>
      <c r="E284" s="9" t="n">
        <v>0</v>
      </c>
      <c r="F284" s="9" t="n">
        <v>394</v>
      </c>
      <c r="G284" s="9" t="n">
        <v>34234181</v>
      </c>
      <c r="H284" s="9" t="n">
        <v>394</v>
      </c>
      <c r="I284" s="9" t="n">
        <v>34234181</v>
      </c>
      <c r="J284" s="9" t="n">
        <v>0</v>
      </c>
      <c r="K284" s="9" t="n">
        <v>0</v>
      </c>
    </row>
    <row r="285" customFormat="false" ht="12.75" hidden="false" customHeight="false" outlineLevel="0" collapsed="false">
      <c r="A285" s="7"/>
      <c r="B285" s="7"/>
      <c r="C285" s="7"/>
      <c r="D285" s="6"/>
      <c r="E285" s="6" t="n">
        <v>15756884474</v>
      </c>
      <c r="F285" s="6"/>
      <c r="G285" s="6" t="n">
        <v>14455017684</v>
      </c>
      <c r="H285" s="6"/>
      <c r="I285" s="6" t="n">
        <v>14475829845</v>
      </c>
      <c r="J285" s="6"/>
      <c r="K285" s="6" t="n">
        <f aca="false">SUM(K3:K284)</f>
        <v>15736072313</v>
      </c>
      <c r="L285" s="197" t="n">
        <f aca="false">'Tháng 12'!J285</f>
        <v>15736072313</v>
      </c>
      <c r="M285" s="197" t="n">
        <f aca="false">K285-L285</f>
        <v>0</v>
      </c>
    </row>
  </sheetData>
  <mergeCells count="4">
    <mergeCell ref="D1:E1"/>
    <mergeCell ref="F1:G1"/>
    <mergeCell ref="H1:I1"/>
    <mergeCell ref="J1:K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W285"/>
  <sheetViews>
    <sheetView showFormulas="false" showGridLines="true" showRowColHeaders="true" showZeros="true" rightToLeft="false" tabSelected="false" showOutlineSymbols="true" defaultGridColor="true" view="normal" topLeftCell="A277" colorId="64" zoomScale="100" zoomScaleNormal="100" zoomScalePageLayoutView="100" workbookViewId="0">
      <selection pane="topLeft" activeCell="I19" activeCellId="0" sqref="I19"/>
    </sheetView>
  </sheetViews>
  <sheetFormatPr defaultColWidth="12.5703125" defaultRowHeight="15.75" customHeight="true" zeroHeight="false" outlineLevelRow="0" outlineLevelCol="0"/>
  <cols>
    <col collapsed="false" customWidth="true" hidden="false" outlineLevel="0" max="1" min="1" style="0" width="39.85"/>
    <col collapsed="false" customWidth="true" hidden="false" outlineLevel="0" max="2" min="2" style="0" width="6"/>
    <col collapsed="false" customWidth="true" hidden="false" outlineLevel="0" max="4" min="4" style="0" width="13.86"/>
    <col collapsed="false" customWidth="true" hidden="false" outlineLevel="0" max="6" min="6" style="0" width="13.86"/>
    <col collapsed="false" customWidth="true" hidden="false" outlineLevel="0" max="7" min="7" style="0" width="10.57"/>
    <col collapsed="false" customWidth="true" hidden="false" outlineLevel="0" max="8" min="8" style="0" width="13.86"/>
    <col collapsed="false" customWidth="true" hidden="false" outlineLevel="0" max="10" min="10" style="0" width="13.86"/>
  </cols>
  <sheetData>
    <row r="1" customFormat="false" ht="15.75" hidden="false" customHeight="false" outlineLevel="0" collapsed="false">
      <c r="A1" s="1"/>
      <c r="B1" s="2"/>
      <c r="C1" s="3" t="s">
        <v>0</v>
      </c>
      <c r="D1" s="3"/>
      <c r="E1" s="3" t="s">
        <v>1</v>
      </c>
      <c r="F1" s="3"/>
      <c r="G1" s="3" t="s">
        <v>2</v>
      </c>
      <c r="H1" s="3"/>
      <c r="I1" s="3" t="s">
        <v>3</v>
      </c>
      <c r="J1" s="3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</row>
    <row r="2" customFormat="false" ht="15.75" hidden="false" customHeight="false" outlineLevel="0" collapsed="false">
      <c r="A2" s="4" t="s">
        <v>4</v>
      </c>
      <c r="B2" s="5" t="s">
        <v>5</v>
      </c>
      <c r="C2" s="6" t="s">
        <v>6</v>
      </c>
      <c r="D2" s="6" t="s">
        <v>7</v>
      </c>
      <c r="E2" s="6" t="s">
        <v>8</v>
      </c>
      <c r="F2" s="6" t="s">
        <v>9</v>
      </c>
      <c r="G2" s="6" t="s">
        <v>6</v>
      </c>
      <c r="H2" s="6" t="s">
        <v>10</v>
      </c>
      <c r="I2" s="6" t="s">
        <v>6</v>
      </c>
      <c r="J2" s="6" t="s">
        <v>9</v>
      </c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</row>
    <row r="3" customFormat="false" ht="15.75" hidden="false" customHeight="false" outlineLevel="0" collapsed="false">
      <c r="A3" s="7" t="s">
        <v>11</v>
      </c>
      <c r="B3" s="7" t="n">
        <v>12</v>
      </c>
      <c r="C3" s="9" t="n">
        <v>226</v>
      </c>
      <c r="D3" s="9" t="n">
        <v>6255676</v>
      </c>
      <c r="E3" s="9" t="n">
        <v>100</v>
      </c>
      <c r="F3" s="9" t="n">
        <v>2774400</v>
      </c>
      <c r="G3" s="9" t="n">
        <v>100</v>
      </c>
      <c r="H3" s="9" t="n">
        <v>2769962</v>
      </c>
      <c r="I3" s="9" t="n">
        <v>226</v>
      </c>
      <c r="J3" s="9" t="n">
        <v>6260114</v>
      </c>
    </row>
    <row r="4" customFormat="false" ht="15.75" hidden="false" customHeight="false" outlineLevel="0" collapsed="false">
      <c r="A4" s="7" t="s">
        <v>12</v>
      </c>
      <c r="B4" s="7" t="n">
        <v>12</v>
      </c>
      <c r="C4" s="9" t="n">
        <v>0</v>
      </c>
      <c r="D4" s="9" t="n">
        <v>0</v>
      </c>
      <c r="E4" s="9" t="n">
        <v>60</v>
      </c>
      <c r="F4" s="9" t="n">
        <v>1188660</v>
      </c>
      <c r="G4" s="9" t="n">
        <v>60</v>
      </c>
      <c r="H4" s="9" t="n">
        <v>1188660</v>
      </c>
      <c r="I4" s="9" t="n">
        <v>0</v>
      </c>
      <c r="J4" s="9" t="n">
        <v>0</v>
      </c>
    </row>
    <row r="5" customFormat="false" ht="15.75" hidden="false" customHeight="false" outlineLevel="0" collapsed="false">
      <c r="A5" s="7" t="s">
        <v>13</v>
      </c>
      <c r="B5" s="7" t="n">
        <v>12</v>
      </c>
      <c r="C5" s="9" t="n">
        <v>587</v>
      </c>
      <c r="D5" s="9" t="n">
        <v>19248466</v>
      </c>
      <c r="E5" s="9" t="n">
        <v>0</v>
      </c>
      <c r="F5" s="9" t="n">
        <v>0</v>
      </c>
      <c r="G5" s="9" t="n">
        <v>455</v>
      </c>
      <c r="H5" s="9" t="n">
        <v>14931342</v>
      </c>
      <c r="I5" s="9" t="n">
        <v>132</v>
      </c>
      <c r="J5" s="9" t="n">
        <v>4317124</v>
      </c>
    </row>
    <row r="6" customFormat="false" ht="15.75" hidden="false" customHeight="false" outlineLevel="0" collapsed="false">
      <c r="A6" s="7" t="s">
        <v>14</v>
      </c>
      <c r="B6" s="7" t="n">
        <v>12</v>
      </c>
      <c r="C6" s="9" t="n">
        <v>120</v>
      </c>
      <c r="D6" s="9" t="n">
        <v>35752144</v>
      </c>
      <c r="E6" s="9" t="n">
        <v>0</v>
      </c>
      <c r="F6" s="9" t="n">
        <v>0</v>
      </c>
      <c r="G6" s="9" t="n">
        <v>120</v>
      </c>
      <c r="H6" s="9" t="n">
        <v>35752144</v>
      </c>
      <c r="I6" s="9" t="n">
        <v>0</v>
      </c>
      <c r="J6" s="9" t="n">
        <v>0</v>
      </c>
    </row>
    <row r="7" s="202" customFormat="true" ht="15.75" hidden="false" customHeight="false" outlineLevel="0" collapsed="false">
      <c r="A7" s="199" t="s">
        <v>15</v>
      </c>
      <c r="B7" s="199" t="n">
        <v>12</v>
      </c>
      <c r="C7" s="200" t="n">
        <v>504</v>
      </c>
      <c r="D7" s="200" t="n">
        <v>68557545</v>
      </c>
      <c r="E7" s="200" t="n">
        <v>0</v>
      </c>
      <c r="F7" s="200" t="n">
        <v>0</v>
      </c>
      <c r="G7" s="200" t="n">
        <v>277</v>
      </c>
      <c r="H7" s="200" t="n">
        <v>37679444</v>
      </c>
      <c r="I7" s="200" t="n">
        <v>227</v>
      </c>
      <c r="J7" s="200" t="n">
        <v>30878101</v>
      </c>
    </row>
    <row r="8" s="202" customFormat="true" ht="15.75" hidden="false" customHeight="false" outlineLevel="0" collapsed="false">
      <c r="A8" s="199" t="s">
        <v>16</v>
      </c>
      <c r="B8" s="199" t="n">
        <v>12</v>
      </c>
      <c r="C8" s="200" t="n">
        <v>344</v>
      </c>
      <c r="D8" s="200" t="n">
        <v>53839916</v>
      </c>
      <c r="E8" s="200" t="n">
        <v>0</v>
      </c>
      <c r="F8" s="200" t="n">
        <v>0</v>
      </c>
      <c r="G8" s="200" t="n">
        <v>194</v>
      </c>
      <c r="H8" s="200" t="n">
        <v>30363208</v>
      </c>
      <c r="I8" s="200" t="n">
        <v>150</v>
      </c>
      <c r="J8" s="200" t="n">
        <v>23476708</v>
      </c>
    </row>
    <row r="9" customFormat="false" ht="15.75" hidden="false" customHeight="false" outlineLevel="0" collapsed="false">
      <c r="A9" s="7" t="s">
        <v>17</v>
      </c>
      <c r="B9" s="7" t="n">
        <v>12</v>
      </c>
      <c r="C9" s="9" t="n">
        <v>153</v>
      </c>
      <c r="D9" s="9" t="n">
        <v>36613751</v>
      </c>
      <c r="E9" s="9" t="n">
        <v>0</v>
      </c>
      <c r="F9" s="9" t="n">
        <v>0</v>
      </c>
      <c r="G9" s="9" t="n">
        <v>153</v>
      </c>
      <c r="H9" s="9" t="n">
        <v>36613751</v>
      </c>
      <c r="I9" s="9" t="n">
        <v>0</v>
      </c>
      <c r="J9" s="9" t="n">
        <v>0</v>
      </c>
    </row>
    <row r="10" customFormat="false" ht="15.75" hidden="false" customHeight="false" outlineLevel="0" collapsed="false">
      <c r="A10" s="7" t="s">
        <v>18</v>
      </c>
      <c r="B10" s="7" t="n">
        <v>12</v>
      </c>
      <c r="C10" s="9" t="n">
        <v>554</v>
      </c>
      <c r="D10" s="9" t="n">
        <v>12063982</v>
      </c>
      <c r="E10" s="9" t="n">
        <v>0</v>
      </c>
      <c r="F10" s="9" t="n">
        <v>0</v>
      </c>
      <c r="G10" s="9" t="n">
        <v>438</v>
      </c>
      <c r="H10" s="9" t="n">
        <v>9537950</v>
      </c>
      <c r="I10" s="9" t="n">
        <v>116</v>
      </c>
      <c r="J10" s="9" t="n">
        <v>2526032</v>
      </c>
    </row>
    <row r="11" customFormat="false" ht="15.75" hidden="false" customHeight="false" outlineLevel="0" collapsed="false">
      <c r="A11" s="7" t="s">
        <v>19</v>
      </c>
      <c r="B11" s="7" t="n">
        <v>12</v>
      </c>
      <c r="C11" s="9" t="n">
        <v>180</v>
      </c>
      <c r="D11" s="9" t="n">
        <v>3904035</v>
      </c>
      <c r="E11" s="9" t="n">
        <v>0</v>
      </c>
      <c r="F11" s="9" t="n">
        <v>0</v>
      </c>
      <c r="G11" s="9" t="n">
        <v>102</v>
      </c>
      <c r="H11" s="9" t="n">
        <v>2212287</v>
      </c>
      <c r="I11" s="9" t="n">
        <v>78</v>
      </c>
      <c r="J11" s="9" t="n">
        <v>1691748</v>
      </c>
    </row>
    <row r="12" customFormat="false" ht="15.75" hidden="false" customHeight="false" outlineLevel="0" collapsed="false">
      <c r="A12" s="7" t="s">
        <v>20</v>
      </c>
      <c r="B12" s="7" t="n">
        <v>12</v>
      </c>
      <c r="C12" s="9" t="n">
        <v>295</v>
      </c>
      <c r="D12" s="9" t="n">
        <v>31404753</v>
      </c>
      <c r="E12" s="9" t="n">
        <v>0</v>
      </c>
      <c r="F12" s="9" t="n">
        <v>0</v>
      </c>
      <c r="G12" s="9" t="n">
        <v>277</v>
      </c>
      <c r="H12" s="9" t="n">
        <v>29488531</v>
      </c>
      <c r="I12" s="9" t="n">
        <v>18</v>
      </c>
      <c r="J12" s="9" t="n">
        <v>1916222</v>
      </c>
    </row>
    <row r="13" customFormat="false" ht="15.75" hidden="false" customHeight="false" outlineLevel="0" collapsed="false">
      <c r="A13" s="7" t="s">
        <v>21</v>
      </c>
      <c r="B13" s="7" t="n">
        <v>12</v>
      </c>
      <c r="C13" s="9" t="n">
        <v>170</v>
      </c>
      <c r="D13" s="9" t="n">
        <v>40681945</v>
      </c>
      <c r="E13" s="9" t="n">
        <v>0</v>
      </c>
      <c r="F13" s="9" t="n">
        <v>0</v>
      </c>
      <c r="G13" s="9" t="n">
        <v>122</v>
      </c>
      <c r="H13" s="9" t="n">
        <v>29195278</v>
      </c>
      <c r="I13" s="9" t="n">
        <v>48</v>
      </c>
      <c r="J13" s="9" t="n">
        <v>11486667</v>
      </c>
    </row>
    <row r="14" customFormat="false" ht="15.75" hidden="false" customHeight="false" outlineLevel="0" collapsed="false">
      <c r="A14" s="7" t="s">
        <v>22</v>
      </c>
      <c r="B14" s="7" t="n">
        <v>12</v>
      </c>
      <c r="C14" s="9" t="n">
        <v>18</v>
      </c>
      <c r="D14" s="9" t="n">
        <v>407934</v>
      </c>
      <c r="E14" s="9" t="n">
        <v>0</v>
      </c>
      <c r="F14" s="9" t="n">
        <v>0</v>
      </c>
      <c r="G14" s="9" t="n">
        <v>18</v>
      </c>
      <c r="H14" s="9" t="n">
        <v>407934</v>
      </c>
      <c r="I14" s="9" t="n">
        <v>0</v>
      </c>
      <c r="J14" s="9" t="n">
        <v>0</v>
      </c>
    </row>
    <row r="15" customFormat="false" ht="15.75" hidden="false" customHeight="false" outlineLevel="0" collapsed="false">
      <c r="A15" s="7" t="s">
        <v>23</v>
      </c>
      <c r="B15" s="7" t="n">
        <v>12</v>
      </c>
      <c r="C15" s="9" t="n">
        <v>0</v>
      </c>
      <c r="D15" s="9" t="n">
        <v>0</v>
      </c>
      <c r="E15" s="9" t="n">
        <v>3</v>
      </c>
      <c r="F15" s="9" t="n">
        <v>57891</v>
      </c>
      <c r="G15" s="9" t="n">
        <v>3</v>
      </c>
      <c r="H15" s="9" t="n">
        <v>57891</v>
      </c>
      <c r="I15" s="9" t="n">
        <v>0</v>
      </c>
      <c r="J15" s="9" t="n">
        <v>0</v>
      </c>
    </row>
    <row r="16" customFormat="false" ht="15.75" hidden="false" customHeight="false" outlineLevel="0" collapsed="false">
      <c r="A16" s="7" t="s">
        <v>24</v>
      </c>
      <c r="B16" s="7" t="n">
        <v>12</v>
      </c>
      <c r="C16" s="9" t="n">
        <v>0</v>
      </c>
      <c r="D16" s="9" t="n">
        <v>0</v>
      </c>
      <c r="E16" s="9" t="n">
        <v>12</v>
      </c>
      <c r="F16" s="9" t="n">
        <v>231564</v>
      </c>
      <c r="G16" s="9" t="n">
        <v>12</v>
      </c>
      <c r="H16" s="9" t="n">
        <v>231564</v>
      </c>
      <c r="I16" s="9" t="n">
        <v>0</v>
      </c>
      <c r="J16" s="9" t="n">
        <v>0</v>
      </c>
    </row>
    <row r="17" customFormat="false" ht="15.75" hidden="false" customHeight="false" outlineLevel="0" collapsed="false">
      <c r="A17" s="7" t="s">
        <v>25</v>
      </c>
      <c r="B17" s="7" t="n">
        <v>12</v>
      </c>
      <c r="C17" s="9" t="n">
        <v>72</v>
      </c>
      <c r="D17" s="9" t="n">
        <v>1533524</v>
      </c>
      <c r="E17" s="9" t="n">
        <v>35</v>
      </c>
      <c r="F17" s="9" t="n">
        <v>745360</v>
      </c>
      <c r="G17" s="9" t="n">
        <v>70</v>
      </c>
      <c r="H17" s="9" t="n">
        <v>1490606</v>
      </c>
      <c r="I17" s="9" t="n">
        <v>37</v>
      </c>
      <c r="J17" s="9" t="n">
        <v>788278</v>
      </c>
    </row>
    <row r="18" customFormat="false" ht="15.75" hidden="false" customHeight="false" outlineLevel="0" collapsed="false">
      <c r="A18" s="7" t="s">
        <v>26</v>
      </c>
      <c r="B18" s="7" t="n">
        <v>12</v>
      </c>
      <c r="C18" s="9" t="n">
        <v>96</v>
      </c>
      <c r="D18" s="9" t="n">
        <v>2486575</v>
      </c>
      <c r="E18" s="9" t="n">
        <v>51</v>
      </c>
      <c r="F18" s="9" t="n">
        <v>1322226</v>
      </c>
      <c r="G18" s="9" t="n">
        <v>15</v>
      </c>
      <c r="H18" s="9" t="n">
        <v>388653</v>
      </c>
      <c r="I18" s="9" t="n">
        <v>132</v>
      </c>
      <c r="J18" s="9" t="n">
        <v>3420148</v>
      </c>
    </row>
    <row r="19" customFormat="false" ht="15.75" hidden="false" customHeight="false" outlineLevel="0" collapsed="false">
      <c r="A19" s="7" t="s">
        <v>27</v>
      </c>
      <c r="B19" s="7" t="n">
        <v>12</v>
      </c>
      <c r="C19" s="9" t="n">
        <v>67</v>
      </c>
      <c r="D19" s="9" t="n">
        <v>2083589</v>
      </c>
      <c r="E19" s="9" t="n">
        <v>0</v>
      </c>
      <c r="F19" s="9" t="n">
        <v>0</v>
      </c>
      <c r="G19" s="9" t="n">
        <v>5</v>
      </c>
      <c r="H19" s="9" t="n">
        <v>155492</v>
      </c>
      <c r="I19" s="9" t="n">
        <v>62</v>
      </c>
      <c r="J19" s="9" t="n">
        <v>1928097</v>
      </c>
    </row>
    <row r="20" customFormat="false" ht="15.75" hidden="false" customHeight="false" outlineLevel="0" collapsed="false">
      <c r="A20" s="7" t="s">
        <v>28</v>
      </c>
      <c r="B20" s="7" t="n">
        <v>12</v>
      </c>
      <c r="C20" s="9" t="n">
        <v>650</v>
      </c>
      <c r="D20" s="9" t="n">
        <v>74700000</v>
      </c>
      <c r="E20" s="9" t="n">
        <v>160</v>
      </c>
      <c r="F20" s="9" t="n">
        <v>18432000</v>
      </c>
      <c r="G20" s="9" t="n">
        <v>0</v>
      </c>
      <c r="H20" s="9" t="n">
        <v>0</v>
      </c>
      <c r="I20" s="9" t="n">
        <v>810</v>
      </c>
      <c r="J20" s="9" t="n">
        <v>93132000</v>
      </c>
    </row>
    <row r="21" customFormat="false" ht="15.75" hidden="false" customHeight="false" outlineLevel="0" collapsed="false">
      <c r="A21" s="7" t="s">
        <v>29</v>
      </c>
      <c r="B21" s="7" t="n">
        <v>12</v>
      </c>
      <c r="C21" s="9" t="n">
        <v>280</v>
      </c>
      <c r="D21" s="9" t="n">
        <v>74052080</v>
      </c>
      <c r="E21" s="9" t="n">
        <v>0</v>
      </c>
      <c r="F21" s="9" t="n">
        <v>0</v>
      </c>
      <c r="G21" s="9" t="n">
        <v>0</v>
      </c>
      <c r="H21" s="9" t="n">
        <v>0</v>
      </c>
      <c r="I21" s="9" t="n">
        <v>280</v>
      </c>
      <c r="J21" s="9" t="n">
        <v>74052080</v>
      </c>
    </row>
    <row r="22" customFormat="false" ht="15.75" hidden="false" customHeight="false" outlineLevel="0" collapsed="false">
      <c r="A22" s="7" t="s">
        <v>30</v>
      </c>
      <c r="B22" s="7" t="n">
        <v>12</v>
      </c>
      <c r="C22" s="9" t="n">
        <v>102</v>
      </c>
      <c r="D22" s="9" t="n">
        <v>19779439</v>
      </c>
      <c r="E22" s="9" t="n">
        <v>0</v>
      </c>
      <c r="F22" s="9" t="n">
        <v>0</v>
      </c>
      <c r="G22" s="9" t="n">
        <v>100</v>
      </c>
      <c r="H22" s="9" t="n">
        <v>19391607</v>
      </c>
      <c r="I22" s="9" t="n">
        <v>2</v>
      </c>
      <c r="J22" s="9" t="n">
        <v>387832</v>
      </c>
    </row>
    <row r="23" customFormat="false" ht="15.75" hidden="false" customHeight="false" outlineLevel="0" collapsed="false">
      <c r="A23" s="7" t="s">
        <v>31</v>
      </c>
      <c r="B23" s="7" t="n">
        <v>12</v>
      </c>
      <c r="C23" s="9" t="n">
        <v>0</v>
      </c>
      <c r="D23" s="9" t="n">
        <v>0</v>
      </c>
      <c r="E23" s="9" t="n">
        <v>50</v>
      </c>
      <c r="F23" s="9" t="n">
        <v>8509100</v>
      </c>
      <c r="G23" s="9" t="n">
        <v>0</v>
      </c>
      <c r="H23" s="9" t="n">
        <v>0</v>
      </c>
      <c r="I23" s="9" t="n">
        <v>50</v>
      </c>
      <c r="J23" s="9" t="n">
        <v>8509100</v>
      </c>
    </row>
    <row r="24" customFormat="false" ht="15.75" hidden="false" customHeight="false" outlineLevel="0" collapsed="false">
      <c r="A24" s="7" t="s">
        <v>32</v>
      </c>
      <c r="B24" s="7" t="n">
        <v>12</v>
      </c>
      <c r="C24" s="9" t="n">
        <v>137</v>
      </c>
      <c r="D24" s="9" t="n">
        <v>22821826</v>
      </c>
      <c r="E24" s="9" t="n">
        <v>0</v>
      </c>
      <c r="F24" s="9" t="n">
        <v>0</v>
      </c>
      <c r="G24" s="9" t="n">
        <v>20</v>
      </c>
      <c r="H24" s="9" t="n">
        <v>3331653</v>
      </c>
      <c r="I24" s="9" t="n">
        <v>117</v>
      </c>
      <c r="J24" s="9" t="n">
        <v>19490173</v>
      </c>
    </row>
    <row r="25" customFormat="false" ht="15.75" hidden="false" customHeight="false" outlineLevel="0" collapsed="false">
      <c r="A25" s="7" t="s">
        <v>33</v>
      </c>
      <c r="B25" s="7" t="n">
        <v>12</v>
      </c>
      <c r="C25" s="9" t="n">
        <v>106</v>
      </c>
      <c r="D25" s="9" t="n">
        <v>16323470</v>
      </c>
      <c r="E25" s="9" t="n">
        <v>45</v>
      </c>
      <c r="F25" s="9" t="n">
        <v>10556505</v>
      </c>
      <c r="G25" s="9" t="n">
        <v>28</v>
      </c>
      <c r="H25" s="9" t="n">
        <v>4984366</v>
      </c>
      <c r="I25" s="9" t="n">
        <v>123</v>
      </c>
      <c r="J25" s="9" t="n">
        <v>21895609</v>
      </c>
    </row>
    <row r="26" customFormat="false" ht="15.75" hidden="false" customHeight="false" outlineLevel="0" collapsed="false">
      <c r="A26" s="7" t="s">
        <v>34</v>
      </c>
      <c r="B26" s="7" t="n">
        <v>12</v>
      </c>
      <c r="C26" s="9" t="n">
        <v>94</v>
      </c>
      <c r="D26" s="9" t="n">
        <v>17372116</v>
      </c>
      <c r="E26" s="9" t="n">
        <v>40</v>
      </c>
      <c r="F26" s="9" t="n">
        <v>9383560</v>
      </c>
      <c r="G26" s="9" t="n">
        <v>50</v>
      </c>
      <c r="H26" s="9" t="n">
        <v>9983461</v>
      </c>
      <c r="I26" s="9" t="n">
        <v>84</v>
      </c>
      <c r="J26" s="9" t="n">
        <v>16772215</v>
      </c>
    </row>
    <row r="27" customFormat="false" ht="15.75" hidden="false" customHeight="false" outlineLevel="0" collapsed="false">
      <c r="A27" s="7" t="s">
        <v>35</v>
      </c>
      <c r="B27" s="7" t="n">
        <v>12</v>
      </c>
      <c r="C27" s="9" t="n">
        <v>351</v>
      </c>
      <c r="D27" s="9" t="n">
        <v>40194000</v>
      </c>
      <c r="E27" s="9" t="n">
        <v>0</v>
      </c>
      <c r="F27" s="9" t="n">
        <v>0</v>
      </c>
      <c r="G27" s="9" t="n">
        <v>0</v>
      </c>
      <c r="H27" s="9" t="n">
        <v>0</v>
      </c>
      <c r="I27" s="9" t="n">
        <v>351</v>
      </c>
      <c r="J27" s="9" t="n">
        <v>40194000</v>
      </c>
    </row>
    <row r="28" customFormat="false" ht="15.75" hidden="false" customHeight="false" outlineLevel="0" collapsed="false">
      <c r="A28" s="7" t="s">
        <v>36</v>
      </c>
      <c r="B28" s="7" t="n">
        <v>12</v>
      </c>
      <c r="C28" s="9" t="n">
        <v>40</v>
      </c>
      <c r="D28" s="9" t="n">
        <v>1818200</v>
      </c>
      <c r="E28" s="9" t="n">
        <v>0</v>
      </c>
      <c r="F28" s="9" t="n">
        <v>0</v>
      </c>
      <c r="G28" s="9" t="n">
        <v>0</v>
      </c>
      <c r="H28" s="9" t="n">
        <v>0</v>
      </c>
      <c r="I28" s="9" t="n">
        <v>40</v>
      </c>
      <c r="J28" s="9" t="n">
        <v>1818200</v>
      </c>
    </row>
    <row r="29" customFormat="false" ht="15.75" hidden="false" customHeight="false" outlineLevel="0" collapsed="false">
      <c r="A29" s="7" t="s">
        <v>37</v>
      </c>
      <c r="B29" s="7" t="n">
        <v>12</v>
      </c>
      <c r="C29" s="9" t="n">
        <v>833</v>
      </c>
      <c r="D29" s="9" t="n">
        <v>46378988</v>
      </c>
      <c r="E29" s="9" t="n">
        <v>4571</v>
      </c>
      <c r="F29" s="9" t="n">
        <v>254508576</v>
      </c>
      <c r="G29" s="9" t="n">
        <v>5404</v>
      </c>
      <c r="H29" s="9" t="n">
        <v>300887564</v>
      </c>
      <c r="I29" s="9" t="n">
        <v>0</v>
      </c>
      <c r="J29" s="9" t="n">
        <v>0</v>
      </c>
    </row>
    <row r="30" customFormat="false" ht="15.75" hidden="false" customHeight="false" outlineLevel="0" collapsed="false">
      <c r="A30" s="7" t="s">
        <v>38</v>
      </c>
      <c r="B30" s="7" t="n">
        <v>12</v>
      </c>
      <c r="C30" s="9" t="n">
        <v>273867</v>
      </c>
      <c r="D30" s="9" t="n">
        <v>255643095</v>
      </c>
      <c r="E30" s="9" t="n">
        <v>8568</v>
      </c>
      <c r="F30" s="9" t="n">
        <v>267390144</v>
      </c>
      <c r="G30" s="9" t="n">
        <v>8950</v>
      </c>
      <c r="H30" s="9" t="n">
        <v>279311599</v>
      </c>
      <c r="I30" s="9" t="n">
        <v>273485</v>
      </c>
      <c r="J30" s="9" t="n">
        <v>243721640</v>
      </c>
    </row>
    <row r="31" customFormat="false" ht="15.75" hidden="false" customHeight="false" outlineLevel="0" collapsed="false">
      <c r="A31" s="7" t="s">
        <v>39</v>
      </c>
      <c r="B31" s="7" t="n">
        <v>12</v>
      </c>
      <c r="C31" s="9" t="n">
        <v>25915</v>
      </c>
      <c r="D31" s="9" t="n">
        <v>50321430</v>
      </c>
      <c r="E31" s="9" t="n">
        <v>1500</v>
      </c>
      <c r="F31" s="9" t="n">
        <v>54276000</v>
      </c>
      <c r="G31" s="9" t="n">
        <v>2339</v>
      </c>
      <c r="H31" s="9" t="n">
        <v>84634375</v>
      </c>
      <c r="I31" s="9" t="n">
        <v>25076</v>
      </c>
      <c r="J31" s="9" t="n">
        <v>19963055</v>
      </c>
    </row>
    <row r="32" customFormat="false" ht="15.75" hidden="false" customHeight="false" outlineLevel="0" collapsed="false">
      <c r="A32" s="7" t="s">
        <v>40</v>
      </c>
      <c r="B32" s="7" t="n">
        <v>12</v>
      </c>
      <c r="C32" s="9" t="n">
        <v>2430</v>
      </c>
      <c r="D32" s="9" t="n">
        <v>87927120</v>
      </c>
      <c r="E32" s="9" t="n">
        <v>0</v>
      </c>
      <c r="F32" s="9" t="n">
        <v>0</v>
      </c>
      <c r="G32" s="9" t="n">
        <v>0</v>
      </c>
      <c r="H32" s="9" t="n">
        <v>0</v>
      </c>
      <c r="I32" s="9" t="n">
        <v>2430</v>
      </c>
      <c r="J32" s="9" t="n">
        <v>87927120</v>
      </c>
    </row>
    <row r="33" customFormat="false" ht="15.75" hidden="false" customHeight="false" outlineLevel="0" collapsed="false">
      <c r="A33" s="7" t="s">
        <v>41</v>
      </c>
      <c r="B33" s="7" t="n">
        <v>12</v>
      </c>
      <c r="C33" s="9" t="n">
        <v>0</v>
      </c>
      <c r="D33" s="9" t="n">
        <v>189538</v>
      </c>
      <c r="E33" s="9" t="n">
        <v>0</v>
      </c>
      <c r="F33" s="9" t="n">
        <v>0</v>
      </c>
      <c r="G33" s="9" t="n">
        <v>0</v>
      </c>
      <c r="H33" s="9" t="n">
        <v>0</v>
      </c>
      <c r="I33" s="9" t="n">
        <v>0</v>
      </c>
      <c r="J33" s="9" t="n">
        <v>189538</v>
      </c>
    </row>
    <row r="34" customFormat="false" ht="15.75" hidden="false" customHeight="false" outlineLevel="0" collapsed="false">
      <c r="A34" s="7" t="s">
        <v>42</v>
      </c>
      <c r="B34" s="7" t="n">
        <v>12</v>
      </c>
      <c r="C34" s="9" t="n">
        <v>160</v>
      </c>
      <c r="D34" s="9" t="n">
        <v>8538638</v>
      </c>
      <c r="E34" s="9" t="n">
        <v>0</v>
      </c>
      <c r="F34" s="9" t="n">
        <v>0</v>
      </c>
      <c r="G34" s="9" t="n">
        <v>30</v>
      </c>
      <c r="H34" s="9" t="n">
        <v>1526583</v>
      </c>
      <c r="I34" s="9" t="n">
        <v>130</v>
      </c>
      <c r="J34" s="9" t="n">
        <v>7012055</v>
      </c>
    </row>
    <row r="35" customFormat="false" ht="15.75" hidden="false" customHeight="false" outlineLevel="0" collapsed="false">
      <c r="A35" s="7" t="s">
        <v>43</v>
      </c>
      <c r="B35" s="7" t="n">
        <v>12</v>
      </c>
      <c r="C35" s="9" t="n">
        <v>0</v>
      </c>
      <c r="D35" s="9" t="n">
        <v>0</v>
      </c>
      <c r="E35" s="9" t="n">
        <v>0</v>
      </c>
      <c r="F35" s="9" t="n">
        <v>0</v>
      </c>
      <c r="G35" s="9" t="n">
        <v>0</v>
      </c>
      <c r="H35" s="9" t="n">
        <v>0</v>
      </c>
      <c r="I35" s="9" t="n">
        <v>0</v>
      </c>
      <c r="J35" s="9" t="n">
        <v>0</v>
      </c>
    </row>
    <row r="36" customFormat="false" ht="15.75" hidden="false" customHeight="false" outlineLevel="0" collapsed="false">
      <c r="A36" s="7" t="s">
        <v>44</v>
      </c>
      <c r="B36" s="7" t="n">
        <v>12</v>
      </c>
      <c r="C36" s="9" t="n">
        <v>9485</v>
      </c>
      <c r="D36" s="9" t="n">
        <v>33640650</v>
      </c>
      <c r="E36" s="9" t="n">
        <v>1050</v>
      </c>
      <c r="F36" s="9" t="n">
        <v>37993200</v>
      </c>
      <c r="G36" s="9" t="n">
        <v>1080</v>
      </c>
      <c r="H36" s="9" t="n">
        <v>39077621</v>
      </c>
      <c r="I36" s="9" t="n">
        <v>9455</v>
      </c>
      <c r="J36" s="9" t="n">
        <v>32556229</v>
      </c>
    </row>
    <row r="37" customFormat="false" ht="15.75" hidden="false" customHeight="false" outlineLevel="0" collapsed="false">
      <c r="A37" s="7" t="s">
        <v>45</v>
      </c>
      <c r="B37" s="7" t="n">
        <v>12</v>
      </c>
      <c r="C37" s="9" t="n">
        <v>320</v>
      </c>
      <c r="D37" s="9" t="n">
        <v>11571799</v>
      </c>
      <c r="E37" s="9" t="n">
        <v>405</v>
      </c>
      <c r="F37" s="9" t="n">
        <v>14654520</v>
      </c>
      <c r="G37" s="9" t="n">
        <v>630</v>
      </c>
      <c r="H37" s="9" t="n">
        <v>22789767</v>
      </c>
      <c r="I37" s="9" t="n">
        <v>95</v>
      </c>
      <c r="J37" s="9" t="n">
        <v>3436552</v>
      </c>
    </row>
    <row r="38" customFormat="false" ht="15.75" hidden="false" customHeight="false" outlineLevel="0" collapsed="false">
      <c r="A38" s="7" t="s">
        <v>46</v>
      </c>
      <c r="B38" s="7" t="n">
        <v>12</v>
      </c>
      <c r="C38" s="9" t="n">
        <v>270</v>
      </c>
      <c r="D38" s="9" t="n">
        <v>9896208</v>
      </c>
      <c r="E38" s="9" t="n">
        <v>120</v>
      </c>
      <c r="F38" s="9" t="n">
        <v>4342080</v>
      </c>
      <c r="G38" s="9" t="n">
        <v>325</v>
      </c>
      <c r="H38" s="9" t="n">
        <v>11669303</v>
      </c>
      <c r="I38" s="9" t="n">
        <v>65</v>
      </c>
      <c r="J38" s="9" t="n">
        <v>2568985</v>
      </c>
    </row>
    <row r="39" customFormat="false" ht="15.75" hidden="false" customHeight="false" outlineLevel="0" collapsed="false">
      <c r="A39" s="7" t="s">
        <v>47</v>
      </c>
      <c r="B39" s="7" t="n">
        <v>12</v>
      </c>
      <c r="C39" s="9" t="n">
        <v>1500</v>
      </c>
      <c r="D39" s="9" t="n">
        <v>7597338</v>
      </c>
      <c r="E39" s="9" t="n">
        <v>250</v>
      </c>
      <c r="F39" s="9" t="n">
        <v>1273250</v>
      </c>
      <c r="G39" s="9" t="n">
        <v>755</v>
      </c>
      <c r="H39" s="9" t="n">
        <v>3827026</v>
      </c>
      <c r="I39" s="9" t="n">
        <v>995</v>
      </c>
      <c r="J39" s="9" t="n">
        <v>5043562</v>
      </c>
    </row>
    <row r="40" customFormat="false" ht="15.75" hidden="false" customHeight="false" outlineLevel="0" collapsed="false">
      <c r="A40" s="7" t="s">
        <v>48</v>
      </c>
      <c r="B40" s="7" t="n">
        <v>12</v>
      </c>
      <c r="C40" s="9" t="n">
        <v>192</v>
      </c>
      <c r="D40" s="9" t="n">
        <v>4111968</v>
      </c>
      <c r="E40" s="9" t="n">
        <v>48</v>
      </c>
      <c r="F40" s="9" t="n">
        <v>933312</v>
      </c>
      <c r="G40" s="9" t="n">
        <v>0</v>
      </c>
      <c r="H40" s="9" t="n">
        <v>0</v>
      </c>
      <c r="I40" s="9" t="n">
        <v>240</v>
      </c>
      <c r="J40" s="9" t="n">
        <v>5045280</v>
      </c>
    </row>
    <row r="41" customFormat="false" ht="15.75" hidden="false" customHeight="false" outlineLevel="0" collapsed="false">
      <c r="A41" s="7" t="s">
        <v>49</v>
      </c>
      <c r="B41" s="7" t="n">
        <v>12</v>
      </c>
      <c r="C41" s="9" t="n">
        <v>4020</v>
      </c>
      <c r="D41" s="9" t="n">
        <v>19708744</v>
      </c>
      <c r="E41" s="9" t="n">
        <v>3360</v>
      </c>
      <c r="F41" s="9" t="n">
        <v>16487520</v>
      </c>
      <c r="G41" s="9" t="n">
        <v>5810</v>
      </c>
      <c r="H41" s="9" t="n">
        <v>28495976</v>
      </c>
      <c r="I41" s="9" t="n">
        <v>1570</v>
      </c>
      <c r="J41" s="9" t="n">
        <v>7700288</v>
      </c>
    </row>
    <row r="42" customFormat="false" ht="15.75" hidden="false" customHeight="false" outlineLevel="0" collapsed="false">
      <c r="A42" s="7" t="s">
        <v>50</v>
      </c>
      <c r="B42" s="7" t="n">
        <v>12</v>
      </c>
      <c r="C42" s="9" t="n">
        <v>750</v>
      </c>
      <c r="D42" s="9" t="n">
        <v>2517000</v>
      </c>
      <c r="E42" s="9" t="n">
        <v>0</v>
      </c>
      <c r="F42" s="9" t="n">
        <v>0</v>
      </c>
      <c r="G42" s="9" t="n">
        <v>0</v>
      </c>
      <c r="H42" s="9" t="n">
        <v>0</v>
      </c>
      <c r="I42" s="9" t="n">
        <v>750</v>
      </c>
      <c r="J42" s="9" t="n">
        <v>2517000</v>
      </c>
    </row>
    <row r="43" customFormat="false" ht="15.75" hidden="false" customHeight="false" outlineLevel="0" collapsed="false">
      <c r="A43" s="7" t="s">
        <v>51</v>
      </c>
      <c r="B43" s="7" t="n">
        <v>12</v>
      </c>
      <c r="C43" s="9" t="n">
        <v>1350</v>
      </c>
      <c r="D43" s="9" t="n">
        <v>5561964</v>
      </c>
      <c r="E43" s="9" t="n">
        <v>200</v>
      </c>
      <c r="F43" s="9" t="n">
        <v>833400</v>
      </c>
      <c r="G43" s="9" t="n">
        <v>780</v>
      </c>
      <c r="H43" s="9" t="n">
        <v>3218313</v>
      </c>
      <c r="I43" s="9" t="n">
        <v>770</v>
      </c>
      <c r="J43" s="9" t="n">
        <v>3177051</v>
      </c>
    </row>
    <row r="44" customFormat="false" ht="15.75" hidden="false" customHeight="false" outlineLevel="0" collapsed="false">
      <c r="A44" s="7" t="s">
        <v>52</v>
      </c>
      <c r="B44" s="7" t="n">
        <v>12</v>
      </c>
      <c r="C44" s="9" t="n">
        <v>1676</v>
      </c>
      <c r="D44" s="9" t="n">
        <v>38641471</v>
      </c>
      <c r="E44" s="9" t="n">
        <v>288</v>
      </c>
      <c r="F44" s="9" t="n">
        <v>6666624</v>
      </c>
      <c r="G44" s="9" t="n">
        <v>256</v>
      </c>
      <c r="H44" s="9" t="n">
        <v>5905739</v>
      </c>
      <c r="I44" s="9" t="n">
        <v>1708</v>
      </c>
      <c r="J44" s="9" t="n">
        <v>39402356</v>
      </c>
    </row>
    <row r="45" customFormat="false" ht="15.75" hidden="false" customHeight="false" outlineLevel="0" collapsed="false">
      <c r="A45" s="7" t="s">
        <v>53</v>
      </c>
      <c r="B45" s="7" t="n">
        <v>12</v>
      </c>
      <c r="C45" s="9" t="n">
        <v>0</v>
      </c>
      <c r="D45" s="9" t="n">
        <v>0</v>
      </c>
      <c r="E45" s="9" t="n">
        <v>3600</v>
      </c>
      <c r="F45" s="9" t="n">
        <v>38332800</v>
      </c>
      <c r="G45" s="9" t="n">
        <v>10</v>
      </c>
      <c r="H45" s="9" t="n">
        <v>106480</v>
      </c>
      <c r="I45" s="9" t="n">
        <v>3590</v>
      </c>
      <c r="J45" s="9" t="n">
        <v>38226320</v>
      </c>
    </row>
    <row r="46" customFormat="false" ht="15.75" hidden="false" customHeight="false" outlineLevel="0" collapsed="false">
      <c r="A46" s="7" t="s">
        <v>54</v>
      </c>
      <c r="B46" s="7" t="n">
        <v>12</v>
      </c>
      <c r="C46" s="9" t="n">
        <v>4478</v>
      </c>
      <c r="D46" s="9" t="n">
        <v>65694476</v>
      </c>
      <c r="E46" s="9" t="n">
        <v>9176</v>
      </c>
      <c r="F46" s="9" t="n">
        <v>133335000</v>
      </c>
      <c r="G46" s="9" t="n">
        <v>7962</v>
      </c>
      <c r="H46" s="9" t="n">
        <v>116059227</v>
      </c>
      <c r="I46" s="9" t="n">
        <v>5692</v>
      </c>
      <c r="J46" s="9" t="n">
        <v>82970249</v>
      </c>
    </row>
    <row r="47" customFormat="false" ht="15.75" hidden="false" customHeight="false" outlineLevel="0" collapsed="false">
      <c r="A47" s="7" t="s">
        <v>55</v>
      </c>
      <c r="B47" s="7" t="n">
        <v>12</v>
      </c>
      <c r="C47" s="9" t="n">
        <v>162</v>
      </c>
      <c r="D47" s="9" t="n">
        <v>14271796</v>
      </c>
      <c r="E47" s="9" t="n">
        <v>102</v>
      </c>
      <c r="F47" s="9" t="n">
        <v>9019452</v>
      </c>
      <c r="G47" s="9" t="n">
        <v>6</v>
      </c>
      <c r="H47" s="9" t="n">
        <v>529347</v>
      </c>
      <c r="I47" s="9" t="n">
        <v>258</v>
      </c>
      <c r="J47" s="9" t="n">
        <v>22761901</v>
      </c>
    </row>
    <row r="48" customFormat="false" ht="15.75" hidden="false" customHeight="false" outlineLevel="0" collapsed="false">
      <c r="A48" s="7" t="s">
        <v>56</v>
      </c>
      <c r="B48" s="7" t="n">
        <v>12</v>
      </c>
      <c r="C48" s="9" t="n">
        <v>864</v>
      </c>
      <c r="D48" s="9" t="n">
        <v>8294400</v>
      </c>
      <c r="E48" s="9" t="n">
        <v>192</v>
      </c>
      <c r="F48" s="9" t="n">
        <v>1848960</v>
      </c>
      <c r="G48" s="9" t="n">
        <v>0</v>
      </c>
      <c r="H48" s="9" t="n">
        <v>0</v>
      </c>
      <c r="I48" s="9" t="n">
        <v>1056</v>
      </c>
      <c r="J48" s="9" t="n">
        <v>10143360</v>
      </c>
    </row>
    <row r="49" customFormat="false" ht="15.75" hidden="false" customHeight="false" outlineLevel="0" collapsed="false">
      <c r="A49" s="7" t="s">
        <v>57</v>
      </c>
      <c r="B49" s="7" t="n">
        <v>12</v>
      </c>
      <c r="C49" s="9" t="n">
        <v>758</v>
      </c>
      <c r="D49" s="9" t="n">
        <v>13116517</v>
      </c>
      <c r="E49" s="9" t="n">
        <v>168</v>
      </c>
      <c r="F49" s="9" t="n">
        <v>2955624</v>
      </c>
      <c r="G49" s="9" t="n">
        <v>160</v>
      </c>
      <c r="H49" s="9" t="n">
        <v>2777044</v>
      </c>
      <c r="I49" s="9" t="n">
        <v>766</v>
      </c>
      <c r="J49" s="9" t="n">
        <v>13295097</v>
      </c>
    </row>
    <row r="50" customFormat="false" ht="15.75" hidden="false" customHeight="false" outlineLevel="0" collapsed="false">
      <c r="A50" s="7" t="s">
        <v>58</v>
      </c>
      <c r="B50" s="7" t="n">
        <v>12</v>
      </c>
      <c r="C50" s="9" t="n">
        <v>3660</v>
      </c>
      <c r="D50" s="9" t="n">
        <v>31105758</v>
      </c>
      <c r="E50" s="9" t="n">
        <v>816</v>
      </c>
      <c r="F50" s="9" t="n">
        <v>7026576</v>
      </c>
      <c r="G50" s="9" t="n">
        <v>1584</v>
      </c>
      <c r="H50" s="9" t="n">
        <v>13494553</v>
      </c>
      <c r="I50" s="9" t="n">
        <v>2892</v>
      </c>
      <c r="J50" s="9" t="n">
        <v>24637781</v>
      </c>
    </row>
    <row r="51" customFormat="false" ht="15.75" hidden="false" customHeight="false" outlineLevel="0" collapsed="false">
      <c r="A51" s="7" t="s">
        <v>59</v>
      </c>
      <c r="B51" s="7" t="n">
        <v>12</v>
      </c>
      <c r="C51" s="9" t="n">
        <v>4076</v>
      </c>
      <c r="D51" s="9" t="n">
        <v>66900098</v>
      </c>
      <c r="E51" s="9" t="n">
        <v>2466</v>
      </c>
      <c r="F51" s="9" t="n">
        <v>30000600</v>
      </c>
      <c r="G51" s="9" t="n">
        <v>3694</v>
      </c>
      <c r="H51" s="9" t="n">
        <v>54715863</v>
      </c>
      <c r="I51" s="9" t="n">
        <v>2848</v>
      </c>
      <c r="J51" s="9" t="n">
        <v>42184835</v>
      </c>
    </row>
    <row r="52" customFormat="false" ht="15.75" hidden="false" customHeight="false" outlineLevel="0" collapsed="false">
      <c r="A52" s="7" t="s">
        <v>60</v>
      </c>
      <c r="B52" s="7" t="n">
        <v>12</v>
      </c>
      <c r="C52" s="9" t="n">
        <v>3051</v>
      </c>
      <c r="D52" s="9" t="n">
        <v>99561656</v>
      </c>
      <c r="E52" s="9" t="n">
        <v>1476</v>
      </c>
      <c r="F52" s="9" t="n">
        <v>51966396</v>
      </c>
      <c r="G52" s="9" t="n">
        <v>2890</v>
      </c>
      <c r="H52" s="9" t="n">
        <v>96734277</v>
      </c>
      <c r="I52" s="9" t="n">
        <v>1637</v>
      </c>
      <c r="J52" s="9" t="n">
        <v>54793775</v>
      </c>
    </row>
    <row r="53" customFormat="false" ht="15.75" hidden="false" customHeight="false" outlineLevel="0" collapsed="false">
      <c r="A53" s="7" t="s">
        <v>61</v>
      </c>
      <c r="B53" s="7" t="n">
        <v>12</v>
      </c>
      <c r="C53" s="9" t="n">
        <v>0</v>
      </c>
      <c r="D53" s="9" t="n">
        <v>0</v>
      </c>
      <c r="E53" s="9" t="n">
        <v>0</v>
      </c>
      <c r="F53" s="9" t="n">
        <v>0</v>
      </c>
      <c r="G53" s="9" t="n">
        <v>0</v>
      </c>
      <c r="H53" s="9" t="n">
        <v>0</v>
      </c>
      <c r="I53" s="9" t="n">
        <v>0</v>
      </c>
      <c r="J53" s="9" t="n">
        <v>0</v>
      </c>
    </row>
    <row r="54" customFormat="false" ht="15.75" hidden="false" customHeight="false" outlineLevel="0" collapsed="false">
      <c r="A54" s="7" t="s">
        <v>62</v>
      </c>
      <c r="B54" s="7" t="n">
        <v>12</v>
      </c>
      <c r="C54" s="9" t="n">
        <v>4034</v>
      </c>
      <c r="D54" s="9" t="n">
        <v>19765883</v>
      </c>
      <c r="E54" s="9" t="n">
        <v>4080</v>
      </c>
      <c r="F54" s="9" t="n">
        <v>20020560</v>
      </c>
      <c r="G54" s="9" t="n">
        <v>6270</v>
      </c>
      <c r="H54" s="9" t="n">
        <v>30744515</v>
      </c>
      <c r="I54" s="9" t="n">
        <v>1844</v>
      </c>
      <c r="J54" s="9" t="n">
        <v>9041928</v>
      </c>
    </row>
    <row r="55" customFormat="false" ht="15.75" hidden="false" customHeight="false" outlineLevel="0" collapsed="false">
      <c r="A55" s="7" t="s">
        <v>63</v>
      </c>
      <c r="B55" s="7" t="n">
        <v>12</v>
      </c>
      <c r="C55" s="9" t="n">
        <v>0</v>
      </c>
      <c r="D55" s="9" t="n">
        <v>0</v>
      </c>
      <c r="E55" s="9" t="n">
        <v>0</v>
      </c>
      <c r="F55" s="9" t="n">
        <v>0</v>
      </c>
      <c r="G55" s="9" t="n">
        <v>0</v>
      </c>
      <c r="H55" s="9" t="n">
        <v>0</v>
      </c>
      <c r="I55" s="9" t="n">
        <v>0</v>
      </c>
      <c r="J55" s="9" t="n">
        <v>0</v>
      </c>
    </row>
    <row r="56" customFormat="false" ht="15.75" hidden="false" customHeight="false" outlineLevel="0" collapsed="false">
      <c r="A56" s="7" t="s">
        <v>64</v>
      </c>
      <c r="B56" s="7" t="n">
        <v>12</v>
      </c>
      <c r="C56" s="9" t="n">
        <v>25</v>
      </c>
      <c r="D56" s="9" t="n">
        <v>4861100</v>
      </c>
      <c r="E56" s="9" t="n">
        <v>0</v>
      </c>
      <c r="F56" s="9" t="n">
        <v>0</v>
      </c>
      <c r="G56" s="9" t="n">
        <v>0</v>
      </c>
      <c r="H56" s="9" t="n">
        <v>0</v>
      </c>
      <c r="I56" s="9" t="n">
        <v>25</v>
      </c>
      <c r="J56" s="9" t="n">
        <v>4861100</v>
      </c>
    </row>
    <row r="57" customFormat="false" ht="15.75" hidden="false" customHeight="false" outlineLevel="0" collapsed="false">
      <c r="A57" s="7" t="s">
        <v>65</v>
      </c>
      <c r="B57" s="7" t="n">
        <v>12</v>
      </c>
      <c r="C57" s="9" t="n">
        <v>7</v>
      </c>
      <c r="D57" s="9" t="n">
        <v>1328705</v>
      </c>
      <c r="E57" s="9" t="n">
        <v>0</v>
      </c>
      <c r="F57" s="9" t="n">
        <v>0</v>
      </c>
      <c r="G57" s="9" t="n">
        <v>0</v>
      </c>
      <c r="H57" s="9" t="n">
        <v>0</v>
      </c>
      <c r="I57" s="9" t="n">
        <v>7</v>
      </c>
      <c r="J57" s="9" t="n">
        <v>1328705</v>
      </c>
    </row>
    <row r="58" customFormat="false" ht="15.75" hidden="false" customHeight="false" outlineLevel="0" collapsed="false">
      <c r="A58" s="7" t="s">
        <v>66</v>
      </c>
      <c r="B58" s="7" t="n">
        <v>12</v>
      </c>
      <c r="C58" s="9" t="n">
        <v>3640</v>
      </c>
      <c r="D58" s="9" t="n">
        <v>56770482</v>
      </c>
      <c r="E58" s="9" t="n">
        <v>4421</v>
      </c>
      <c r="F58" s="9" t="n">
        <v>68567796</v>
      </c>
      <c r="G58" s="9" t="n">
        <v>6642</v>
      </c>
      <c r="H58" s="9" t="n">
        <v>103274636</v>
      </c>
      <c r="I58" s="9" t="n">
        <v>1419</v>
      </c>
      <c r="J58" s="9" t="n">
        <v>22063642</v>
      </c>
    </row>
    <row r="59" customFormat="false" ht="15.75" hidden="false" customHeight="false" outlineLevel="0" collapsed="false">
      <c r="A59" s="7" t="s">
        <v>67</v>
      </c>
      <c r="B59" s="7" t="n">
        <v>12</v>
      </c>
      <c r="C59" s="9" t="n">
        <v>170</v>
      </c>
      <c r="D59" s="9" t="n">
        <v>1385264</v>
      </c>
      <c r="E59" s="9" t="n">
        <v>24</v>
      </c>
      <c r="F59" s="9" t="n">
        <v>400008</v>
      </c>
      <c r="G59" s="9" t="n">
        <v>3</v>
      </c>
      <c r="H59" s="9" t="n">
        <v>27607</v>
      </c>
      <c r="I59" s="9" t="n">
        <v>191</v>
      </c>
      <c r="J59" s="9" t="n">
        <v>1757665</v>
      </c>
    </row>
    <row r="60" customFormat="false" ht="15.75" hidden="false" customHeight="false" outlineLevel="0" collapsed="false">
      <c r="A60" s="7" t="s">
        <v>68</v>
      </c>
      <c r="B60" s="7" t="n">
        <v>12</v>
      </c>
      <c r="C60" s="9" t="n">
        <v>384</v>
      </c>
      <c r="D60" s="9" t="n">
        <v>17725913</v>
      </c>
      <c r="E60" s="9" t="n">
        <v>0</v>
      </c>
      <c r="F60" s="9" t="n">
        <v>0</v>
      </c>
      <c r="G60" s="9" t="n">
        <v>20</v>
      </c>
      <c r="H60" s="9" t="n">
        <v>923225</v>
      </c>
      <c r="I60" s="9" t="n">
        <v>364</v>
      </c>
      <c r="J60" s="9" t="n">
        <v>16802688</v>
      </c>
    </row>
    <row r="61" customFormat="false" ht="15.75" hidden="false" customHeight="false" outlineLevel="0" collapsed="false">
      <c r="A61" s="7" t="s">
        <v>69</v>
      </c>
      <c r="B61" s="7" t="n">
        <v>12</v>
      </c>
      <c r="C61" s="9" t="n">
        <v>156</v>
      </c>
      <c r="D61" s="9" t="n">
        <v>16177824</v>
      </c>
      <c r="E61" s="9" t="n">
        <v>0</v>
      </c>
      <c r="F61" s="9" t="n">
        <v>0</v>
      </c>
      <c r="G61" s="9" t="n">
        <v>6</v>
      </c>
      <c r="H61" s="9" t="n">
        <v>622224</v>
      </c>
      <c r="I61" s="9" t="n">
        <v>150</v>
      </c>
      <c r="J61" s="9" t="n">
        <v>15555600</v>
      </c>
    </row>
    <row r="62" customFormat="false" ht="15.75" hidden="false" customHeight="false" outlineLevel="0" collapsed="false">
      <c r="A62" s="7" t="s">
        <v>70</v>
      </c>
      <c r="B62" s="7" t="n">
        <v>12</v>
      </c>
      <c r="C62" s="9" t="n">
        <v>84</v>
      </c>
      <c r="D62" s="9" t="n">
        <v>12133296</v>
      </c>
      <c r="E62" s="9" t="n">
        <v>0</v>
      </c>
      <c r="F62" s="9" t="n">
        <v>0</v>
      </c>
      <c r="G62" s="9" t="n">
        <v>5</v>
      </c>
      <c r="H62" s="9" t="n">
        <v>722220</v>
      </c>
      <c r="I62" s="9" t="n">
        <v>79</v>
      </c>
      <c r="J62" s="9" t="n">
        <v>11411076</v>
      </c>
    </row>
    <row r="63" customFormat="false" ht="15.75" hidden="false" customHeight="false" outlineLevel="0" collapsed="false">
      <c r="A63" s="7" t="s">
        <v>71</v>
      </c>
      <c r="B63" s="7" t="n">
        <v>12</v>
      </c>
      <c r="C63" s="9" t="n">
        <v>1608</v>
      </c>
      <c r="D63" s="9" t="n">
        <v>25016122</v>
      </c>
      <c r="E63" s="9" t="n">
        <v>552</v>
      </c>
      <c r="F63" s="9" t="n">
        <v>8689032</v>
      </c>
      <c r="G63" s="9" t="n">
        <v>1343</v>
      </c>
      <c r="H63" s="9" t="n">
        <v>20956492</v>
      </c>
      <c r="I63" s="9" t="n">
        <v>817</v>
      </c>
      <c r="J63" s="9" t="n">
        <v>12748662</v>
      </c>
    </row>
    <row r="64" customFormat="false" ht="15.75" hidden="false" customHeight="false" outlineLevel="0" collapsed="false">
      <c r="A64" s="7" t="s">
        <v>72</v>
      </c>
      <c r="B64" s="7" t="n">
        <v>12</v>
      </c>
      <c r="C64" s="9" t="n">
        <v>3852</v>
      </c>
      <c r="D64" s="9" t="n">
        <v>90280472</v>
      </c>
      <c r="E64" s="9" t="n">
        <v>648</v>
      </c>
      <c r="F64" s="9" t="n">
        <v>15599952</v>
      </c>
      <c r="G64" s="9" t="n">
        <v>2766</v>
      </c>
      <c r="H64" s="9" t="n">
        <v>65081167</v>
      </c>
      <c r="I64" s="9" t="n">
        <v>1734</v>
      </c>
      <c r="J64" s="9" t="n">
        <v>40799257</v>
      </c>
    </row>
    <row r="65" customFormat="false" ht="15.75" hidden="false" customHeight="false" outlineLevel="0" collapsed="false">
      <c r="A65" s="7" t="s">
        <v>73</v>
      </c>
      <c r="B65" s="7" t="n">
        <v>12</v>
      </c>
      <c r="C65" s="9" t="n">
        <v>4218</v>
      </c>
      <c r="D65" s="9" t="n">
        <v>143970514</v>
      </c>
      <c r="E65" s="9" t="n">
        <v>1800</v>
      </c>
      <c r="F65" s="9" t="n">
        <v>61666200</v>
      </c>
      <c r="G65" s="9" t="n">
        <v>4946</v>
      </c>
      <c r="H65" s="9" t="n">
        <v>169006179</v>
      </c>
      <c r="I65" s="9" t="n">
        <v>1072</v>
      </c>
      <c r="J65" s="9" t="n">
        <v>36630535</v>
      </c>
    </row>
    <row r="66" customFormat="false" ht="15.75" hidden="false" customHeight="false" outlineLevel="0" collapsed="false">
      <c r="A66" s="7" t="s">
        <v>74</v>
      </c>
      <c r="B66" s="7" t="n">
        <v>12</v>
      </c>
      <c r="C66" s="9" t="n">
        <v>5136</v>
      </c>
      <c r="D66" s="9" t="n">
        <v>75745997</v>
      </c>
      <c r="E66" s="9" t="n">
        <v>1752</v>
      </c>
      <c r="F66" s="9" t="n">
        <v>25955880</v>
      </c>
      <c r="G66" s="9" t="n">
        <v>6110</v>
      </c>
      <c r="H66" s="9" t="n">
        <v>90214644</v>
      </c>
      <c r="I66" s="9" t="n">
        <v>778</v>
      </c>
      <c r="J66" s="9" t="n">
        <v>11487233</v>
      </c>
    </row>
    <row r="67" customFormat="false" ht="15.75" hidden="false" customHeight="false" outlineLevel="0" collapsed="false">
      <c r="A67" s="7" t="s">
        <v>75</v>
      </c>
      <c r="B67" s="7" t="n">
        <v>12</v>
      </c>
      <c r="C67" s="9" t="n">
        <v>10400</v>
      </c>
      <c r="D67" s="9" t="n">
        <v>3813333</v>
      </c>
      <c r="E67" s="9" t="n">
        <v>0</v>
      </c>
      <c r="F67" s="9" t="n">
        <v>0</v>
      </c>
      <c r="G67" s="9" t="n">
        <v>9600</v>
      </c>
      <c r="H67" s="9" t="n">
        <v>3520000</v>
      </c>
      <c r="I67" s="9" t="n">
        <v>800</v>
      </c>
      <c r="J67" s="9" t="n">
        <v>293333</v>
      </c>
    </row>
    <row r="68" customFormat="false" ht="15.75" hidden="false" customHeight="false" outlineLevel="0" collapsed="false">
      <c r="A68" s="7" t="s">
        <v>76</v>
      </c>
      <c r="B68" s="7" t="n">
        <v>12</v>
      </c>
      <c r="C68" s="9" t="n">
        <v>168</v>
      </c>
      <c r="D68" s="9" t="n">
        <v>9544198</v>
      </c>
      <c r="E68" s="9" t="n">
        <v>81</v>
      </c>
      <c r="F68" s="9" t="n">
        <v>4275018</v>
      </c>
      <c r="G68" s="9" t="n">
        <v>4</v>
      </c>
      <c r="H68" s="9" t="n">
        <v>221995</v>
      </c>
      <c r="I68" s="9" t="n">
        <v>245</v>
      </c>
      <c r="J68" s="9" t="n">
        <v>13597221</v>
      </c>
    </row>
    <row r="69" customFormat="false" ht="15.75" hidden="false" customHeight="false" outlineLevel="0" collapsed="false">
      <c r="A69" s="7" t="s">
        <v>77</v>
      </c>
      <c r="B69" s="7" t="n">
        <v>12</v>
      </c>
      <c r="C69" s="9" t="n">
        <v>1092</v>
      </c>
      <c r="D69" s="9" t="n">
        <v>6735333</v>
      </c>
      <c r="E69" s="9" t="n">
        <v>0</v>
      </c>
      <c r="F69" s="9" t="n">
        <v>0</v>
      </c>
      <c r="G69" s="9" t="n">
        <v>246</v>
      </c>
      <c r="H69" s="9" t="n">
        <v>1517300</v>
      </c>
      <c r="I69" s="9" t="n">
        <v>846</v>
      </c>
      <c r="J69" s="9" t="n">
        <v>5218033</v>
      </c>
    </row>
    <row r="70" customFormat="false" ht="15.75" hidden="false" customHeight="false" outlineLevel="0" collapsed="false">
      <c r="A70" s="7" t="s">
        <v>78</v>
      </c>
      <c r="B70" s="7" t="n">
        <v>12</v>
      </c>
      <c r="C70" s="9" t="n">
        <v>7371</v>
      </c>
      <c r="D70" s="9" t="n">
        <v>66190155</v>
      </c>
      <c r="E70" s="9" t="n">
        <v>1920</v>
      </c>
      <c r="F70" s="9" t="n">
        <v>21333120</v>
      </c>
      <c r="G70" s="9" t="n">
        <v>4490</v>
      </c>
      <c r="H70" s="9" t="n">
        <v>42296793</v>
      </c>
      <c r="I70" s="9" t="n">
        <v>4801</v>
      </c>
      <c r="J70" s="9" t="n">
        <v>45226482</v>
      </c>
    </row>
    <row r="71" customFormat="false" ht="15.75" hidden="false" customHeight="false" outlineLevel="0" collapsed="false">
      <c r="A71" s="7" t="s">
        <v>79</v>
      </c>
      <c r="B71" s="7" t="n">
        <v>12</v>
      </c>
      <c r="C71" s="9" t="n">
        <v>1912</v>
      </c>
      <c r="D71" s="9" t="n">
        <v>38449684</v>
      </c>
      <c r="E71" s="9" t="n">
        <v>1560</v>
      </c>
      <c r="F71" s="9" t="n">
        <v>33221760</v>
      </c>
      <c r="G71" s="9" t="n">
        <v>3133</v>
      </c>
      <c r="H71" s="9" t="n">
        <v>64673570</v>
      </c>
      <c r="I71" s="9" t="n">
        <v>339</v>
      </c>
      <c r="J71" s="9" t="n">
        <v>6997874</v>
      </c>
    </row>
    <row r="72" customFormat="false" ht="15.75" hidden="false" customHeight="false" outlineLevel="0" collapsed="false">
      <c r="A72" s="7" t="s">
        <v>80</v>
      </c>
      <c r="B72" s="7" t="n">
        <v>12</v>
      </c>
      <c r="C72" s="9" t="n">
        <v>180</v>
      </c>
      <c r="D72" s="9" t="n">
        <v>2602954</v>
      </c>
      <c r="E72" s="9" t="n">
        <v>72</v>
      </c>
      <c r="F72" s="9" t="n">
        <v>1066680</v>
      </c>
      <c r="G72" s="9" t="n">
        <v>0</v>
      </c>
      <c r="H72" s="9" t="n">
        <v>0</v>
      </c>
      <c r="I72" s="9" t="n">
        <v>252</v>
      </c>
      <c r="J72" s="9" t="n">
        <v>3669634</v>
      </c>
    </row>
    <row r="73" customFormat="false" ht="15.75" hidden="false" customHeight="false" outlineLevel="0" collapsed="false">
      <c r="A73" s="7" t="s">
        <v>81</v>
      </c>
      <c r="B73" s="7" t="n">
        <v>12</v>
      </c>
      <c r="C73" s="9" t="n">
        <v>2052</v>
      </c>
      <c r="D73" s="9" t="n">
        <v>31426776</v>
      </c>
      <c r="E73" s="9" t="n">
        <v>504</v>
      </c>
      <c r="F73" s="9" t="n">
        <v>7933464</v>
      </c>
      <c r="G73" s="9" t="n">
        <v>2040</v>
      </c>
      <c r="H73" s="9" t="n">
        <v>31414276</v>
      </c>
      <c r="I73" s="9" t="n">
        <v>516</v>
      </c>
      <c r="J73" s="9" t="n">
        <v>7945964</v>
      </c>
    </row>
    <row r="74" customFormat="false" ht="15.75" hidden="false" customHeight="false" outlineLevel="0" collapsed="false">
      <c r="A74" s="7" t="s">
        <v>82</v>
      </c>
      <c r="B74" s="7" t="n">
        <v>12</v>
      </c>
      <c r="C74" s="9" t="n">
        <v>5760</v>
      </c>
      <c r="D74" s="9" t="n">
        <v>42106565</v>
      </c>
      <c r="E74" s="9" t="n">
        <v>1368</v>
      </c>
      <c r="F74" s="9" t="n">
        <v>10132776</v>
      </c>
      <c r="G74" s="9" t="n">
        <v>5104</v>
      </c>
      <c r="H74" s="9" t="n">
        <v>37405948</v>
      </c>
      <c r="I74" s="9" t="n">
        <v>2024</v>
      </c>
      <c r="J74" s="9" t="n">
        <v>14833393</v>
      </c>
    </row>
    <row r="75" customFormat="false" ht="15.75" hidden="false" customHeight="false" outlineLevel="0" collapsed="false">
      <c r="A75" s="7" t="s">
        <v>83</v>
      </c>
      <c r="B75" s="7" t="n">
        <v>12</v>
      </c>
      <c r="C75" s="9" t="n">
        <v>2646</v>
      </c>
      <c r="D75" s="9" t="n">
        <v>20061031</v>
      </c>
      <c r="E75" s="9" t="n">
        <v>720</v>
      </c>
      <c r="F75" s="9" t="n">
        <v>5600160</v>
      </c>
      <c r="G75" s="9" t="n">
        <v>2622</v>
      </c>
      <c r="H75" s="9" t="n">
        <v>19989199</v>
      </c>
      <c r="I75" s="9" t="n">
        <v>744</v>
      </c>
      <c r="J75" s="9" t="n">
        <v>5671992</v>
      </c>
    </row>
    <row r="76" customFormat="false" ht="15.75" hidden="false" customHeight="false" outlineLevel="0" collapsed="false">
      <c r="A76" s="7" t="s">
        <v>84</v>
      </c>
      <c r="B76" s="7" t="n">
        <v>12</v>
      </c>
      <c r="C76" s="9" t="n">
        <v>21344</v>
      </c>
      <c r="D76" s="9" t="n">
        <v>656441651</v>
      </c>
      <c r="E76" s="9" t="n">
        <v>13870</v>
      </c>
      <c r="F76" s="9" t="n">
        <v>423104640</v>
      </c>
      <c r="G76" s="9" t="n">
        <v>25896</v>
      </c>
      <c r="H76" s="9" t="n">
        <v>793886828</v>
      </c>
      <c r="I76" s="9" t="n">
        <v>9318</v>
      </c>
      <c r="J76" s="9" t="n">
        <v>285659463</v>
      </c>
    </row>
    <row r="77" customFormat="false" ht="15.75" hidden="false" customHeight="false" outlineLevel="0" collapsed="false">
      <c r="A77" s="7" t="s">
        <v>85</v>
      </c>
      <c r="B77" s="7" t="n">
        <v>12</v>
      </c>
      <c r="C77" s="9" t="n">
        <v>22711</v>
      </c>
      <c r="D77" s="9" t="n">
        <v>206800382</v>
      </c>
      <c r="E77" s="9" t="n">
        <v>8744</v>
      </c>
      <c r="F77" s="9" t="n">
        <v>79997760</v>
      </c>
      <c r="G77" s="9" t="n">
        <v>16402</v>
      </c>
      <c r="H77" s="9" t="n">
        <v>149548979</v>
      </c>
      <c r="I77" s="9" t="n">
        <v>15053</v>
      </c>
      <c r="J77" s="9" t="n">
        <v>137249163</v>
      </c>
    </row>
    <row r="78" customFormat="false" ht="15.75" hidden="false" customHeight="false" outlineLevel="0" collapsed="false">
      <c r="A78" s="7" t="s">
        <v>86</v>
      </c>
      <c r="B78" s="7" t="n">
        <v>12</v>
      </c>
      <c r="C78" s="9" t="n">
        <v>51521</v>
      </c>
      <c r="D78" s="9" t="n">
        <v>363655744</v>
      </c>
      <c r="E78" s="9" t="n">
        <v>37214</v>
      </c>
      <c r="F78" s="9" t="n">
        <v>266652000</v>
      </c>
      <c r="G78" s="9" t="n">
        <v>41008</v>
      </c>
      <c r="H78" s="9" t="n">
        <v>295371958</v>
      </c>
      <c r="I78" s="9" t="n">
        <v>47727</v>
      </c>
      <c r="J78" s="9" t="n">
        <v>334935786</v>
      </c>
    </row>
    <row r="79" customFormat="false" ht="15.75" hidden="false" customHeight="false" outlineLevel="0" collapsed="false">
      <c r="A79" s="7" t="s">
        <v>87</v>
      </c>
      <c r="B79" s="7" t="n">
        <v>12</v>
      </c>
      <c r="C79" s="9" t="n">
        <v>3195</v>
      </c>
      <c r="D79" s="9" t="n">
        <v>57619421</v>
      </c>
      <c r="E79" s="9" t="n">
        <v>7471</v>
      </c>
      <c r="F79" s="9" t="n">
        <v>133253280</v>
      </c>
      <c r="G79" s="9" t="n">
        <v>7856</v>
      </c>
      <c r="H79" s="9" t="n">
        <v>140586531</v>
      </c>
      <c r="I79" s="9" t="n">
        <v>2810</v>
      </c>
      <c r="J79" s="9" t="n">
        <v>50286170</v>
      </c>
    </row>
    <row r="80" customFormat="false" ht="15.75" hidden="false" customHeight="false" outlineLevel="0" collapsed="false">
      <c r="A80" s="7" t="s">
        <v>88</v>
      </c>
      <c r="B80" s="7" t="n">
        <v>12</v>
      </c>
      <c r="C80" s="9" t="n">
        <v>618</v>
      </c>
      <c r="D80" s="9" t="n">
        <v>12921762</v>
      </c>
      <c r="E80" s="9" t="n">
        <v>0</v>
      </c>
      <c r="F80" s="9" t="n">
        <v>0</v>
      </c>
      <c r="G80" s="9" t="n">
        <v>70</v>
      </c>
      <c r="H80" s="9" t="n">
        <v>1463630</v>
      </c>
      <c r="I80" s="9" t="n">
        <v>548</v>
      </c>
      <c r="J80" s="9" t="n">
        <v>11458132</v>
      </c>
    </row>
    <row r="81" customFormat="false" ht="15.75" hidden="false" customHeight="false" outlineLevel="0" collapsed="false">
      <c r="A81" s="7" t="s">
        <v>89</v>
      </c>
      <c r="B81" s="7" t="n">
        <v>12</v>
      </c>
      <c r="C81" s="9" t="n">
        <v>564</v>
      </c>
      <c r="D81" s="9" t="n">
        <v>13801691</v>
      </c>
      <c r="E81" s="9" t="n">
        <v>216</v>
      </c>
      <c r="F81" s="9" t="n">
        <v>5299992</v>
      </c>
      <c r="G81" s="9" t="n">
        <v>336</v>
      </c>
      <c r="H81" s="9" t="n">
        <v>8228417</v>
      </c>
      <c r="I81" s="9" t="n">
        <v>444</v>
      </c>
      <c r="J81" s="9" t="n">
        <v>10873266</v>
      </c>
    </row>
    <row r="82" customFormat="false" ht="15.75" hidden="false" customHeight="false" outlineLevel="0" collapsed="false">
      <c r="A82" s="7" t="s">
        <v>90</v>
      </c>
      <c r="B82" s="7" t="n">
        <v>12</v>
      </c>
      <c r="C82" s="9" t="n">
        <v>1045</v>
      </c>
      <c r="D82" s="9" t="n">
        <v>55627273</v>
      </c>
      <c r="E82" s="9" t="n">
        <v>2820</v>
      </c>
      <c r="F82" s="9" t="n">
        <v>150139620</v>
      </c>
      <c r="G82" s="9" t="n">
        <v>3326</v>
      </c>
      <c r="H82" s="9" t="n">
        <v>177071330</v>
      </c>
      <c r="I82" s="9" t="n">
        <v>539</v>
      </c>
      <c r="J82" s="9" t="n">
        <v>28695563</v>
      </c>
    </row>
    <row r="83" customFormat="false" ht="15.75" hidden="false" customHeight="false" outlineLevel="0" collapsed="false">
      <c r="A83" s="7" t="s">
        <v>91</v>
      </c>
      <c r="B83" s="7" t="n">
        <v>12</v>
      </c>
      <c r="C83" s="9" t="n">
        <v>6789</v>
      </c>
      <c r="D83" s="9" t="n">
        <v>63245985</v>
      </c>
      <c r="E83" s="9" t="n">
        <v>4920</v>
      </c>
      <c r="F83" s="9" t="n">
        <v>44332320</v>
      </c>
      <c r="G83" s="9" t="n">
        <v>5862</v>
      </c>
      <c r="H83" s="9" t="n">
        <v>53858060</v>
      </c>
      <c r="I83" s="9" t="n">
        <v>5847</v>
      </c>
      <c r="J83" s="9" t="n">
        <v>53720245</v>
      </c>
    </row>
    <row r="84" customFormat="false" ht="15.75" hidden="false" customHeight="false" outlineLevel="0" collapsed="false">
      <c r="A84" s="7" t="s">
        <v>92</v>
      </c>
      <c r="B84" s="7" t="n">
        <v>12</v>
      </c>
      <c r="C84" s="9" t="n">
        <v>50800</v>
      </c>
      <c r="D84" s="9" t="n">
        <v>24895116</v>
      </c>
      <c r="E84" s="9" t="n">
        <v>23200</v>
      </c>
      <c r="F84" s="9" t="n">
        <v>11391200</v>
      </c>
      <c r="G84" s="9" t="n">
        <v>36000</v>
      </c>
      <c r="H84" s="9" t="n">
        <v>17652802</v>
      </c>
      <c r="I84" s="9" t="n">
        <v>38000</v>
      </c>
      <c r="J84" s="9" t="n">
        <v>18633514</v>
      </c>
    </row>
    <row r="85" customFormat="false" ht="15.75" hidden="false" customHeight="false" outlineLevel="0" collapsed="false">
      <c r="A85" s="7" t="s">
        <v>93</v>
      </c>
      <c r="B85" s="7" t="n">
        <v>12</v>
      </c>
      <c r="C85" s="9" t="n">
        <v>444</v>
      </c>
      <c r="D85" s="9" t="n">
        <v>23449263</v>
      </c>
      <c r="E85" s="9" t="n">
        <v>96</v>
      </c>
      <c r="F85" s="9" t="n">
        <v>5111136</v>
      </c>
      <c r="G85" s="9" t="n">
        <v>504</v>
      </c>
      <c r="H85" s="9" t="n">
        <v>26656372</v>
      </c>
      <c r="I85" s="9" t="n">
        <v>36</v>
      </c>
      <c r="J85" s="9" t="n">
        <v>1904027</v>
      </c>
    </row>
    <row r="86" customFormat="false" ht="15.75" hidden="false" customHeight="false" outlineLevel="0" collapsed="false">
      <c r="A86" s="7" t="s">
        <v>94</v>
      </c>
      <c r="B86" s="7" t="n">
        <v>12</v>
      </c>
      <c r="C86" s="9" t="n">
        <v>408</v>
      </c>
      <c r="D86" s="9" t="n">
        <v>3857098</v>
      </c>
      <c r="E86" s="9" t="n">
        <v>0</v>
      </c>
      <c r="F86" s="9" t="n">
        <v>0</v>
      </c>
      <c r="G86" s="9" t="n">
        <v>240</v>
      </c>
      <c r="H86" s="9" t="n">
        <v>2268881</v>
      </c>
      <c r="I86" s="9" t="n">
        <v>168</v>
      </c>
      <c r="J86" s="9" t="n">
        <v>1588217</v>
      </c>
    </row>
    <row r="87" customFormat="false" ht="15.75" hidden="false" customHeight="false" outlineLevel="0" collapsed="false">
      <c r="A87" s="7" t="s">
        <v>95</v>
      </c>
      <c r="B87" s="7" t="n">
        <v>12</v>
      </c>
      <c r="C87" s="9" t="n">
        <v>900</v>
      </c>
      <c r="D87" s="9" t="n">
        <v>7404657</v>
      </c>
      <c r="E87" s="9" t="n">
        <v>468</v>
      </c>
      <c r="F87" s="9" t="n">
        <v>3899844</v>
      </c>
      <c r="G87" s="9" t="n">
        <v>1290</v>
      </c>
      <c r="H87" s="9" t="n">
        <v>10659946</v>
      </c>
      <c r="I87" s="9" t="n">
        <v>78</v>
      </c>
      <c r="J87" s="9" t="n">
        <v>644555</v>
      </c>
    </row>
    <row r="88" customFormat="false" ht="15.75" hidden="false" customHeight="false" outlineLevel="0" collapsed="false">
      <c r="A88" s="7" t="s">
        <v>96</v>
      </c>
      <c r="B88" s="7" t="n">
        <v>12</v>
      </c>
      <c r="C88" s="9" t="n">
        <v>225</v>
      </c>
      <c r="D88" s="9" t="n">
        <v>25942946</v>
      </c>
      <c r="E88" s="9" t="n">
        <v>147</v>
      </c>
      <c r="F88" s="9" t="n">
        <v>17081988</v>
      </c>
      <c r="G88" s="9" t="n">
        <v>32</v>
      </c>
      <c r="H88" s="9" t="n">
        <v>3701070</v>
      </c>
      <c r="I88" s="9" t="n">
        <v>340</v>
      </c>
      <c r="J88" s="9" t="n">
        <v>39323864</v>
      </c>
    </row>
    <row r="89" customFormat="false" ht="15.75" hidden="false" customHeight="false" outlineLevel="0" collapsed="false">
      <c r="A89" s="7" t="s">
        <v>97</v>
      </c>
      <c r="B89" s="7" t="n">
        <v>12</v>
      </c>
      <c r="C89" s="9" t="n">
        <v>57200</v>
      </c>
      <c r="D89" s="9" t="n">
        <v>28035599</v>
      </c>
      <c r="E89" s="9" t="n">
        <v>24800</v>
      </c>
      <c r="F89" s="9" t="n">
        <v>12176800</v>
      </c>
      <c r="G89" s="9" t="n">
        <v>39200</v>
      </c>
      <c r="H89" s="9" t="n">
        <v>19223488</v>
      </c>
      <c r="I89" s="9" t="n">
        <v>42800</v>
      </c>
      <c r="J89" s="9" t="n">
        <v>20988911</v>
      </c>
    </row>
    <row r="90" customFormat="false" ht="15.75" hidden="false" customHeight="false" outlineLevel="0" collapsed="false">
      <c r="A90" s="7" t="s">
        <v>98</v>
      </c>
      <c r="B90" s="7" t="n">
        <v>12</v>
      </c>
      <c r="C90" s="9" t="n">
        <v>1920</v>
      </c>
      <c r="D90" s="9" t="n">
        <v>19627720</v>
      </c>
      <c r="E90" s="9" t="n">
        <v>192</v>
      </c>
      <c r="F90" s="9" t="n">
        <v>2026752</v>
      </c>
      <c r="G90" s="9" t="n">
        <v>1374</v>
      </c>
      <c r="H90" s="9" t="n">
        <v>14087710</v>
      </c>
      <c r="I90" s="9" t="n">
        <v>738</v>
      </c>
      <c r="J90" s="9" t="n">
        <v>7566762</v>
      </c>
    </row>
    <row r="91" customFormat="false" ht="15.75" hidden="false" customHeight="false" outlineLevel="0" collapsed="false">
      <c r="A91" s="7" t="s">
        <v>99</v>
      </c>
      <c r="B91" s="7" t="n">
        <v>12</v>
      </c>
      <c r="C91" s="9" t="n">
        <v>96</v>
      </c>
      <c r="D91" s="9" t="n">
        <v>595584</v>
      </c>
      <c r="E91" s="9" t="n">
        <v>96</v>
      </c>
      <c r="F91" s="9" t="n">
        <v>595584</v>
      </c>
      <c r="G91" s="9" t="n">
        <v>20</v>
      </c>
      <c r="H91" s="9" t="n">
        <v>124080</v>
      </c>
      <c r="I91" s="9" t="n">
        <v>172</v>
      </c>
      <c r="J91" s="9" t="n">
        <v>1067088</v>
      </c>
    </row>
    <row r="92" customFormat="false" ht="15.75" hidden="false" customHeight="false" outlineLevel="0" collapsed="false">
      <c r="A92" s="7" t="s">
        <v>100</v>
      </c>
      <c r="B92" s="7" t="n">
        <v>12</v>
      </c>
      <c r="C92" s="9" t="n">
        <v>2105</v>
      </c>
      <c r="D92" s="9" t="n">
        <v>108155379</v>
      </c>
      <c r="E92" s="9" t="n">
        <v>3340</v>
      </c>
      <c r="F92" s="9" t="n">
        <v>162917460</v>
      </c>
      <c r="G92" s="9" t="n">
        <v>3522</v>
      </c>
      <c r="H92" s="9" t="n">
        <v>175338575</v>
      </c>
      <c r="I92" s="9" t="n">
        <v>1923</v>
      </c>
      <c r="J92" s="9" t="n">
        <v>95734264</v>
      </c>
    </row>
    <row r="93" customFormat="false" ht="15.75" hidden="false" customHeight="false" outlineLevel="0" collapsed="false">
      <c r="A93" s="7" t="s">
        <v>101</v>
      </c>
      <c r="B93" s="7" t="n">
        <v>12</v>
      </c>
      <c r="C93" s="9" t="n">
        <v>21454</v>
      </c>
      <c r="D93" s="9" t="n">
        <v>153225770</v>
      </c>
      <c r="E93" s="9" t="n">
        <v>9132</v>
      </c>
      <c r="F93" s="9" t="n">
        <v>39665760</v>
      </c>
      <c r="G93" s="9" t="n">
        <v>4014</v>
      </c>
      <c r="H93" s="9" t="n">
        <v>25314412</v>
      </c>
      <c r="I93" s="9" t="n">
        <v>26572</v>
      </c>
      <c r="J93" s="9" t="n">
        <v>167577118</v>
      </c>
    </row>
    <row r="94" customFormat="false" ht="15.75" hidden="false" customHeight="false" outlineLevel="0" collapsed="false">
      <c r="A94" s="7" t="s">
        <v>102</v>
      </c>
      <c r="B94" s="7" t="n">
        <v>12</v>
      </c>
      <c r="C94" s="9" t="n">
        <v>540</v>
      </c>
      <c r="D94" s="9" t="n">
        <v>13238841</v>
      </c>
      <c r="E94" s="9" t="n">
        <v>588</v>
      </c>
      <c r="F94" s="9" t="n">
        <v>14427756</v>
      </c>
      <c r="G94" s="9" t="n">
        <v>639</v>
      </c>
      <c r="H94" s="9" t="n">
        <v>15672834</v>
      </c>
      <c r="I94" s="9" t="n">
        <v>489</v>
      </c>
      <c r="J94" s="9" t="n">
        <v>11993763</v>
      </c>
    </row>
    <row r="95" customFormat="false" ht="15.75" hidden="false" customHeight="false" outlineLevel="0" collapsed="false">
      <c r="A95" s="7" t="s">
        <v>103</v>
      </c>
      <c r="B95" s="7" t="n">
        <v>12</v>
      </c>
      <c r="C95" s="9" t="n">
        <v>2454</v>
      </c>
      <c r="D95" s="9" t="n">
        <v>27075398</v>
      </c>
      <c r="E95" s="9" t="n">
        <v>342</v>
      </c>
      <c r="F95" s="9" t="n">
        <v>1333344</v>
      </c>
      <c r="G95" s="9" t="n">
        <v>1560</v>
      </c>
      <c r="H95" s="9" t="n">
        <v>15850371</v>
      </c>
      <c r="I95" s="9" t="n">
        <v>1236</v>
      </c>
      <c r="J95" s="9" t="n">
        <v>12558371</v>
      </c>
    </row>
    <row r="96" customFormat="false" ht="15.75" hidden="false" customHeight="false" outlineLevel="0" collapsed="false">
      <c r="A96" s="7" t="s">
        <v>104</v>
      </c>
      <c r="B96" s="7" t="n">
        <v>12</v>
      </c>
      <c r="C96" s="9" t="n">
        <v>192</v>
      </c>
      <c r="D96" s="9" t="n">
        <v>3657528</v>
      </c>
      <c r="E96" s="9" t="n">
        <v>96</v>
      </c>
      <c r="F96" s="9" t="n">
        <v>1866624</v>
      </c>
      <c r="G96" s="9" t="n">
        <v>3</v>
      </c>
      <c r="H96" s="9" t="n">
        <v>57543</v>
      </c>
      <c r="I96" s="9" t="n">
        <v>285</v>
      </c>
      <c r="J96" s="9" t="n">
        <v>5466609</v>
      </c>
    </row>
    <row r="97" customFormat="false" ht="15.75" hidden="false" customHeight="false" outlineLevel="0" collapsed="false">
      <c r="A97" s="7" t="s">
        <v>105</v>
      </c>
      <c r="B97" s="7" t="n">
        <v>12</v>
      </c>
      <c r="C97" s="9" t="n">
        <v>258</v>
      </c>
      <c r="D97" s="9" t="n">
        <v>13370216</v>
      </c>
      <c r="E97" s="9" t="n">
        <v>174</v>
      </c>
      <c r="F97" s="9" t="n">
        <v>9263934</v>
      </c>
      <c r="G97" s="9" t="n">
        <v>402</v>
      </c>
      <c r="H97" s="9" t="n">
        <v>21062334</v>
      </c>
      <c r="I97" s="9" t="n">
        <v>30</v>
      </c>
      <c r="J97" s="9" t="n">
        <v>1571816</v>
      </c>
    </row>
    <row r="98" customFormat="false" ht="15.75" hidden="false" customHeight="false" outlineLevel="0" collapsed="false">
      <c r="A98" s="7" t="s">
        <v>106</v>
      </c>
      <c r="B98" s="7" t="n">
        <v>12</v>
      </c>
      <c r="C98" s="9" t="n">
        <v>1512</v>
      </c>
      <c r="D98" s="9" t="n">
        <v>14292784</v>
      </c>
      <c r="E98" s="9" t="n">
        <v>192</v>
      </c>
      <c r="F98" s="9" t="n">
        <v>1866624</v>
      </c>
      <c r="G98" s="9" t="n">
        <v>955</v>
      </c>
      <c r="H98" s="9" t="n">
        <v>9056476</v>
      </c>
      <c r="I98" s="9" t="n">
        <v>749</v>
      </c>
      <c r="J98" s="9" t="n">
        <v>7102932</v>
      </c>
    </row>
    <row r="99" customFormat="false" ht="15.75" hidden="false" customHeight="false" outlineLevel="0" collapsed="false">
      <c r="A99" s="7" t="s">
        <v>107</v>
      </c>
      <c r="B99" s="7" t="n">
        <v>12</v>
      </c>
      <c r="C99" s="9" t="n">
        <v>1190</v>
      </c>
      <c r="D99" s="9" t="n">
        <v>4560276</v>
      </c>
      <c r="E99" s="9" t="n">
        <v>180</v>
      </c>
      <c r="F99" s="9" t="n">
        <v>0</v>
      </c>
      <c r="G99" s="9" t="n">
        <v>0</v>
      </c>
      <c r="H99" s="9" t="n">
        <v>0</v>
      </c>
      <c r="I99" s="9" t="n">
        <v>1370</v>
      </c>
      <c r="J99" s="9" t="n">
        <v>4560276</v>
      </c>
    </row>
    <row r="100" customFormat="false" ht="15.75" hidden="false" customHeight="false" outlineLevel="0" collapsed="false">
      <c r="A100" s="7" t="s">
        <v>108</v>
      </c>
      <c r="B100" s="7" t="n">
        <v>12</v>
      </c>
      <c r="C100" s="9" t="n">
        <v>46476</v>
      </c>
      <c r="D100" s="9" t="n">
        <v>335124139</v>
      </c>
      <c r="E100" s="9" t="n">
        <v>6120</v>
      </c>
      <c r="F100" s="9" t="n">
        <v>45330840</v>
      </c>
      <c r="G100" s="9" t="n">
        <v>38108</v>
      </c>
      <c r="H100" s="9" t="n">
        <v>287712936</v>
      </c>
      <c r="I100" s="9" t="n">
        <v>14488</v>
      </c>
      <c r="J100" s="9" t="n">
        <v>92742043</v>
      </c>
    </row>
    <row r="101" s="202" customFormat="true" ht="15.75" hidden="false" customHeight="false" outlineLevel="0" collapsed="false">
      <c r="A101" s="199" t="s">
        <v>109</v>
      </c>
      <c r="B101" s="199" t="n">
        <v>12</v>
      </c>
      <c r="C101" s="200" t="n">
        <v>48</v>
      </c>
      <c r="D101" s="200" t="n">
        <v>2333328</v>
      </c>
      <c r="E101" s="200" t="n">
        <v>30</v>
      </c>
      <c r="F101" s="200" t="n">
        <v>1458330</v>
      </c>
      <c r="G101" s="200" t="n">
        <v>0</v>
      </c>
      <c r="H101" s="200" t="n">
        <v>0</v>
      </c>
      <c r="I101" s="200" t="n">
        <v>78</v>
      </c>
      <c r="J101" s="200" t="n">
        <v>3791658</v>
      </c>
    </row>
    <row r="102" customFormat="false" ht="15.75" hidden="false" customHeight="false" outlineLevel="0" collapsed="false">
      <c r="A102" s="7" t="s">
        <v>110</v>
      </c>
      <c r="B102" s="7" t="n">
        <v>12</v>
      </c>
      <c r="C102" s="9" t="n">
        <v>864</v>
      </c>
      <c r="D102" s="9" t="n">
        <v>15351650</v>
      </c>
      <c r="E102" s="9" t="n">
        <v>684</v>
      </c>
      <c r="F102" s="9" t="n">
        <v>12350304</v>
      </c>
      <c r="G102" s="9" t="n">
        <v>1128</v>
      </c>
      <c r="H102" s="9" t="n">
        <v>20185920</v>
      </c>
      <c r="I102" s="9" t="n">
        <v>420</v>
      </c>
      <c r="J102" s="9" t="n">
        <v>7516034</v>
      </c>
    </row>
    <row r="103" customFormat="false" ht="15.75" hidden="false" customHeight="false" outlineLevel="0" collapsed="false">
      <c r="A103" s="7" t="s">
        <v>111</v>
      </c>
      <c r="B103" s="7" t="n">
        <v>12</v>
      </c>
      <c r="C103" s="9" t="n">
        <v>7094</v>
      </c>
      <c r="D103" s="9" t="n">
        <v>57800393</v>
      </c>
      <c r="E103" s="9" t="n">
        <v>7800</v>
      </c>
      <c r="F103" s="9" t="n">
        <v>63554400</v>
      </c>
      <c r="G103" s="9" t="n">
        <v>13434</v>
      </c>
      <c r="H103" s="9" t="n">
        <v>109458862</v>
      </c>
      <c r="I103" s="9" t="n">
        <v>1460</v>
      </c>
      <c r="J103" s="9" t="n">
        <v>11895931</v>
      </c>
    </row>
    <row r="104" customFormat="false" ht="15.75" hidden="false" customHeight="false" outlineLevel="0" collapsed="false">
      <c r="A104" s="7" t="s">
        <v>112</v>
      </c>
      <c r="B104" s="7" t="n">
        <v>12</v>
      </c>
      <c r="C104" s="9" t="n">
        <v>2500</v>
      </c>
      <c r="D104" s="9" t="n">
        <v>20355350</v>
      </c>
      <c r="E104" s="9" t="n">
        <v>1320</v>
      </c>
      <c r="F104" s="9" t="n">
        <v>10755360</v>
      </c>
      <c r="G104" s="9" t="n">
        <v>2950</v>
      </c>
      <c r="H104" s="9" t="n">
        <v>24025287</v>
      </c>
      <c r="I104" s="9" t="n">
        <v>870</v>
      </c>
      <c r="J104" s="9" t="n">
        <v>7085423</v>
      </c>
    </row>
    <row r="105" customFormat="false" ht="15.75" hidden="false" customHeight="false" outlineLevel="0" collapsed="false">
      <c r="A105" s="7" t="s">
        <v>113</v>
      </c>
      <c r="B105" s="7" t="n">
        <v>12</v>
      </c>
      <c r="C105" s="9" t="n">
        <v>240</v>
      </c>
      <c r="D105" s="9" t="n">
        <v>3935440</v>
      </c>
      <c r="E105" s="9" t="n">
        <v>72</v>
      </c>
      <c r="F105" s="9" t="n">
        <v>1200024</v>
      </c>
      <c r="G105" s="9" t="n">
        <v>0</v>
      </c>
      <c r="H105" s="9" t="n">
        <v>0</v>
      </c>
      <c r="I105" s="9" t="n">
        <v>312</v>
      </c>
      <c r="J105" s="9" t="n">
        <v>5135464</v>
      </c>
    </row>
    <row r="106" customFormat="false" ht="15.75" hidden="false" customHeight="false" outlineLevel="0" collapsed="false">
      <c r="A106" s="7" t="s">
        <v>114</v>
      </c>
      <c r="B106" s="7" t="n">
        <v>12</v>
      </c>
      <c r="C106" s="9" t="n">
        <v>192</v>
      </c>
      <c r="D106" s="9" t="n">
        <v>3650221</v>
      </c>
      <c r="E106" s="9" t="n">
        <v>72</v>
      </c>
      <c r="F106" s="9" t="n">
        <v>1399968</v>
      </c>
      <c r="G106" s="9" t="n">
        <v>3</v>
      </c>
      <c r="H106" s="9" t="n">
        <v>57389</v>
      </c>
      <c r="I106" s="9" t="n">
        <v>261</v>
      </c>
      <c r="J106" s="9" t="n">
        <v>4992800</v>
      </c>
    </row>
    <row r="107" customFormat="false" ht="15.75" hidden="false" customHeight="false" outlineLevel="0" collapsed="false">
      <c r="A107" s="7" t="s">
        <v>115</v>
      </c>
      <c r="B107" s="7" t="n">
        <v>12</v>
      </c>
      <c r="C107" s="9" t="n">
        <v>4325</v>
      </c>
      <c r="D107" s="9" t="n">
        <v>27997920</v>
      </c>
      <c r="E107" s="9" t="n">
        <v>2412</v>
      </c>
      <c r="F107" s="9" t="n">
        <v>15554400</v>
      </c>
      <c r="G107" s="9" t="n">
        <v>4790</v>
      </c>
      <c r="H107" s="9" t="n">
        <v>30965654</v>
      </c>
      <c r="I107" s="9" t="n">
        <v>1947</v>
      </c>
      <c r="J107" s="9" t="n">
        <v>12586666</v>
      </c>
    </row>
    <row r="108" customFormat="false" ht="15.75" hidden="false" customHeight="false" outlineLevel="0" collapsed="false">
      <c r="A108" s="7" t="s">
        <v>116</v>
      </c>
      <c r="B108" s="7" t="n">
        <v>12</v>
      </c>
      <c r="C108" s="9" t="n">
        <v>4565</v>
      </c>
      <c r="D108" s="9" t="n">
        <v>92887200</v>
      </c>
      <c r="E108" s="9" t="n">
        <v>0</v>
      </c>
      <c r="F108" s="9" t="n">
        <v>0</v>
      </c>
      <c r="G108" s="9" t="n">
        <v>2596</v>
      </c>
      <c r="H108" s="9" t="n">
        <v>52822600</v>
      </c>
      <c r="I108" s="9" t="n">
        <v>1969</v>
      </c>
      <c r="J108" s="9" t="n">
        <v>40064600</v>
      </c>
    </row>
    <row r="109" customFormat="false" ht="15.75" hidden="false" customHeight="false" outlineLevel="0" collapsed="false">
      <c r="A109" s="7" t="s">
        <v>117</v>
      </c>
      <c r="B109" s="7" t="n">
        <v>12</v>
      </c>
      <c r="C109" s="9" t="n">
        <v>336</v>
      </c>
      <c r="D109" s="9" t="n">
        <v>5841722</v>
      </c>
      <c r="E109" s="9" t="n">
        <v>312</v>
      </c>
      <c r="F109" s="9" t="n">
        <v>5489016</v>
      </c>
      <c r="G109" s="9" t="n">
        <v>178</v>
      </c>
      <c r="H109" s="9" t="n">
        <v>3112456</v>
      </c>
      <c r="I109" s="9" t="n">
        <v>470</v>
      </c>
      <c r="J109" s="9" t="n">
        <v>8218282</v>
      </c>
    </row>
    <row r="110" customFormat="false" ht="15.75" hidden="false" customHeight="false" outlineLevel="0" collapsed="false">
      <c r="A110" s="7" t="s">
        <v>118</v>
      </c>
      <c r="B110" s="7" t="n">
        <v>12</v>
      </c>
      <c r="C110" s="9" t="n">
        <v>612</v>
      </c>
      <c r="D110" s="9" t="n">
        <v>25119032</v>
      </c>
      <c r="E110" s="9" t="n">
        <v>84</v>
      </c>
      <c r="F110" s="9" t="n">
        <v>3500028</v>
      </c>
      <c r="G110" s="9" t="n">
        <v>408</v>
      </c>
      <c r="H110" s="9" t="n">
        <v>16776690</v>
      </c>
      <c r="I110" s="9" t="n">
        <v>288</v>
      </c>
      <c r="J110" s="9" t="n">
        <v>11842370</v>
      </c>
    </row>
    <row r="111" customFormat="false" ht="15.75" hidden="false" customHeight="false" outlineLevel="0" collapsed="false">
      <c r="A111" s="7" t="s">
        <v>119</v>
      </c>
      <c r="B111" s="7" t="n">
        <v>12</v>
      </c>
      <c r="C111" s="9" t="n">
        <v>320</v>
      </c>
      <c r="D111" s="9" t="n">
        <v>7371274</v>
      </c>
      <c r="E111" s="9" t="n">
        <v>160</v>
      </c>
      <c r="F111" s="9" t="n">
        <v>3703680</v>
      </c>
      <c r="G111" s="9" t="n">
        <v>220</v>
      </c>
      <c r="H111" s="9" t="n">
        <v>5076021</v>
      </c>
      <c r="I111" s="9" t="n">
        <v>260</v>
      </c>
      <c r="J111" s="9" t="n">
        <v>5998933</v>
      </c>
    </row>
    <row r="112" customFormat="false" ht="15.75" hidden="false" customHeight="false" outlineLevel="0" collapsed="false">
      <c r="A112" s="7" t="s">
        <v>120</v>
      </c>
      <c r="B112" s="7" t="n">
        <v>12</v>
      </c>
      <c r="C112" s="9" t="n">
        <v>120</v>
      </c>
      <c r="D112" s="9" t="n">
        <v>2654520</v>
      </c>
      <c r="E112" s="9" t="n">
        <v>80</v>
      </c>
      <c r="F112" s="9" t="n">
        <v>1777760</v>
      </c>
      <c r="G112" s="9" t="n">
        <v>120</v>
      </c>
      <c r="H112" s="9" t="n">
        <v>2659368</v>
      </c>
      <c r="I112" s="9" t="n">
        <v>80</v>
      </c>
      <c r="J112" s="9" t="n">
        <v>1772912</v>
      </c>
    </row>
    <row r="113" customFormat="false" ht="15.75" hidden="false" customHeight="false" outlineLevel="0" collapsed="false">
      <c r="A113" s="7" t="s">
        <v>121</v>
      </c>
      <c r="B113" s="7" t="n">
        <v>12</v>
      </c>
      <c r="C113" s="9" t="n">
        <v>2652</v>
      </c>
      <c r="D113" s="9" t="n">
        <v>31770271</v>
      </c>
      <c r="E113" s="9" t="n">
        <v>3648</v>
      </c>
      <c r="F113" s="9" t="n">
        <v>43333200</v>
      </c>
      <c r="G113" s="9" t="n">
        <v>3366</v>
      </c>
      <c r="H113" s="9" t="n">
        <v>40126712</v>
      </c>
      <c r="I113" s="9" t="n">
        <v>2934</v>
      </c>
      <c r="J113" s="9" t="n">
        <v>34976759</v>
      </c>
    </row>
    <row r="114" customFormat="false" ht="15.75" hidden="false" customHeight="false" outlineLevel="0" collapsed="false">
      <c r="A114" s="7" t="s">
        <v>122</v>
      </c>
      <c r="B114" s="7" t="n">
        <v>12</v>
      </c>
      <c r="C114" s="9" t="n">
        <v>4685</v>
      </c>
      <c r="D114" s="9" t="n">
        <v>40734720</v>
      </c>
      <c r="E114" s="9" t="n">
        <v>2400</v>
      </c>
      <c r="F114" s="9" t="n">
        <v>20889600</v>
      </c>
      <c r="G114" s="9" t="n">
        <v>6922</v>
      </c>
      <c r="H114" s="9" t="n">
        <v>60206569</v>
      </c>
      <c r="I114" s="9" t="n">
        <v>163</v>
      </c>
      <c r="J114" s="9" t="n">
        <v>1417751</v>
      </c>
    </row>
    <row r="115" customFormat="false" ht="15.75" hidden="false" customHeight="false" outlineLevel="0" collapsed="false">
      <c r="A115" s="7" t="s">
        <v>123</v>
      </c>
      <c r="B115" s="7" t="n">
        <v>12</v>
      </c>
      <c r="C115" s="9" t="n">
        <v>216</v>
      </c>
      <c r="D115" s="9" t="n">
        <v>3755160</v>
      </c>
      <c r="E115" s="9" t="n">
        <v>36</v>
      </c>
      <c r="F115" s="9" t="n">
        <v>666684</v>
      </c>
      <c r="G115" s="9" t="n">
        <v>120</v>
      </c>
      <c r="H115" s="9" t="n">
        <v>2105640</v>
      </c>
      <c r="I115" s="9" t="n">
        <v>132</v>
      </c>
      <c r="J115" s="9" t="n">
        <v>2316204</v>
      </c>
    </row>
    <row r="116" customFormat="false" ht="15.75" hidden="false" customHeight="false" outlineLevel="0" collapsed="false">
      <c r="A116" s="7" t="s">
        <v>124</v>
      </c>
      <c r="B116" s="7" t="n">
        <v>12</v>
      </c>
      <c r="C116" s="9" t="n">
        <v>72</v>
      </c>
      <c r="D116" s="9" t="n">
        <v>1333368</v>
      </c>
      <c r="E116" s="9" t="n">
        <v>36</v>
      </c>
      <c r="F116" s="9" t="n">
        <v>666684</v>
      </c>
      <c r="G116" s="9" t="n">
        <v>100</v>
      </c>
      <c r="H116" s="9" t="n">
        <v>1851900</v>
      </c>
      <c r="I116" s="9" t="n">
        <v>8</v>
      </c>
      <c r="J116" s="9" t="n">
        <v>148152</v>
      </c>
    </row>
    <row r="117" customFormat="false" ht="15.75" hidden="false" customHeight="false" outlineLevel="0" collapsed="false">
      <c r="A117" s="7" t="s">
        <v>125</v>
      </c>
      <c r="B117" s="7" t="n">
        <v>12</v>
      </c>
      <c r="C117" s="9" t="n">
        <v>944</v>
      </c>
      <c r="D117" s="9" t="n">
        <v>42152428</v>
      </c>
      <c r="E117" s="9" t="n">
        <v>840</v>
      </c>
      <c r="F117" s="9" t="n">
        <v>37721880</v>
      </c>
      <c r="G117" s="9" t="n">
        <v>1140</v>
      </c>
      <c r="H117" s="9" t="n">
        <v>51040757</v>
      </c>
      <c r="I117" s="9" t="n">
        <v>644</v>
      </c>
      <c r="J117" s="9" t="n">
        <v>28833551</v>
      </c>
    </row>
    <row r="118" customFormat="false" ht="15.75" hidden="false" customHeight="false" outlineLevel="0" collapsed="false">
      <c r="A118" s="7" t="s">
        <v>126</v>
      </c>
      <c r="B118" s="7" t="n">
        <v>12</v>
      </c>
      <c r="C118" s="9" t="n">
        <v>33073</v>
      </c>
      <c r="D118" s="9" t="n">
        <v>182697004</v>
      </c>
      <c r="E118" s="9" t="n">
        <v>44511</v>
      </c>
      <c r="F118" s="9" t="n">
        <v>248485800</v>
      </c>
      <c r="G118" s="9" t="n">
        <v>43510</v>
      </c>
      <c r="H118" s="9" t="n">
        <v>258882160</v>
      </c>
      <c r="I118" s="9" t="n">
        <v>34074</v>
      </c>
      <c r="J118" s="9" t="n">
        <v>172300644</v>
      </c>
    </row>
    <row r="119" customFormat="false" ht="15.75" hidden="false" customHeight="false" outlineLevel="0" collapsed="false">
      <c r="A119" s="7" t="s">
        <v>127</v>
      </c>
      <c r="B119" s="7" t="n">
        <v>12</v>
      </c>
      <c r="C119" s="9" t="n">
        <v>6123</v>
      </c>
      <c r="D119" s="9" t="n">
        <v>34229824</v>
      </c>
      <c r="E119" s="9" t="n">
        <v>2760</v>
      </c>
      <c r="F119" s="9" t="n">
        <v>16099080</v>
      </c>
      <c r="G119" s="9" t="n">
        <v>6420</v>
      </c>
      <c r="H119" s="9" t="n">
        <v>36374149</v>
      </c>
      <c r="I119" s="9" t="n">
        <v>2463</v>
      </c>
      <c r="J119" s="9" t="n">
        <v>13954755</v>
      </c>
    </row>
    <row r="120" customFormat="false" ht="15.75" hidden="false" customHeight="false" outlineLevel="0" collapsed="false">
      <c r="A120" s="7" t="s">
        <v>128</v>
      </c>
      <c r="B120" s="7" t="n">
        <v>12</v>
      </c>
      <c r="C120" s="9" t="n">
        <v>374</v>
      </c>
      <c r="D120" s="9" t="n">
        <v>5702198</v>
      </c>
      <c r="E120" s="9" t="n">
        <v>200</v>
      </c>
      <c r="F120" s="9" t="n">
        <v>3055600</v>
      </c>
      <c r="G120" s="9" t="n">
        <v>120</v>
      </c>
      <c r="H120" s="9" t="n">
        <v>1830899</v>
      </c>
      <c r="I120" s="9" t="n">
        <v>454</v>
      </c>
      <c r="J120" s="9" t="n">
        <v>6926899</v>
      </c>
    </row>
    <row r="121" customFormat="false" ht="15.75" hidden="false" customHeight="false" outlineLevel="0" collapsed="false">
      <c r="A121" s="7" t="s">
        <v>129</v>
      </c>
      <c r="B121" s="7" t="n">
        <v>12</v>
      </c>
      <c r="C121" s="9" t="n">
        <v>20</v>
      </c>
      <c r="D121" s="9" t="n">
        <v>685180</v>
      </c>
      <c r="E121" s="9" t="n">
        <v>0</v>
      </c>
      <c r="F121" s="9" t="n">
        <v>0</v>
      </c>
      <c r="G121" s="9" t="n">
        <v>5</v>
      </c>
      <c r="H121" s="9" t="n">
        <v>171295</v>
      </c>
      <c r="I121" s="9" t="n">
        <v>15</v>
      </c>
      <c r="J121" s="9" t="n">
        <v>513885</v>
      </c>
    </row>
    <row r="122" customFormat="false" ht="15.75" hidden="false" customHeight="false" outlineLevel="0" collapsed="false">
      <c r="A122" s="7" t="s">
        <v>130</v>
      </c>
      <c r="B122" s="7" t="n">
        <v>12</v>
      </c>
      <c r="C122" s="9" t="n">
        <v>85</v>
      </c>
      <c r="D122" s="9" t="n">
        <v>4046541</v>
      </c>
      <c r="E122" s="9" t="n">
        <v>41</v>
      </c>
      <c r="F122" s="9" t="n">
        <v>1955085</v>
      </c>
      <c r="G122" s="9" t="n">
        <v>40</v>
      </c>
      <c r="H122" s="9" t="n">
        <v>1905278</v>
      </c>
      <c r="I122" s="9" t="n">
        <v>86</v>
      </c>
      <c r="J122" s="9" t="n">
        <v>4096348</v>
      </c>
    </row>
    <row r="123" customFormat="false" ht="15.75" hidden="false" customHeight="false" outlineLevel="0" collapsed="false">
      <c r="A123" s="7" t="s">
        <v>131</v>
      </c>
      <c r="B123" s="7" t="n">
        <v>12</v>
      </c>
      <c r="C123" s="9" t="n">
        <v>70</v>
      </c>
      <c r="D123" s="9" t="n">
        <v>3488402</v>
      </c>
      <c r="E123" s="9" t="n">
        <v>16</v>
      </c>
      <c r="F123" s="9" t="n">
        <v>800000</v>
      </c>
      <c r="G123" s="9" t="n">
        <v>50</v>
      </c>
      <c r="H123" s="9" t="n">
        <v>2493257</v>
      </c>
      <c r="I123" s="9" t="n">
        <v>36</v>
      </c>
      <c r="J123" s="9" t="n">
        <v>1795145</v>
      </c>
    </row>
    <row r="124" customFormat="false" ht="15.75" hidden="false" customHeight="false" outlineLevel="0" collapsed="false">
      <c r="A124" s="7" t="s">
        <v>132</v>
      </c>
      <c r="B124" s="7" t="n">
        <v>12</v>
      </c>
      <c r="C124" s="9" t="n">
        <v>98</v>
      </c>
      <c r="D124" s="9" t="n">
        <v>4356568</v>
      </c>
      <c r="E124" s="9" t="n">
        <v>255</v>
      </c>
      <c r="F124" s="9" t="n">
        <v>11333220</v>
      </c>
      <c r="G124" s="9" t="n">
        <v>300</v>
      </c>
      <c r="H124" s="9" t="n">
        <v>13333180</v>
      </c>
      <c r="I124" s="9" t="n">
        <v>53</v>
      </c>
      <c r="J124" s="9" t="n">
        <v>2356608</v>
      </c>
    </row>
    <row r="125" customFormat="false" ht="15.75" hidden="false" customHeight="false" outlineLevel="0" collapsed="false">
      <c r="A125" s="7" t="s">
        <v>133</v>
      </c>
      <c r="B125" s="7" t="n">
        <v>12</v>
      </c>
      <c r="C125" s="9" t="n">
        <v>119</v>
      </c>
      <c r="D125" s="9" t="n">
        <v>4585298</v>
      </c>
      <c r="E125" s="9" t="n">
        <v>66</v>
      </c>
      <c r="F125" s="9" t="n">
        <v>2609254</v>
      </c>
      <c r="G125" s="9" t="n">
        <v>150</v>
      </c>
      <c r="H125" s="9" t="n">
        <v>5833421</v>
      </c>
      <c r="I125" s="9" t="n">
        <v>35</v>
      </c>
      <c r="J125" s="9" t="n">
        <v>1361131</v>
      </c>
    </row>
    <row r="126" customFormat="false" ht="15.75" hidden="false" customHeight="false" outlineLevel="0" collapsed="false">
      <c r="A126" s="7" t="s">
        <v>134</v>
      </c>
      <c r="B126" s="7" t="n">
        <v>12</v>
      </c>
      <c r="C126" s="9" t="n">
        <v>15</v>
      </c>
      <c r="D126" s="9" t="n">
        <v>431794</v>
      </c>
      <c r="E126" s="9" t="n">
        <v>0</v>
      </c>
      <c r="F126" s="9" t="n">
        <v>0</v>
      </c>
      <c r="G126" s="9" t="n">
        <v>0</v>
      </c>
      <c r="H126" s="9" t="n">
        <v>0</v>
      </c>
      <c r="I126" s="9" t="n">
        <v>15</v>
      </c>
      <c r="J126" s="9" t="n">
        <v>431794</v>
      </c>
    </row>
    <row r="127" customFormat="false" ht="15.75" hidden="false" customHeight="false" outlineLevel="0" collapsed="false">
      <c r="A127" s="7" t="s">
        <v>135</v>
      </c>
      <c r="B127" s="7" t="n">
        <v>12</v>
      </c>
      <c r="C127" s="9" t="n">
        <v>155</v>
      </c>
      <c r="D127" s="9" t="n">
        <v>28475986</v>
      </c>
      <c r="E127" s="9" t="n">
        <v>770</v>
      </c>
      <c r="F127" s="9" t="n">
        <v>137740260</v>
      </c>
      <c r="G127" s="9" t="n">
        <v>15</v>
      </c>
      <c r="H127" s="9" t="n">
        <v>2695399</v>
      </c>
      <c r="I127" s="9" t="n">
        <v>910</v>
      </c>
      <c r="J127" s="9" t="n">
        <v>163520847</v>
      </c>
    </row>
    <row r="128" customFormat="false" ht="15.75" hidden="false" customHeight="false" outlineLevel="0" collapsed="false">
      <c r="A128" s="7" t="s">
        <v>136</v>
      </c>
      <c r="B128" s="7" t="n">
        <v>12</v>
      </c>
      <c r="C128" s="9" t="n">
        <v>4853</v>
      </c>
      <c r="D128" s="9" t="n">
        <v>73565457</v>
      </c>
      <c r="E128" s="9" t="n">
        <v>5768</v>
      </c>
      <c r="F128" s="9" t="n">
        <v>86167920</v>
      </c>
      <c r="G128" s="9" t="n">
        <v>5498</v>
      </c>
      <c r="H128" s="9" t="n">
        <v>82686574</v>
      </c>
      <c r="I128" s="9" t="n">
        <v>5123</v>
      </c>
      <c r="J128" s="9" t="n">
        <v>77046803</v>
      </c>
    </row>
    <row r="129" customFormat="false" ht="15.75" hidden="false" customHeight="false" outlineLevel="0" collapsed="false">
      <c r="A129" s="7" t="s">
        <v>137</v>
      </c>
      <c r="B129" s="7" t="n">
        <v>12</v>
      </c>
      <c r="C129" s="9" t="n">
        <v>144</v>
      </c>
      <c r="D129" s="9" t="n">
        <v>22621104</v>
      </c>
      <c r="E129" s="9" t="n">
        <v>0</v>
      </c>
      <c r="F129" s="9" t="n">
        <v>0</v>
      </c>
      <c r="G129" s="9" t="n">
        <v>0</v>
      </c>
      <c r="H129" s="9" t="n">
        <v>0</v>
      </c>
      <c r="I129" s="9" t="n">
        <v>144</v>
      </c>
      <c r="J129" s="9" t="n">
        <v>22621104</v>
      </c>
    </row>
    <row r="130" customFormat="false" ht="15.75" hidden="false" customHeight="false" outlineLevel="0" collapsed="false">
      <c r="A130" s="7" t="s">
        <v>138</v>
      </c>
      <c r="B130" s="7" t="n">
        <v>12</v>
      </c>
      <c r="C130" s="9" t="n">
        <v>149</v>
      </c>
      <c r="D130" s="9" t="n">
        <v>22621104</v>
      </c>
      <c r="E130" s="9" t="n">
        <v>0</v>
      </c>
      <c r="F130" s="9" t="n">
        <v>0</v>
      </c>
      <c r="G130" s="9" t="n">
        <v>0</v>
      </c>
      <c r="H130" s="9" t="n">
        <v>0</v>
      </c>
      <c r="I130" s="9" t="n">
        <v>149</v>
      </c>
      <c r="J130" s="9" t="n">
        <v>22621104</v>
      </c>
    </row>
    <row r="131" customFormat="false" ht="15.75" hidden="false" customHeight="false" outlineLevel="0" collapsed="false">
      <c r="A131" s="7" t="s">
        <v>139</v>
      </c>
      <c r="B131" s="7" t="n">
        <v>12</v>
      </c>
      <c r="C131" s="9" t="n">
        <v>188</v>
      </c>
      <c r="D131" s="9" t="n">
        <v>34137846</v>
      </c>
      <c r="E131" s="9" t="n">
        <v>0</v>
      </c>
      <c r="F131" s="9" t="n">
        <v>0</v>
      </c>
      <c r="G131" s="9" t="n">
        <v>0</v>
      </c>
      <c r="H131" s="9" t="n">
        <v>0</v>
      </c>
      <c r="I131" s="9" t="n">
        <v>188</v>
      </c>
      <c r="J131" s="9" t="n">
        <v>34137846</v>
      </c>
    </row>
    <row r="132" customFormat="false" ht="15.75" hidden="false" customHeight="false" outlineLevel="0" collapsed="false">
      <c r="A132" s="7" t="s">
        <v>140</v>
      </c>
      <c r="B132" s="7" t="n">
        <v>12</v>
      </c>
      <c r="C132" s="9" t="n">
        <v>1326</v>
      </c>
      <c r="D132" s="9" t="n">
        <v>245672490</v>
      </c>
      <c r="E132" s="9" t="n">
        <v>1500</v>
      </c>
      <c r="F132" s="9" t="n">
        <v>279622500</v>
      </c>
      <c r="G132" s="9" t="n">
        <v>1498</v>
      </c>
      <c r="H132" s="9" t="n">
        <v>278447238</v>
      </c>
      <c r="I132" s="9" t="n">
        <v>1328</v>
      </c>
      <c r="J132" s="9" t="n">
        <v>246847752</v>
      </c>
    </row>
    <row r="133" customFormat="false" ht="15.75" hidden="false" customHeight="false" outlineLevel="0" collapsed="false">
      <c r="A133" s="7" t="s">
        <v>141</v>
      </c>
      <c r="B133" s="7" t="n">
        <v>12</v>
      </c>
      <c r="C133" s="9" t="n">
        <v>2712</v>
      </c>
      <c r="D133" s="9" t="n">
        <v>404819278</v>
      </c>
      <c r="E133" s="9" t="n">
        <v>2350</v>
      </c>
      <c r="F133" s="9" t="n">
        <v>438075250</v>
      </c>
      <c r="G133" s="9" t="n">
        <v>2523</v>
      </c>
      <c r="H133" s="9" t="n">
        <v>466755000</v>
      </c>
      <c r="I133" s="9" t="n">
        <v>2539</v>
      </c>
      <c r="J133" s="9" t="n">
        <v>376139528</v>
      </c>
    </row>
    <row r="134" customFormat="false" ht="15.75" hidden="false" customHeight="false" outlineLevel="0" collapsed="false">
      <c r="A134" s="7" t="s">
        <v>142</v>
      </c>
      <c r="B134" s="7" t="n">
        <v>12</v>
      </c>
      <c r="C134" s="9" t="n">
        <v>1150</v>
      </c>
      <c r="D134" s="9" t="n">
        <v>211217050</v>
      </c>
      <c r="E134" s="9" t="n">
        <v>0</v>
      </c>
      <c r="F134" s="9" t="n">
        <v>0</v>
      </c>
      <c r="G134" s="9" t="n">
        <v>0</v>
      </c>
      <c r="H134" s="9" t="n">
        <v>0</v>
      </c>
      <c r="I134" s="9" t="n">
        <v>1150</v>
      </c>
      <c r="J134" s="9" t="n">
        <v>211217050</v>
      </c>
    </row>
    <row r="135" customFormat="false" ht="15.75" hidden="false" customHeight="false" outlineLevel="0" collapsed="false">
      <c r="A135" s="7" t="s">
        <v>143</v>
      </c>
      <c r="B135" s="7" t="n">
        <v>12</v>
      </c>
      <c r="C135" s="9" t="n">
        <v>0</v>
      </c>
      <c r="D135" s="9" t="n">
        <v>0</v>
      </c>
      <c r="E135" s="9" t="n">
        <v>0</v>
      </c>
      <c r="F135" s="9" t="n">
        <v>0</v>
      </c>
      <c r="G135" s="9" t="n">
        <v>0</v>
      </c>
      <c r="H135" s="9" t="n">
        <v>0</v>
      </c>
      <c r="I135" s="9" t="n">
        <v>0</v>
      </c>
      <c r="J135" s="9" t="n">
        <v>0</v>
      </c>
    </row>
    <row r="136" customFormat="false" ht="15.75" hidden="false" customHeight="false" outlineLevel="0" collapsed="false">
      <c r="A136" s="7" t="s">
        <v>144</v>
      </c>
      <c r="B136" s="7" t="n">
        <v>12</v>
      </c>
      <c r="C136" s="9" t="n">
        <v>898</v>
      </c>
      <c r="D136" s="9" t="n">
        <v>164227145</v>
      </c>
      <c r="E136" s="9" t="n">
        <v>455</v>
      </c>
      <c r="F136" s="9" t="n">
        <v>83865600</v>
      </c>
      <c r="G136" s="9" t="n">
        <v>770</v>
      </c>
      <c r="H136" s="9" t="n">
        <v>141190993</v>
      </c>
      <c r="I136" s="9" t="n">
        <v>583</v>
      </c>
      <c r="J136" s="9" t="n">
        <v>106901752</v>
      </c>
    </row>
    <row r="137" customFormat="false" ht="15.75" hidden="false" customHeight="false" outlineLevel="0" collapsed="false">
      <c r="A137" s="7" t="s">
        <v>145</v>
      </c>
      <c r="B137" s="7" t="n">
        <v>12</v>
      </c>
      <c r="C137" s="9" t="n">
        <v>13</v>
      </c>
      <c r="D137" s="9" t="n">
        <v>2323520</v>
      </c>
      <c r="E137" s="9" t="n">
        <v>67</v>
      </c>
      <c r="F137" s="9" t="n">
        <v>11975065</v>
      </c>
      <c r="G137" s="9" t="n">
        <v>80</v>
      </c>
      <c r="H137" s="9" t="n">
        <v>14298585</v>
      </c>
      <c r="I137" s="9" t="n">
        <v>0</v>
      </c>
      <c r="J137" s="9" t="n">
        <v>0</v>
      </c>
    </row>
    <row r="138" customFormat="false" ht="15.75" hidden="false" customHeight="false" outlineLevel="0" collapsed="false">
      <c r="A138" s="7" t="s">
        <v>146</v>
      </c>
      <c r="B138" s="7" t="n">
        <v>12</v>
      </c>
      <c r="C138" s="9" t="n">
        <v>427</v>
      </c>
      <c r="D138" s="9" t="n">
        <v>83128984</v>
      </c>
      <c r="E138" s="9" t="n">
        <v>690</v>
      </c>
      <c r="F138" s="9" t="n">
        <v>132239190</v>
      </c>
      <c r="G138" s="9" t="n">
        <v>1002</v>
      </c>
      <c r="H138" s="9" t="n">
        <v>191147067</v>
      </c>
      <c r="I138" s="9" t="n">
        <v>115</v>
      </c>
      <c r="J138" s="9" t="n">
        <v>24221107</v>
      </c>
    </row>
    <row r="139" customFormat="false" ht="15.75" hidden="false" customHeight="false" outlineLevel="0" collapsed="false">
      <c r="A139" s="7" t="s">
        <v>147</v>
      </c>
      <c r="B139" s="7" t="n">
        <v>12</v>
      </c>
      <c r="C139" s="9" t="n">
        <v>888</v>
      </c>
      <c r="D139" s="9" t="n">
        <v>82354219</v>
      </c>
      <c r="E139" s="9" t="n">
        <v>100</v>
      </c>
      <c r="F139" s="9" t="n">
        <v>27752700</v>
      </c>
      <c r="G139" s="9" t="n">
        <v>644</v>
      </c>
      <c r="H139" s="9" t="n">
        <v>73819303</v>
      </c>
      <c r="I139" s="9" t="n">
        <v>344</v>
      </c>
      <c r="J139" s="9" t="n">
        <v>36287616</v>
      </c>
    </row>
    <row r="140" customFormat="false" ht="15.75" hidden="false" customHeight="false" outlineLevel="0" collapsed="false">
      <c r="A140" s="7" t="s">
        <v>148</v>
      </c>
      <c r="B140" s="7" t="n">
        <v>12</v>
      </c>
      <c r="C140" s="9" t="n">
        <v>0</v>
      </c>
      <c r="D140" s="9" t="n">
        <v>0</v>
      </c>
      <c r="E140" s="9" t="n">
        <v>0</v>
      </c>
      <c r="F140" s="9" t="n">
        <v>0</v>
      </c>
      <c r="G140" s="9" t="n">
        <v>0</v>
      </c>
      <c r="H140" s="9" t="n">
        <v>0</v>
      </c>
      <c r="I140" s="9" t="n">
        <v>0</v>
      </c>
      <c r="J140" s="9" t="n">
        <v>0</v>
      </c>
    </row>
    <row r="141" customFormat="false" ht="15.75" hidden="false" customHeight="false" outlineLevel="0" collapsed="false">
      <c r="A141" s="7" t="s">
        <v>149</v>
      </c>
      <c r="B141" s="7" t="n">
        <v>12</v>
      </c>
      <c r="C141" s="9" t="n">
        <v>1197</v>
      </c>
      <c r="D141" s="9" t="n">
        <v>228002752</v>
      </c>
      <c r="E141" s="9" t="n">
        <v>495</v>
      </c>
      <c r="F141" s="9" t="n">
        <v>94867245</v>
      </c>
      <c r="G141" s="9" t="n">
        <v>456</v>
      </c>
      <c r="H141" s="9" t="n">
        <v>87014609</v>
      </c>
      <c r="I141" s="9" t="n">
        <v>1236</v>
      </c>
      <c r="J141" s="9" t="n">
        <v>235855388</v>
      </c>
    </row>
    <row r="142" customFormat="false" ht="15.75" hidden="false" customHeight="false" outlineLevel="0" collapsed="false">
      <c r="A142" s="7" t="s">
        <v>150</v>
      </c>
      <c r="B142" s="7" t="n">
        <v>12</v>
      </c>
      <c r="C142" s="9" t="n">
        <v>0</v>
      </c>
      <c r="D142" s="9" t="n">
        <v>0</v>
      </c>
      <c r="E142" s="9" t="n">
        <v>0</v>
      </c>
      <c r="F142" s="9" t="n">
        <v>0</v>
      </c>
      <c r="G142" s="9" t="n">
        <v>0</v>
      </c>
      <c r="H142" s="9" t="n">
        <v>0</v>
      </c>
      <c r="I142" s="9" t="n">
        <v>0</v>
      </c>
      <c r="J142" s="9" t="n">
        <v>0</v>
      </c>
    </row>
    <row r="143" customFormat="false" ht="15.75" hidden="false" customHeight="false" outlineLevel="0" collapsed="false">
      <c r="A143" s="7" t="s">
        <v>151</v>
      </c>
      <c r="B143" s="7" t="n">
        <v>12</v>
      </c>
      <c r="C143" s="9" t="n">
        <v>319</v>
      </c>
      <c r="D143" s="9" t="n">
        <v>60576489</v>
      </c>
      <c r="E143" s="9" t="n">
        <v>0</v>
      </c>
      <c r="F143" s="9" t="n">
        <v>0</v>
      </c>
      <c r="G143" s="9" t="n">
        <v>0</v>
      </c>
      <c r="H143" s="9" t="n">
        <v>0</v>
      </c>
      <c r="I143" s="9" t="n">
        <v>319</v>
      </c>
      <c r="J143" s="9" t="n">
        <v>60576489</v>
      </c>
    </row>
    <row r="144" customFormat="false" ht="15.75" hidden="false" customHeight="false" outlineLevel="0" collapsed="false">
      <c r="A144" s="7" t="s">
        <v>152</v>
      </c>
      <c r="B144" s="7" t="n">
        <v>12</v>
      </c>
      <c r="C144" s="9" t="n">
        <v>0</v>
      </c>
      <c r="D144" s="9" t="n">
        <v>0</v>
      </c>
      <c r="E144" s="9" t="n">
        <v>0</v>
      </c>
      <c r="F144" s="9" t="n">
        <v>0</v>
      </c>
      <c r="G144" s="9" t="n">
        <v>0</v>
      </c>
      <c r="H144" s="9" t="n">
        <v>0</v>
      </c>
      <c r="I144" s="9" t="n">
        <v>0</v>
      </c>
      <c r="J144" s="9" t="n">
        <v>0</v>
      </c>
    </row>
    <row r="145" customFormat="false" ht="15.75" hidden="false" customHeight="false" outlineLevel="0" collapsed="false">
      <c r="A145" s="7" t="s">
        <v>153</v>
      </c>
      <c r="B145" s="7" t="n">
        <v>12</v>
      </c>
      <c r="C145" s="9" t="n">
        <v>0</v>
      </c>
      <c r="D145" s="9" t="n">
        <v>0</v>
      </c>
      <c r="E145" s="9" t="n">
        <v>0</v>
      </c>
      <c r="F145" s="9" t="n">
        <v>0</v>
      </c>
      <c r="G145" s="9" t="n">
        <v>0</v>
      </c>
      <c r="H145" s="9" t="n">
        <v>0</v>
      </c>
      <c r="I145" s="9" t="n">
        <v>0</v>
      </c>
      <c r="J145" s="9" t="n">
        <v>0</v>
      </c>
    </row>
    <row r="146" customFormat="false" ht="15.75" hidden="false" customHeight="false" outlineLevel="0" collapsed="false">
      <c r="A146" s="7" t="s">
        <v>154</v>
      </c>
      <c r="B146" s="7" t="n">
        <v>12</v>
      </c>
      <c r="C146" s="9" t="n">
        <v>50</v>
      </c>
      <c r="D146" s="9" t="n">
        <v>11656130</v>
      </c>
      <c r="E146" s="9" t="n">
        <v>45</v>
      </c>
      <c r="F146" s="9" t="n">
        <v>10556505</v>
      </c>
      <c r="G146" s="9" t="n">
        <v>25</v>
      </c>
      <c r="H146" s="9" t="n">
        <v>5845430</v>
      </c>
      <c r="I146" s="9" t="n">
        <v>70</v>
      </c>
      <c r="J146" s="9" t="n">
        <v>16367205</v>
      </c>
    </row>
    <row r="147" customFormat="false" ht="15.75" hidden="false" customHeight="false" outlineLevel="0" collapsed="false">
      <c r="A147" s="7" t="s">
        <v>155</v>
      </c>
      <c r="B147" s="7" t="n">
        <v>12</v>
      </c>
      <c r="C147" s="9" t="n">
        <v>0</v>
      </c>
      <c r="D147" s="9" t="n">
        <v>0</v>
      </c>
      <c r="E147" s="9" t="n">
        <v>24</v>
      </c>
      <c r="F147" s="9" t="n">
        <v>6959131</v>
      </c>
      <c r="G147" s="9" t="n">
        <v>24</v>
      </c>
      <c r="H147" s="9" t="n">
        <v>6959131</v>
      </c>
      <c r="I147" s="9" t="n">
        <v>0</v>
      </c>
      <c r="J147" s="9" t="n">
        <v>0</v>
      </c>
    </row>
    <row r="148" customFormat="false" ht="15.75" hidden="false" customHeight="false" outlineLevel="0" collapsed="false">
      <c r="A148" s="7" t="s">
        <v>156</v>
      </c>
      <c r="B148" s="7" t="n">
        <v>12</v>
      </c>
      <c r="C148" s="9" t="n">
        <v>265</v>
      </c>
      <c r="D148" s="9" t="n">
        <v>51536190</v>
      </c>
      <c r="E148" s="9" t="n">
        <v>20</v>
      </c>
      <c r="F148" s="9" t="n">
        <v>4691780</v>
      </c>
      <c r="G148" s="9" t="n">
        <v>148</v>
      </c>
      <c r="H148" s="9" t="n">
        <v>29199086</v>
      </c>
      <c r="I148" s="9" t="n">
        <v>137</v>
      </c>
      <c r="J148" s="9" t="n">
        <v>27028884</v>
      </c>
    </row>
    <row r="149" customFormat="false" ht="15.75" hidden="false" customHeight="false" outlineLevel="0" collapsed="false">
      <c r="A149" s="7" t="s">
        <v>157</v>
      </c>
      <c r="B149" s="7" t="n">
        <v>12</v>
      </c>
      <c r="C149" s="9" t="n">
        <v>100</v>
      </c>
      <c r="D149" s="9" t="n">
        <v>23336700</v>
      </c>
      <c r="E149" s="9" t="n">
        <v>45</v>
      </c>
      <c r="F149" s="9" t="n">
        <v>10556505</v>
      </c>
      <c r="G149" s="9" t="n">
        <v>45</v>
      </c>
      <c r="H149" s="9" t="n">
        <v>10518581</v>
      </c>
      <c r="I149" s="9" t="n">
        <v>100</v>
      </c>
      <c r="J149" s="9" t="n">
        <v>23374624</v>
      </c>
    </row>
    <row r="150" customFormat="false" ht="15.75" hidden="false" customHeight="false" outlineLevel="0" collapsed="false">
      <c r="A150" s="7" t="s">
        <v>158</v>
      </c>
      <c r="B150" s="7" t="n">
        <v>12</v>
      </c>
      <c r="C150" s="9" t="n">
        <v>0</v>
      </c>
      <c r="D150" s="9" t="n">
        <v>0</v>
      </c>
      <c r="E150" s="9" t="n">
        <v>0</v>
      </c>
      <c r="F150" s="9" t="n">
        <v>0</v>
      </c>
      <c r="G150" s="9" t="n">
        <v>0</v>
      </c>
      <c r="H150" s="9" t="n">
        <v>0</v>
      </c>
      <c r="I150" s="9" t="n">
        <v>0</v>
      </c>
      <c r="J150" s="9" t="n">
        <v>0</v>
      </c>
    </row>
    <row r="151" customFormat="false" ht="15.75" hidden="false" customHeight="false" outlineLevel="0" collapsed="false">
      <c r="A151" s="7" t="s">
        <v>159</v>
      </c>
      <c r="B151" s="7" t="n">
        <v>12</v>
      </c>
      <c r="C151" s="9" t="n">
        <v>81</v>
      </c>
      <c r="D151" s="9" t="n">
        <v>17829621</v>
      </c>
      <c r="E151" s="9" t="n">
        <v>0</v>
      </c>
      <c r="F151" s="9" t="n">
        <v>0</v>
      </c>
      <c r="G151" s="9" t="n">
        <v>22</v>
      </c>
      <c r="H151" s="9" t="n">
        <v>4842658</v>
      </c>
      <c r="I151" s="9" t="n">
        <v>59</v>
      </c>
      <c r="J151" s="9" t="n">
        <v>12986963</v>
      </c>
    </row>
    <row r="152" customFormat="false" ht="15.75" hidden="false" customHeight="false" outlineLevel="0" collapsed="false">
      <c r="A152" s="7" t="s">
        <v>160</v>
      </c>
      <c r="B152" s="7" t="n">
        <v>12</v>
      </c>
      <c r="C152" s="9" t="n">
        <v>46</v>
      </c>
      <c r="D152" s="9" t="n">
        <v>12161583</v>
      </c>
      <c r="E152" s="9" t="n">
        <v>0</v>
      </c>
      <c r="F152" s="9" t="n">
        <v>0</v>
      </c>
      <c r="G152" s="9" t="n">
        <v>42</v>
      </c>
      <c r="H152" s="9" t="n">
        <v>11093015</v>
      </c>
      <c r="I152" s="9" t="n">
        <v>4</v>
      </c>
      <c r="J152" s="9" t="n">
        <v>1068568</v>
      </c>
    </row>
    <row r="153" customFormat="false" ht="15.75" hidden="false" customHeight="false" outlineLevel="0" collapsed="false">
      <c r="A153" s="7" t="s">
        <v>161</v>
      </c>
      <c r="B153" s="7" t="n">
        <v>12</v>
      </c>
      <c r="C153" s="9" t="n">
        <v>110</v>
      </c>
      <c r="D153" s="9" t="n">
        <v>25633710</v>
      </c>
      <c r="E153" s="9" t="n">
        <v>50</v>
      </c>
      <c r="F153" s="9" t="n">
        <v>11729450</v>
      </c>
      <c r="G153" s="9" t="n">
        <v>68</v>
      </c>
      <c r="H153" s="9" t="n">
        <v>11432029</v>
      </c>
      <c r="I153" s="9" t="n">
        <v>92</v>
      </c>
      <c r="J153" s="9" t="n">
        <v>25931131</v>
      </c>
    </row>
    <row r="154" customFormat="false" ht="15.75" hidden="false" customHeight="false" outlineLevel="0" collapsed="false">
      <c r="A154" s="7" t="s">
        <v>162</v>
      </c>
      <c r="B154" s="7" t="n">
        <v>12</v>
      </c>
      <c r="C154" s="9" t="n">
        <v>0</v>
      </c>
      <c r="D154" s="9" t="n">
        <v>0</v>
      </c>
      <c r="E154" s="9" t="n">
        <v>4</v>
      </c>
      <c r="F154" s="9" t="n">
        <v>1264364</v>
      </c>
      <c r="G154" s="9" t="n">
        <v>4</v>
      </c>
      <c r="H154" s="9" t="n">
        <v>1264364</v>
      </c>
      <c r="I154" s="9" t="n">
        <v>0</v>
      </c>
      <c r="J154" s="9" t="n">
        <v>0</v>
      </c>
    </row>
    <row r="155" customFormat="false" ht="15.75" hidden="false" customHeight="false" outlineLevel="0" collapsed="false">
      <c r="A155" s="7" t="s">
        <v>163</v>
      </c>
      <c r="B155" s="7" t="n">
        <v>12</v>
      </c>
      <c r="C155" s="9" t="n">
        <v>986</v>
      </c>
      <c r="D155" s="9" t="n">
        <v>312560997</v>
      </c>
      <c r="E155" s="9" t="n">
        <v>300</v>
      </c>
      <c r="F155" s="9" t="n">
        <v>95825400</v>
      </c>
      <c r="G155" s="9" t="n">
        <v>0</v>
      </c>
      <c r="H155" s="9" t="n">
        <v>0</v>
      </c>
      <c r="I155" s="9" t="n">
        <v>1286</v>
      </c>
      <c r="J155" s="9" t="n">
        <v>408386397</v>
      </c>
    </row>
    <row r="156" customFormat="false" ht="15.75" hidden="false" customHeight="false" outlineLevel="0" collapsed="false">
      <c r="A156" s="7" t="s">
        <v>164</v>
      </c>
      <c r="B156" s="7" t="n">
        <v>12</v>
      </c>
      <c r="C156" s="9" t="n">
        <v>0</v>
      </c>
      <c r="D156" s="9" t="n">
        <v>0</v>
      </c>
      <c r="E156" s="9" t="n">
        <v>92</v>
      </c>
      <c r="F156" s="9" t="n">
        <v>13264312</v>
      </c>
      <c r="G156" s="9" t="n">
        <v>92</v>
      </c>
      <c r="H156" s="9" t="n">
        <v>13264312</v>
      </c>
      <c r="I156" s="9" t="n">
        <v>0</v>
      </c>
      <c r="J156" s="9" t="n">
        <v>0</v>
      </c>
    </row>
    <row r="157" customFormat="false" ht="15.75" hidden="false" customHeight="false" outlineLevel="0" collapsed="false">
      <c r="A157" s="7" t="s">
        <v>165</v>
      </c>
      <c r="B157" s="7" t="n">
        <v>12</v>
      </c>
      <c r="C157" s="9" t="n">
        <v>100</v>
      </c>
      <c r="D157" s="9" t="n">
        <v>15396441</v>
      </c>
      <c r="E157" s="9" t="n">
        <v>0</v>
      </c>
      <c r="F157" s="9" t="n">
        <v>0</v>
      </c>
      <c r="G157" s="9" t="n">
        <v>6</v>
      </c>
      <c r="H157" s="9" t="n">
        <v>923786</v>
      </c>
      <c r="I157" s="9" t="n">
        <v>94</v>
      </c>
      <c r="J157" s="9" t="n">
        <v>14472655</v>
      </c>
    </row>
    <row r="158" customFormat="false" ht="15.75" hidden="false" customHeight="false" outlineLevel="0" collapsed="false">
      <c r="A158" s="7" t="s">
        <v>166</v>
      </c>
      <c r="B158" s="7" t="n">
        <v>12</v>
      </c>
      <c r="C158" s="9" t="n">
        <v>0</v>
      </c>
      <c r="D158" s="9" t="n">
        <v>0</v>
      </c>
      <c r="E158" s="9" t="n">
        <v>0</v>
      </c>
      <c r="F158" s="9" t="n">
        <v>0</v>
      </c>
      <c r="G158" s="9" t="n">
        <v>0</v>
      </c>
      <c r="H158" s="9" t="n">
        <v>0</v>
      </c>
      <c r="I158" s="9" t="n">
        <v>0</v>
      </c>
      <c r="J158" s="9" t="n">
        <v>0</v>
      </c>
    </row>
    <row r="159" customFormat="false" ht="15.75" hidden="false" customHeight="false" outlineLevel="0" collapsed="false">
      <c r="A159" s="7" t="s">
        <v>167</v>
      </c>
      <c r="B159" s="7" t="n">
        <v>12</v>
      </c>
      <c r="C159" s="9" t="n">
        <v>0</v>
      </c>
      <c r="D159" s="9" t="n">
        <v>0</v>
      </c>
      <c r="E159" s="9" t="n">
        <v>0</v>
      </c>
      <c r="F159" s="9" t="n">
        <v>0</v>
      </c>
      <c r="G159" s="9" t="n">
        <v>0</v>
      </c>
      <c r="H159" s="9" t="n">
        <v>0</v>
      </c>
      <c r="I159" s="9" t="n">
        <v>0</v>
      </c>
      <c r="J159" s="9" t="n">
        <v>0</v>
      </c>
    </row>
    <row r="160" customFormat="false" ht="15.75" hidden="false" customHeight="false" outlineLevel="0" collapsed="false">
      <c r="A160" s="7" t="s">
        <v>168</v>
      </c>
      <c r="B160" s="7" t="n">
        <v>12</v>
      </c>
      <c r="C160" s="9" t="n">
        <v>436</v>
      </c>
      <c r="D160" s="9" t="n">
        <v>79778379</v>
      </c>
      <c r="E160" s="9" t="n">
        <v>150</v>
      </c>
      <c r="F160" s="9" t="n">
        <v>27648000</v>
      </c>
      <c r="G160" s="9" t="n">
        <v>503</v>
      </c>
      <c r="H160" s="9" t="n">
        <v>92210697</v>
      </c>
      <c r="I160" s="9" t="n">
        <v>83</v>
      </c>
      <c r="J160" s="9" t="n">
        <v>15215682</v>
      </c>
    </row>
    <row r="161" customFormat="false" ht="15.75" hidden="false" customHeight="false" outlineLevel="0" collapsed="false">
      <c r="A161" s="7" t="s">
        <v>169</v>
      </c>
      <c r="B161" s="7" t="n">
        <v>12</v>
      </c>
      <c r="C161" s="9" t="n">
        <v>856</v>
      </c>
      <c r="D161" s="9" t="n">
        <v>151588068</v>
      </c>
      <c r="E161" s="9" t="n">
        <v>0</v>
      </c>
      <c r="F161" s="9" t="n">
        <v>0</v>
      </c>
      <c r="G161" s="9" t="n">
        <v>186</v>
      </c>
      <c r="H161" s="9" t="n">
        <v>32938529</v>
      </c>
      <c r="I161" s="9" t="n">
        <v>670</v>
      </c>
      <c r="J161" s="9" t="n">
        <v>118649539</v>
      </c>
    </row>
    <row r="162" customFormat="false" ht="15.75" hidden="false" customHeight="false" outlineLevel="0" collapsed="false">
      <c r="A162" s="7" t="s">
        <v>170</v>
      </c>
      <c r="B162" s="7" t="n">
        <v>12</v>
      </c>
      <c r="C162" s="9" t="n">
        <v>164</v>
      </c>
      <c r="D162" s="9" t="n">
        <v>44675744</v>
      </c>
      <c r="E162" s="9" t="n">
        <v>175</v>
      </c>
      <c r="F162" s="9" t="n">
        <v>49157166</v>
      </c>
      <c r="G162" s="9" t="n">
        <v>339</v>
      </c>
      <c r="H162" s="9" t="n">
        <v>93832910</v>
      </c>
      <c r="I162" s="9" t="n">
        <v>0</v>
      </c>
      <c r="J162" s="9" t="n">
        <v>0</v>
      </c>
    </row>
    <row r="163" customFormat="false" ht="15.75" hidden="false" customHeight="false" outlineLevel="0" collapsed="false">
      <c r="A163" s="7" t="s">
        <v>171</v>
      </c>
      <c r="B163" s="7" t="n">
        <v>12</v>
      </c>
      <c r="C163" s="9" t="n">
        <v>0</v>
      </c>
      <c r="D163" s="9" t="n">
        <v>0</v>
      </c>
      <c r="E163" s="9" t="n">
        <v>30</v>
      </c>
      <c r="F163" s="9" t="n">
        <v>8280000</v>
      </c>
      <c r="G163" s="9" t="n">
        <v>30</v>
      </c>
      <c r="H163" s="9" t="n">
        <v>8280000</v>
      </c>
      <c r="I163" s="9" t="n">
        <v>0</v>
      </c>
      <c r="J163" s="9" t="n">
        <v>0</v>
      </c>
    </row>
    <row r="164" customFormat="false" ht="15.75" hidden="false" customHeight="false" outlineLevel="0" collapsed="false">
      <c r="A164" s="7" t="s">
        <v>172</v>
      </c>
      <c r="B164" s="7" t="n">
        <v>12</v>
      </c>
      <c r="C164" s="9" t="n">
        <v>459</v>
      </c>
      <c r="D164" s="9" t="n">
        <v>85500524</v>
      </c>
      <c r="E164" s="9" t="n">
        <v>30</v>
      </c>
      <c r="F164" s="9" t="n">
        <v>5655270</v>
      </c>
      <c r="G164" s="9" t="n">
        <v>0</v>
      </c>
      <c r="H164" s="9" t="n">
        <v>0</v>
      </c>
      <c r="I164" s="9" t="n">
        <v>489</v>
      </c>
      <c r="J164" s="9" t="n">
        <v>91155794</v>
      </c>
    </row>
    <row r="165" customFormat="false" ht="15.75" hidden="false" customHeight="false" outlineLevel="0" collapsed="false">
      <c r="A165" s="7" t="s">
        <v>173</v>
      </c>
      <c r="B165" s="7" t="n">
        <v>12</v>
      </c>
      <c r="C165" s="9" t="n">
        <v>484</v>
      </c>
      <c r="D165" s="9" t="n">
        <v>88893600</v>
      </c>
      <c r="E165" s="9" t="n">
        <v>25</v>
      </c>
      <c r="F165" s="9" t="n">
        <v>4712725</v>
      </c>
      <c r="G165" s="9" t="n">
        <v>0</v>
      </c>
      <c r="H165" s="9" t="n">
        <v>0</v>
      </c>
      <c r="I165" s="9" t="n">
        <v>509</v>
      </c>
      <c r="J165" s="9" t="n">
        <v>93606325</v>
      </c>
    </row>
    <row r="166" customFormat="false" ht="15.75" hidden="false" customHeight="false" outlineLevel="0" collapsed="false">
      <c r="A166" s="7" t="s">
        <v>174</v>
      </c>
      <c r="B166" s="7" t="n">
        <v>12</v>
      </c>
      <c r="C166" s="9" t="n">
        <v>5</v>
      </c>
      <c r="D166" s="9" t="n">
        <v>1372892</v>
      </c>
      <c r="E166" s="9" t="n">
        <v>0</v>
      </c>
      <c r="F166" s="9" t="n">
        <v>0</v>
      </c>
      <c r="G166" s="9" t="n">
        <v>0</v>
      </c>
      <c r="H166" s="9" t="n">
        <v>0</v>
      </c>
      <c r="I166" s="9" t="n">
        <v>5</v>
      </c>
      <c r="J166" s="9" t="n">
        <v>1372892</v>
      </c>
    </row>
    <row r="167" customFormat="false" ht="15.75" hidden="false" customHeight="false" outlineLevel="0" collapsed="false">
      <c r="A167" s="7" t="s">
        <v>175</v>
      </c>
      <c r="B167" s="7" t="n">
        <v>12</v>
      </c>
      <c r="C167" s="9" t="n">
        <v>0</v>
      </c>
      <c r="D167" s="9" t="n">
        <v>0</v>
      </c>
      <c r="E167" s="9" t="n">
        <v>0</v>
      </c>
      <c r="F167" s="9" t="n">
        <v>0</v>
      </c>
      <c r="G167" s="9" t="n">
        <v>0</v>
      </c>
      <c r="H167" s="9" t="n">
        <v>0</v>
      </c>
      <c r="I167" s="9" t="n">
        <v>0</v>
      </c>
      <c r="J167" s="9" t="n">
        <v>0</v>
      </c>
    </row>
    <row r="168" customFormat="false" ht="15.75" hidden="false" customHeight="false" outlineLevel="0" collapsed="false">
      <c r="A168" s="7" t="s">
        <v>176</v>
      </c>
      <c r="B168" s="7" t="n">
        <v>12</v>
      </c>
      <c r="C168" s="9" t="n">
        <v>0</v>
      </c>
      <c r="D168" s="9" t="n">
        <v>0</v>
      </c>
      <c r="E168" s="9" t="n">
        <v>0</v>
      </c>
      <c r="F168" s="9" t="n">
        <v>0</v>
      </c>
      <c r="G168" s="9" t="n">
        <v>0</v>
      </c>
      <c r="H168" s="9" t="n">
        <v>0</v>
      </c>
      <c r="I168" s="9" t="n">
        <v>0</v>
      </c>
      <c r="J168" s="9" t="n">
        <v>0</v>
      </c>
    </row>
    <row r="169" customFormat="false" ht="15.75" hidden="false" customHeight="false" outlineLevel="0" collapsed="false">
      <c r="A169" s="7" t="s">
        <v>177</v>
      </c>
      <c r="B169" s="7" t="n">
        <v>12</v>
      </c>
      <c r="C169" s="9" t="n">
        <v>1</v>
      </c>
      <c r="D169" s="9" t="n">
        <v>537037</v>
      </c>
      <c r="E169" s="9" t="n">
        <v>0</v>
      </c>
      <c r="F169" s="9" t="n">
        <v>0</v>
      </c>
      <c r="G169" s="9" t="n">
        <v>0</v>
      </c>
      <c r="H169" s="9" t="n">
        <v>0</v>
      </c>
      <c r="I169" s="9" t="n">
        <v>1</v>
      </c>
      <c r="J169" s="9" t="n">
        <v>537037</v>
      </c>
    </row>
    <row r="170" customFormat="false" ht="15.75" hidden="false" customHeight="false" outlineLevel="0" collapsed="false">
      <c r="A170" s="7" t="s">
        <v>178</v>
      </c>
      <c r="B170" s="7" t="n">
        <v>12</v>
      </c>
      <c r="C170" s="9" t="n">
        <v>144</v>
      </c>
      <c r="D170" s="9" t="n">
        <v>8408880</v>
      </c>
      <c r="E170" s="9" t="n">
        <v>576</v>
      </c>
      <c r="F170" s="9" t="n">
        <v>28791120</v>
      </c>
      <c r="G170" s="9" t="n">
        <v>0</v>
      </c>
      <c r="H170" s="9" t="n">
        <v>0</v>
      </c>
      <c r="I170" s="9" t="n">
        <v>720</v>
      </c>
      <c r="J170" s="9" t="n">
        <v>37200000</v>
      </c>
    </row>
    <row r="171" customFormat="false" ht="15.75" hidden="false" customHeight="false" outlineLevel="0" collapsed="false">
      <c r="A171" s="7" t="s">
        <v>179</v>
      </c>
      <c r="B171" s="7" t="n">
        <v>12</v>
      </c>
      <c r="C171" s="9" t="n">
        <v>24797</v>
      </c>
      <c r="D171" s="9" t="n">
        <v>127113973</v>
      </c>
      <c r="E171" s="9" t="n">
        <v>15719</v>
      </c>
      <c r="F171" s="9" t="n">
        <v>82006560</v>
      </c>
      <c r="G171" s="9" t="n">
        <v>14442</v>
      </c>
      <c r="H171" s="9" t="n">
        <v>74541385</v>
      </c>
      <c r="I171" s="9" t="n">
        <v>26074</v>
      </c>
      <c r="J171" s="9" t="n">
        <v>134579148</v>
      </c>
    </row>
    <row r="172" customFormat="false" ht="15.75" hidden="false" customHeight="false" outlineLevel="0" collapsed="false">
      <c r="A172" s="7" t="s">
        <v>180</v>
      </c>
      <c r="B172" s="7" t="n">
        <v>12</v>
      </c>
      <c r="C172" s="9" t="n">
        <v>1056</v>
      </c>
      <c r="D172" s="9" t="n">
        <v>82980480</v>
      </c>
      <c r="E172" s="9" t="n">
        <v>360</v>
      </c>
      <c r="F172" s="9" t="n">
        <v>27106680</v>
      </c>
      <c r="G172" s="9" t="n">
        <v>1416</v>
      </c>
      <c r="H172" s="9" t="n">
        <v>110087160</v>
      </c>
      <c r="I172" s="9" t="n">
        <v>0</v>
      </c>
      <c r="J172" s="9" t="n">
        <v>0</v>
      </c>
    </row>
    <row r="173" customFormat="false" ht="15.75" hidden="false" customHeight="false" outlineLevel="0" collapsed="false">
      <c r="A173" s="7" t="s">
        <v>181</v>
      </c>
      <c r="B173" s="7" t="n">
        <v>12</v>
      </c>
      <c r="C173" s="9" t="n">
        <v>432</v>
      </c>
      <c r="D173" s="9" t="n">
        <v>22188108</v>
      </c>
      <c r="E173" s="9" t="n">
        <v>375</v>
      </c>
      <c r="F173" s="9" t="n">
        <v>19270875</v>
      </c>
      <c r="G173" s="9" t="n">
        <v>501</v>
      </c>
      <c r="H173" s="9" t="n">
        <v>25738476</v>
      </c>
      <c r="I173" s="9" t="n">
        <v>306</v>
      </c>
      <c r="J173" s="9" t="n">
        <v>15720507</v>
      </c>
    </row>
    <row r="174" customFormat="false" ht="15.75" hidden="false" customHeight="false" outlineLevel="0" collapsed="false">
      <c r="A174" s="7" t="s">
        <v>182</v>
      </c>
      <c r="B174" s="7" t="n">
        <v>12</v>
      </c>
      <c r="C174" s="9" t="n">
        <v>0</v>
      </c>
      <c r="D174" s="9" t="n">
        <v>0</v>
      </c>
      <c r="E174" s="9" t="n">
        <v>180</v>
      </c>
      <c r="F174" s="9" t="n">
        <v>11127420</v>
      </c>
      <c r="G174" s="9" t="n">
        <v>180</v>
      </c>
      <c r="H174" s="9" t="n">
        <v>11127420</v>
      </c>
      <c r="I174" s="9" t="n">
        <v>0</v>
      </c>
      <c r="J174" s="9" t="n">
        <v>0</v>
      </c>
    </row>
    <row r="175" customFormat="false" ht="15.75" hidden="false" customHeight="false" outlineLevel="0" collapsed="false">
      <c r="A175" s="7" t="s">
        <v>183</v>
      </c>
      <c r="B175" s="7" t="n">
        <v>12</v>
      </c>
      <c r="C175" s="9" t="n">
        <v>2751</v>
      </c>
      <c r="D175" s="9" t="n">
        <v>148297433</v>
      </c>
      <c r="E175" s="9" t="n">
        <v>306</v>
      </c>
      <c r="F175" s="9" t="n">
        <v>16321556</v>
      </c>
      <c r="G175" s="9" t="n">
        <v>255</v>
      </c>
      <c r="H175" s="9" t="n">
        <v>13731712</v>
      </c>
      <c r="I175" s="9" t="n">
        <v>2802</v>
      </c>
      <c r="J175" s="9" t="n">
        <v>150887277</v>
      </c>
    </row>
    <row r="176" customFormat="false" ht="15.75" hidden="false" customHeight="false" outlineLevel="0" collapsed="false">
      <c r="A176" s="7" t="s">
        <v>184</v>
      </c>
      <c r="B176" s="7" t="n">
        <v>12</v>
      </c>
      <c r="C176" s="9" t="n">
        <v>2074</v>
      </c>
      <c r="D176" s="9" t="n">
        <v>111994520</v>
      </c>
      <c r="E176" s="9" t="n">
        <v>408</v>
      </c>
      <c r="F176" s="9" t="n">
        <v>21762074</v>
      </c>
      <c r="G176" s="9" t="n">
        <v>885</v>
      </c>
      <c r="H176" s="9" t="n">
        <v>47693225</v>
      </c>
      <c r="I176" s="9" t="n">
        <v>1597</v>
      </c>
      <c r="J176" s="9" t="n">
        <v>86063369</v>
      </c>
    </row>
    <row r="177" customFormat="false" ht="15.75" hidden="false" customHeight="false" outlineLevel="0" collapsed="false">
      <c r="A177" s="7" t="s">
        <v>185</v>
      </c>
      <c r="B177" s="7" t="n">
        <v>12</v>
      </c>
      <c r="C177" s="9" t="n">
        <v>770</v>
      </c>
      <c r="D177" s="9" t="n">
        <v>141860096</v>
      </c>
      <c r="E177" s="9" t="n">
        <v>400</v>
      </c>
      <c r="F177" s="9" t="n">
        <v>72675000</v>
      </c>
      <c r="G177" s="9" t="n">
        <v>245</v>
      </c>
      <c r="H177" s="9" t="n">
        <v>44862468</v>
      </c>
      <c r="I177" s="9" t="n">
        <v>925</v>
      </c>
      <c r="J177" s="9" t="n">
        <v>169672628</v>
      </c>
    </row>
    <row r="178" customFormat="false" ht="15.75" hidden="false" customHeight="false" outlineLevel="0" collapsed="false">
      <c r="A178" s="7" t="s">
        <v>186</v>
      </c>
      <c r="B178" s="7" t="n">
        <v>12</v>
      </c>
      <c r="C178" s="9" t="n">
        <v>1555</v>
      </c>
      <c r="D178" s="9" t="n">
        <v>69495853</v>
      </c>
      <c r="E178" s="9" t="n">
        <v>3000</v>
      </c>
      <c r="F178" s="9" t="n">
        <v>139764792</v>
      </c>
      <c r="G178" s="9" t="n">
        <v>160</v>
      </c>
      <c r="H178" s="9" t="n">
        <v>6778913</v>
      </c>
      <c r="I178" s="9" t="n">
        <v>4395</v>
      </c>
      <c r="J178" s="9" t="n">
        <v>202481732</v>
      </c>
    </row>
    <row r="179" customFormat="false" ht="15.75" hidden="false" customHeight="false" outlineLevel="0" collapsed="false">
      <c r="A179" s="7" t="s">
        <v>187</v>
      </c>
      <c r="B179" s="7" t="n">
        <v>12</v>
      </c>
      <c r="C179" s="9" t="n">
        <v>973</v>
      </c>
      <c r="D179" s="9" t="n">
        <v>34563746</v>
      </c>
      <c r="E179" s="9" t="n">
        <v>0</v>
      </c>
      <c r="F179" s="9" t="n">
        <v>0</v>
      </c>
      <c r="G179" s="9" t="n">
        <v>130</v>
      </c>
      <c r="H179" s="9" t="n">
        <v>4689892</v>
      </c>
      <c r="I179" s="9" t="n">
        <v>843</v>
      </c>
      <c r="J179" s="9" t="n">
        <v>29873854</v>
      </c>
    </row>
    <row r="180" customFormat="false" ht="15.75" hidden="false" customHeight="false" outlineLevel="0" collapsed="false">
      <c r="A180" s="7" t="s">
        <v>188</v>
      </c>
      <c r="B180" s="7" t="n">
        <v>12</v>
      </c>
      <c r="C180" s="9" t="n">
        <v>7616</v>
      </c>
      <c r="D180" s="9" t="n">
        <v>1284172909</v>
      </c>
      <c r="E180" s="9" t="n">
        <v>4500</v>
      </c>
      <c r="F180" s="9" t="n">
        <v>816216250</v>
      </c>
      <c r="G180" s="9" t="n">
        <v>3709</v>
      </c>
      <c r="H180" s="9" t="n">
        <v>754127000</v>
      </c>
      <c r="I180" s="9" t="n">
        <v>8407</v>
      </c>
      <c r="J180" s="9" t="n">
        <v>1346262159</v>
      </c>
    </row>
    <row r="181" customFormat="false" ht="15.75" hidden="false" customHeight="false" outlineLevel="0" collapsed="false">
      <c r="A181" s="7" t="s">
        <v>189</v>
      </c>
      <c r="B181" s="7" t="n">
        <v>12</v>
      </c>
      <c r="C181" s="9" t="n">
        <v>690</v>
      </c>
      <c r="D181" s="9" t="n">
        <v>30148907</v>
      </c>
      <c r="E181" s="9" t="n">
        <v>0</v>
      </c>
      <c r="F181" s="9" t="n">
        <v>0</v>
      </c>
      <c r="G181" s="9" t="n">
        <v>135</v>
      </c>
      <c r="H181" s="9" t="n">
        <v>5958168</v>
      </c>
      <c r="I181" s="9" t="n">
        <v>555</v>
      </c>
      <c r="J181" s="9" t="n">
        <v>24190739</v>
      </c>
    </row>
    <row r="182" customFormat="false" ht="15.75" hidden="false" customHeight="false" outlineLevel="0" collapsed="false">
      <c r="A182" s="7" t="s">
        <v>190</v>
      </c>
      <c r="B182" s="7" t="n">
        <v>12</v>
      </c>
      <c r="C182" s="9" t="n">
        <v>11502</v>
      </c>
      <c r="D182" s="9" t="n">
        <v>332240556</v>
      </c>
      <c r="E182" s="9" t="n">
        <v>3150</v>
      </c>
      <c r="F182" s="9" t="n">
        <v>90972000</v>
      </c>
      <c r="G182" s="9" t="n">
        <v>9915</v>
      </c>
      <c r="H182" s="9" t="n">
        <v>286291540</v>
      </c>
      <c r="I182" s="9" t="n">
        <v>4737</v>
      </c>
      <c r="J182" s="9" t="n">
        <v>136921016</v>
      </c>
    </row>
    <row r="183" customFormat="false" ht="15.75" hidden="false" customHeight="false" outlineLevel="0" collapsed="false">
      <c r="A183" s="7" t="s">
        <v>191</v>
      </c>
      <c r="B183" s="7" t="n">
        <v>12</v>
      </c>
      <c r="C183" s="9" t="n">
        <v>15969</v>
      </c>
      <c r="D183" s="9" t="n">
        <v>459112502</v>
      </c>
      <c r="E183" s="9" t="n">
        <v>65615</v>
      </c>
      <c r="F183" s="9" t="n">
        <v>1833319500</v>
      </c>
      <c r="G183" s="9" t="n">
        <v>34869</v>
      </c>
      <c r="H183" s="9" t="n">
        <v>1123236500</v>
      </c>
      <c r="I183" s="9" t="n">
        <v>46715</v>
      </c>
      <c r="J183" s="9" t="n">
        <v>1169195502</v>
      </c>
    </row>
    <row r="184" customFormat="false" ht="15.75" hidden="false" customHeight="false" outlineLevel="0" collapsed="false">
      <c r="A184" s="7" t="s">
        <v>192</v>
      </c>
      <c r="B184" s="7" t="n">
        <v>12</v>
      </c>
      <c r="C184" s="9" t="n">
        <v>10975</v>
      </c>
      <c r="D184" s="9" t="n">
        <v>79007874</v>
      </c>
      <c r="E184" s="9" t="n">
        <v>0</v>
      </c>
      <c r="F184" s="9" t="n">
        <v>0</v>
      </c>
      <c r="G184" s="9" t="n">
        <v>4640</v>
      </c>
      <c r="H184" s="9" t="n">
        <v>33402873</v>
      </c>
      <c r="I184" s="9" t="n">
        <v>6335</v>
      </c>
      <c r="J184" s="9" t="n">
        <v>45605001</v>
      </c>
    </row>
    <row r="185" customFormat="false" ht="15.75" hidden="false" customHeight="false" outlineLevel="0" collapsed="false">
      <c r="A185" s="7" t="s">
        <v>193</v>
      </c>
      <c r="B185" s="7" t="n">
        <v>12</v>
      </c>
      <c r="C185" s="9" t="n">
        <v>0</v>
      </c>
      <c r="D185" s="9" t="n">
        <v>0</v>
      </c>
      <c r="E185" s="9" t="n">
        <v>250</v>
      </c>
      <c r="F185" s="9" t="n">
        <v>53642625</v>
      </c>
      <c r="G185" s="9" t="n">
        <v>0</v>
      </c>
      <c r="H185" s="9" t="n">
        <v>0</v>
      </c>
      <c r="I185" s="9" t="n">
        <v>250</v>
      </c>
      <c r="J185" s="9" t="n">
        <v>53642625</v>
      </c>
    </row>
    <row r="186" customFormat="false" ht="15.75" hidden="false" customHeight="false" outlineLevel="0" collapsed="false">
      <c r="A186" s="7" t="s">
        <v>194</v>
      </c>
      <c r="B186" s="7" t="n">
        <v>12</v>
      </c>
      <c r="C186" s="9" t="n">
        <v>131535</v>
      </c>
      <c r="D186" s="9" t="n">
        <v>626836099</v>
      </c>
      <c r="E186" s="9" t="n">
        <v>273861</v>
      </c>
      <c r="F186" s="9" t="n">
        <v>1931160000</v>
      </c>
      <c r="G186" s="9" t="n">
        <v>162030</v>
      </c>
      <c r="H186" s="9" t="n">
        <v>1303281000</v>
      </c>
      <c r="I186" s="9" t="n">
        <v>243366</v>
      </c>
      <c r="J186" s="9" t="n">
        <v>1254715099</v>
      </c>
    </row>
    <row r="187" customFormat="false" ht="15.75" hidden="false" customHeight="false" outlineLevel="0" collapsed="false">
      <c r="A187" s="7" t="s">
        <v>195</v>
      </c>
      <c r="B187" s="7" t="n">
        <v>12</v>
      </c>
      <c r="C187" s="9" t="n">
        <v>0</v>
      </c>
      <c r="D187" s="9" t="n">
        <v>0</v>
      </c>
      <c r="E187" s="9" t="n">
        <v>11200</v>
      </c>
      <c r="F187" s="9" t="n">
        <v>2411276207</v>
      </c>
      <c r="G187" s="9" t="n">
        <v>1395</v>
      </c>
      <c r="H187" s="9" t="n">
        <v>303268263</v>
      </c>
      <c r="I187" s="9" t="n">
        <v>9805</v>
      </c>
      <c r="J187" s="9" t="n">
        <v>2108007944</v>
      </c>
      <c r="K187" s="197" t="n">
        <f aca="false">J187/I187</f>
        <v>214993.161040286</v>
      </c>
    </row>
    <row r="188" customFormat="false" ht="15.75" hidden="false" customHeight="false" outlineLevel="0" collapsed="false">
      <c r="A188" s="7" t="s">
        <v>196</v>
      </c>
      <c r="B188" s="7" t="n">
        <v>12</v>
      </c>
      <c r="C188" s="9" t="n">
        <v>0</v>
      </c>
      <c r="D188" s="9" t="n">
        <v>0</v>
      </c>
      <c r="E188" s="9" t="n">
        <v>0</v>
      </c>
      <c r="F188" s="9" t="n">
        <v>0</v>
      </c>
      <c r="G188" s="9" t="n">
        <v>0</v>
      </c>
      <c r="H188" s="9" t="n">
        <v>0</v>
      </c>
      <c r="I188" s="9" t="n">
        <v>0</v>
      </c>
      <c r="J188" s="9" t="n">
        <v>0</v>
      </c>
    </row>
    <row r="189" customFormat="false" ht="15.75" hidden="false" customHeight="false" outlineLevel="0" collapsed="false">
      <c r="A189" s="7" t="s">
        <v>197</v>
      </c>
      <c r="B189" s="7" t="n">
        <v>12</v>
      </c>
      <c r="C189" s="9" t="n">
        <v>1170</v>
      </c>
      <c r="D189" s="9" t="n">
        <v>8433374</v>
      </c>
      <c r="E189" s="9" t="n">
        <v>0</v>
      </c>
      <c r="F189" s="9" t="n">
        <v>0</v>
      </c>
      <c r="G189" s="9" t="n">
        <v>20</v>
      </c>
      <c r="H189" s="9" t="n">
        <v>144160</v>
      </c>
      <c r="I189" s="9" t="n">
        <v>1150</v>
      </c>
      <c r="J189" s="9" t="n">
        <v>8289214</v>
      </c>
    </row>
    <row r="190" customFormat="false" ht="15.75" hidden="false" customHeight="false" outlineLevel="0" collapsed="false">
      <c r="A190" s="7" t="s">
        <v>198</v>
      </c>
      <c r="B190" s="7" t="n">
        <v>12</v>
      </c>
      <c r="C190" s="9" t="n">
        <v>0</v>
      </c>
      <c r="D190" s="9" t="n">
        <v>0</v>
      </c>
      <c r="E190" s="9" t="n">
        <v>0</v>
      </c>
      <c r="F190" s="9" t="n">
        <v>0</v>
      </c>
      <c r="G190" s="9" t="n">
        <v>0</v>
      </c>
      <c r="H190" s="9" t="n">
        <v>0</v>
      </c>
      <c r="I190" s="9" t="n">
        <v>0</v>
      </c>
      <c r="J190" s="9" t="n">
        <v>0</v>
      </c>
    </row>
    <row r="191" customFormat="false" ht="15.75" hidden="false" customHeight="false" outlineLevel="0" collapsed="false">
      <c r="A191" s="7" t="s">
        <v>199</v>
      </c>
      <c r="B191" s="7" t="n">
        <v>12</v>
      </c>
      <c r="C191" s="9" t="n">
        <v>77684</v>
      </c>
      <c r="D191" s="9" t="n">
        <v>588888</v>
      </c>
      <c r="E191" s="9" t="n">
        <v>24</v>
      </c>
      <c r="F191" s="9" t="n">
        <v>588888</v>
      </c>
      <c r="G191" s="9" t="n">
        <v>0</v>
      </c>
      <c r="H191" s="9" t="n">
        <v>0</v>
      </c>
      <c r="I191" s="9" t="n">
        <v>77708</v>
      </c>
      <c r="J191" s="9" t="n">
        <v>1177776</v>
      </c>
    </row>
    <row r="192" customFormat="false" ht="15.75" hidden="false" customHeight="false" outlineLevel="0" collapsed="false">
      <c r="A192" s="7" t="s">
        <v>200</v>
      </c>
      <c r="B192" s="7" t="n">
        <v>12</v>
      </c>
      <c r="C192" s="9" t="n">
        <v>144</v>
      </c>
      <c r="D192" s="9" t="n">
        <v>1037304</v>
      </c>
      <c r="E192" s="9" t="n">
        <v>0</v>
      </c>
      <c r="F192" s="9" t="n">
        <v>0</v>
      </c>
      <c r="G192" s="9" t="n">
        <v>0</v>
      </c>
      <c r="H192" s="9" t="n">
        <v>0</v>
      </c>
      <c r="I192" s="9" t="n">
        <v>144</v>
      </c>
      <c r="J192" s="9" t="n">
        <v>1037304</v>
      </c>
    </row>
    <row r="193" s="202" customFormat="true" ht="15.75" hidden="false" customHeight="false" outlineLevel="0" collapsed="false">
      <c r="A193" s="199" t="s">
        <v>201</v>
      </c>
      <c r="B193" s="199" t="n">
        <v>12</v>
      </c>
      <c r="C193" s="200" t="n">
        <v>1032</v>
      </c>
      <c r="D193" s="200" t="n">
        <v>16267839</v>
      </c>
      <c r="E193" s="200" t="n">
        <v>180</v>
      </c>
      <c r="F193" s="200" t="n">
        <v>2916720</v>
      </c>
      <c r="G193" s="200" t="n">
        <v>720</v>
      </c>
      <c r="H193" s="200" t="n">
        <v>11396768</v>
      </c>
      <c r="I193" s="200" t="n">
        <v>492</v>
      </c>
      <c r="J193" s="200" t="n">
        <v>7787791</v>
      </c>
      <c r="K193" s="211" t="n">
        <f aca="false">J193+J101</f>
        <v>11579449</v>
      </c>
      <c r="L193" s="211" t="n">
        <f aca="false">I193+I101</f>
        <v>570</v>
      </c>
    </row>
    <row r="194" customFormat="false" ht="15.75" hidden="false" customHeight="false" outlineLevel="0" collapsed="false">
      <c r="A194" s="7" t="s">
        <v>202</v>
      </c>
      <c r="B194" s="7" t="n">
        <v>12</v>
      </c>
      <c r="C194" s="9" t="n">
        <v>0</v>
      </c>
      <c r="D194" s="9" t="n">
        <v>0</v>
      </c>
      <c r="E194" s="9" t="n">
        <v>72</v>
      </c>
      <c r="F194" s="9" t="n">
        <v>1857744</v>
      </c>
      <c r="G194" s="9" t="n">
        <v>0</v>
      </c>
      <c r="H194" s="9" t="n">
        <v>0</v>
      </c>
      <c r="I194" s="9" t="n">
        <v>72</v>
      </c>
      <c r="J194" s="9" t="n">
        <v>1857744</v>
      </c>
    </row>
    <row r="195" customFormat="false" ht="15.75" hidden="false" customHeight="false" outlineLevel="0" collapsed="false">
      <c r="A195" s="7" t="s">
        <v>203</v>
      </c>
      <c r="B195" s="7" t="n">
        <v>12</v>
      </c>
      <c r="C195" s="9" t="n">
        <v>5208</v>
      </c>
      <c r="D195" s="9" t="n">
        <v>58948499</v>
      </c>
      <c r="E195" s="9" t="n">
        <v>360</v>
      </c>
      <c r="F195" s="9" t="n">
        <v>4225320</v>
      </c>
      <c r="G195" s="9" t="n">
        <v>4650</v>
      </c>
      <c r="H195" s="9" t="n">
        <v>52758308</v>
      </c>
      <c r="I195" s="9" t="n">
        <v>918</v>
      </c>
      <c r="J195" s="9" t="n">
        <v>10415511</v>
      </c>
    </row>
    <row r="196" customFormat="false" ht="15.75" hidden="false" customHeight="false" outlineLevel="0" collapsed="false">
      <c r="A196" s="7" t="s">
        <v>204</v>
      </c>
      <c r="B196" s="7" t="n">
        <v>12</v>
      </c>
      <c r="C196" s="9" t="n">
        <v>12491</v>
      </c>
      <c r="D196" s="9" t="n">
        <v>384147850</v>
      </c>
      <c r="E196" s="9" t="n">
        <v>914</v>
      </c>
      <c r="F196" s="9" t="n">
        <v>0</v>
      </c>
      <c r="G196" s="9" t="n">
        <v>4948</v>
      </c>
      <c r="H196" s="9" t="n">
        <v>160810000</v>
      </c>
      <c r="I196" s="9" t="n">
        <v>8457</v>
      </c>
      <c r="J196" s="9" t="n">
        <v>223337850</v>
      </c>
    </row>
    <row r="197" customFormat="false" ht="15.75" hidden="false" customHeight="false" outlineLevel="0" collapsed="false">
      <c r="A197" s="7" t="s">
        <v>205</v>
      </c>
      <c r="B197" s="7" t="n">
        <v>12</v>
      </c>
      <c r="C197" s="9" t="n">
        <v>820</v>
      </c>
      <c r="D197" s="9" t="n">
        <v>49022428</v>
      </c>
      <c r="E197" s="9" t="n">
        <v>0</v>
      </c>
      <c r="F197" s="9" t="n">
        <v>0</v>
      </c>
      <c r="G197" s="9" t="n">
        <v>630</v>
      </c>
      <c r="H197" s="9" t="n">
        <v>37663574</v>
      </c>
      <c r="I197" s="9" t="n">
        <v>190</v>
      </c>
      <c r="J197" s="9" t="n">
        <v>11358854</v>
      </c>
    </row>
    <row r="198" customFormat="false" ht="15.75" hidden="false" customHeight="false" outlineLevel="0" collapsed="false">
      <c r="A198" s="7" t="s">
        <v>206</v>
      </c>
      <c r="B198" s="7" t="n">
        <v>12</v>
      </c>
      <c r="C198" s="9" t="n">
        <v>814</v>
      </c>
      <c r="D198" s="9" t="n">
        <v>26110276</v>
      </c>
      <c r="E198" s="9" t="n">
        <v>192</v>
      </c>
      <c r="F198" s="9" t="n">
        <v>6309812</v>
      </c>
      <c r="G198" s="9" t="n">
        <v>646</v>
      </c>
      <c r="H198" s="9" t="n">
        <v>20818466</v>
      </c>
      <c r="I198" s="9" t="n">
        <v>360</v>
      </c>
      <c r="J198" s="9" t="n">
        <v>11601622</v>
      </c>
    </row>
    <row r="199" customFormat="false" ht="15.75" hidden="false" customHeight="false" outlineLevel="0" collapsed="false">
      <c r="A199" s="7" t="s">
        <v>207</v>
      </c>
      <c r="B199" s="7" t="n">
        <v>12</v>
      </c>
      <c r="C199" s="9" t="n">
        <v>1728</v>
      </c>
      <c r="D199" s="9" t="n">
        <v>3454644</v>
      </c>
      <c r="E199" s="9" t="n">
        <v>936</v>
      </c>
      <c r="F199" s="9" t="n">
        <v>0</v>
      </c>
      <c r="G199" s="9" t="n">
        <v>30</v>
      </c>
      <c r="H199" s="9" t="n">
        <v>38904</v>
      </c>
      <c r="I199" s="9" t="n">
        <v>2634</v>
      </c>
      <c r="J199" s="9" t="n">
        <v>3415740</v>
      </c>
    </row>
    <row r="200" customFormat="false" ht="15.75" hidden="false" customHeight="false" outlineLevel="0" collapsed="false">
      <c r="A200" s="7" t="s">
        <v>208</v>
      </c>
      <c r="B200" s="7" t="n">
        <v>12</v>
      </c>
      <c r="C200" s="9" t="n">
        <v>13</v>
      </c>
      <c r="D200" s="9" t="n">
        <v>107765</v>
      </c>
      <c r="E200" s="9" t="n">
        <v>432</v>
      </c>
      <c r="F200" s="9" t="n">
        <v>4525632</v>
      </c>
      <c r="G200" s="9" t="n">
        <v>240</v>
      </c>
      <c r="H200" s="9" t="n">
        <v>2498911</v>
      </c>
      <c r="I200" s="9" t="n">
        <v>205</v>
      </c>
      <c r="J200" s="9" t="n">
        <v>2134486</v>
      </c>
    </row>
    <row r="201" customFormat="false" ht="15.75" hidden="false" customHeight="false" outlineLevel="0" collapsed="false">
      <c r="A201" s="7" t="s">
        <v>209</v>
      </c>
      <c r="B201" s="7" t="n">
        <v>12</v>
      </c>
      <c r="C201" s="9" t="n">
        <v>60</v>
      </c>
      <c r="D201" s="9" t="n">
        <v>3504600</v>
      </c>
      <c r="E201" s="9" t="n">
        <v>36</v>
      </c>
      <c r="F201" s="9" t="n">
        <v>2102760</v>
      </c>
      <c r="G201" s="9" t="n">
        <v>20</v>
      </c>
      <c r="H201" s="9" t="n">
        <v>1168200</v>
      </c>
      <c r="I201" s="9" t="n">
        <v>76</v>
      </c>
      <c r="J201" s="9" t="n">
        <v>4439160</v>
      </c>
    </row>
    <row r="202" customFormat="false" ht="15.75" hidden="false" customHeight="false" outlineLevel="0" collapsed="false">
      <c r="A202" s="7" t="s">
        <v>210</v>
      </c>
      <c r="B202" s="7" t="n">
        <v>12</v>
      </c>
      <c r="C202" s="9" t="n">
        <v>625</v>
      </c>
      <c r="D202" s="9" t="n">
        <v>6930861</v>
      </c>
      <c r="E202" s="9" t="n">
        <v>0</v>
      </c>
      <c r="F202" s="9" t="n">
        <v>0</v>
      </c>
      <c r="G202" s="9" t="n">
        <v>0</v>
      </c>
      <c r="H202" s="9" t="n">
        <v>0</v>
      </c>
      <c r="I202" s="9" t="n">
        <v>625</v>
      </c>
      <c r="J202" s="9" t="n">
        <v>6930861</v>
      </c>
    </row>
    <row r="203" customFormat="false" ht="15.75" hidden="false" customHeight="false" outlineLevel="0" collapsed="false">
      <c r="A203" s="7" t="s">
        <v>211</v>
      </c>
      <c r="B203" s="7" t="n">
        <v>12</v>
      </c>
      <c r="C203" s="9" t="n">
        <v>0</v>
      </c>
      <c r="D203" s="9" t="n">
        <v>0</v>
      </c>
      <c r="E203" s="9" t="n">
        <v>144</v>
      </c>
      <c r="F203" s="9" t="n">
        <v>2133360</v>
      </c>
      <c r="G203" s="9" t="n">
        <v>0</v>
      </c>
      <c r="H203" s="9" t="n">
        <v>0</v>
      </c>
      <c r="I203" s="9" t="n">
        <v>144</v>
      </c>
      <c r="J203" s="9" t="n">
        <v>2133360</v>
      </c>
    </row>
    <row r="204" customFormat="false" ht="15.75" hidden="false" customHeight="false" outlineLevel="0" collapsed="false">
      <c r="A204" s="7" t="s">
        <v>212</v>
      </c>
      <c r="B204" s="7" t="n">
        <v>12</v>
      </c>
      <c r="C204" s="9" t="n">
        <v>33249</v>
      </c>
      <c r="D204" s="9" t="n">
        <v>411726334</v>
      </c>
      <c r="E204" s="9" t="n">
        <v>6084</v>
      </c>
      <c r="F204" s="9" t="n">
        <v>40227840</v>
      </c>
      <c r="G204" s="9" t="n">
        <v>18586</v>
      </c>
      <c r="H204" s="9" t="n">
        <v>234183600</v>
      </c>
      <c r="I204" s="9" t="n">
        <v>20747</v>
      </c>
      <c r="J204" s="9" t="n">
        <v>217770574</v>
      </c>
    </row>
    <row r="205" customFormat="false" ht="15.75" hidden="false" customHeight="false" outlineLevel="0" collapsed="false">
      <c r="A205" s="7" t="s">
        <v>213</v>
      </c>
      <c r="B205" s="7" t="n">
        <v>12</v>
      </c>
      <c r="C205" s="9" t="n">
        <v>3820</v>
      </c>
      <c r="D205" s="9" t="n">
        <v>76529330</v>
      </c>
      <c r="E205" s="9" t="n">
        <v>0</v>
      </c>
      <c r="F205" s="9" t="n">
        <v>0</v>
      </c>
      <c r="G205" s="9" t="n">
        <v>2346</v>
      </c>
      <c r="H205" s="9" t="n">
        <v>46999426</v>
      </c>
      <c r="I205" s="9" t="n">
        <v>1474</v>
      </c>
      <c r="J205" s="9" t="n">
        <v>29529904</v>
      </c>
    </row>
    <row r="206" customFormat="false" ht="15.75" hidden="false" customHeight="false" outlineLevel="0" collapsed="false">
      <c r="A206" s="7" t="s">
        <v>214</v>
      </c>
      <c r="B206" s="7" t="n">
        <v>12</v>
      </c>
      <c r="C206" s="9" t="n">
        <v>9946</v>
      </c>
      <c r="D206" s="9" t="n">
        <v>217056384</v>
      </c>
      <c r="E206" s="9" t="n">
        <v>11664</v>
      </c>
      <c r="F206" s="9" t="n">
        <v>287377632</v>
      </c>
      <c r="G206" s="9" t="n">
        <v>10742</v>
      </c>
      <c r="H206" s="9" t="n">
        <v>266401600</v>
      </c>
      <c r="I206" s="9" t="n">
        <v>10868</v>
      </c>
      <c r="J206" s="9" t="n">
        <v>238032416</v>
      </c>
    </row>
    <row r="207" customFormat="false" ht="15.75" hidden="false" customHeight="false" outlineLevel="0" collapsed="false">
      <c r="A207" s="7" t="s">
        <v>215</v>
      </c>
      <c r="B207" s="7" t="n">
        <v>12</v>
      </c>
      <c r="C207" s="9" t="n">
        <v>2800</v>
      </c>
      <c r="D207" s="9" t="n">
        <v>111956379</v>
      </c>
      <c r="E207" s="9" t="n">
        <v>0</v>
      </c>
      <c r="F207" s="9" t="n">
        <v>0</v>
      </c>
      <c r="G207" s="9" t="n">
        <v>2203</v>
      </c>
      <c r="H207" s="9" t="n">
        <v>88085680</v>
      </c>
      <c r="I207" s="9" t="n">
        <v>597</v>
      </c>
      <c r="J207" s="9" t="n">
        <v>23870699</v>
      </c>
    </row>
    <row r="208" customFormat="false" ht="15.75" hidden="false" customHeight="false" outlineLevel="0" collapsed="false">
      <c r="A208" s="7" t="s">
        <v>216</v>
      </c>
      <c r="B208" s="7" t="n">
        <v>12</v>
      </c>
      <c r="C208" s="9" t="n">
        <v>0</v>
      </c>
      <c r="D208" s="9" t="n">
        <v>0</v>
      </c>
      <c r="E208" s="9" t="n">
        <v>160</v>
      </c>
      <c r="F208" s="9" t="n">
        <v>2778080</v>
      </c>
      <c r="G208" s="9" t="n">
        <v>160</v>
      </c>
      <c r="H208" s="9" t="n">
        <v>2778080</v>
      </c>
      <c r="I208" s="9" t="n">
        <v>0</v>
      </c>
      <c r="J208" s="9" t="n">
        <v>0</v>
      </c>
    </row>
    <row r="209" customFormat="false" ht="15.75" hidden="false" customHeight="false" outlineLevel="0" collapsed="false">
      <c r="A209" s="7" t="s">
        <v>217</v>
      </c>
      <c r="B209" s="7" t="n">
        <v>12</v>
      </c>
      <c r="C209" s="9" t="n">
        <v>10</v>
      </c>
      <c r="D209" s="9" t="n">
        <v>1775003</v>
      </c>
      <c r="E209" s="9" t="n">
        <v>80</v>
      </c>
      <c r="F209" s="9" t="n">
        <v>14456000</v>
      </c>
      <c r="G209" s="9" t="n">
        <v>0</v>
      </c>
      <c r="H209" s="9" t="n">
        <v>0</v>
      </c>
      <c r="I209" s="9" t="n">
        <v>90</v>
      </c>
      <c r="J209" s="9" t="n">
        <v>16231003</v>
      </c>
    </row>
    <row r="210" customFormat="false" ht="15.75" hidden="false" customHeight="false" outlineLevel="0" collapsed="false">
      <c r="A210" s="7" t="s">
        <v>218</v>
      </c>
      <c r="B210" s="7" t="n">
        <v>12</v>
      </c>
      <c r="C210" s="9" t="n">
        <v>0</v>
      </c>
      <c r="D210" s="9" t="n">
        <v>0</v>
      </c>
      <c r="E210" s="9" t="n">
        <v>50</v>
      </c>
      <c r="F210" s="9" t="n">
        <v>11800000</v>
      </c>
      <c r="G210" s="9" t="n">
        <v>0</v>
      </c>
      <c r="H210" s="9" t="n">
        <v>0</v>
      </c>
      <c r="I210" s="9" t="n">
        <v>50</v>
      </c>
      <c r="J210" s="9" t="n">
        <v>11800000</v>
      </c>
    </row>
    <row r="211" customFormat="false" ht="15.75" hidden="false" customHeight="false" outlineLevel="0" collapsed="false">
      <c r="A211" s="7" t="s">
        <v>219</v>
      </c>
      <c r="B211" s="7" t="n">
        <v>12</v>
      </c>
      <c r="C211" s="9" t="n">
        <v>0</v>
      </c>
      <c r="D211" s="9" t="n">
        <v>0</v>
      </c>
      <c r="E211" s="9" t="n">
        <v>30</v>
      </c>
      <c r="F211" s="9" t="n">
        <v>7080000</v>
      </c>
      <c r="G211" s="9" t="n">
        <v>0</v>
      </c>
      <c r="H211" s="9" t="n">
        <v>0</v>
      </c>
      <c r="I211" s="9" t="n">
        <v>30</v>
      </c>
      <c r="J211" s="9" t="n">
        <v>7080000</v>
      </c>
    </row>
    <row r="212" customFormat="false" ht="15.75" hidden="false" customHeight="false" outlineLevel="0" collapsed="false">
      <c r="A212" s="7" t="s">
        <v>220</v>
      </c>
      <c r="B212" s="7" t="n">
        <v>12</v>
      </c>
      <c r="C212" s="9" t="n">
        <v>0</v>
      </c>
      <c r="D212" s="9" t="n">
        <v>0</v>
      </c>
      <c r="E212" s="9" t="n">
        <v>72</v>
      </c>
      <c r="F212" s="9" t="n">
        <v>1847966</v>
      </c>
      <c r="G212" s="9" t="n">
        <v>0</v>
      </c>
      <c r="H212" s="9" t="n">
        <v>0</v>
      </c>
      <c r="I212" s="9" t="n">
        <v>72</v>
      </c>
      <c r="J212" s="9" t="n">
        <v>1847966</v>
      </c>
    </row>
    <row r="213" customFormat="false" ht="15.75" hidden="false" customHeight="false" outlineLevel="0" collapsed="false">
      <c r="A213" s="7" t="s">
        <v>221</v>
      </c>
      <c r="B213" s="7" t="n">
        <v>12</v>
      </c>
      <c r="C213" s="9" t="n">
        <v>4178</v>
      </c>
      <c r="D213" s="9" t="n">
        <v>81823781</v>
      </c>
      <c r="E213" s="9" t="n">
        <v>1656</v>
      </c>
      <c r="F213" s="9" t="n">
        <v>32608296</v>
      </c>
      <c r="G213" s="9" t="n">
        <v>1904</v>
      </c>
      <c r="H213" s="9" t="n">
        <v>37346362</v>
      </c>
      <c r="I213" s="9" t="n">
        <v>3930</v>
      </c>
      <c r="J213" s="9" t="n">
        <v>77085715</v>
      </c>
    </row>
    <row r="214" customFormat="false" ht="15.75" hidden="false" customHeight="false" outlineLevel="0" collapsed="false">
      <c r="A214" s="7" t="s">
        <v>222</v>
      </c>
      <c r="B214" s="7" t="n">
        <v>12</v>
      </c>
      <c r="C214" s="9" t="n">
        <v>1066</v>
      </c>
      <c r="D214" s="9" t="n">
        <v>22876165</v>
      </c>
      <c r="E214" s="9" t="n">
        <v>0</v>
      </c>
      <c r="F214" s="9" t="n">
        <v>0</v>
      </c>
      <c r="G214" s="9" t="n">
        <v>174</v>
      </c>
      <c r="H214" s="9" t="n">
        <v>3734008</v>
      </c>
      <c r="I214" s="9" t="n">
        <v>892</v>
      </c>
      <c r="J214" s="9" t="n">
        <v>19142157</v>
      </c>
    </row>
    <row r="215" customFormat="false" ht="15.75" hidden="false" customHeight="false" outlineLevel="0" collapsed="false">
      <c r="A215" s="7" t="s">
        <v>223</v>
      </c>
      <c r="B215" s="7" t="n">
        <v>12</v>
      </c>
      <c r="C215" s="9" t="n">
        <v>337</v>
      </c>
      <c r="D215" s="9" t="n">
        <v>14575142</v>
      </c>
      <c r="E215" s="9" t="n">
        <v>0</v>
      </c>
      <c r="F215" s="9" t="n">
        <v>0</v>
      </c>
      <c r="G215" s="9" t="n">
        <v>90</v>
      </c>
      <c r="H215" s="9" t="n">
        <v>3892471</v>
      </c>
      <c r="I215" s="9" t="n">
        <v>247</v>
      </c>
      <c r="J215" s="9" t="n">
        <v>10682671</v>
      </c>
    </row>
    <row r="216" customFormat="false" ht="15.75" hidden="false" customHeight="false" outlineLevel="0" collapsed="false">
      <c r="A216" s="7" t="s">
        <v>224</v>
      </c>
      <c r="B216" s="7" t="n">
        <v>12</v>
      </c>
      <c r="C216" s="9" t="n">
        <v>0</v>
      </c>
      <c r="D216" s="9" t="n">
        <v>0</v>
      </c>
      <c r="E216" s="9" t="n">
        <v>0</v>
      </c>
      <c r="F216" s="9" t="n">
        <v>0</v>
      </c>
      <c r="G216" s="9" t="n">
        <v>0</v>
      </c>
      <c r="H216" s="9" t="n">
        <v>0</v>
      </c>
      <c r="I216" s="9" t="n">
        <v>0</v>
      </c>
      <c r="J216" s="9" t="n">
        <v>0</v>
      </c>
    </row>
    <row r="217" customFormat="false" ht="15.75" hidden="false" customHeight="false" outlineLevel="0" collapsed="false">
      <c r="A217" s="7" t="s">
        <v>225</v>
      </c>
      <c r="B217" s="7" t="n">
        <v>12</v>
      </c>
      <c r="C217" s="9" t="n">
        <v>268</v>
      </c>
      <c r="D217" s="9" t="n">
        <v>5622934</v>
      </c>
      <c r="E217" s="9" t="n">
        <v>144</v>
      </c>
      <c r="F217" s="9" t="n">
        <v>3021278</v>
      </c>
      <c r="G217" s="9" t="n">
        <v>180</v>
      </c>
      <c r="H217" s="9" t="n">
        <v>3776597</v>
      </c>
      <c r="I217" s="9" t="n">
        <v>232</v>
      </c>
      <c r="J217" s="9" t="n">
        <v>4867615</v>
      </c>
    </row>
    <row r="218" customFormat="false" ht="15.75" hidden="false" customHeight="false" outlineLevel="0" collapsed="false">
      <c r="A218" s="7" t="s">
        <v>226</v>
      </c>
      <c r="B218" s="7" t="n">
        <v>12</v>
      </c>
      <c r="C218" s="9" t="n">
        <v>0</v>
      </c>
      <c r="D218" s="9" t="n">
        <v>0</v>
      </c>
      <c r="E218" s="9" t="n">
        <v>0</v>
      </c>
      <c r="F218" s="9" t="n">
        <v>0</v>
      </c>
      <c r="G218" s="9" t="n">
        <v>0</v>
      </c>
      <c r="H218" s="9" t="n">
        <v>0</v>
      </c>
      <c r="I218" s="9" t="n">
        <v>0</v>
      </c>
      <c r="J218" s="9" t="n">
        <v>0</v>
      </c>
    </row>
    <row r="219" customFormat="false" ht="15.75" hidden="false" customHeight="false" outlineLevel="0" collapsed="false">
      <c r="A219" s="7" t="s">
        <v>227</v>
      </c>
      <c r="B219" s="7" t="n">
        <v>12</v>
      </c>
      <c r="C219" s="9" t="n">
        <v>470</v>
      </c>
      <c r="D219" s="9" t="n">
        <v>0</v>
      </c>
      <c r="E219" s="9" t="n">
        <v>0</v>
      </c>
      <c r="F219" s="9" t="n">
        <v>0</v>
      </c>
      <c r="G219" s="9" t="n">
        <v>0</v>
      </c>
      <c r="H219" s="9" t="n">
        <v>0</v>
      </c>
      <c r="I219" s="9" t="n">
        <v>470</v>
      </c>
      <c r="J219" s="9" t="n">
        <v>0</v>
      </c>
    </row>
    <row r="220" customFormat="false" ht="15.75" hidden="false" customHeight="false" outlineLevel="0" collapsed="false">
      <c r="A220" s="7" t="s">
        <v>228</v>
      </c>
      <c r="B220" s="7" t="n">
        <v>12</v>
      </c>
      <c r="C220" s="9" t="n">
        <v>67</v>
      </c>
      <c r="D220" s="9" t="n">
        <v>5925955</v>
      </c>
      <c r="E220" s="9" t="n">
        <v>56</v>
      </c>
      <c r="F220" s="9" t="n">
        <v>4917248</v>
      </c>
      <c r="G220" s="9" t="n">
        <v>0</v>
      </c>
      <c r="H220" s="9" t="n">
        <v>0</v>
      </c>
      <c r="I220" s="9" t="n">
        <v>123</v>
      </c>
      <c r="J220" s="9" t="n">
        <v>10843203</v>
      </c>
    </row>
    <row r="221" customFormat="false" ht="15.75" hidden="false" customHeight="false" outlineLevel="0" collapsed="false">
      <c r="A221" s="7" t="s">
        <v>229</v>
      </c>
      <c r="B221" s="7" t="n">
        <v>12</v>
      </c>
      <c r="C221" s="9" t="n">
        <v>2747</v>
      </c>
      <c r="D221" s="9" t="n">
        <v>247783362</v>
      </c>
      <c r="E221" s="9" t="n">
        <v>412</v>
      </c>
      <c r="F221" s="9" t="n">
        <v>36610448</v>
      </c>
      <c r="G221" s="9" t="n">
        <v>2933</v>
      </c>
      <c r="H221" s="9" t="n">
        <v>275702000</v>
      </c>
      <c r="I221" s="9" t="n">
        <v>226</v>
      </c>
      <c r="J221" s="9" t="n">
        <v>8691810</v>
      </c>
    </row>
    <row r="222" customFormat="false" ht="15.75" hidden="false" customHeight="false" outlineLevel="0" collapsed="false">
      <c r="A222" s="7" t="s">
        <v>230</v>
      </c>
      <c r="B222" s="7" t="n">
        <v>12</v>
      </c>
      <c r="C222" s="9" t="n">
        <v>1429</v>
      </c>
      <c r="D222" s="9" t="n">
        <v>91033464</v>
      </c>
      <c r="E222" s="9" t="n">
        <v>924</v>
      </c>
      <c r="F222" s="9" t="n">
        <v>52136000</v>
      </c>
      <c r="G222" s="9" t="n">
        <v>2090</v>
      </c>
      <c r="H222" s="9" t="n">
        <v>127167097</v>
      </c>
      <c r="I222" s="9" t="n">
        <v>263</v>
      </c>
      <c r="J222" s="9" t="n">
        <v>16002367</v>
      </c>
    </row>
    <row r="223" customFormat="false" ht="15.75" hidden="false" customHeight="false" outlineLevel="0" collapsed="false">
      <c r="A223" s="7" t="s">
        <v>231</v>
      </c>
      <c r="B223" s="7" t="n">
        <v>12</v>
      </c>
      <c r="C223" s="9" t="n">
        <v>0</v>
      </c>
      <c r="D223" s="9" t="n">
        <v>0</v>
      </c>
      <c r="E223" s="9" t="n">
        <v>0</v>
      </c>
      <c r="F223" s="9" t="n">
        <v>0</v>
      </c>
      <c r="G223" s="9" t="n">
        <v>0</v>
      </c>
      <c r="H223" s="9" t="n">
        <v>0</v>
      </c>
      <c r="I223" s="9" t="n">
        <v>0</v>
      </c>
      <c r="J223" s="9" t="n">
        <v>0</v>
      </c>
    </row>
    <row r="224" customFormat="false" ht="15.75" hidden="false" customHeight="false" outlineLevel="0" collapsed="false">
      <c r="A224" s="7" t="s">
        <v>232</v>
      </c>
      <c r="B224" s="7" t="n">
        <v>12</v>
      </c>
      <c r="C224" s="9" t="n">
        <v>897</v>
      </c>
      <c r="D224" s="9" t="n">
        <v>54866918</v>
      </c>
      <c r="E224" s="9" t="n">
        <v>389</v>
      </c>
      <c r="F224" s="9" t="n">
        <v>22866732</v>
      </c>
      <c r="G224" s="9" t="n">
        <v>665</v>
      </c>
      <c r="H224" s="9" t="n">
        <v>40196639</v>
      </c>
      <c r="I224" s="9" t="n">
        <v>621</v>
      </c>
      <c r="J224" s="9" t="n">
        <v>37537011</v>
      </c>
    </row>
    <row r="225" customFormat="false" ht="15.75" hidden="false" customHeight="false" outlineLevel="0" collapsed="false">
      <c r="A225" s="7" t="s">
        <v>233</v>
      </c>
      <c r="B225" s="7" t="n">
        <v>12</v>
      </c>
      <c r="C225" s="9" t="n">
        <v>5775</v>
      </c>
      <c r="D225" s="9" t="n">
        <v>348275500</v>
      </c>
      <c r="E225" s="9" t="n">
        <v>2032</v>
      </c>
      <c r="F225" s="9" t="n">
        <v>100352000</v>
      </c>
      <c r="G225" s="9" t="n">
        <v>4833</v>
      </c>
      <c r="H225" s="9" t="n">
        <v>277727259</v>
      </c>
      <c r="I225" s="9" t="n">
        <v>2974</v>
      </c>
      <c r="J225" s="9" t="n">
        <v>170900241</v>
      </c>
    </row>
    <row r="226" customFormat="false" ht="15.75" hidden="false" customHeight="false" outlineLevel="0" collapsed="false">
      <c r="A226" s="7" t="s">
        <v>234</v>
      </c>
      <c r="B226" s="7" t="n">
        <v>12</v>
      </c>
      <c r="C226" s="9" t="n">
        <v>22923</v>
      </c>
      <c r="D226" s="9" t="n">
        <v>1293167657</v>
      </c>
      <c r="E226" s="9" t="n">
        <v>17433</v>
      </c>
      <c r="F226" s="9" t="n">
        <v>905972760</v>
      </c>
      <c r="G226" s="9" t="n">
        <v>21549</v>
      </c>
      <c r="H226" s="9" t="n">
        <v>1286033703</v>
      </c>
      <c r="I226" s="9" t="n">
        <v>18807</v>
      </c>
      <c r="J226" s="9" t="n">
        <v>913106714</v>
      </c>
    </row>
    <row r="227" customFormat="false" ht="15.75" hidden="false" customHeight="false" outlineLevel="0" collapsed="false">
      <c r="A227" s="7" t="s">
        <v>235</v>
      </c>
      <c r="B227" s="7" t="n">
        <v>12</v>
      </c>
      <c r="C227" s="9" t="n">
        <v>322</v>
      </c>
      <c r="D227" s="9" t="n">
        <v>22632087</v>
      </c>
      <c r="E227" s="9" t="n">
        <v>120</v>
      </c>
      <c r="F227" s="9" t="n">
        <v>8467200</v>
      </c>
      <c r="G227" s="9" t="n">
        <v>298</v>
      </c>
      <c r="H227" s="9" t="n">
        <v>20967393</v>
      </c>
      <c r="I227" s="9" t="n">
        <v>144</v>
      </c>
      <c r="J227" s="9" t="n">
        <v>10131894</v>
      </c>
    </row>
    <row r="228" customFormat="false" ht="15.75" hidden="false" customHeight="false" outlineLevel="0" collapsed="false">
      <c r="A228" s="7" t="s">
        <v>236</v>
      </c>
      <c r="B228" s="7" t="n">
        <v>12</v>
      </c>
      <c r="C228" s="9" t="n">
        <v>252</v>
      </c>
      <c r="D228" s="9" t="n">
        <v>16163532</v>
      </c>
      <c r="E228" s="9" t="n">
        <v>612</v>
      </c>
      <c r="F228" s="9" t="n">
        <v>37714908</v>
      </c>
      <c r="G228" s="9" t="n">
        <v>452</v>
      </c>
      <c r="H228" s="9" t="n">
        <v>28186406</v>
      </c>
      <c r="I228" s="9" t="n">
        <v>412</v>
      </c>
      <c r="J228" s="9" t="n">
        <v>25692034</v>
      </c>
    </row>
    <row r="229" customFormat="false" ht="15.75" hidden="false" customHeight="false" outlineLevel="0" collapsed="false">
      <c r="A229" s="7" t="s">
        <v>237</v>
      </c>
      <c r="B229" s="7" t="n">
        <v>12</v>
      </c>
      <c r="C229" s="9" t="n">
        <v>235</v>
      </c>
      <c r="D229" s="9" t="n">
        <v>1918332</v>
      </c>
      <c r="E229" s="9" t="n">
        <v>0</v>
      </c>
      <c r="F229" s="9" t="n">
        <v>0</v>
      </c>
      <c r="G229" s="9" t="n">
        <v>0</v>
      </c>
      <c r="H229" s="9" t="n">
        <v>0</v>
      </c>
      <c r="I229" s="9" t="n">
        <v>235</v>
      </c>
      <c r="J229" s="9" t="n">
        <v>1918332</v>
      </c>
    </row>
    <row r="230" customFormat="false" ht="15.75" hidden="false" customHeight="false" outlineLevel="0" collapsed="false">
      <c r="A230" s="7" t="s">
        <v>238</v>
      </c>
      <c r="B230" s="7" t="n">
        <v>12</v>
      </c>
      <c r="C230" s="9" t="n">
        <v>942</v>
      </c>
      <c r="D230" s="9" t="n">
        <v>53507694</v>
      </c>
      <c r="E230" s="9" t="n">
        <v>0</v>
      </c>
      <c r="F230" s="9" t="n">
        <v>0</v>
      </c>
      <c r="G230" s="9" t="n">
        <v>132</v>
      </c>
      <c r="H230" s="9" t="n">
        <v>7497893</v>
      </c>
      <c r="I230" s="9" t="n">
        <v>810</v>
      </c>
      <c r="J230" s="9" t="n">
        <v>46009801</v>
      </c>
    </row>
    <row r="231" customFormat="false" ht="15.75" hidden="false" customHeight="false" outlineLevel="0" collapsed="false">
      <c r="A231" s="7" t="s">
        <v>239</v>
      </c>
      <c r="B231" s="7" t="n">
        <v>12</v>
      </c>
      <c r="C231" s="9" t="n">
        <v>0</v>
      </c>
      <c r="D231" s="9" t="n">
        <v>0</v>
      </c>
      <c r="E231" s="9" t="n">
        <v>0</v>
      </c>
      <c r="F231" s="9" t="n">
        <v>0</v>
      </c>
      <c r="G231" s="9" t="n">
        <v>0</v>
      </c>
      <c r="H231" s="9" t="n">
        <v>0</v>
      </c>
      <c r="I231" s="9" t="n">
        <v>0</v>
      </c>
      <c r="J231" s="9" t="n">
        <v>0</v>
      </c>
    </row>
    <row r="232" customFormat="false" ht="15.75" hidden="false" customHeight="false" outlineLevel="0" collapsed="false">
      <c r="A232" s="7" t="s">
        <v>240</v>
      </c>
      <c r="B232" s="7" t="n">
        <v>12</v>
      </c>
      <c r="C232" s="9" t="n">
        <v>25</v>
      </c>
      <c r="D232" s="9" t="n">
        <v>2337348</v>
      </c>
      <c r="E232" s="9" t="n">
        <v>2030</v>
      </c>
      <c r="F232" s="9" t="n">
        <v>189788760</v>
      </c>
      <c r="G232" s="9" t="n">
        <v>1506</v>
      </c>
      <c r="H232" s="9" t="n">
        <v>140798987</v>
      </c>
      <c r="I232" s="9" t="n">
        <v>549</v>
      </c>
      <c r="J232" s="9" t="n">
        <v>51327121</v>
      </c>
    </row>
    <row r="233" customFormat="false" ht="15.75" hidden="false" customHeight="false" outlineLevel="0" collapsed="false">
      <c r="A233" s="7" t="s">
        <v>241</v>
      </c>
      <c r="B233" s="7" t="n">
        <v>12</v>
      </c>
      <c r="C233" s="9" t="n">
        <v>1186</v>
      </c>
      <c r="D233" s="9" t="n">
        <v>91489935</v>
      </c>
      <c r="E233" s="9" t="n">
        <v>464</v>
      </c>
      <c r="F233" s="9" t="n">
        <v>32792760</v>
      </c>
      <c r="G233" s="9" t="n">
        <v>681</v>
      </c>
      <c r="H233" s="9" t="n">
        <v>51294858</v>
      </c>
      <c r="I233" s="9" t="n">
        <v>969</v>
      </c>
      <c r="J233" s="9" t="n">
        <v>72987837</v>
      </c>
    </row>
    <row r="234" customFormat="false" ht="15.75" hidden="false" customHeight="false" outlineLevel="0" collapsed="false">
      <c r="A234" s="7" t="s">
        <v>242</v>
      </c>
      <c r="B234" s="7" t="n">
        <v>12</v>
      </c>
      <c r="C234" s="9" t="n">
        <v>137</v>
      </c>
      <c r="D234" s="9" t="n">
        <v>9584186</v>
      </c>
      <c r="E234" s="9" t="n">
        <v>54</v>
      </c>
      <c r="F234" s="9" t="n">
        <v>3797010</v>
      </c>
      <c r="G234" s="9" t="n">
        <v>33</v>
      </c>
      <c r="H234" s="9" t="n">
        <v>2311934</v>
      </c>
      <c r="I234" s="9" t="n">
        <v>158</v>
      </c>
      <c r="J234" s="9" t="n">
        <v>11069262</v>
      </c>
    </row>
    <row r="235" customFormat="false" ht="15.75" hidden="false" customHeight="false" outlineLevel="0" collapsed="false">
      <c r="A235" s="7" t="s">
        <v>243</v>
      </c>
      <c r="B235" s="7" t="n">
        <v>12</v>
      </c>
      <c r="C235" s="9" t="n">
        <v>1575</v>
      </c>
      <c r="D235" s="9" t="n">
        <v>144885570</v>
      </c>
      <c r="E235" s="9" t="n">
        <v>171</v>
      </c>
      <c r="F235" s="9" t="n">
        <v>15690192</v>
      </c>
      <c r="G235" s="9" t="n">
        <v>1617</v>
      </c>
      <c r="H235" s="9" t="n">
        <v>148711917</v>
      </c>
      <c r="I235" s="9" t="n">
        <v>129</v>
      </c>
      <c r="J235" s="9" t="n">
        <v>11863845</v>
      </c>
    </row>
    <row r="236" customFormat="false" ht="15.75" hidden="false" customHeight="false" outlineLevel="0" collapsed="false">
      <c r="A236" s="7" t="s">
        <v>244</v>
      </c>
      <c r="B236" s="7" t="n">
        <v>12</v>
      </c>
      <c r="C236" s="9" t="n">
        <v>4</v>
      </c>
      <c r="D236" s="9" t="n">
        <v>351232</v>
      </c>
      <c r="E236" s="9" t="n">
        <v>48</v>
      </c>
      <c r="F236" s="9" t="n">
        <v>4214784</v>
      </c>
      <c r="G236" s="9" t="n">
        <v>52</v>
      </c>
      <c r="H236" s="9" t="n">
        <v>4566016</v>
      </c>
      <c r="I236" s="9" t="n">
        <v>0</v>
      </c>
      <c r="J236" s="9" t="n">
        <v>0</v>
      </c>
    </row>
    <row r="237" customFormat="false" ht="15.75" hidden="false" customHeight="false" outlineLevel="0" collapsed="false">
      <c r="A237" s="7" t="s">
        <v>245</v>
      </c>
      <c r="B237" s="7" t="n">
        <v>12</v>
      </c>
      <c r="C237" s="9" t="n">
        <v>0</v>
      </c>
      <c r="D237" s="9" t="n">
        <v>0</v>
      </c>
      <c r="E237" s="9" t="n">
        <v>0</v>
      </c>
      <c r="F237" s="9" t="n">
        <v>0</v>
      </c>
      <c r="G237" s="9" t="n">
        <v>0</v>
      </c>
      <c r="H237" s="9" t="n">
        <v>0</v>
      </c>
      <c r="I237" s="9" t="n">
        <v>0</v>
      </c>
      <c r="J237" s="9" t="n">
        <v>0</v>
      </c>
    </row>
    <row r="238" customFormat="false" ht="15.75" hidden="false" customHeight="false" outlineLevel="0" collapsed="false">
      <c r="A238" s="7" t="s">
        <v>246</v>
      </c>
      <c r="B238" s="7" t="n">
        <v>12</v>
      </c>
      <c r="C238" s="9" t="n">
        <v>8756</v>
      </c>
      <c r="D238" s="9" t="n">
        <v>62408741</v>
      </c>
      <c r="E238" s="9" t="n">
        <v>1920</v>
      </c>
      <c r="F238" s="9" t="n">
        <v>13684878</v>
      </c>
      <c r="G238" s="9" t="n">
        <v>135</v>
      </c>
      <c r="H238" s="9" t="n">
        <v>962218</v>
      </c>
      <c r="I238" s="9" t="n">
        <v>10541</v>
      </c>
      <c r="J238" s="9" t="n">
        <v>75131401</v>
      </c>
    </row>
    <row r="239" customFormat="false" ht="15.75" hidden="false" customHeight="false" outlineLevel="0" collapsed="false">
      <c r="A239" s="7" t="s">
        <v>247</v>
      </c>
      <c r="B239" s="7" t="n">
        <v>12</v>
      </c>
      <c r="C239" s="9" t="n">
        <v>43404</v>
      </c>
      <c r="D239" s="9" t="n">
        <v>288267066</v>
      </c>
      <c r="E239" s="9" t="n">
        <v>2880</v>
      </c>
      <c r="F239" s="9" t="n">
        <v>20527315</v>
      </c>
      <c r="G239" s="9" t="n">
        <v>154</v>
      </c>
      <c r="H239" s="9" t="n">
        <v>1027447</v>
      </c>
      <c r="I239" s="9" t="n">
        <v>46130</v>
      </c>
      <c r="J239" s="9" t="n">
        <v>307766934</v>
      </c>
    </row>
    <row r="240" customFormat="false" ht="15.75" hidden="false" customHeight="false" outlineLevel="0" collapsed="false">
      <c r="A240" s="7" t="s">
        <v>248</v>
      </c>
      <c r="B240" s="7" t="n">
        <v>12</v>
      </c>
      <c r="C240" s="9" t="n">
        <v>384</v>
      </c>
      <c r="D240" s="9" t="n">
        <v>1852721</v>
      </c>
      <c r="E240" s="9" t="n">
        <v>0</v>
      </c>
      <c r="F240" s="9" t="n">
        <v>0</v>
      </c>
      <c r="G240" s="9" t="n">
        <v>0</v>
      </c>
      <c r="H240" s="9" t="n">
        <v>0</v>
      </c>
      <c r="I240" s="9" t="n">
        <v>384</v>
      </c>
      <c r="J240" s="9" t="n">
        <v>1852721</v>
      </c>
    </row>
    <row r="241" customFormat="false" ht="15.75" hidden="false" customHeight="false" outlineLevel="0" collapsed="false">
      <c r="A241" s="7" t="s">
        <v>249</v>
      </c>
      <c r="B241" s="7" t="n">
        <v>12</v>
      </c>
      <c r="C241" s="9" t="n">
        <v>420</v>
      </c>
      <c r="D241" s="9" t="n">
        <v>1974630</v>
      </c>
      <c r="E241" s="9" t="n">
        <v>271</v>
      </c>
      <c r="F241" s="9" t="n">
        <v>0</v>
      </c>
      <c r="G241" s="9" t="n">
        <v>0</v>
      </c>
      <c r="H241" s="9" t="n">
        <v>0</v>
      </c>
      <c r="I241" s="9" t="n">
        <v>691</v>
      </c>
      <c r="J241" s="9" t="n">
        <v>1974630</v>
      </c>
    </row>
    <row r="242" customFormat="false" ht="15.75" hidden="false" customHeight="false" outlineLevel="0" collapsed="false">
      <c r="A242" s="7" t="s">
        <v>250</v>
      </c>
      <c r="B242" s="7" t="n">
        <v>12</v>
      </c>
      <c r="C242" s="9" t="n">
        <v>16561</v>
      </c>
      <c r="D242" s="9" t="n">
        <v>169801355</v>
      </c>
      <c r="E242" s="9" t="n">
        <v>2160</v>
      </c>
      <c r="F242" s="9" t="n">
        <v>15395487</v>
      </c>
      <c r="G242" s="9" t="n">
        <v>100</v>
      </c>
      <c r="H242" s="9" t="n">
        <v>989247</v>
      </c>
      <c r="I242" s="9" t="n">
        <v>18621</v>
      </c>
      <c r="J242" s="9" t="n">
        <v>184207595</v>
      </c>
    </row>
    <row r="243" customFormat="false" ht="15.75" hidden="false" customHeight="false" outlineLevel="0" collapsed="false">
      <c r="A243" s="7" t="s">
        <v>251</v>
      </c>
      <c r="B243" s="7" t="n">
        <v>12</v>
      </c>
      <c r="C243" s="9" t="n">
        <v>0</v>
      </c>
      <c r="D243" s="9" t="n">
        <v>0</v>
      </c>
      <c r="E243" s="9" t="n">
        <v>0</v>
      </c>
      <c r="F243" s="9" t="n">
        <v>0</v>
      </c>
      <c r="G243" s="9" t="n">
        <v>0</v>
      </c>
      <c r="H243" s="9" t="n">
        <v>0</v>
      </c>
      <c r="I243" s="9" t="n">
        <v>0</v>
      </c>
      <c r="J243" s="9" t="n">
        <v>0</v>
      </c>
    </row>
    <row r="244" customFormat="false" ht="15.75" hidden="false" customHeight="false" outlineLevel="0" collapsed="false">
      <c r="A244" s="7" t="s">
        <v>252</v>
      </c>
      <c r="B244" s="7" t="n">
        <v>12</v>
      </c>
      <c r="C244" s="9" t="n">
        <v>0</v>
      </c>
      <c r="D244" s="9" t="n">
        <v>0</v>
      </c>
      <c r="E244" s="9" t="n">
        <v>0</v>
      </c>
      <c r="F244" s="9" t="n">
        <v>0</v>
      </c>
      <c r="G244" s="9" t="n">
        <v>0</v>
      </c>
      <c r="H244" s="9" t="n">
        <v>0</v>
      </c>
      <c r="I244" s="9" t="n">
        <v>0</v>
      </c>
      <c r="J244" s="9" t="n">
        <v>0</v>
      </c>
    </row>
    <row r="245" customFormat="false" ht="15.75" hidden="false" customHeight="false" outlineLevel="0" collapsed="false">
      <c r="A245" s="7" t="s">
        <v>253</v>
      </c>
      <c r="B245" s="7" t="n">
        <v>12</v>
      </c>
      <c r="C245" s="9" t="n">
        <v>0</v>
      </c>
      <c r="D245" s="9" t="n">
        <v>0</v>
      </c>
      <c r="E245" s="9" t="n">
        <v>0</v>
      </c>
      <c r="F245" s="9" t="n">
        <v>0</v>
      </c>
      <c r="G245" s="9" t="n">
        <v>0</v>
      </c>
      <c r="H245" s="9" t="n">
        <v>0</v>
      </c>
      <c r="I245" s="9" t="n">
        <v>0</v>
      </c>
      <c r="J245" s="9" t="n">
        <v>0</v>
      </c>
    </row>
    <row r="246" customFormat="false" ht="15.75" hidden="false" customHeight="false" outlineLevel="0" collapsed="false">
      <c r="A246" s="7" t="s">
        <v>254</v>
      </c>
      <c r="B246" s="7" t="n">
        <v>12</v>
      </c>
      <c r="C246" s="9" t="n">
        <v>178</v>
      </c>
      <c r="D246" s="9" t="n">
        <v>6117278</v>
      </c>
      <c r="E246" s="9" t="n">
        <v>62</v>
      </c>
      <c r="F246" s="9" t="n">
        <v>2130804</v>
      </c>
      <c r="G246" s="9" t="n">
        <v>240</v>
      </c>
      <c r="H246" s="9" t="n">
        <v>8248082</v>
      </c>
      <c r="I246" s="9" t="n">
        <v>0</v>
      </c>
      <c r="J246" s="9" t="n">
        <v>0</v>
      </c>
    </row>
    <row r="247" customFormat="false" ht="15.75" hidden="false" customHeight="false" outlineLevel="0" collapsed="false">
      <c r="A247" s="7" t="s">
        <v>255</v>
      </c>
      <c r="B247" s="7" t="n">
        <v>12</v>
      </c>
      <c r="C247" s="9" t="n">
        <v>0</v>
      </c>
      <c r="D247" s="9" t="n">
        <v>884858</v>
      </c>
      <c r="E247" s="9" t="n">
        <v>40</v>
      </c>
      <c r="F247" s="9" t="n">
        <v>3487564</v>
      </c>
      <c r="G247" s="9" t="n">
        <v>40</v>
      </c>
      <c r="H247" s="9" t="n">
        <v>4372422</v>
      </c>
      <c r="I247" s="9" t="n">
        <v>0</v>
      </c>
      <c r="J247" s="9" t="n">
        <v>0</v>
      </c>
    </row>
    <row r="248" customFormat="false" ht="15.75" hidden="false" customHeight="false" outlineLevel="0" collapsed="false">
      <c r="A248" s="7" t="s">
        <v>256</v>
      </c>
      <c r="B248" s="7" t="n">
        <v>12</v>
      </c>
      <c r="C248" s="9" t="n">
        <v>0</v>
      </c>
      <c r="D248" s="9" t="n">
        <v>0</v>
      </c>
      <c r="E248" s="9" t="n">
        <v>110</v>
      </c>
      <c r="F248" s="9" t="n">
        <v>4786700</v>
      </c>
      <c r="G248" s="9" t="n">
        <v>110</v>
      </c>
      <c r="H248" s="9" t="n">
        <v>4786700</v>
      </c>
      <c r="I248" s="9" t="n">
        <v>0</v>
      </c>
      <c r="J248" s="9" t="n">
        <v>0</v>
      </c>
    </row>
    <row r="249" customFormat="false" ht="15.75" hidden="false" customHeight="false" outlineLevel="0" collapsed="false">
      <c r="A249" s="7" t="s">
        <v>257</v>
      </c>
      <c r="B249" s="7" t="n">
        <v>12</v>
      </c>
      <c r="C249" s="9" t="n">
        <v>26</v>
      </c>
      <c r="D249" s="9" t="n">
        <v>1423200</v>
      </c>
      <c r="E249" s="9" t="n">
        <v>24</v>
      </c>
      <c r="F249" s="9" t="n">
        <v>1313723</v>
      </c>
      <c r="G249" s="9" t="n">
        <v>50</v>
      </c>
      <c r="H249" s="9" t="n">
        <v>2736923</v>
      </c>
      <c r="I249" s="9" t="n">
        <v>0</v>
      </c>
      <c r="J249" s="9" t="n">
        <v>0</v>
      </c>
    </row>
    <row r="250" customFormat="false" ht="15.75" hidden="false" customHeight="false" outlineLevel="0" collapsed="false">
      <c r="A250" s="7" t="s">
        <v>258</v>
      </c>
      <c r="B250" s="7" t="n">
        <v>12</v>
      </c>
      <c r="C250" s="9" t="n">
        <v>1315</v>
      </c>
      <c r="D250" s="9" t="n">
        <v>5870462</v>
      </c>
      <c r="E250" s="9" t="n">
        <v>150</v>
      </c>
      <c r="F250" s="9" t="n">
        <v>2298240</v>
      </c>
      <c r="G250" s="9" t="n">
        <v>250</v>
      </c>
      <c r="H250" s="9" t="n">
        <v>3829633</v>
      </c>
      <c r="I250" s="9" t="n">
        <v>1215</v>
      </c>
      <c r="J250" s="9" t="n">
        <v>4339069</v>
      </c>
    </row>
    <row r="251" customFormat="false" ht="15.75" hidden="false" customHeight="false" outlineLevel="0" collapsed="false">
      <c r="A251" s="7" t="s">
        <v>259</v>
      </c>
      <c r="B251" s="7" t="n">
        <v>12</v>
      </c>
      <c r="C251" s="9" t="n">
        <v>90</v>
      </c>
      <c r="D251" s="9" t="n">
        <v>1980663</v>
      </c>
      <c r="E251" s="9" t="n">
        <v>0</v>
      </c>
      <c r="F251" s="9" t="n">
        <v>0</v>
      </c>
      <c r="G251" s="9" t="n">
        <v>0</v>
      </c>
      <c r="H251" s="9" t="n">
        <v>0</v>
      </c>
      <c r="I251" s="9" t="n">
        <v>90</v>
      </c>
      <c r="J251" s="9" t="n">
        <v>1980663</v>
      </c>
    </row>
    <row r="252" customFormat="false" ht="15.75" hidden="false" customHeight="false" outlineLevel="0" collapsed="false">
      <c r="A252" s="7" t="s">
        <v>260</v>
      </c>
      <c r="B252" s="7" t="n">
        <v>12</v>
      </c>
      <c r="C252" s="9" t="n">
        <v>7</v>
      </c>
      <c r="D252" s="9" t="n">
        <v>460192</v>
      </c>
      <c r="E252" s="9" t="n">
        <v>0</v>
      </c>
      <c r="F252" s="9" t="n">
        <v>0</v>
      </c>
      <c r="G252" s="9" t="n">
        <v>0</v>
      </c>
      <c r="H252" s="9" t="n">
        <v>0</v>
      </c>
      <c r="I252" s="9" t="n">
        <v>7</v>
      </c>
      <c r="J252" s="9" t="n">
        <v>460192</v>
      </c>
    </row>
    <row r="253" customFormat="false" ht="15.75" hidden="false" customHeight="false" outlineLevel="0" collapsed="false">
      <c r="A253" s="7" t="s">
        <v>261</v>
      </c>
      <c r="B253" s="7" t="n">
        <v>12</v>
      </c>
      <c r="C253" s="9" t="n">
        <v>0</v>
      </c>
      <c r="D253" s="9" t="n">
        <v>0</v>
      </c>
      <c r="E253" s="9" t="n">
        <v>0</v>
      </c>
      <c r="F253" s="9" t="n">
        <v>0</v>
      </c>
      <c r="G253" s="9" t="n">
        <v>0</v>
      </c>
      <c r="H253" s="9" t="n">
        <v>0</v>
      </c>
      <c r="I253" s="9" t="n">
        <v>0</v>
      </c>
      <c r="J253" s="9" t="n">
        <v>0</v>
      </c>
    </row>
    <row r="254" customFormat="false" ht="15.75" hidden="false" customHeight="false" outlineLevel="0" collapsed="false">
      <c r="A254" s="7" t="s">
        <v>262</v>
      </c>
      <c r="B254" s="7" t="n">
        <v>12</v>
      </c>
      <c r="C254" s="9" t="n">
        <v>4</v>
      </c>
      <c r="D254" s="9" t="n">
        <v>330624</v>
      </c>
      <c r="E254" s="9" t="n">
        <v>0</v>
      </c>
      <c r="F254" s="9" t="n">
        <v>0</v>
      </c>
      <c r="G254" s="9" t="n">
        <v>0</v>
      </c>
      <c r="H254" s="9" t="n">
        <v>0</v>
      </c>
      <c r="I254" s="9" t="n">
        <v>4</v>
      </c>
      <c r="J254" s="9" t="n">
        <v>330624</v>
      </c>
    </row>
    <row r="255" customFormat="false" ht="15.75" hidden="false" customHeight="false" outlineLevel="0" collapsed="false">
      <c r="A255" s="7" t="s">
        <v>263</v>
      </c>
      <c r="B255" s="7" t="n">
        <v>12</v>
      </c>
      <c r="C255" s="9" t="n">
        <v>0</v>
      </c>
      <c r="D255" s="9" t="n">
        <v>0</v>
      </c>
      <c r="E255" s="9" t="n">
        <v>0</v>
      </c>
      <c r="F255" s="9" t="n">
        <v>0</v>
      </c>
      <c r="G255" s="9" t="n">
        <v>0</v>
      </c>
      <c r="H255" s="9" t="n">
        <v>0</v>
      </c>
      <c r="I255" s="9" t="n">
        <v>0</v>
      </c>
      <c r="J255" s="9" t="n">
        <v>0</v>
      </c>
    </row>
    <row r="256" customFormat="false" ht="15.75" hidden="false" customHeight="false" outlineLevel="0" collapsed="false">
      <c r="A256" s="7" t="s">
        <v>264</v>
      </c>
      <c r="B256" s="7" t="n">
        <v>12</v>
      </c>
      <c r="C256" s="9" t="n">
        <v>0</v>
      </c>
      <c r="D256" s="9" t="n">
        <v>0</v>
      </c>
      <c r="E256" s="9" t="n">
        <v>0</v>
      </c>
      <c r="F256" s="9" t="n">
        <v>0</v>
      </c>
      <c r="G256" s="9" t="n">
        <v>0</v>
      </c>
      <c r="H256" s="9" t="n">
        <v>0</v>
      </c>
      <c r="I256" s="9" t="n">
        <v>0</v>
      </c>
      <c r="J256" s="9" t="n">
        <v>0</v>
      </c>
    </row>
    <row r="257" customFormat="false" ht="15.75" hidden="false" customHeight="false" outlineLevel="0" collapsed="false">
      <c r="A257" s="7" t="s">
        <v>265</v>
      </c>
      <c r="B257" s="7" t="n">
        <v>12</v>
      </c>
      <c r="C257" s="9" t="n">
        <v>5</v>
      </c>
      <c r="D257" s="9" t="n">
        <v>412800</v>
      </c>
      <c r="E257" s="9" t="n">
        <v>0</v>
      </c>
      <c r="F257" s="9" t="n">
        <v>0</v>
      </c>
      <c r="G257" s="9" t="n">
        <v>0</v>
      </c>
      <c r="H257" s="9" t="n">
        <v>0</v>
      </c>
      <c r="I257" s="9" t="n">
        <v>5</v>
      </c>
      <c r="J257" s="9" t="n">
        <v>412800</v>
      </c>
    </row>
    <row r="258" customFormat="false" ht="15.75" hidden="false" customHeight="false" outlineLevel="0" collapsed="false">
      <c r="A258" s="7" t="s">
        <v>266</v>
      </c>
      <c r="B258" s="7" t="n">
        <v>12</v>
      </c>
      <c r="C258" s="9" t="n">
        <v>5</v>
      </c>
      <c r="D258" s="9" t="n">
        <v>441600</v>
      </c>
      <c r="E258" s="9" t="n">
        <v>0</v>
      </c>
      <c r="F258" s="9" t="n">
        <v>0</v>
      </c>
      <c r="G258" s="9" t="n">
        <v>0</v>
      </c>
      <c r="H258" s="9" t="n">
        <v>0</v>
      </c>
      <c r="I258" s="9" t="n">
        <v>5</v>
      </c>
      <c r="J258" s="9" t="n">
        <v>441600</v>
      </c>
    </row>
    <row r="259" customFormat="false" ht="15.75" hidden="false" customHeight="false" outlineLevel="0" collapsed="false">
      <c r="A259" s="7" t="s">
        <v>267</v>
      </c>
      <c r="B259" s="7" t="n">
        <v>12</v>
      </c>
      <c r="C259" s="9" t="n">
        <v>6</v>
      </c>
      <c r="D259" s="9" t="n">
        <v>447000</v>
      </c>
      <c r="E259" s="9"/>
      <c r="F259" s="9" t="n">
        <v>0</v>
      </c>
      <c r="G259" s="9"/>
      <c r="H259" s="9"/>
      <c r="I259" s="9" t="n">
        <v>6</v>
      </c>
      <c r="J259" s="9" t="n">
        <v>447000</v>
      </c>
    </row>
    <row r="260" customFormat="false" ht="15.75" hidden="false" customHeight="false" outlineLevel="0" collapsed="false">
      <c r="A260" s="7" t="s">
        <v>268</v>
      </c>
      <c r="B260" s="7" t="n">
        <v>12</v>
      </c>
      <c r="C260" s="9" t="n">
        <v>0</v>
      </c>
      <c r="D260" s="9" t="n">
        <v>0</v>
      </c>
      <c r="E260" s="9" t="n">
        <v>0</v>
      </c>
      <c r="F260" s="9" t="n">
        <v>0</v>
      </c>
      <c r="G260" s="9" t="n">
        <v>0</v>
      </c>
      <c r="H260" s="9" t="n">
        <v>0</v>
      </c>
      <c r="I260" s="9" t="n">
        <v>0</v>
      </c>
      <c r="J260" s="9" t="n">
        <v>0</v>
      </c>
    </row>
    <row r="261" customFormat="false" ht="15.75" hidden="false" customHeight="false" outlineLevel="0" collapsed="false">
      <c r="A261" s="7" t="s">
        <v>269</v>
      </c>
      <c r="B261" s="7" t="n">
        <v>12</v>
      </c>
      <c r="C261" s="9" t="n">
        <v>0</v>
      </c>
      <c r="D261" s="9" t="n">
        <v>0</v>
      </c>
      <c r="E261" s="9" t="n">
        <v>0</v>
      </c>
      <c r="F261" s="9" t="n">
        <v>0</v>
      </c>
      <c r="G261" s="9" t="n">
        <v>0</v>
      </c>
      <c r="H261" s="9" t="n">
        <v>0</v>
      </c>
      <c r="I261" s="9" t="n">
        <v>0</v>
      </c>
      <c r="J261" s="9" t="n">
        <v>0</v>
      </c>
    </row>
    <row r="262" customFormat="false" ht="15.75" hidden="false" customHeight="false" outlineLevel="0" collapsed="false">
      <c r="A262" s="7" t="s">
        <v>270</v>
      </c>
      <c r="B262" s="7" t="n">
        <v>12</v>
      </c>
      <c r="C262" s="9" t="n">
        <v>0</v>
      </c>
      <c r="D262" s="9" t="n">
        <v>0</v>
      </c>
      <c r="E262" s="9" t="n">
        <v>0</v>
      </c>
      <c r="F262" s="9" t="n">
        <v>0</v>
      </c>
      <c r="G262" s="9" t="n">
        <v>0</v>
      </c>
      <c r="H262" s="9" t="n">
        <v>0</v>
      </c>
      <c r="I262" s="9" t="n">
        <v>0</v>
      </c>
      <c r="J262" s="9" t="n">
        <v>0</v>
      </c>
    </row>
    <row r="263" customFormat="false" ht="15.75" hidden="false" customHeight="false" outlineLevel="0" collapsed="false">
      <c r="A263" s="7" t="s">
        <v>271</v>
      </c>
      <c r="B263" s="7" t="n">
        <v>12</v>
      </c>
      <c r="C263" s="9" t="n">
        <v>0</v>
      </c>
      <c r="D263" s="9" t="n">
        <v>0</v>
      </c>
      <c r="E263" s="9" t="n">
        <v>0</v>
      </c>
      <c r="F263" s="9" t="n">
        <v>0</v>
      </c>
      <c r="G263" s="9" t="n">
        <v>0</v>
      </c>
      <c r="H263" s="9" t="n">
        <v>0</v>
      </c>
      <c r="I263" s="9" t="n">
        <v>0</v>
      </c>
      <c r="J263" s="9" t="n">
        <v>0</v>
      </c>
    </row>
    <row r="264" customFormat="false" ht="15.75" hidden="false" customHeight="false" outlineLevel="0" collapsed="false">
      <c r="A264" s="7" t="s">
        <v>272</v>
      </c>
      <c r="B264" s="7" t="n">
        <v>12</v>
      </c>
      <c r="C264" s="9" t="n">
        <v>0</v>
      </c>
      <c r="D264" s="9" t="n">
        <v>0</v>
      </c>
      <c r="E264" s="9" t="n">
        <v>0</v>
      </c>
      <c r="F264" s="9" t="n">
        <v>0</v>
      </c>
      <c r="G264" s="9" t="n">
        <v>0</v>
      </c>
      <c r="H264" s="9" t="n">
        <v>0</v>
      </c>
      <c r="I264" s="9" t="n">
        <v>0</v>
      </c>
      <c r="J264" s="9" t="n">
        <v>0</v>
      </c>
    </row>
    <row r="265" customFormat="false" ht="15.75" hidden="false" customHeight="false" outlineLevel="0" collapsed="false">
      <c r="A265" s="7" t="s">
        <v>273</v>
      </c>
      <c r="B265" s="7" t="n">
        <v>12</v>
      </c>
      <c r="C265" s="9" t="n">
        <v>0</v>
      </c>
      <c r="D265" s="9" t="n">
        <v>0</v>
      </c>
      <c r="E265" s="9" t="n">
        <v>0</v>
      </c>
      <c r="F265" s="9" t="n">
        <v>0</v>
      </c>
      <c r="G265" s="9" t="n">
        <v>0</v>
      </c>
      <c r="H265" s="9" t="n">
        <v>0</v>
      </c>
      <c r="I265" s="9" t="n">
        <v>0</v>
      </c>
      <c r="J265" s="9" t="n">
        <v>0</v>
      </c>
    </row>
    <row r="266" customFormat="false" ht="15.75" hidden="false" customHeight="false" outlineLevel="0" collapsed="false">
      <c r="A266" s="7" t="s">
        <v>274</v>
      </c>
      <c r="B266" s="7" t="n">
        <v>12</v>
      </c>
      <c r="C266" s="9" t="n">
        <v>14</v>
      </c>
      <c r="D266" s="9" t="n">
        <v>473144</v>
      </c>
      <c r="E266" s="9" t="n">
        <v>0</v>
      </c>
      <c r="F266" s="9" t="n">
        <v>0</v>
      </c>
      <c r="G266" s="9" t="n">
        <v>0</v>
      </c>
      <c r="H266" s="9" t="n">
        <v>0</v>
      </c>
      <c r="I266" s="9" t="n">
        <v>14</v>
      </c>
      <c r="J266" s="9" t="n">
        <v>473144</v>
      </c>
    </row>
    <row r="267" customFormat="false" ht="15.75" hidden="false" customHeight="false" outlineLevel="0" collapsed="false">
      <c r="A267" s="7" t="s">
        <v>275</v>
      </c>
      <c r="B267" s="7" t="n">
        <v>12</v>
      </c>
      <c r="C267" s="9" t="n">
        <v>0</v>
      </c>
      <c r="D267" s="9" t="n">
        <v>0</v>
      </c>
      <c r="E267" s="9" t="n">
        <v>0</v>
      </c>
      <c r="F267" s="9" t="n">
        <v>0</v>
      </c>
      <c r="G267" s="9" t="n">
        <v>0</v>
      </c>
      <c r="H267" s="9" t="n">
        <v>0</v>
      </c>
      <c r="I267" s="9" t="n">
        <v>0</v>
      </c>
      <c r="J267" s="9" t="n">
        <v>0</v>
      </c>
    </row>
    <row r="268" customFormat="false" ht="15.75" hidden="false" customHeight="false" outlineLevel="0" collapsed="false">
      <c r="A268" s="7" t="s">
        <v>276</v>
      </c>
      <c r="B268" s="7" t="n">
        <v>12</v>
      </c>
      <c r="C268" s="9" t="n">
        <v>0</v>
      </c>
      <c r="D268" s="9" t="n">
        <v>0</v>
      </c>
      <c r="E268" s="9" t="n">
        <v>0</v>
      </c>
      <c r="F268" s="9" t="n">
        <v>0</v>
      </c>
      <c r="G268" s="9" t="n">
        <v>0</v>
      </c>
      <c r="H268" s="9" t="n">
        <v>0</v>
      </c>
      <c r="I268" s="9" t="n">
        <v>0</v>
      </c>
      <c r="J268" s="9" t="n">
        <v>0</v>
      </c>
    </row>
    <row r="269" customFormat="false" ht="15.75" hidden="false" customHeight="false" outlineLevel="0" collapsed="false">
      <c r="A269" s="7" t="s">
        <v>277</v>
      </c>
      <c r="B269" s="7" t="n">
        <v>12</v>
      </c>
      <c r="C269" s="9" t="n">
        <v>0</v>
      </c>
      <c r="D269" s="9" t="n">
        <v>0</v>
      </c>
      <c r="E269" s="9" t="n">
        <v>0</v>
      </c>
      <c r="F269" s="9" t="n">
        <v>0</v>
      </c>
      <c r="G269" s="9" t="n">
        <v>0</v>
      </c>
      <c r="H269" s="9" t="n">
        <v>0</v>
      </c>
      <c r="I269" s="9" t="n">
        <v>0</v>
      </c>
      <c r="J269" s="9" t="n">
        <v>0</v>
      </c>
    </row>
    <row r="270" customFormat="false" ht="15.75" hidden="false" customHeight="false" outlineLevel="0" collapsed="false">
      <c r="A270" s="7" t="s">
        <v>278</v>
      </c>
      <c r="B270" s="7" t="n">
        <v>12</v>
      </c>
      <c r="C270" s="9" t="n">
        <v>0</v>
      </c>
      <c r="D270" s="9" t="n">
        <v>0</v>
      </c>
      <c r="E270" s="9" t="n">
        <v>0</v>
      </c>
      <c r="F270" s="9" t="n">
        <v>0</v>
      </c>
      <c r="G270" s="9" t="n">
        <v>0</v>
      </c>
      <c r="H270" s="9" t="n">
        <v>0</v>
      </c>
      <c r="I270" s="9" t="n">
        <v>0</v>
      </c>
      <c r="J270" s="9" t="n">
        <v>0</v>
      </c>
    </row>
    <row r="271" customFormat="false" ht="15.75" hidden="false" customHeight="false" outlineLevel="0" collapsed="false">
      <c r="A271" s="7" t="s">
        <v>279</v>
      </c>
      <c r="B271" s="7" t="n">
        <v>12</v>
      </c>
      <c r="C271" s="9" t="n">
        <v>0</v>
      </c>
      <c r="D271" s="9" t="n">
        <v>0</v>
      </c>
      <c r="E271" s="9" t="n">
        <v>0</v>
      </c>
      <c r="F271" s="9" t="n">
        <v>0</v>
      </c>
      <c r="G271" s="9" t="n">
        <v>0</v>
      </c>
      <c r="H271" s="9" t="n">
        <v>0</v>
      </c>
      <c r="I271" s="9" t="n">
        <v>0</v>
      </c>
      <c r="J271" s="9" t="n">
        <v>0</v>
      </c>
    </row>
    <row r="272" customFormat="false" ht="15.75" hidden="false" customHeight="false" outlineLevel="0" collapsed="false">
      <c r="A272" s="7" t="s">
        <v>280</v>
      </c>
      <c r="B272" s="7" t="n">
        <v>12</v>
      </c>
      <c r="C272" s="9" t="n">
        <v>0</v>
      </c>
      <c r="D272" s="9" t="n">
        <v>0</v>
      </c>
      <c r="E272" s="9" t="n">
        <v>0</v>
      </c>
      <c r="F272" s="9" t="n">
        <v>0</v>
      </c>
      <c r="G272" s="9" t="n">
        <v>0</v>
      </c>
      <c r="H272" s="9" t="n">
        <v>0</v>
      </c>
      <c r="I272" s="9" t="n">
        <v>0</v>
      </c>
      <c r="J272" s="9" t="n">
        <v>0</v>
      </c>
    </row>
    <row r="273" customFormat="false" ht="15.75" hidden="false" customHeight="false" outlineLevel="0" collapsed="false">
      <c r="A273" s="7" t="s">
        <v>281</v>
      </c>
      <c r="B273" s="7" t="n">
        <v>12</v>
      </c>
      <c r="C273" s="9" t="n">
        <v>115</v>
      </c>
      <c r="D273" s="9" t="n">
        <v>1984968</v>
      </c>
      <c r="E273" s="9" t="n">
        <v>52</v>
      </c>
      <c r="F273" s="9" t="n">
        <v>882000</v>
      </c>
      <c r="G273" s="9" t="n">
        <v>0</v>
      </c>
      <c r="H273" s="9" t="n">
        <v>0</v>
      </c>
      <c r="I273" s="9" t="n">
        <v>167</v>
      </c>
      <c r="J273" s="9" t="n">
        <v>2866968</v>
      </c>
    </row>
    <row r="274" customFormat="false" ht="15.75" hidden="false" customHeight="false" outlineLevel="0" collapsed="false">
      <c r="A274" s="7" t="s">
        <v>282</v>
      </c>
      <c r="B274" s="7" t="n">
        <v>12</v>
      </c>
      <c r="C274" s="9" t="n">
        <v>0</v>
      </c>
      <c r="D274" s="9" t="n">
        <v>0</v>
      </c>
      <c r="E274" s="9" t="n">
        <v>28</v>
      </c>
      <c r="F274" s="9" t="n">
        <v>1940400</v>
      </c>
      <c r="G274" s="9" t="n">
        <v>15</v>
      </c>
      <c r="H274" s="9" t="n">
        <v>1044761</v>
      </c>
      <c r="I274" s="9" t="n">
        <v>13</v>
      </c>
      <c r="J274" s="9" t="n">
        <v>895639</v>
      </c>
    </row>
    <row r="275" customFormat="false" ht="15.75" hidden="false" customHeight="false" outlineLevel="0" collapsed="false">
      <c r="A275" s="7" t="s">
        <v>283</v>
      </c>
      <c r="B275" s="7" t="n">
        <v>12</v>
      </c>
      <c r="C275" s="9" t="n">
        <v>2650</v>
      </c>
      <c r="D275" s="9" t="n">
        <v>60362629</v>
      </c>
      <c r="E275" s="9" t="n">
        <v>1138</v>
      </c>
      <c r="F275" s="9" t="n">
        <v>39547200</v>
      </c>
      <c r="G275" s="9" t="n">
        <v>2103</v>
      </c>
      <c r="H275" s="9" t="n">
        <v>76338900</v>
      </c>
      <c r="I275" s="9" t="n">
        <v>1685</v>
      </c>
      <c r="J275" s="9" t="n">
        <v>23570929</v>
      </c>
    </row>
    <row r="276" customFormat="false" ht="15.75" hidden="false" customHeight="false" outlineLevel="0" collapsed="false">
      <c r="A276" s="7" t="s">
        <v>284</v>
      </c>
      <c r="B276" s="7" t="n">
        <v>12</v>
      </c>
      <c r="C276" s="9" t="n">
        <v>170</v>
      </c>
      <c r="D276" s="9" t="n">
        <v>7787064</v>
      </c>
      <c r="E276" s="9" t="n">
        <v>14</v>
      </c>
      <c r="F276" s="9" t="n">
        <v>598416</v>
      </c>
      <c r="G276" s="9" t="n">
        <v>0</v>
      </c>
      <c r="H276" s="9" t="n">
        <v>0</v>
      </c>
      <c r="I276" s="9" t="n">
        <v>184</v>
      </c>
      <c r="J276" s="9" t="n">
        <v>8385480</v>
      </c>
    </row>
    <row r="277" customFormat="false" ht="15.75" hidden="false" customHeight="false" outlineLevel="0" collapsed="false">
      <c r="A277" s="7" t="s">
        <v>285</v>
      </c>
      <c r="B277" s="7" t="n">
        <v>12</v>
      </c>
      <c r="C277" s="9" t="n">
        <v>0</v>
      </c>
      <c r="D277" s="9" t="n">
        <v>0</v>
      </c>
      <c r="E277" s="9" t="n">
        <v>0</v>
      </c>
      <c r="F277" s="9" t="n">
        <v>0</v>
      </c>
      <c r="G277" s="9" t="n">
        <v>0</v>
      </c>
      <c r="H277" s="9" t="n">
        <v>0</v>
      </c>
      <c r="I277" s="9" t="n">
        <v>0</v>
      </c>
      <c r="J277" s="9" t="n">
        <v>0</v>
      </c>
    </row>
    <row r="278" customFormat="false" ht="15.75" hidden="false" customHeight="false" outlineLevel="0" collapsed="false">
      <c r="A278" s="7" t="s">
        <v>286</v>
      </c>
      <c r="B278" s="7" t="n">
        <v>12</v>
      </c>
      <c r="C278" s="9" t="n">
        <v>0</v>
      </c>
      <c r="D278" s="9" t="n">
        <v>0</v>
      </c>
      <c r="E278" s="9" t="n">
        <v>0</v>
      </c>
      <c r="F278" s="9" t="n">
        <v>0</v>
      </c>
      <c r="G278" s="9" t="n">
        <v>0</v>
      </c>
      <c r="H278" s="9" t="n">
        <v>0</v>
      </c>
      <c r="I278" s="9" t="n">
        <v>0</v>
      </c>
      <c r="J278" s="9" t="n">
        <v>0</v>
      </c>
    </row>
    <row r="279" customFormat="false" ht="15.75" hidden="false" customHeight="false" outlineLevel="0" collapsed="false">
      <c r="A279" s="7" t="s">
        <v>287</v>
      </c>
      <c r="B279" s="7" t="n">
        <v>12</v>
      </c>
      <c r="C279" s="9" t="n">
        <v>8</v>
      </c>
      <c r="D279" s="9" t="n">
        <v>888480</v>
      </c>
      <c r="E279" s="9" t="n">
        <v>0</v>
      </c>
      <c r="F279" s="9" t="n">
        <v>0</v>
      </c>
      <c r="G279" s="9" t="n">
        <v>0</v>
      </c>
      <c r="H279" s="9" t="n">
        <v>0</v>
      </c>
      <c r="I279" s="9" t="n">
        <v>8</v>
      </c>
      <c r="J279" s="9" t="n">
        <v>888480</v>
      </c>
    </row>
    <row r="280" customFormat="false" ht="15.75" hidden="false" customHeight="false" outlineLevel="0" collapsed="false">
      <c r="A280" s="7" t="s">
        <v>288</v>
      </c>
      <c r="B280" s="7" t="n">
        <v>12</v>
      </c>
      <c r="C280" s="9" t="n">
        <v>72</v>
      </c>
      <c r="D280" s="9" t="n">
        <v>1717560</v>
      </c>
      <c r="E280" s="9" t="n">
        <v>0</v>
      </c>
      <c r="F280" s="9" t="n">
        <v>0</v>
      </c>
      <c r="G280" s="9" t="n">
        <v>0</v>
      </c>
      <c r="H280" s="9" t="n">
        <v>0</v>
      </c>
      <c r="I280" s="9" t="n">
        <v>72</v>
      </c>
      <c r="J280" s="9" t="n">
        <v>1717560</v>
      </c>
    </row>
    <row r="281" customFormat="false" ht="15.75" hidden="false" customHeight="false" outlineLevel="0" collapsed="false">
      <c r="A281" s="7" t="s">
        <v>289</v>
      </c>
      <c r="B281" s="7" t="n">
        <v>12</v>
      </c>
      <c r="C281" s="9" t="n">
        <v>5453</v>
      </c>
      <c r="D281" s="9" t="n">
        <v>18544800</v>
      </c>
      <c r="E281" s="9" t="n">
        <v>481</v>
      </c>
      <c r="F281" s="9" t="n">
        <v>4222080</v>
      </c>
      <c r="G281" s="9" t="n">
        <v>0</v>
      </c>
      <c r="H281" s="9" t="n">
        <v>0</v>
      </c>
      <c r="I281" s="9" t="n">
        <v>5934</v>
      </c>
      <c r="J281" s="9" t="n">
        <v>22766880</v>
      </c>
    </row>
    <row r="282" customFormat="false" ht="15.75" hidden="false" customHeight="false" outlineLevel="0" collapsed="false">
      <c r="A282" s="7" t="s">
        <v>290</v>
      </c>
      <c r="B282" s="7" t="n">
        <v>12</v>
      </c>
      <c r="C282" s="9" t="n">
        <v>294</v>
      </c>
      <c r="D282" s="9" t="n">
        <v>26161598</v>
      </c>
      <c r="E282" s="9" t="n">
        <v>612</v>
      </c>
      <c r="F282" s="9" t="n">
        <v>54458208</v>
      </c>
      <c r="G282" s="9" t="n">
        <v>462</v>
      </c>
      <c r="H282" s="9" t="n">
        <v>41110762</v>
      </c>
      <c r="I282" s="9" t="n">
        <v>444</v>
      </c>
      <c r="J282" s="9" t="n">
        <v>39509044</v>
      </c>
    </row>
    <row r="283" customFormat="false" ht="15.75" hidden="false" customHeight="false" outlineLevel="0" collapsed="false">
      <c r="A283" s="7" t="s">
        <v>291</v>
      </c>
      <c r="B283" s="7" t="n">
        <v>12</v>
      </c>
      <c r="C283" s="9" t="n">
        <v>580</v>
      </c>
      <c r="D283" s="9" t="n">
        <v>54183265</v>
      </c>
      <c r="E283" s="9" t="n">
        <v>1120</v>
      </c>
      <c r="F283" s="9" t="n">
        <v>104711040</v>
      </c>
      <c r="G283" s="9" t="n">
        <v>821</v>
      </c>
      <c r="H283" s="9" t="n">
        <v>76736603</v>
      </c>
      <c r="I283" s="9" t="n">
        <v>879</v>
      </c>
      <c r="J283" s="9" t="n">
        <v>82157702</v>
      </c>
    </row>
    <row r="284" customFormat="false" ht="15.75" hidden="false" customHeight="false" outlineLevel="0" collapsed="false">
      <c r="A284" s="7" t="s">
        <v>292</v>
      </c>
      <c r="B284" s="7" t="n">
        <v>12</v>
      </c>
      <c r="C284" s="9" t="n">
        <v>0</v>
      </c>
      <c r="D284" s="9" t="n">
        <v>0</v>
      </c>
      <c r="E284" s="9" t="n">
        <v>394</v>
      </c>
      <c r="F284" s="9" t="n">
        <v>34234181</v>
      </c>
      <c r="G284" s="9" t="n">
        <v>394</v>
      </c>
      <c r="H284" s="9" t="n">
        <v>34234181</v>
      </c>
      <c r="I284" s="9" t="n">
        <v>0</v>
      </c>
      <c r="J284" s="9" t="n">
        <v>0</v>
      </c>
    </row>
    <row r="285" customFormat="false" ht="15.75" hidden="false" customHeight="false" outlineLevel="0" collapsed="false">
      <c r="A285" s="7"/>
      <c r="B285" s="7"/>
      <c r="C285" s="6"/>
      <c r="D285" s="6" t="n">
        <v>15756884474</v>
      </c>
      <c r="E285" s="6"/>
      <c r="F285" s="6" t="n">
        <v>14455017684</v>
      </c>
      <c r="G285" s="6"/>
      <c r="H285" s="6" t="n">
        <v>14475829845</v>
      </c>
      <c r="I285" s="6"/>
      <c r="J285" s="6" t="n">
        <v>15736072313</v>
      </c>
    </row>
  </sheetData>
  <mergeCells count="4">
    <mergeCell ref="C1:D1"/>
    <mergeCell ref="E1:F1"/>
    <mergeCell ref="G1:H1"/>
    <mergeCell ref="I1:J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LibreOffice/25.8.5.2$Linux_X86_64 LibreOffice_project/580$Build-2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vi-VN</dc:language>
  <cp:lastModifiedBy/>
  <dcterms:modified xsi:type="dcterms:W3CDTF">2026-04-01T18:44:52Z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