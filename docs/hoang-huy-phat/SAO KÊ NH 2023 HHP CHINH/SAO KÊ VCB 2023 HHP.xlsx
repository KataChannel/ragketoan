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O KÊ VCB 202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<sst xmlns="http://schemas.openxmlformats.org/spreadsheetml/2006/main" count="5174" uniqueCount="697">
  <si>
    <t xml:space="preserve">SỔ TIỀN GỬI NGÂN HÀNG</t>
  </si>
  <si>
    <t xml:space="preserve">Tài khoản: 1121; TK Ngân hàng: 0291000312911 - Ngân hàng TMCP Ngoại thương Việt Nam; Năm 2023</t>
  </si>
  <si>
    <t xml:space="preserve">Ngày hạch toán</t>
  </si>
  <si>
    <t xml:space="preserve">Ngày chứng từ</t>
  </si>
  <si>
    <t xml:space="preserve">Số chứng từ</t>
  </si>
  <si>
    <t xml:space="preserve">Diễn giải</t>
  </si>
  <si>
    <t xml:space="preserve">TK đối ứng</t>
  </si>
  <si>
    <t xml:space="preserve">Thu</t>
  </si>
  <si>
    <t xml:space="preserve">Chi</t>
  </si>
  <si>
    <t xml:space="preserve">Tồn</t>
  </si>
  <si>
    <t xml:space="preserve">Tài khoản ngân hàng : 0291000312911 - Ngân hàng TMCP Ngoại thương Việt Nam (1398 )</t>
  </si>
  <si>
    <t xml:space="preserve">Số dư đầu kỳ</t>
  </si>
  <si>
    <t xml:space="preserve">03/012023</t>
  </si>
  <si>
    <t xml:space="preserve">NTTK00011</t>
  </si>
  <si>
    <t xml:space="preserve">Chi nộp tiền tài khoản</t>
  </si>
  <si>
    <t xml:space="preserve">1111</t>
  </si>
  <si>
    <t xml:space="preserve">UNC00016</t>
  </si>
  <si>
    <t xml:space="preserve">NTTK00012</t>
  </si>
  <si>
    <t xml:space="preserve">NTTK00013</t>
  </si>
  <si>
    <t xml:space="preserve">UNC00017</t>
  </si>
  <si>
    <t xml:space="preserve">UNC00018</t>
  </si>
  <si>
    <t xml:space="preserve">Trả mua hàng Bel</t>
  </si>
  <si>
    <t xml:space="preserve">UNC00067</t>
  </si>
  <si>
    <t xml:space="preserve">Trả các khoản vay</t>
  </si>
  <si>
    <t xml:space="preserve">3411</t>
  </si>
  <si>
    <t xml:space="preserve">NTTK00014</t>
  </si>
  <si>
    <t xml:space="preserve">Chi nộp tiền tài  khoản</t>
  </si>
  <si>
    <t xml:space="preserve">NTTK00015</t>
  </si>
  <si>
    <t xml:space="preserve">NTTK00016</t>
  </si>
  <si>
    <t xml:space="preserve">NTTK00017</t>
  </si>
  <si>
    <t xml:space="preserve">Trả mua hàng Súc sản</t>
  </si>
  <si>
    <t xml:space="preserve">NTTK00018</t>
  </si>
  <si>
    <t xml:space="preserve">NTTK00019</t>
  </si>
  <si>
    <t xml:space="preserve">UNC00019</t>
  </si>
  <si>
    <t xml:space="preserve">UNC00022</t>
  </si>
  <si>
    <t xml:space="preserve">UNC00037</t>
  </si>
  <si>
    <t xml:space="preserve">Phí ngân hàng</t>
  </si>
  <si>
    <t xml:space="preserve">UNC00068</t>
  </si>
  <si>
    <t xml:space="preserve">UNC00023</t>
  </si>
  <si>
    <t xml:space="preserve">NTTK00020</t>
  </si>
  <si>
    <t xml:space="preserve">NTTK00021</t>
  </si>
  <si>
    <t xml:space="preserve">NTTK00022</t>
  </si>
  <si>
    <t xml:space="preserve">NTTK00023</t>
  </si>
  <si>
    <t xml:space="preserve">NTTK00024</t>
  </si>
  <si>
    <t xml:space="preserve">NTTK00025</t>
  </si>
  <si>
    <t xml:space="preserve">NTTK00026</t>
  </si>
  <si>
    <t xml:space="preserve">NTTK00027</t>
  </si>
  <si>
    <t xml:space="preserve">UNC00024</t>
  </si>
  <si>
    <t xml:space="preserve">UNC00025</t>
  </si>
  <si>
    <t xml:space="preserve">UNC00026</t>
  </si>
  <si>
    <t xml:space="preserve">UNC00027</t>
  </si>
  <si>
    <t xml:space="preserve">UNC00028</t>
  </si>
  <si>
    <t xml:space="preserve">Trả mua hàng bel</t>
  </si>
  <si>
    <t xml:space="preserve">NTTK00028</t>
  </si>
  <si>
    <t xml:space="preserve">NTTK00029</t>
  </si>
  <si>
    <t xml:space="preserve">UNC00029</t>
  </si>
  <si>
    <t xml:space="preserve">UNC00031</t>
  </si>
  <si>
    <t xml:space="preserve">Trích trả lãi vay</t>
  </si>
  <si>
    <t xml:space="preserve">NTTK00030</t>
  </si>
  <si>
    <t xml:space="preserve">NTTK00031</t>
  </si>
  <si>
    <t xml:space="preserve">NTTK00032</t>
  </si>
  <si>
    <t xml:space="preserve">UNC00030</t>
  </si>
  <si>
    <t xml:space="preserve">UNC00032</t>
  </si>
  <si>
    <t xml:space="preserve">Trả mua hàng Hồng Anh</t>
  </si>
  <si>
    <t xml:space="preserve">UNC00033</t>
  </si>
  <si>
    <t xml:space="preserve">UNC00034</t>
  </si>
  <si>
    <t xml:space="preserve">NTTK00033</t>
  </si>
  <si>
    <t xml:space="preserve">NTTK00034</t>
  </si>
  <si>
    <t xml:space="preserve">NTTK00035</t>
  </si>
  <si>
    <t xml:space="preserve">NTTK00036</t>
  </si>
  <si>
    <t xml:space="preserve">NTTK00037</t>
  </si>
  <si>
    <t xml:space="preserve">NTTK00038</t>
  </si>
  <si>
    <t xml:space="preserve">UNC00035</t>
  </si>
  <si>
    <t xml:space="preserve">635 (01)</t>
  </si>
  <si>
    <t xml:space="preserve">UNC00036</t>
  </si>
  <si>
    <t xml:space="preserve">Trả mua hàng cholimex</t>
  </si>
  <si>
    <t xml:space="preserve">UNC00038</t>
  </si>
  <si>
    <t xml:space="preserve">UNC00039</t>
  </si>
  <si>
    <t xml:space="preserve">NTTK00039</t>
  </si>
  <si>
    <t xml:space="preserve">NTTK00040</t>
  </si>
  <si>
    <t xml:space="preserve">NTTK00041</t>
  </si>
  <si>
    <t xml:space="preserve">UNC00040</t>
  </si>
  <si>
    <t xml:space="preserve">UNC00041</t>
  </si>
  <si>
    <t xml:space="preserve">NTTK00042</t>
  </si>
  <si>
    <t xml:space="preserve">NTTK00043</t>
  </si>
  <si>
    <t xml:space="preserve">NTTK00044</t>
  </si>
  <si>
    <t xml:space="preserve">UNC00042</t>
  </si>
  <si>
    <t xml:space="preserve">UNC00043</t>
  </si>
  <si>
    <t xml:space="preserve">UNC00044</t>
  </si>
  <si>
    <t xml:space="preserve">UNC00045</t>
  </si>
  <si>
    <t xml:space="preserve">NTTK00045</t>
  </si>
  <si>
    <t xml:space="preserve">NTTK00046</t>
  </si>
  <si>
    <t xml:space="preserve">635 (02)</t>
  </si>
  <si>
    <t xml:space="preserve">UNC00046</t>
  </si>
  <si>
    <t xml:space="preserve">NTTK00047</t>
  </si>
  <si>
    <t xml:space="preserve">NTTK00048</t>
  </si>
  <si>
    <t xml:space="preserve">NTTK00049</t>
  </si>
  <si>
    <t xml:space="preserve">UNC00047</t>
  </si>
  <si>
    <t xml:space="preserve">UNC00048</t>
  </si>
  <si>
    <t xml:space="preserve">UNC00049</t>
  </si>
  <si>
    <t xml:space="preserve">NTTK00050</t>
  </si>
  <si>
    <t xml:space="preserve">NTTK00051</t>
  </si>
  <si>
    <t xml:space="preserve">NTTK00052</t>
  </si>
  <si>
    <t xml:space="preserve">NTTK00053</t>
  </si>
  <si>
    <t xml:space="preserve">NTTK00054</t>
  </si>
  <si>
    <t xml:space="preserve">NTTK00055</t>
  </si>
  <si>
    <t xml:space="preserve">UNC00050</t>
  </si>
  <si>
    <t xml:space="preserve">UNC00051</t>
  </si>
  <si>
    <t xml:space="preserve">UNC00052</t>
  </si>
  <si>
    <t xml:space="preserve">NTTK00056</t>
  </si>
  <si>
    <t xml:space="preserve">Nộp MB</t>
  </si>
  <si>
    <t xml:space="preserve">NTTK00057</t>
  </si>
  <si>
    <t xml:space="preserve">NTTK00058</t>
  </si>
  <si>
    <t xml:space="preserve">NTTK00059</t>
  </si>
  <si>
    <t xml:space="preserve">UNC00053</t>
  </si>
  <si>
    <t xml:space="preserve">UNC00054</t>
  </si>
  <si>
    <t xml:space="preserve">UNC00055</t>
  </si>
  <si>
    <t xml:space="preserve">NTTK00060</t>
  </si>
  <si>
    <t xml:space="preserve">Thanh toán tiền hàng Cty Yến </t>
  </si>
  <si>
    <t xml:space="preserve">NTTK00061</t>
  </si>
  <si>
    <t xml:space="preserve">NTTK00062</t>
  </si>
  <si>
    <t xml:space="preserve">thu lãi nh</t>
  </si>
  <si>
    <t xml:space="preserve">NTTK00063</t>
  </si>
  <si>
    <t xml:space="preserve">Trả nợ</t>
  </si>
  <si>
    <t xml:space="preserve">UNC00056</t>
  </si>
  <si>
    <t xml:space="preserve">UNC00057</t>
  </si>
  <si>
    <t xml:space="preserve">UNC00058</t>
  </si>
  <si>
    <t xml:space="preserve">UNC00059</t>
  </si>
  <si>
    <t xml:space="preserve">NTTK00064</t>
  </si>
  <si>
    <t xml:space="preserve">NTTK00065</t>
  </si>
  <si>
    <t xml:space="preserve">NTTK00066</t>
  </si>
  <si>
    <t xml:space="preserve">UNC00060</t>
  </si>
  <si>
    <t xml:space="preserve">UNC00061</t>
  </si>
  <si>
    <t xml:space="preserve">UNC00062</t>
  </si>
  <si>
    <t xml:space="preserve">NTTK00067</t>
  </si>
  <si>
    <t xml:space="preserve">NTTK00068</t>
  </si>
  <si>
    <t xml:space="preserve">NTTK00069</t>
  </si>
  <si>
    <t xml:space="preserve">UNC00063</t>
  </si>
  <si>
    <t xml:space="preserve">UNC00064</t>
  </si>
  <si>
    <t xml:space="preserve">UNC00829</t>
  </si>
  <si>
    <t xml:space="preserve">UNC00830</t>
  </si>
  <si>
    <t xml:space="preserve">UNC00065</t>
  </si>
  <si>
    <t xml:space="preserve">NTTK00070</t>
  </si>
  <si>
    <t xml:space="preserve">NTTK00071</t>
  </si>
  <si>
    <t xml:space="preserve">NTTK00073</t>
  </si>
  <si>
    <t xml:space="preserve">NTTK00074</t>
  </si>
  <si>
    <t xml:space="preserve">NTTK00075</t>
  </si>
  <si>
    <t xml:space="preserve">NTTK00076</t>
  </si>
  <si>
    <t xml:space="preserve">NTTK00077</t>
  </si>
  <si>
    <t xml:space="preserve">UNC00085</t>
  </si>
  <si>
    <t xml:space="preserve">NTTK00078</t>
  </si>
  <si>
    <t xml:space="preserve">NTTK00079</t>
  </si>
  <si>
    <t xml:space="preserve">UNC00087</t>
  </si>
  <si>
    <t xml:space="preserve">UNC00088</t>
  </si>
  <si>
    <t xml:space="preserve">UNC00089</t>
  </si>
  <si>
    <t xml:space="preserve">NTTK00080</t>
  </si>
  <si>
    <t xml:space="preserve">NTTK00081</t>
  </si>
  <si>
    <t xml:space="preserve">Nguyễn Thị Tâm nộp tiền</t>
  </si>
  <si>
    <t xml:space="preserve">NTTK00082</t>
  </si>
  <si>
    <t xml:space="preserve">UNC00090</t>
  </si>
  <si>
    <t xml:space="preserve">UNC00091</t>
  </si>
  <si>
    <t xml:space="preserve">NTTK00083</t>
  </si>
  <si>
    <t xml:space="preserve">NTTK00084</t>
  </si>
  <si>
    <t xml:space="preserve">NTTK00085</t>
  </si>
  <si>
    <t xml:space="preserve">UNC00092</t>
  </si>
  <si>
    <t xml:space="preserve">Phí chuyển Thanh toán tiền hàng Cty Yến </t>
  </si>
  <si>
    <t xml:space="preserve">NTTK00086</t>
  </si>
  <si>
    <t xml:space="preserve">NTTK00087</t>
  </si>
  <si>
    <t xml:space="preserve">NTTK00088</t>
  </si>
  <si>
    <t xml:space="preserve">NTTK00089</t>
  </si>
  <si>
    <t xml:space="preserve">NTTK00090</t>
  </si>
  <si>
    <t xml:space="preserve">NTTK00091</t>
  </si>
  <si>
    <t xml:space="preserve">NTTK00092</t>
  </si>
  <si>
    <t xml:space="preserve">NTTK00093</t>
  </si>
  <si>
    <t xml:space="preserve">UNC00093</t>
  </si>
  <si>
    <t xml:space="preserve">UNC00094</t>
  </si>
  <si>
    <t xml:space="preserve">NTTK00094</t>
  </si>
  <si>
    <t xml:space="preserve">UNC00095</t>
  </si>
  <si>
    <t xml:space="preserve">Thanh toán tiền hàng Cty Nabati</t>
  </si>
  <si>
    <t xml:space="preserve">331</t>
  </si>
  <si>
    <t xml:space="preserve">NTTK00095</t>
  </si>
  <si>
    <t xml:space="preserve">NTTK00096</t>
  </si>
  <si>
    <t xml:space="preserve">NTTK00097</t>
  </si>
  <si>
    <t xml:space="preserve">NTTK00098</t>
  </si>
  <si>
    <t xml:space="preserve">UNC00096</t>
  </si>
  <si>
    <t xml:space="preserve">UNC00097</t>
  </si>
  <si>
    <t xml:space="preserve">NTTK00099</t>
  </si>
  <si>
    <t xml:space="preserve">NTTK00100</t>
  </si>
  <si>
    <t xml:space="preserve">NTTK00101</t>
  </si>
  <si>
    <t xml:space="preserve">NTTK00102</t>
  </si>
  <si>
    <t xml:space="preserve">UNC00098</t>
  </si>
  <si>
    <t xml:space="preserve">UNC00099</t>
  </si>
  <si>
    <t xml:space="preserve">NTTK00103</t>
  </si>
  <si>
    <t xml:space="preserve">NTTK00104</t>
  </si>
  <si>
    <t xml:space="preserve">NTTK00105</t>
  </si>
  <si>
    <t xml:space="preserve">UNC00100</t>
  </si>
  <si>
    <t xml:space="preserve">UNC00101</t>
  </si>
  <si>
    <t xml:space="preserve">UNC00102</t>
  </si>
  <si>
    <t xml:space="preserve">UNC00103</t>
  </si>
  <si>
    <t xml:space="preserve">NTTK00106</t>
  </si>
  <si>
    <t xml:space="preserve">NTTK00107</t>
  </si>
  <si>
    <t xml:space="preserve">Thanh toán tiền hàng Cty bel</t>
  </si>
  <si>
    <t xml:space="preserve">NTTK00108</t>
  </si>
  <si>
    <t xml:space="preserve">NTTK00109</t>
  </si>
  <si>
    <t xml:space="preserve">UNC00104</t>
  </si>
  <si>
    <t xml:space="preserve">UNC00105</t>
  </si>
  <si>
    <t xml:space="preserve">NTTK00110</t>
  </si>
  <si>
    <t xml:space="preserve">NTTK00111</t>
  </si>
  <si>
    <t xml:space="preserve">NTTK00112</t>
  </si>
  <si>
    <t xml:space="preserve">UNC00106</t>
  </si>
  <si>
    <t xml:space="preserve">NTTK00113</t>
  </si>
  <si>
    <t xml:space="preserve">NTTK00114</t>
  </si>
  <si>
    <t xml:space="preserve">NTTK00115</t>
  </si>
  <si>
    <t xml:space="preserve">NTTK00116</t>
  </si>
  <si>
    <t xml:space="preserve">UNC00107</t>
  </si>
  <si>
    <t xml:space="preserve">UNC00108</t>
  </si>
  <si>
    <t xml:space="preserve">UNC00109</t>
  </si>
  <si>
    <t xml:space="preserve">UNC00110</t>
  </si>
  <si>
    <t xml:space="preserve">NTTK00117</t>
  </si>
  <si>
    <t xml:space="preserve">NTTK00118</t>
  </si>
  <si>
    <t xml:space="preserve">NTTK00119</t>
  </si>
  <si>
    <t xml:space="preserve">UNC00111</t>
  </si>
  <si>
    <t xml:space="preserve">UNC00112</t>
  </si>
  <si>
    <t xml:space="preserve">Thanh toán tiền hàng Cty súc sản</t>
  </si>
  <si>
    <t xml:space="preserve">Phí Thanh toán tiền hàng Cty Nabati</t>
  </si>
  <si>
    <t xml:space="preserve">NTTK00120</t>
  </si>
  <si>
    <t xml:space="preserve">NTTK00121</t>
  </si>
  <si>
    <t xml:space="preserve">NTTK00122</t>
  </si>
  <si>
    <t xml:space="preserve">NTTK00123</t>
  </si>
  <si>
    <t xml:space="preserve">NTTK00124</t>
  </si>
  <si>
    <t xml:space="preserve">UNC00113</t>
  </si>
  <si>
    <t xml:space="preserve">UNC00114</t>
  </si>
  <si>
    <t xml:space="preserve">UNC00115</t>
  </si>
  <si>
    <t xml:space="preserve">UNC00116</t>
  </si>
  <si>
    <t xml:space="preserve">NTTK00125</t>
  </si>
  <si>
    <t xml:space="preserve">Thanh toán tiền hàng Cty Bel </t>
  </si>
  <si>
    <t xml:space="preserve">NTTK00126</t>
  </si>
  <si>
    <t xml:space="preserve"> phí Thanh toán tiền hàng Cty Bel </t>
  </si>
  <si>
    <t xml:space="preserve">NTTK00127</t>
  </si>
  <si>
    <t xml:space="preserve">NTTK00128</t>
  </si>
  <si>
    <t xml:space="preserve">NTTK00129</t>
  </si>
  <si>
    <t xml:space="preserve">NTTK00130</t>
  </si>
  <si>
    <t xml:space="preserve">UNC00117</t>
  </si>
  <si>
    <t xml:space="preserve">Phí Thanh toán tiền hàng Cty Bel </t>
  </si>
  <si>
    <t xml:space="preserve">UNC00118</t>
  </si>
  <si>
    <t xml:space="preserve">UNC00119</t>
  </si>
  <si>
    <t xml:space="preserve">NTTK00135</t>
  </si>
  <si>
    <t xml:space="preserve">NTTK00136</t>
  </si>
  <si>
    <t xml:space="preserve">NTTK00137</t>
  </si>
  <si>
    <t xml:space="preserve">UNC00145</t>
  </si>
  <si>
    <t xml:space="preserve">UNC00146</t>
  </si>
  <si>
    <t xml:space="preserve">NTTK00138</t>
  </si>
  <si>
    <t xml:space="preserve">NTTK00139</t>
  </si>
  <si>
    <t xml:space="preserve">UNC00147</t>
  </si>
  <si>
    <t xml:space="preserve">UNC00148</t>
  </si>
  <si>
    <t xml:space="preserve">NTTK00140</t>
  </si>
  <si>
    <t xml:space="preserve">NTTK00141</t>
  </si>
  <si>
    <t xml:space="preserve">NTTK00142</t>
  </si>
  <si>
    <t xml:space="preserve">UNC00149</t>
  </si>
  <si>
    <t xml:space="preserve">UNC00150</t>
  </si>
  <si>
    <t xml:space="preserve">NTTK00143</t>
  </si>
  <si>
    <t xml:space="preserve">NTTK00144</t>
  </si>
  <si>
    <t xml:space="preserve">Lãi ngân hàng</t>
  </si>
  <si>
    <t xml:space="preserve">NTTK00145</t>
  </si>
  <si>
    <t xml:space="preserve">NTTK00146</t>
  </si>
  <si>
    <t xml:space="preserve">NTTK00147</t>
  </si>
  <si>
    <t xml:space="preserve">NTTK00148</t>
  </si>
  <si>
    <t xml:space="preserve">UNC00151</t>
  </si>
  <si>
    <t xml:space="preserve">UNC00152</t>
  </si>
  <si>
    <t xml:space="preserve">UNC00153</t>
  </si>
  <si>
    <t xml:space="preserve">UNC00154</t>
  </si>
  <si>
    <t xml:space="preserve">NTTK00149</t>
  </si>
  <si>
    <t xml:space="preserve">NTTK00150</t>
  </si>
  <si>
    <t xml:space="preserve">NTTK00151</t>
  </si>
  <si>
    <t xml:space="preserve">UNC00155</t>
  </si>
  <si>
    <t xml:space="preserve">UNC00156</t>
  </si>
  <si>
    <t xml:space="preserve">Thanh toán tiền hàng Cty Vissan</t>
  </si>
  <si>
    <t xml:space="preserve">NTTK00152</t>
  </si>
  <si>
    <t xml:space="preserve">NTTK00153</t>
  </si>
  <si>
    <t xml:space="preserve">NTTK00154</t>
  </si>
  <si>
    <t xml:space="preserve">UNC00157</t>
  </si>
  <si>
    <t xml:space="preserve">UNC00158</t>
  </si>
  <si>
    <t xml:space="preserve">UNC00159</t>
  </si>
  <si>
    <t xml:space="preserve">NTTK00155</t>
  </si>
  <si>
    <t xml:space="preserve">NTTK00156</t>
  </si>
  <si>
    <t xml:space="preserve">NTTK00157</t>
  </si>
  <si>
    <t xml:space="preserve">NTTK00158</t>
  </si>
  <si>
    <t xml:space="preserve">UNC00160</t>
  </si>
  <si>
    <t xml:space="preserve">UNC00161</t>
  </si>
  <si>
    <t xml:space="preserve">NTTK00159</t>
  </si>
  <si>
    <t xml:space="preserve">UNC00197</t>
  </si>
  <si>
    <t xml:space="preserve">NTTK00160</t>
  </si>
  <si>
    <t xml:space="preserve">Trịnh Thị Lý nộp tiền</t>
  </si>
  <si>
    <t xml:space="preserve">NTTK00161</t>
  </si>
  <si>
    <t xml:space="preserve">Thanh toán tiền hàng Cty Bel</t>
  </si>
  <si>
    <t xml:space="preserve">UNC00163</t>
  </si>
  <si>
    <t xml:space="preserve">UNC00196</t>
  </si>
  <si>
    <t xml:space="preserve">NTTK00162</t>
  </si>
  <si>
    <t xml:space="preserve">UNC00164</t>
  </si>
  <si>
    <t xml:space="preserve">NTTK00163</t>
  </si>
  <si>
    <t xml:space="preserve">NTTK00164</t>
  </si>
  <si>
    <t xml:space="preserve">NTTK00165</t>
  </si>
  <si>
    <t xml:space="preserve">UNC00165</t>
  </si>
  <si>
    <t xml:space="preserve">UNC00166</t>
  </si>
  <si>
    <t xml:space="preserve">UNC00167</t>
  </si>
  <si>
    <t xml:space="preserve">UNC00168</t>
  </si>
  <si>
    <t xml:space="preserve">NTTK00166</t>
  </si>
  <si>
    <t xml:space="preserve">NTTK00167</t>
  </si>
  <si>
    <t xml:space="preserve">NTTK00168</t>
  </si>
  <si>
    <t xml:space="preserve">UNC00169</t>
  </si>
  <si>
    <t xml:space="preserve">UNC00170</t>
  </si>
  <si>
    <t xml:space="preserve">NTTK00169</t>
  </si>
  <si>
    <t xml:space="preserve">NTTK00170</t>
  </si>
  <si>
    <t xml:space="preserve">NTTK00171</t>
  </si>
  <si>
    <t xml:space="preserve">NTTK00172</t>
  </si>
  <si>
    <t xml:space="preserve">UNC00171</t>
  </si>
  <si>
    <t xml:space="preserve">NTTK00173</t>
  </si>
  <si>
    <t xml:space="preserve">NTTK00174</t>
  </si>
  <si>
    <t xml:space="preserve">NTTK00175</t>
  </si>
  <si>
    <t xml:space="preserve">NTTK00176</t>
  </si>
  <si>
    <t xml:space="preserve">NTTK00177</t>
  </si>
  <si>
    <t xml:space="preserve">NTTK00178</t>
  </si>
  <si>
    <t xml:space="preserve">UNC00172</t>
  </si>
  <si>
    <t xml:space="preserve">UNC00173</t>
  </si>
  <si>
    <t xml:space="preserve">UNC00174</t>
  </si>
  <si>
    <t xml:space="preserve">UNC00175</t>
  </si>
  <si>
    <t xml:space="preserve">UNC00176</t>
  </si>
  <si>
    <t xml:space="preserve">NTTK00179</t>
  </si>
  <si>
    <t xml:space="preserve">NTTK00180</t>
  </si>
  <si>
    <t xml:space="preserve">NTTK00181</t>
  </si>
  <si>
    <t xml:space="preserve">NTTK00182</t>
  </si>
  <si>
    <t xml:space="preserve">UNC00177</t>
  </si>
  <si>
    <t xml:space="preserve">UNC00178</t>
  </si>
  <si>
    <t xml:space="preserve">UNC00179</t>
  </si>
  <si>
    <t xml:space="preserve">NTTK00183</t>
  </si>
  <si>
    <t xml:space="preserve">NTTK00184</t>
  </si>
  <si>
    <t xml:space="preserve">UNC00180</t>
  </si>
  <si>
    <t xml:space="preserve">UNC00181</t>
  </si>
  <si>
    <t xml:space="preserve">NTTK00185</t>
  </si>
  <si>
    <t xml:space="preserve">NTTK00186</t>
  </si>
  <si>
    <t xml:space="preserve">NTTK00187</t>
  </si>
  <si>
    <t xml:space="preserve">NTTK00188</t>
  </si>
  <si>
    <t xml:space="preserve">NTTK00189</t>
  </si>
  <si>
    <t xml:space="preserve">UNC00182</t>
  </si>
  <si>
    <t xml:space="preserve">UNC00183</t>
  </si>
  <si>
    <t xml:space="preserve">NTTK00190</t>
  </si>
  <si>
    <t xml:space="preserve">NTTK00191</t>
  </si>
  <si>
    <t xml:space="preserve">NTTK00192</t>
  </si>
  <si>
    <t xml:space="preserve">NTTK00193</t>
  </si>
  <si>
    <t xml:space="preserve">UNC00184</t>
  </si>
  <si>
    <t xml:space="preserve">UNC00185</t>
  </si>
  <si>
    <t xml:space="preserve">UNC00186</t>
  </si>
  <si>
    <t xml:space="preserve">NTTK00194</t>
  </si>
  <si>
    <t xml:space="preserve">NTTK00195</t>
  </si>
  <si>
    <t xml:space="preserve">NTTK00196</t>
  </si>
  <si>
    <t xml:space="preserve">NTTK00197</t>
  </si>
  <si>
    <t xml:space="preserve">NTTK00198</t>
  </si>
  <si>
    <t xml:space="preserve">NTTK00199</t>
  </si>
  <si>
    <t xml:space="preserve">UNC00187</t>
  </si>
  <si>
    <t xml:space="preserve">UNC00188</t>
  </si>
  <si>
    <t xml:space="preserve">NTTK00200</t>
  </si>
  <si>
    <t xml:space="preserve">NTTK00201</t>
  </si>
  <si>
    <t xml:space="preserve">NTTK00202</t>
  </si>
  <si>
    <t xml:space="preserve">NTTK00203</t>
  </si>
  <si>
    <t xml:space="preserve">UNC00189</t>
  </si>
  <si>
    <t xml:space="preserve">NTTK00204</t>
  </si>
  <si>
    <t xml:space="preserve">NTTK00205</t>
  </si>
  <si>
    <t xml:space="preserve">Thanh toán tiền hàng Cty Sanest Khánh Hòa</t>
  </si>
  <si>
    <t xml:space="preserve">NTTK00206</t>
  </si>
  <si>
    <t xml:space="preserve">UNC00190</t>
  </si>
  <si>
    <t xml:space="preserve">UNC00191</t>
  </si>
  <si>
    <t xml:space="preserve">UNC00192</t>
  </si>
  <si>
    <t xml:space="preserve">NTTK00207</t>
  </si>
  <si>
    <t xml:space="preserve">NTTK00208</t>
  </si>
  <si>
    <t xml:space="preserve">NTTK00209</t>
  </si>
  <si>
    <t xml:space="preserve">NTTK</t>
  </si>
  <si>
    <t xml:space="preserve">UNC</t>
  </si>
  <si>
    <t xml:space="preserve">NTTK00234</t>
  </si>
  <si>
    <t xml:space="preserve">Nuyễn Thị Đang Loan</t>
  </si>
  <si>
    <t xml:space="preserve">NTTK00235</t>
  </si>
  <si>
    <t xml:space="preserve">NTTK00236</t>
  </si>
  <si>
    <t xml:space="preserve">NTTK00237</t>
  </si>
  <si>
    <t xml:space="preserve">NTTK00238</t>
  </si>
  <si>
    <t xml:space="preserve">NTTK00239</t>
  </si>
  <si>
    <t xml:space="preserve">NT</t>
  </si>
  <si>
    <t xml:space="preserve">Thanh toán tiền hàng Cty Sanest</t>
  </si>
  <si>
    <t xml:space="preserve">UNC00216</t>
  </si>
  <si>
    <t xml:space="preserve">NTTK00248</t>
  </si>
  <si>
    <t xml:space="preserve">Luân chuyển nội bộ</t>
  </si>
  <si>
    <t xml:space="preserve">UNC00227</t>
  </si>
  <si>
    <t xml:space="preserve">NTTK00250</t>
  </si>
  <si>
    <t xml:space="preserve">Trả gốc vay</t>
  </si>
  <si>
    <t xml:space="preserve">NTTK00251</t>
  </si>
  <si>
    <t xml:space="preserve">NTTK00252</t>
  </si>
  <si>
    <t xml:space="preserve">NTTK00253</t>
  </si>
  <si>
    <t xml:space="preserve">UNC00218</t>
  </si>
  <si>
    <t xml:space="preserve">UNC00219</t>
  </si>
  <si>
    <t xml:space="preserve">NTTK00259</t>
  </si>
  <si>
    <t xml:space="preserve">UNC00225</t>
  </si>
  <si>
    <t xml:space="preserve">NTTK00262</t>
  </si>
  <si>
    <t xml:space="preserve">UNC00228</t>
  </si>
  <si>
    <t xml:space="preserve">NTTK00264</t>
  </si>
  <si>
    <t xml:space="preserve">NTTK00265</t>
  </si>
  <si>
    <t xml:space="preserve">NTTK00266</t>
  </si>
  <si>
    <t xml:space="preserve">NTTK00267</t>
  </si>
  <si>
    <t xml:space="preserve">NTTK00269</t>
  </si>
  <si>
    <t xml:space="preserve">NTTK00270</t>
  </si>
  <si>
    <t xml:space="preserve">NTTK00271</t>
  </si>
  <si>
    <t xml:space="preserve">Trả các trả khoản vay</t>
  </si>
  <si>
    <t xml:space="preserve">UNC00231</t>
  </si>
  <si>
    <t xml:space="preserve">NTTK00272</t>
  </si>
  <si>
    <t xml:space="preserve">UNC00235</t>
  </si>
  <si>
    <t xml:space="preserve">UNC00237</t>
  </si>
  <si>
    <t xml:space="preserve">UNC00238</t>
  </si>
  <si>
    <t xml:space="preserve">UNC00252</t>
  </si>
  <si>
    <t xml:space="preserve">UNC00239</t>
  </si>
  <si>
    <t xml:space="preserve">lãi Phí ngân hàng</t>
  </si>
  <si>
    <t xml:space="preserve">UNC00240</t>
  </si>
  <si>
    <t xml:space="preserve">UNC00281</t>
  </si>
  <si>
    <t xml:space="preserve">UNC00243</t>
  </si>
  <si>
    <t xml:space="preserve">UNC00244</t>
  </si>
  <si>
    <t xml:space="preserve">NTTK00291</t>
  </si>
  <si>
    <t xml:space="preserve">UNC00275</t>
  </si>
  <si>
    <t xml:space="preserve">UNC00247</t>
  </si>
  <si>
    <t xml:space="preserve">UNC00248</t>
  </si>
  <si>
    <t xml:space="preserve">NTTK00306</t>
  </si>
  <si>
    <t xml:space="preserve">NTTK00307</t>
  </si>
  <si>
    <t xml:space="preserve">UNC00250</t>
  </si>
  <si>
    <t xml:space="preserve">UNC00251</t>
  </si>
  <si>
    <t xml:space="preserve">NTTK00315</t>
  </si>
  <si>
    <t xml:space="preserve">NTTK00316</t>
  </si>
  <si>
    <t xml:space="preserve">NTTK00317</t>
  </si>
  <si>
    <t xml:space="preserve">NTTK00318</t>
  </si>
  <si>
    <t xml:space="preserve">NTTK00319</t>
  </si>
  <si>
    <t xml:space="preserve">NTTK00320</t>
  </si>
  <si>
    <t xml:space="preserve">NTTK00321</t>
  </si>
  <si>
    <t xml:space="preserve">NTTK00322</t>
  </si>
  <si>
    <t xml:space="preserve">NTTK00323</t>
  </si>
  <si>
    <t xml:space="preserve">UNC00276</t>
  </si>
  <si>
    <t xml:space="preserve">UNC00277</t>
  </si>
  <si>
    <t xml:space="preserve">Thanh toán tiền hàng Cty Sanesst</t>
  </si>
  <si>
    <t xml:space="preserve">TT</t>
  </si>
  <si>
    <t xml:space="preserve">lãi tiền gửi</t>
  </si>
  <si>
    <t xml:space="preserve">Nộp thuế TNDN</t>
  </si>
  <si>
    <t xml:space="preserve">TTL</t>
  </si>
  <si>
    <t xml:space="preserve">TL</t>
  </si>
  <si>
    <t xml:space="preserve">Lãi NH</t>
  </si>
  <si>
    <t xml:space="preserve">Trích lãi vay</t>
  </si>
  <si>
    <t xml:space="preserve">Nguyễn Thị Đăng Loan nộp tiền</t>
  </si>
  <si>
    <t xml:space="preserve">TLNH</t>
  </si>
  <si>
    <t xml:space="preserve">LTG</t>
  </si>
  <si>
    <t xml:space="preserve">Nôp thuế TNDN</t>
  </si>
  <si>
    <t xml:space="preserve">UNC00550</t>
  </si>
  <si>
    <t xml:space="preserve">Lãi tiền gửi</t>
  </si>
  <si>
    <t xml:space="preserve">Thanh toán tiền hàng Cty Sanet</t>
  </si>
  <si>
    <t xml:space="preserve">LNH</t>
  </si>
  <si>
    <t xml:space="preserve"> phí ngân hàng</t>
  </si>
  <si>
    <t xml:space="preserve">phí ngân hàng</t>
  </si>
  <si>
    <t xml:space="preserve">Trích nộp Thuế sau QT 2021</t>
  </si>
  <si>
    <t xml:space="preserve">4211</t>
  </si>
  <si>
    <t xml:space="preserve">Lãi tài khoản</t>
  </si>
  <si>
    <t xml:space="preserve">UN</t>
  </si>
  <si>
    <t xml:space="preserve">NTKM</t>
  </si>
  <si>
    <t xml:space="preserve">CHOLIME Hổ trợ</t>
  </si>
  <si>
    <t xml:space="preserve">Thu tiền bảo hiểm</t>
  </si>
  <si>
    <t xml:space="preserve">515</t>
  </si>
  <si>
    <t xml:space="preserve">T0123-30206</t>
  </si>
  <si>
    <t xml:space="preserve">VAY NGẮN HẠN</t>
  </si>
  <si>
    <t xml:space="preserve">C0123-00073</t>
  </si>
  <si>
    <t xml:space="preserve">VCC - Vay VCB tt tiền hàng Cty CLM</t>
  </si>
  <si>
    <t xml:space="preserve">C0123-00074</t>
  </si>
  <si>
    <t xml:space="preserve">C0123-00174</t>
  </si>
  <si>
    <t xml:space="preserve">VCC -Vay VCB tt tiền hàng Cty Yến</t>
  </si>
  <si>
    <t xml:space="preserve">T0123-32716</t>
  </si>
  <si>
    <t xml:space="preserve">C0123-00227</t>
  </si>
  <si>
    <t xml:space="preserve">VCC -Vay VCB tt tiền hàng Cty VS+NBT</t>
  </si>
  <si>
    <t xml:space="preserve">T0123-33829</t>
  </si>
  <si>
    <t xml:space="preserve">C0123-00292</t>
  </si>
  <si>
    <t xml:space="preserve">VCC - Vay VCB tt tiền hàng Cty Vissan</t>
  </si>
  <si>
    <t xml:space="preserve">T0123-34638</t>
  </si>
  <si>
    <t xml:space="preserve">C0123-00362</t>
  </si>
  <si>
    <t xml:space="preserve">VCC - Vay VCB tt tiền hàng Cty Yến</t>
  </si>
  <si>
    <t xml:space="preserve">T0123-36023</t>
  </si>
  <si>
    <t xml:space="preserve">C0123-00515</t>
  </si>
  <si>
    <t xml:space="preserve">VCC -Vay VCB tt tiền hàng Cty Nbt</t>
  </si>
  <si>
    <t xml:space="preserve">T0123-36416</t>
  </si>
  <si>
    <t xml:space="preserve">C0123-00561</t>
  </si>
  <si>
    <t xml:space="preserve">VCC - Vay VCB TT tiền hàng Cty Yến</t>
  </si>
  <si>
    <t xml:space="preserve">T0123-36837</t>
  </si>
  <si>
    <t xml:space="preserve">C0223-00018</t>
  </si>
  <si>
    <t xml:space="preserve">VCC - Vay VCB tt tiền hàng Cty VS</t>
  </si>
  <si>
    <t xml:space="preserve">T0523-61844</t>
  </si>
  <si>
    <t xml:space="preserve">C0223-00035</t>
  </si>
  <si>
    <t xml:space="preserve">T0223-37191</t>
  </si>
  <si>
    <t xml:space="preserve">C0223-00145</t>
  </si>
  <si>
    <t xml:space="preserve">C0223-00175</t>
  </si>
  <si>
    <t xml:space="preserve">VCC - Vay VCB tt tiền hàng Cty Yến+VS+NBT</t>
  </si>
  <si>
    <t xml:space="preserve">T0223-39346</t>
  </si>
  <si>
    <t xml:space="preserve">T0223-40268</t>
  </si>
  <si>
    <t xml:space="preserve">T0223-64057</t>
  </si>
  <si>
    <t xml:space="preserve">C0223-00282</t>
  </si>
  <si>
    <t xml:space="preserve">VCC -Vay VCB tt tiền hàng Cty Vissan</t>
  </si>
  <si>
    <t xml:space="preserve">C0223-00329</t>
  </si>
  <si>
    <t xml:space="preserve">C0223-00332</t>
  </si>
  <si>
    <t xml:space="preserve">VCC -Vay VCB tt tiền hàng Cty Nabati</t>
  </si>
  <si>
    <t xml:space="preserve">T0223-41319</t>
  </si>
  <si>
    <t xml:space="preserve">C0223-00408</t>
  </si>
  <si>
    <t xml:space="preserve">VCC -Vay Vcb tt tiền hàng Cty Clm</t>
  </si>
  <si>
    <t xml:space="preserve">T0223-42318</t>
  </si>
  <si>
    <t xml:space="preserve">C0223-00477</t>
  </si>
  <si>
    <t xml:space="preserve">T0323-09200</t>
  </si>
  <si>
    <t xml:space="preserve">T0323-09827</t>
  </si>
  <si>
    <t xml:space="preserve">C0223-00479</t>
  </si>
  <si>
    <t xml:space="preserve">C0223-00432</t>
  </si>
  <si>
    <t xml:space="preserve">T0223-10000</t>
  </si>
  <si>
    <t xml:space="preserve">C0323-00079</t>
  </si>
  <si>
    <t xml:space="preserve">VCC -Vay VCB tt tiền hàng Cty CLM</t>
  </si>
  <si>
    <t xml:space="preserve">T0323-06929</t>
  </si>
  <si>
    <t xml:space="preserve">C0323-00190</t>
  </si>
  <si>
    <t xml:space="preserve">T0323-07284</t>
  </si>
  <si>
    <t xml:space="preserve">C0323-00288</t>
  </si>
  <si>
    <t xml:space="preserve">T0323-07818</t>
  </si>
  <si>
    <t xml:space="preserve">C0323-00314</t>
  </si>
  <si>
    <t xml:space="preserve">T0323-07836</t>
  </si>
  <si>
    <t xml:space="preserve">T0523-10000</t>
  </si>
  <si>
    <t xml:space="preserve">C0323-00492</t>
  </si>
  <si>
    <t xml:space="preserve">C0323-00553</t>
  </si>
  <si>
    <t xml:space="preserve">T0323-10000</t>
  </si>
  <si>
    <t xml:space="preserve">C0323-00581</t>
  </si>
  <si>
    <t xml:space="preserve">C0323-00760</t>
  </si>
  <si>
    <t xml:space="preserve">C0323-00774</t>
  </si>
  <si>
    <t xml:space="preserve">C0423-00128</t>
  </si>
  <si>
    <t xml:space="preserve">T0423-05037</t>
  </si>
  <si>
    <t xml:space="preserve">C0423-00341</t>
  </si>
  <si>
    <t xml:space="preserve">VCC -Vay VCB TT tiền hàng Cty Yến</t>
  </si>
  <si>
    <t xml:space="preserve">T0423-06583</t>
  </si>
  <si>
    <t xml:space="preserve">C0423-00418</t>
  </si>
  <si>
    <t xml:space="preserve">VCC -Vay VCB tt tiền hàng Cty Nabati+VS</t>
  </si>
  <si>
    <t xml:space="preserve">T0423-07242</t>
  </si>
  <si>
    <t xml:space="preserve">C0423-00458</t>
  </si>
  <si>
    <t xml:space="preserve">VCC -Vay VCB tt tiền hàng Cty Bel</t>
  </si>
  <si>
    <t xml:space="preserve">T0423-07669</t>
  </si>
  <si>
    <t xml:space="preserve">C0423-00497</t>
  </si>
  <si>
    <t xml:space="preserve">T0423-08551</t>
  </si>
  <si>
    <t xml:space="preserve">C0423-00551</t>
  </si>
  <si>
    <t xml:space="preserve">VCC -Vay Vcb tt tiền hàng Cty Yến</t>
  </si>
  <si>
    <t xml:space="preserve">T0423-09373</t>
  </si>
  <si>
    <t xml:space="preserve">C0523-00365</t>
  </si>
  <si>
    <t xml:space="preserve">VCC- Vay VCB TT tiền hàng CTY Nabati</t>
  </si>
  <si>
    <t xml:space="preserve">T0523-63389</t>
  </si>
  <si>
    <t xml:space="preserve">C0523-00510</t>
  </si>
  <si>
    <t xml:space="preserve">VCC-Vay VCB TT tiền hàng CTY CLM</t>
  </si>
  <si>
    <t xml:space="preserve">T0523-64065</t>
  </si>
  <si>
    <t xml:space="preserve">C0523-00704</t>
  </si>
  <si>
    <t xml:space="preserve">VCC -Vay VCB TT  tiền hàng CTY Yến SN</t>
  </si>
  <si>
    <t xml:space="preserve">T0523-66629</t>
  </si>
  <si>
    <t xml:space="preserve">C0523-00777</t>
  </si>
  <si>
    <t xml:space="preserve">VCC -Vay VCB TT tiền hang CTY CLM = Vay</t>
  </si>
  <si>
    <t xml:space="preserve">T0523-67140</t>
  </si>
  <si>
    <t xml:space="preserve">C0523-00816</t>
  </si>
  <si>
    <t xml:space="preserve">VCC -Vay VCB TT tiền hàng CTY Yến SN</t>
  </si>
  <si>
    <t xml:space="preserve">C0623-00437</t>
  </si>
  <si>
    <t xml:space="preserve">VCC -Vay VCB TT tiền hàng CTY CLM</t>
  </si>
  <si>
    <t xml:space="preserve">T0623-73734</t>
  </si>
  <si>
    <t xml:space="preserve">C0623-00532</t>
  </si>
  <si>
    <t xml:space="preserve">VCC -Vay VCB TT tiền hàng CTY Yến</t>
  </si>
  <si>
    <t xml:space="preserve">T0623-74737</t>
  </si>
  <si>
    <t xml:space="preserve">C0623-00607</t>
  </si>
  <si>
    <t xml:space="preserve">VCC -Vay VCB TT tiền hàng CTY Nabati</t>
  </si>
  <si>
    <t xml:space="preserve">C0723-00277</t>
  </si>
  <si>
    <t xml:space="preserve">VCC -Vay VCB Cty TT tiền hàng Cty CLM</t>
  </si>
  <si>
    <t xml:space="preserve">T0723-78917</t>
  </si>
  <si>
    <t xml:space="preserve">C0723-00340</t>
  </si>
  <si>
    <t xml:space="preserve">T0723-80054</t>
  </si>
  <si>
    <t xml:space="preserve">T0723-80384</t>
  </si>
  <si>
    <t xml:space="preserve">C0723-00442</t>
  </si>
  <si>
    <t xml:space="preserve">VCC - Vay VCB TT tiền hàng CTY Vissan</t>
  </si>
  <si>
    <t xml:space="preserve">C0723-00470</t>
  </si>
  <si>
    <t xml:space="preserve">VCC - Vay VCB TT tiền CTY CLM + CTY Nabati</t>
  </si>
  <si>
    <t xml:space="preserve">T0723-82366</t>
  </si>
  <si>
    <t xml:space="preserve">C0723-00695</t>
  </si>
  <si>
    <t xml:space="preserve">VCC - Vay VCB Cty TT tiền hàng CTY CLM</t>
  </si>
  <si>
    <t xml:space="preserve">T0723-82769</t>
  </si>
  <si>
    <t xml:space="preserve">C0723-00763</t>
  </si>
  <si>
    <t xml:space="preserve">VCC -Vay VCB TT tiền hàng cty Yến SN</t>
  </si>
  <si>
    <t xml:space="preserve">T0823-85338</t>
  </si>
  <si>
    <t xml:space="preserve">C0823-00240</t>
  </si>
  <si>
    <t xml:space="preserve">VCC - Vay VCB TT tiền hàng CLM</t>
  </si>
  <si>
    <t xml:space="preserve">T0823-85826</t>
  </si>
  <si>
    <t xml:space="preserve">C0823-00266</t>
  </si>
  <si>
    <t xml:space="preserve">VCC -Vay VCB TT tiền hàng CTY Vissan</t>
  </si>
  <si>
    <t xml:space="preserve">T0823-87177</t>
  </si>
  <si>
    <t xml:space="preserve">C0823-00376</t>
  </si>
  <si>
    <t xml:space="preserve">VCC -Vay VCB TT tiền hàng Vissan</t>
  </si>
  <si>
    <t xml:space="preserve">T0823-88861</t>
  </si>
  <si>
    <t xml:space="preserve">C0823-00499</t>
  </si>
  <si>
    <t xml:space="preserve">T0823-89765</t>
  </si>
  <si>
    <t xml:space="preserve">C0823-00763</t>
  </si>
  <si>
    <t xml:space="preserve">VCC -Vay VCB TT Cty Yến SN</t>
  </si>
  <si>
    <t xml:space="preserve">T0823-91853</t>
  </si>
  <si>
    <t xml:space="preserve">C0923-01999</t>
  </si>
  <si>
    <t xml:space="preserve">VCC -Vay VCB TT tiền Vissan</t>
  </si>
  <si>
    <t xml:space="preserve">T0923-02339</t>
  </si>
  <si>
    <t xml:space="preserve">C0923-02711</t>
  </si>
  <si>
    <t xml:space="preserve">VCC -Vay VCB TT CLM</t>
  </si>
  <si>
    <t xml:space="preserve">T0923-04772</t>
  </si>
  <si>
    <t xml:space="preserve">C0923-05675</t>
  </si>
  <si>
    <t xml:space="preserve">VCC -Vay VCV Cty TT tiền hàng CTY CLM</t>
  </si>
  <si>
    <t xml:space="preserve">T0923-05679</t>
  </si>
  <si>
    <t xml:space="preserve">C0923-07917</t>
  </si>
  <si>
    <t xml:space="preserve">VCC -Vay VCB TT tiền hàng CTY Visssan</t>
  </si>
  <si>
    <t xml:space="preserve">T0923-06315</t>
  </si>
  <si>
    <t xml:space="preserve">T0923-07845</t>
  </si>
  <si>
    <t xml:space="preserve">C0923-07847</t>
  </si>
  <si>
    <t xml:space="preserve">VCC -Vay VCB TT tiền Cty Nabati</t>
  </si>
  <si>
    <t xml:space="preserve">C0923-07848</t>
  </si>
  <si>
    <t xml:space="preserve">VCC -Vay TT tiền hàng CLM</t>
  </si>
  <si>
    <t xml:space="preserve">T0923-07849</t>
  </si>
  <si>
    <t xml:space="preserve">C1023-01764</t>
  </si>
  <si>
    <t xml:space="preserve">T1023-91993</t>
  </si>
  <si>
    <t xml:space="preserve">C1023-01793</t>
  </si>
  <si>
    <t xml:space="preserve">VCC -Vay VCB TT tiền hàng CTY Nabati VN</t>
  </si>
  <si>
    <t xml:space="preserve">T1023-92010</t>
  </si>
  <si>
    <t xml:space="preserve">C1023-02212</t>
  </si>
  <si>
    <t xml:space="preserve">VCC -Vay VCB Cty TT tiền hàng CTY Bel</t>
  </si>
  <si>
    <t xml:space="preserve">T1023-94625</t>
  </si>
  <si>
    <t xml:space="preserve">C1023-02236</t>
  </si>
  <si>
    <t xml:space="preserve">VCC -Vay VCB TT tiền hàng CTY CLM A : 272,950,420 + CLM B : 11,360,232 + VS : 167,379,844đ</t>
  </si>
  <si>
    <t xml:space="preserve">C1023-02237</t>
  </si>
  <si>
    <t xml:space="preserve">C1023-02238</t>
  </si>
  <si>
    <t xml:space="preserve">C1023-02239</t>
  </si>
  <si>
    <t xml:space="preserve">C1023-02240</t>
  </si>
  <si>
    <t xml:space="preserve">T1023-95698</t>
  </si>
  <si>
    <t xml:space="preserve">C1023-02429</t>
  </si>
  <si>
    <t xml:space="preserve">VCC -Vay VCB TT tiền hàng CTY VS</t>
  </si>
  <si>
    <t xml:space="preserve">C1023-02357</t>
  </si>
  <si>
    <t xml:space="preserve">VCC - Vay VCB TT tiền Vissan</t>
  </si>
  <si>
    <t xml:space="preserve">C1023-02413</t>
  </si>
  <si>
    <t xml:space="preserve">VCC -Vay VCB TT tiền CTY NABAT : 301,188,553/ 2,618,531,550 Cty Yến SN</t>
  </si>
  <si>
    <t xml:space="preserve">C1023-02431</t>
  </si>
  <si>
    <t xml:space="preserve">VCC -Vay VCB TT tiền hàng Cty CLM</t>
  </si>
  <si>
    <t xml:space="preserve">C1123-00032</t>
  </si>
  <si>
    <t xml:space="preserve">VCC - Vay VCB Cty TT tiền hàng CTY Vissan</t>
  </si>
  <si>
    <t xml:space="preserve">T1123-96754</t>
  </si>
  <si>
    <t xml:space="preserve">T1123-96765</t>
  </si>
  <si>
    <t xml:space="preserve">T1123-96766</t>
  </si>
  <si>
    <t xml:space="preserve">C1123-00076</t>
  </si>
  <si>
    <t xml:space="preserve">VCC - Vay VCB Cty TT tiền hàng CTY clm</t>
  </si>
  <si>
    <t xml:space="preserve">C1123-00234</t>
  </si>
  <si>
    <t xml:space="preserve">C1123-00319</t>
  </si>
  <si>
    <t xml:space="preserve">VCC -Vay VCB TT tiền CTY  Vissan</t>
  </si>
  <si>
    <t xml:space="preserve">T1123-01029</t>
  </si>
  <si>
    <t xml:space="preserve">C1123-00063</t>
  </si>
  <si>
    <t xml:space="preserve">VCC - Vay VCB TT tiền hàng CTY CLM</t>
  </si>
  <si>
    <t xml:space="preserve">T1123-01035</t>
  </si>
  <si>
    <t xml:space="preserve">T1123-01285</t>
  </si>
  <si>
    <t xml:space="preserve">C1123-00179</t>
  </si>
  <si>
    <t xml:space="preserve">C1123-00266</t>
  </si>
  <si>
    <t xml:space="preserve">VCC - Vay VCB TT tiền Cty Bel</t>
  </si>
  <si>
    <t xml:space="preserve">T1123-01962</t>
  </si>
  <si>
    <t xml:space="preserve">C1123-00302</t>
  </si>
  <si>
    <t xml:space="preserve">VCC - Vay VCB TT tiền hàng Cty CLM Chư Sê</t>
  </si>
  <si>
    <t xml:space="preserve">T1123-03955</t>
  </si>
  <si>
    <t xml:space="preserve">C1123-00342</t>
  </si>
  <si>
    <t xml:space="preserve">VCC - Vay VCB Cty TT tiền Cty CLM Phố : 427,251,660 + TT CTY Vissa : 271,843,197</t>
  </si>
  <si>
    <t xml:space="preserve">T1123-03989</t>
  </si>
  <si>
    <t xml:space="preserve">C1123-00377</t>
  </si>
  <si>
    <t xml:space="preserve">T1123-04016</t>
  </si>
  <si>
    <t xml:space="preserve">C1123-00398</t>
  </si>
  <si>
    <t xml:space="preserve">T1123-04033</t>
  </si>
  <si>
    <t xml:space="preserve">C1123-00455</t>
  </si>
  <si>
    <t xml:space="preserve">VCC - Vay VCB TT tiền hàng CTY Bêl</t>
  </si>
  <si>
    <t xml:space="preserve">T1123-04077</t>
  </si>
  <si>
    <t xml:space="preserve">T1123-04078</t>
  </si>
  <si>
    <t xml:space="preserve">T1123-04102</t>
  </si>
  <si>
    <t xml:space="preserve">C1123-00502</t>
  </si>
  <si>
    <t xml:space="preserve">VCC -Vay VCB Cty TT tiền hàng VS</t>
  </si>
  <si>
    <t xml:space="preserve">C1123-00533</t>
  </si>
  <si>
    <t xml:space="preserve">VCC - Vay VCB TT tiền Cty NBT + CTY CLM Phố + CLM Chư Sê</t>
  </si>
  <si>
    <t xml:space="preserve">T1223-08112</t>
  </si>
  <si>
    <t xml:space="preserve">T1223-09137</t>
  </si>
  <si>
    <t xml:space="preserve">C1223-00409</t>
  </si>
  <si>
    <t xml:space="preserve">VCC - Vay VCB TT CTY CLM (A) - Phố</t>
  </si>
  <si>
    <t xml:space="preserve">C1223-00412</t>
  </si>
  <si>
    <t xml:space="preserve">VCC - Vay VCB TT Cty Nabati</t>
  </si>
  <si>
    <t xml:space="preserve">T1223-09909</t>
  </si>
  <si>
    <t xml:space="preserve">C1223-00555</t>
  </si>
  <si>
    <t xml:space="preserve">VCC - Vay VCB Cty TT tiền CLM Phố (A)</t>
  </si>
  <si>
    <t xml:space="preserve">T1223-09696</t>
  </si>
  <si>
    <t xml:space="preserve">C1223-00591</t>
  </si>
  <si>
    <t xml:space="preserve">VCC - Vay VCB Cty TT Nabati</t>
  </si>
  <si>
    <t xml:space="preserve">T1223-09778</t>
  </si>
  <si>
    <t xml:space="preserve">T1223-09802</t>
  </si>
  <si>
    <t xml:space="preserve">C1223-00848</t>
  </si>
  <si>
    <t xml:space="preserve">VCC -Vay VCB TT tiền hàng CTY CLM Phố</t>
  </si>
  <si>
    <t xml:space="preserve">C1223-00854</t>
  </si>
  <si>
    <t xml:space="preserve">VCC -Vay VCB TT tiền Yến SN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</si>
</sst>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_(* #,##0.00_);_(* \(#,##0.00\);_(* \-??_);_(@_)"/>
    <numFmt numFmtId="167" formatCode="_(* #,##0_);_(* \(#,##0\);_(* \-??_);_(@_)"/>
    <numFmt numFmtId="168" formatCode="#,##0\ _₫;[RED]\-#,##0\ _₫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theme="1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FF0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C2CFF8"/>
        <bgColor rgb="FFC0C0C0"/>
      </patternFill>
    </fill>
    <fill>
      <patternFill patternType="solid">
        <fgColor rgb="FFF0F0F0"/>
        <bgColor rgb="FFE3E3E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8DA1DE"/>
      </left>
      <right/>
      <top style="thin">
        <color rgb="FF8DA1DE"/>
      </top>
      <bottom style="thin">
        <color rgb="FF8DA1DE"/>
      </bottom>
      <diagonal/>
    </border>
    <border diagonalUp="false" diagonalDown="false"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5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7" fontId="7" fillId="0" borderId="1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8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8" fillId="0" borderId="1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colors>
    <indexedColors>
      <rgbColor rgb="FF000000"/>
      <rgbColor rgb="FFF0F0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DA1DE"/>
      <rgbColor rgb="FF993366"/>
      <rgbColor rgb="FFFFFFCC"/>
      <rgbColor rgb="FFCCFFFF"/>
      <rgbColor rgb="FF660066"/>
      <rgbColor rgb="FFFF8080"/>
      <rgbColor rgb="FF0066CC"/>
      <rgbColor rgb="FFC2CF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3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66"/>
  <sheetViews>
    <sheetView showFormulas="false" showGridLines="true" showRowColHeaders="true" showZeros="true" rightToLeft="false" tabSelected="true" showOutlineSymbols="true" defaultGridColor="true" view="normal" topLeftCell="B1954" colorId="64" zoomScale="172" zoomScaleNormal="172" zoomScalePageLayoutView="100" workbookViewId="0">
      <selection pane="topLeft" activeCell="E1970" activeCellId="0" sqref="E1970"/>
    </sheetView>
  </sheetViews>
  <sheetFormatPr defaultColWidth="8.859375" defaultRowHeight="12" customHeight="true" zeroHeight="false" outlineLevelRow="1" outlineLevelCol="0"/>
  <cols>
    <col collapsed="false" customWidth="true" hidden="false" outlineLevel="0" max="1" min="1" style="1" width="1.14"/>
    <col collapsed="false" customWidth="true" hidden="false" outlineLevel="0" max="2" min="2" style="2" width="10.71"/>
    <col collapsed="false" customWidth="true" hidden="false" outlineLevel="0" max="3" min="3" style="2" width="9.86"/>
    <col collapsed="false" customWidth="true" hidden="false" outlineLevel="0" max="4" min="4" style="1" width="12.29"/>
    <col collapsed="false" customWidth="true" hidden="false" outlineLevel="0" max="5" min="5" style="1" width="23.86"/>
    <col collapsed="false" customWidth="true" hidden="false" outlineLevel="0" max="6" min="6" style="1" width="7.71"/>
    <col collapsed="false" customWidth="true" hidden="false" outlineLevel="0" max="7" min="7" style="3" width="15.29"/>
    <col collapsed="false" customWidth="true" hidden="false" outlineLevel="0" max="8" min="8" style="3" width="22.15"/>
    <col collapsed="false" customWidth="true" hidden="false" outlineLevel="0" max="9" min="9" style="4" width="13.29"/>
    <col collapsed="false" customWidth="true" hidden="false" outlineLevel="0" max="10" min="10" style="1" width="12.57"/>
    <col collapsed="false" customWidth="true" hidden="false" outlineLevel="0" max="11" min="11" style="3" width="13.86"/>
    <col collapsed="false" customWidth="true" hidden="false" outlineLevel="0" max="12" min="12" style="3" width="14.86"/>
    <col collapsed="false" customWidth="false" hidden="false" outlineLevel="0" max="16384" min="13" style="1" width="8.86"/>
  </cols>
  <sheetData>
    <row r="1" customFormat="false" ht="12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</row>
    <row r="2" customFormat="false" ht="12" hidden="false" customHeight="tru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</row>
    <row r="3" customFormat="false" ht="12" hidden="false" customHeight="true" outlineLevel="0" collapsed="false"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8" t="s">
        <v>8</v>
      </c>
      <c r="I3" s="9" t="s">
        <v>9</v>
      </c>
    </row>
    <row r="4" customFormat="false" ht="12" hidden="false" customHeight="true" outlineLevel="0" collapsed="false">
      <c r="A4" s="10" t="s">
        <v>10</v>
      </c>
      <c r="B4" s="11"/>
      <c r="C4" s="11"/>
      <c r="D4" s="12"/>
      <c r="E4" s="12"/>
      <c r="F4" s="12"/>
      <c r="G4" s="13"/>
      <c r="H4" s="13"/>
      <c r="I4" s="14"/>
    </row>
    <row r="5" customFormat="false" ht="12" hidden="false" customHeight="true" outlineLevel="1" collapsed="false">
      <c r="B5" s="15"/>
      <c r="C5" s="15"/>
      <c r="D5" s="16"/>
      <c r="E5" s="16" t="s">
        <v>11</v>
      </c>
      <c r="F5" s="16"/>
      <c r="G5" s="17" t="n">
        <v>0</v>
      </c>
      <c r="H5" s="17" t="n">
        <v>0</v>
      </c>
      <c r="I5" s="14" t="n">
        <v>14952673</v>
      </c>
    </row>
    <row r="6" customFormat="false" ht="12" hidden="false" customHeight="true" outlineLevel="1" collapsed="false">
      <c r="B6" s="15" t="s">
        <v>12</v>
      </c>
      <c r="C6" s="15" t="str">
        <f aca="false">B6</f>
        <v>03/012023</v>
      </c>
      <c r="D6" s="16" t="s">
        <v>13</v>
      </c>
      <c r="E6" s="16" t="s">
        <v>14</v>
      </c>
      <c r="F6" s="16" t="s">
        <v>15</v>
      </c>
      <c r="G6" s="17" t="n">
        <v>315376000</v>
      </c>
      <c r="H6" s="17" t="n">
        <v>0</v>
      </c>
      <c r="I6" s="14" t="n">
        <f aca="false">I5+G6-H6</f>
        <v>330328673</v>
      </c>
    </row>
    <row r="7" customFormat="false" ht="12" hidden="false" customHeight="true" outlineLevel="1" collapsed="false">
      <c r="B7" s="15" t="s">
        <v>12</v>
      </c>
      <c r="C7" s="15" t="str">
        <f aca="false">B7</f>
        <v>03/012023</v>
      </c>
      <c r="D7" s="16" t="s">
        <v>16</v>
      </c>
      <c r="E7" s="16" t="s">
        <v>14</v>
      </c>
      <c r="F7" s="16" t="s">
        <v>15</v>
      </c>
      <c r="G7" s="17" t="n">
        <v>159204000</v>
      </c>
      <c r="H7" s="17"/>
      <c r="I7" s="14" t="n">
        <f aca="false">I6+G7-H7</f>
        <v>489532673</v>
      </c>
    </row>
    <row r="8" customFormat="false" ht="12" hidden="false" customHeight="true" outlineLevel="1" collapsed="false">
      <c r="B8" s="15" t="s">
        <v>12</v>
      </c>
      <c r="C8" s="15" t="str">
        <f aca="false">B8</f>
        <v>03/012023</v>
      </c>
      <c r="D8" s="16" t="s">
        <v>17</v>
      </c>
      <c r="E8" s="16" t="s">
        <v>14</v>
      </c>
      <c r="F8" s="16" t="s">
        <v>15</v>
      </c>
      <c r="G8" s="17" t="n">
        <v>55642000</v>
      </c>
      <c r="H8" s="17"/>
      <c r="I8" s="14" t="n">
        <f aca="false">I7+G8-H8</f>
        <v>545174673</v>
      </c>
    </row>
    <row r="9" customFormat="false" ht="12" hidden="false" customHeight="true" outlineLevel="1" collapsed="false">
      <c r="B9" s="15" t="s">
        <v>12</v>
      </c>
      <c r="C9" s="15" t="str">
        <f aca="false">B9</f>
        <v>03/012023</v>
      </c>
      <c r="D9" s="16" t="s">
        <v>18</v>
      </c>
      <c r="E9" s="16" t="s">
        <v>14</v>
      </c>
      <c r="F9" s="16" t="s">
        <v>15</v>
      </c>
      <c r="G9" s="17" t="n">
        <v>153966000</v>
      </c>
      <c r="H9" s="17"/>
      <c r="I9" s="14" t="n">
        <f aca="false">I8+G9-H9</f>
        <v>699140673</v>
      </c>
    </row>
    <row r="10" customFormat="false" ht="12" hidden="false" customHeight="true" outlineLevel="1" collapsed="false">
      <c r="B10" s="15" t="s">
        <v>12</v>
      </c>
      <c r="C10" s="15" t="str">
        <f aca="false">B10</f>
        <v>03/012023</v>
      </c>
      <c r="D10" s="16" t="s">
        <v>19</v>
      </c>
      <c r="E10" s="16" t="s">
        <v>14</v>
      </c>
      <c r="F10" s="16" t="s">
        <v>15</v>
      </c>
      <c r="G10" s="17" t="n">
        <v>688000</v>
      </c>
      <c r="H10" s="17"/>
      <c r="I10" s="14" t="n">
        <f aca="false">I9+G10-H10</f>
        <v>699828673</v>
      </c>
    </row>
    <row r="11" customFormat="false" ht="12" hidden="false" customHeight="true" outlineLevel="1" collapsed="false">
      <c r="B11" s="15" t="s">
        <v>12</v>
      </c>
      <c r="C11" s="15" t="str">
        <f aca="false">B11</f>
        <v>03/012023</v>
      </c>
      <c r="D11" s="16" t="s">
        <v>20</v>
      </c>
      <c r="E11" s="16" t="s">
        <v>21</v>
      </c>
      <c r="F11" s="16" t="n">
        <v>331</v>
      </c>
      <c r="G11" s="17"/>
      <c r="H11" s="17" t="n">
        <v>411213539</v>
      </c>
      <c r="I11" s="14" t="n">
        <f aca="false">I10+G11-H11</f>
        <v>288615134</v>
      </c>
    </row>
    <row r="12" customFormat="false" ht="12" hidden="false" customHeight="true" outlineLevel="1" collapsed="false">
      <c r="B12" s="15" t="s">
        <v>12</v>
      </c>
      <c r="C12" s="15" t="str">
        <f aca="false">B12</f>
        <v>03/012023</v>
      </c>
      <c r="D12" s="16" t="s">
        <v>22</v>
      </c>
      <c r="E12" s="16" t="s">
        <v>23</v>
      </c>
      <c r="F12" s="16" t="s">
        <v>24</v>
      </c>
      <c r="G12" s="17"/>
      <c r="H12" s="17" t="n">
        <v>280000000</v>
      </c>
      <c r="I12" s="14" t="n">
        <f aca="false">I11+G12-H12</f>
        <v>8615134</v>
      </c>
    </row>
    <row r="13" customFormat="false" ht="12" hidden="false" customHeight="true" outlineLevel="1" collapsed="false">
      <c r="B13" s="15" t="n">
        <v>44930</v>
      </c>
      <c r="C13" s="15" t="n">
        <f aca="false">B13</f>
        <v>44930</v>
      </c>
      <c r="D13" s="16" t="s">
        <v>25</v>
      </c>
      <c r="E13" s="16" t="s">
        <v>26</v>
      </c>
      <c r="F13" s="16" t="s">
        <v>15</v>
      </c>
      <c r="G13" s="17" t="n">
        <v>99540000</v>
      </c>
      <c r="H13" s="17"/>
      <c r="I13" s="14" t="n">
        <f aca="false">I12+G13-H13</f>
        <v>108155134</v>
      </c>
    </row>
    <row r="14" customFormat="false" ht="12" hidden="false" customHeight="true" outlineLevel="1" collapsed="false">
      <c r="B14" s="15" t="n">
        <v>44930</v>
      </c>
      <c r="C14" s="15" t="n">
        <f aca="false">B14</f>
        <v>44930</v>
      </c>
      <c r="D14" s="16" t="s">
        <v>27</v>
      </c>
      <c r="E14" s="16" t="s">
        <v>14</v>
      </c>
      <c r="F14" s="16" t="s">
        <v>15</v>
      </c>
      <c r="G14" s="17" t="n">
        <v>328120000</v>
      </c>
      <c r="H14" s="17"/>
      <c r="I14" s="14" t="n">
        <f aca="false">I13+G14-H14</f>
        <v>436275134</v>
      </c>
    </row>
    <row r="15" customFormat="false" ht="12" hidden="false" customHeight="true" outlineLevel="1" collapsed="false">
      <c r="B15" s="15" t="n">
        <v>44930</v>
      </c>
      <c r="C15" s="15" t="n">
        <f aca="false">B15</f>
        <v>44930</v>
      </c>
      <c r="D15" s="16" t="s">
        <v>28</v>
      </c>
      <c r="E15" s="16" t="s">
        <v>14</v>
      </c>
      <c r="F15" s="16" t="s">
        <v>15</v>
      </c>
      <c r="G15" s="17" t="n">
        <v>79703000</v>
      </c>
      <c r="H15" s="17"/>
      <c r="I15" s="14" t="n">
        <f aca="false">I14+G15-H15</f>
        <v>515978134</v>
      </c>
    </row>
    <row r="16" customFormat="false" ht="12" hidden="false" customHeight="true" outlineLevel="1" collapsed="false">
      <c r="B16" s="15" t="n">
        <v>44930</v>
      </c>
      <c r="C16" s="15" t="n">
        <f aca="false">B16</f>
        <v>44930</v>
      </c>
      <c r="D16" s="16" t="s">
        <v>29</v>
      </c>
      <c r="E16" s="16" t="s">
        <v>30</v>
      </c>
      <c r="F16" s="16" t="n">
        <v>331</v>
      </c>
      <c r="G16" s="17"/>
      <c r="H16" s="17" t="n">
        <v>475476358</v>
      </c>
      <c r="I16" s="14" t="n">
        <f aca="false">I15+G16-H16</f>
        <v>40501776</v>
      </c>
    </row>
    <row r="17" customFormat="false" ht="12" hidden="false" customHeight="true" outlineLevel="1" collapsed="false">
      <c r="B17" s="15" t="n">
        <v>44931</v>
      </c>
      <c r="C17" s="15" t="n">
        <f aca="false">B17</f>
        <v>44931</v>
      </c>
      <c r="D17" s="16" t="s">
        <v>31</v>
      </c>
      <c r="E17" s="16" t="s">
        <v>26</v>
      </c>
      <c r="F17" s="16" t="s">
        <v>15</v>
      </c>
      <c r="G17" s="17" t="n">
        <v>219790000</v>
      </c>
      <c r="H17" s="17"/>
      <c r="I17" s="14" t="n">
        <f aca="false">I16+G17-H17</f>
        <v>260291776</v>
      </c>
    </row>
    <row r="18" customFormat="false" ht="12" hidden="false" customHeight="true" outlineLevel="1" collapsed="false">
      <c r="B18" s="15" t="n">
        <v>44931</v>
      </c>
      <c r="C18" s="15" t="n">
        <f aca="false">B18</f>
        <v>44931</v>
      </c>
      <c r="D18" s="16" t="s">
        <v>32</v>
      </c>
      <c r="E18" s="16" t="s">
        <v>14</v>
      </c>
      <c r="F18" s="16" t="s">
        <v>15</v>
      </c>
      <c r="G18" s="17" t="n">
        <v>85214000</v>
      </c>
      <c r="H18" s="17"/>
      <c r="I18" s="14" t="n">
        <f aca="false">I17+G18-H18</f>
        <v>345505776</v>
      </c>
    </row>
    <row r="19" customFormat="false" ht="12" hidden="false" customHeight="true" outlineLevel="1" collapsed="false">
      <c r="B19" s="15" t="n">
        <v>44931</v>
      </c>
      <c r="C19" s="15" t="n">
        <f aca="false">B19</f>
        <v>44931</v>
      </c>
      <c r="D19" s="16" t="s">
        <v>33</v>
      </c>
      <c r="E19" s="16" t="s">
        <v>14</v>
      </c>
      <c r="F19" s="16" t="s">
        <v>15</v>
      </c>
      <c r="G19" s="17" t="n">
        <v>109251000</v>
      </c>
      <c r="H19" s="17"/>
      <c r="I19" s="14" t="n">
        <f aca="false">I18+G19-H19</f>
        <v>454756776</v>
      </c>
    </row>
    <row r="20" customFormat="false" ht="12" hidden="false" customHeight="true" outlineLevel="1" collapsed="false">
      <c r="B20" s="15" t="n">
        <v>44931</v>
      </c>
      <c r="C20" s="15" t="n">
        <f aca="false">B20</f>
        <v>44931</v>
      </c>
      <c r="D20" s="16" t="s">
        <v>31</v>
      </c>
      <c r="E20" s="16" t="s">
        <v>26</v>
      </c>
      <c r="F20" s="16" t="s">
        <v>15</v>
      </c>
      <c r="G20" s="17" t="n">
        <v>71000000</v>
      </c>
      <c r="H20" s="17"/>
      <c r="I20" s="14" t="n">
        <f aca="false">I19+G20-H20</f>
        <v>525756776</v>
      </c>
    </row>
    <row r="21" customFormat="false" ht="12" hidden="false" customHeight="true" outlineLevel="1" collapsed="false">
      <c r="B21" s="15" t="n">
        <v>44931</v>
      </c>
      <c r="C21" s="15" t="n">
        <f aca="false">B21</f>
        <v>44931</v>
      </c>
      <c r="D21" s="16" t="s">
        <v>32</v>
      </c>
      <c r="E21" s="16" t="s">
        <v>14</v>
      </c>
      <c r="F21" s="16" t="s">
        <v>15</v>
      </c>
      <c r="G21" s="17" t="n">
        <v>64900000</v>
      </c>
      <c r="H21" s="17"/>
      <c r="I21" s="14" t="n">
        <f aca="false">I20+G21-H21</f>
        <v>590656776</v>
      </c>
    </row>
    <row r="22" customFormat="false" ht="12" hidden="false" customHeight="true" outlineLevel="1" collapsed="false">
      <c r="B22" s="15" t="n">
        <v>44931</v>
      </c>
      <c r="C22" s="15" t="n">
        <f aca="false">B22</f>
        <v>44931</v>
      </c>
      <c r="D22" s="16" t="s">
        <v>34</v>
      </c>
      <c r="E22" s="16" t="s">
        <v>23</v>
      </c>
      <c r="F22" s="16" t="s">
        <v>24</v>
      </c>
      <c r="G22" s="17"/>
      <c r="H22" s="17" t="n">
        <v>585000000</v>
      </c>
      <c r="I22" s="14" t="n">
        <f aca="false">I21+G22-H22</f>
        <v>5656776</v>
      </c>
    </row>
    <row r="23" customFormat="false" ht="12" hidden="false" customHeight="true" outlineLevel="1" collapsed="false">
      <c r="B23" s="15" t="n">
        <v>44931</v>
      </c>
      <c r="C23" s="15" t="n">
        <f aca="false">B23</f>
        <v>44931</v>
      </c>
      <c r="D23" s="16" t="s">
        <v>35</v>
      </c>
      <c r="E23" s="16" t="s">
        <v>36</v>
      </c>
      <c r="F23" s="16" t="n">
        <v>635</v>
      </c>
      <c r="G23" s="17"/>
      <c r="H23" s="17" t="n">
        <v>11000</v>
      </c>
      <c r="I23" s="14" t="n">
        <f aca="false">I22+G23-H23</f>
        <v>5645776</v>
      </c>
    </row>
    <row r="24" customFormat="false" ht="12" hidden="false" customHeight="true" outlineLevel="1" collapsed="false">
      <c r="B24" s="15" t="n">
        <v>44932</v>
      </c>
      <c r="C24" s="15" t="n">
        <f aca="false">B24</f>
        <v>44932</v>
      </c>
      <c r="D24" s="16" t="s">
        <v>37</v>
      </c>
      <c r="E24" s="16" t="s">
        <v>14</v>
      </c>
      <c r="F24" s="16" t="s">
        <v>15</v>
      </c>
      <c r="G24" s="17" t="n">
        <v>52000000</v>
      </c>
      <c r="H24" s="17"/>
      <c r="I24" s="14" t="n">
        <f aca="false">I23+G24-H24</f>
        <v>57645776</v>
      </c>
    </row>
    <row r="25" customFormat="false" ht="12" hidden="false" customHeight="true" outlineLevel="1" collapsed="false">
      <c r="B25" s="15" t="n">
        <v>44932</v>
      </c>
      <c r="C25" s="15" t="n">
        <f aca="false">B25</f>
        <v>44932</v>
      </c>
      <c r="D25" s="16" t="s">
        <v>38</v>
      </c>
      <c r="E25" s="16" t="s">
        <v>14</v>
      </c>
      <c r="F25" s="16" t="s">
        <v>15</v>
      </c>
      <c r="G25" s="17" t="n">
        <v>129889000</v>
      </c>
      <c r="H25" s="17"/>
      <c r="I25" s="14" t="n">
        <f aca="false">I24+G25-H25</f>
        <v>187534776</v>
      </c>
    </row>
    <row r="26" customFormat="false" ht="12" hidden="false" customHeight="true" outlineLevel="1" collapsed="false">
      <c r="B26" s="15" t="n">
        <v>44932</v>
      </c>
      <c r="C26" s="15" t="n">
        <f aca="false">B26</f>
        <v>44932</v>
      </c>
      <c r="D26" s="16" t="s">
        <v>39</v>
      </c>
      <c r="E26" s="16" t="s">
        <v>14</v>
      </c>
      <c r="F26" s="16" t="s">
        <v>15</v>
      </c>
      <c r="G26" s="17" t="n">
        <v>84273000</v>
      </c>
      <c r="H26" s="17"/>
      <c r="I26" s="14" t="n">
        <f aca="false">I25+G26-H26</f>
        <v>271807776</v>
      </c>
    </row>
    <row r="27" customFormat="false" ht="12" hidden="false" customHeight="true" outlineLevel="1" collapsed="false">
      <c r="B27" s="15" t="n">
        <v>44932</v>
      </c>
      <c r="C27" s="15" t="n">
        <f aca="false">B27</f>
        <v>44932</v>
      </c>
      <c r="D27" s="16" t="s">
        <v>40</v>
      </c>
      <c r="E27" s="16" t="s">
        <v>30</v>
      </c>
      <c r="F27" s="16" t="n">
        <v>331</v>
      </c>
      <c r="G27" s="17"/>
      <c r="H27" s="17" t="n">
        <v>177528352</v>
      </c>
      <c r="I27" s="14" t="n">
        <f aca="false">I26+G27-H27</f>
        <v>94279424</v>
      </c>
    </row>
    <row r="28" customFormat="false" ht="12" hidden="false" customHeight="true" outlineLevel="1" collapsed="false">
      <c r="B28" s="15" t="n">
        <v>44932</v>
      </c>
      <c r="C28" s="15" t="n">
        <f aca="false">B28</f>
        <v>44932</v>
      </c>
      <c r="D28" s="16" t="s">
        <v>41</v>
      </c>
      <c r="E28" s="16" t="s">
        <v>36</v>
      </c>
      <c r="F28" s="16" t="n">
        <v>635</v>
      </c>
      <c r="G28" s="17"/>
      <c r="H28" s="17" t="n">
        <v>58565</v>
      </c>
      <c r="I28" s="14" t="n">
        <f aca="false">I27+G28-H28</f>
        <v>94220859</v>
      </c>
    </row>
    <row r="29" customFormat="false" ht="12" hidden="false" customHeight="true" outlineLevel="1" collapsed="false">
      <c r="B29" s="15" t="n">
        <v>44932</v>
      </c>
      <c r="C29" s="15" t="n">
        <f aca="false">B29</f>
        <v>44932</v>
      </c>
      <c r="D29" s="16" t="s">
        <v>42</v>
      </c>
      <c r="E29" s="16" t="s">
        <v>23</v>
      </c>
      <c r="F29" s="16" t="s">
        <v>24</v>
      </c>
      <c r="G29" s="17"/>
      <c r="H29" s="17" t="n">
        <v>55866204</v>
      </c>
      <c r="I29" s="14" t="n">
        <f aca="false">I28+G29-H29</f>
        <v>38354655</v>
      </c>
    </row>
    <row r="30" customFormat="false" ht="12" hidden="false" customHeight="true" outlineLevel="1" collapsed="false">
      <c r="B30" s="15" t="n">
        <v>44932</v>
      </c>
      <c r="C30" s="15" t="n">
        <f aca="false">B30</f>
        <v>44932</v>
      </c>
      <c r="D30" s="16" t="s">
        <v>43</v>
      </c>
      <c r="E30" s="16" t="s">
        <v>23</v>
      </c>
      <c r="F30" s="16" t="s">
        <v>24</v>
      </c>
      <c r="G30" s="17"/>
      <c r="H30" s="17" t="n">
        <v>34133796</v>
      </c>
      <c r="I30" s="14" t="n">
        <f aca="false">I29+G30-H30</f>
        <v>4220859</v>
      </c>
    </row>
    <row r="31" customFormat="false" ht="12" hidden="false" customHeight="true" outlineLevel="1" collapsed="false">
      <c r="B31" s="15" t="n">
        <v>44932</v>
      </c>
      <c r="C31" s="15" t="n">
        <f aca="false">B31</f>
        <v>44932</v>
      </c>
      <c r="D31" s="16" t="s">
        <v>44</v>
      </c>
      <c r="E31" s="16" t="s">
        <v>36</v>
      </c>
      <c r="F31" s="16" t="n">
        <v>635</v>
      </c>
      <c r="G31" s="17"/>
      <c r="H31" s="17" t="n">
        <v>2766489</v>
      </c>
      <c r="I31" s="14" t="n">
        <f aca="false">I30+G31-H31</f>
        <v>1454370</v>
      </c>
    </row>
    <row r="32" customFormat="false" ht="12" hidden="false" customHeight="true" outlineLevel="1" collapsed="false">
      <c r="B32" s="15" t="n">
        <v>44933</v>
      </c>
      <c r="C32" s="15" t="n">
        <f aca="false">B32</f>
        <v>44933</v>
      </c>
      <c r="D32" s="16" t="s">
        <v>45</v>
      </c>
      <c r="E32" s="16" t="s">
        <v>36</v>
      </c>
      <c r="F32" s="16" t="n">
        <v>635</v>
      </c>
      <c r="G32" s="17"/>
      <c r="H32" s="17" t="n">
        <v>55000</v>
      </c>
      <c r="I32" s="14" t="n">
        <f aca="false">I31+G32-H32</f>
        <v>1399370</v>
      </c>
    </row>
    <row r="33" customFormat="false" ht="12" hidden="false" customHeight="true" outlineLevel="1" collapsed="false">
      <c r="B33" s="15" t="n">
        <v>44935</v>
      </c>
      <c r="C33" s="15" t="n">
        <f aca="false">B33</f>
        <v>44935</v>
      </c>
      <c r="D33" s="16" t="s">
        <v>46</v>
      </c>
      <c r="E33" s="16" t="s">
        <v>26</v>
      </c>
      <c r="F33" s="16" t="s">
        <v>15</v>
      </c>
      <c r="G33" s="17" t="n">
        <v>132703000</v>
      </c>
      <c r="H33" s="17"/>
      <c r="I33" s="14" t="n">
        <f aca="false">I32+G33-H33</f>
        <v>134102370</v>
      </c>
    </row>
    <row r="34" customFormat="false" ht="12" hidden="false" customHeight="true" outlineLevel="1" collapsed="false">
      <c r="B34" s="15" t="n">
        <v>44935</v>
      </c>
      <c r="C34" s="15" t="n">
        <f aca="false">B34</f>
        <v>44935</v>
      </c>
      <c r="D34" s="16" t="s">
        <v>47</v>
      </c>
      <c r="E34" s="16" t="s">
        <v>14</v>
      </c>
      <c r="F34" s="16" t="s">
        <v>15</v>
      </c>
      <c r="G34" s="17" t="n">
        <v>157184000</v>
      </c>
      <c r="H34" s="17"/>
      <c r="I34" s="14" t="n">
        <f aca="false">I33+G34-H34</f>
        <v>291286370</v>
      </c>
    </row>
    <row r="35" customFormat="false" ht="12" hidden="false" customHeight="true" outlineLevel="1" collapsed="false">
      <c r="B35" s="15" t="n">
        <v>44935</v>
      </c>
      <c r="C35" s="15" t="n">
        <f aca="false">B35</f>
        <v>44935</v>
      </c>
      <c r="D35" s="16" t="s">
        <v>48</v>
      </c>
      <c r="E35" s="16" t="s">
        <v>14</v>
      </c>
      <c r="F35" s="16" t="s">
        <v>15</v>
      </c>
      <c r="G35" s="17" t="n">
        <v>210125000</v>
      </c>
      <c r="H35" s="17"/>
      <c r="I35" s="14" t="n">
        <f aca="false">I34+G35-H35</f>
        <v>501411370</v>
      </c>
    </row>
    <row r="36" customFormat="false" ht="12" hidden="false" customHeight="true" outlineLevel="1" collapsed="false">
      <c r="B36" s="15" t="n">
        <v>44935</v>
      </c>
      <c r="C36" s="15" t="n">
        <f aca="false">B36</f>
        <v>44935</v>
      </c>
      <c r="D36" s="16" t="s">
        <v>49</v>
      </c>
      <c r="E36" s="16" t="s">
        <v>26</v>
      </c>
      <c r="F36" s="16" t="s">
        <v>15</v>
      </c>
      <c r="G36" s="17" t="n">
        <v>178689000</v>
      </c>
      <c r="H36" s="17"/>
      <c r="I36" s="14" t="n">
        <f aca="false">I35+G36-H36</f>
        <v>680100370</v>
      </c>
    </row>
    <row r="37" customFormat="false" ht="12" hidden="false" customHeight="true" outlineLevel="1" collapsed="false">
      <c r="B37" s="15" t="n">
        <v>44935</v>
      </c>
      <c r="C37" s="15" t="n">
        <f aca="false">B37</f>
        <v>44935</v>
      </c>
      <c r="D37" s="16" t="s">
        <v>50</v>
      </c>
      <c r="E37" s="16" t="s">
        <v>14</v>
      </c>
      <c r="F37" s="16" t="s">
        <v>15</v>
      </c>
      <c r="G37" s="17" t="n">
        <v>80259000</v>
      </c>
      <c r="H37" s="17"/>
      <c r="I37" s="14" t="n">
        <f aca="false">I36+G37-H37</f>
        <v>760359370</v>
      </c>
    </row>
    <row r="38" customFormat="false" ht="12" hidden="false" customHeight="true" outlineLevel="1" collapsed="false">
      <c r="B38" s="15" t="n">
        <v>44935</v>
      </c>
      <c r="C38" s="15" t="n">
        <f aca="false">B38</f>
        <v>44935</v>
      </c>
      <c r="D38" s="16" t="s">
        <v>51</v>
      </c>
      <c r="E38" s="16" t="s">
        <v>52</v>
      </c>
      <c r="F38" s="16" t="n">
        <v>331</v>
      </c>
      <c r="G38" s="17"/>
      <c r="H38" s="17" t="n">
        <v>205928340</v>
      </c>
      <c r="I38" s="14" t="n">
        <f aca="false">I37+G38-H38</f>
        <v>554431030</v>
      </c>
    </row>
    <row r="39" customFormat="false" ht="12" hidden="false" customHeight="true" outlineLevel="1" collapsed="false">
      <c r="B39" s="15" t="n">
        <v>44935</v>
      </c>
      <c r="C39" s="15" t="n">
        <f aca="false">B39</f>
        <v>44935</v>
      </c>
      <c r="D39" s="16" t="s">
        <v>53</v>
      </c>
      <c r="E39" s="16" t="s">
        <v>14</v>
      </c>
      <c r="F39" s="16" t="s">
        <v>15</v>
      </c>
      <c r="G39" s="17" t="n">
        <v>600000000</v>
      </c>
      <c r="H39" s="17"/>
      <c r="I39" s="14" t="n">
        <f aca="false">I38+G39-H39</f>
        <v>1154431030</v>
      </c>
    </row>
    <row r="40" customFormat="false" ht="12" hidden="false" customHeight="true" outlineLevel="1" collapsed="false">
      <c r="B40" s="15" t="n">
        <v>44935</v>
      </c>
      <c r="C40" s="15" t="n">
        <f aca="false">B40</f>
        <v>44935</v>
      </c>
      <c r="D40" s="16" t="s">
        <v>54</v>
      </c>
      <c r="E40" s="16" t="s">
        <v>23</v>
      </c>
      <c r="F40" s="16" t="s">
        <v>24</v>
      </c>
      <c r="G40" s="17"/>
      <c r="H40" s="17" t="n">
        <v>66184833</v>
      </c>
      <c r="I40" s="14" t="n">
        <f aca="false">I39+G40-H40</f>
        <v>1088246197</v>
      </c>
    </row>
    <row r="41" customFormat="false" ht="12" hidden="false" customHeight="true" outlineLevel="1" collapsed="false">
      <c r="B41" s="15" t="n">
        <v>44935</v>
      </c>
      <c r="C41" s="15" t="n">
        <f aca="false">B41</f>
        <v>44935</v>
      </c>
      <c r="D41" s="16" t="s">
        <v>55</v>
      </c>
      <c r="E41" s="16" t="s">
        <v>23</v>
      </c>
      <c r="F41" s="16" t="s">
        <v>24</v>
      </c>
      <c r="G41" s="17"/>
      <c r="H41" s="17" t="n">
        <v>1073815167</v>
      </c>
      <c r="I41" s="14" t="n">
        <f aca="false">I40+G41-H41</f>
        <v>14431030</v>
      </c>
    </row>
    <row r="42" customFormat="false" ht="12" hidden="false" customHeight="true" outlineLevel="1" collapsed="false">
      <c r="B42" s="15" t="n">
        <v>44935</v>
      </c>
      <c r="C42" s="15" t="n">
        <f aca="false">B42</f>
        <v>44935</v>
      </c>
      <c r="D42" s="16" t="s">
        <v>56</v>
      </c>
      <c r="E42" s="16" t="s">
        <v>57</v>
      </c>
      <c r="F42" s="16" t="n">
        <v>635</v>
      </c>
      <c r="G42" s="17"/>
      <c r="H42" s="17" t="n">
        <v>266167</v>
      </c>
      <c r="I42" s="14" t="n">
        <f aca="false">I41+G42-H42</f>
        <v>14164863</v>
      </c>
    </row>
    <row r="43" customFormat="false" ht="12" hidden="false" customHeight="true" outlineLevel="1" collapsed="false">
      <c r="B43" s="15" t="n">
        <v>44935</v>
      </c>
      <c r="C43" s="15" t="n">
        <f aca="false">B43</f>
        <v>44935</v>
      </c>
      <c r="D43" s="16" t="s">
        <v>58</v>
      </c>
      <c r="E43" s="16" t="s">
        <v>57</v>
      </c>
      <c r="F43" s="16" t="n">
        <v>635</v>
      </c>
      <c r="G43" s="17"/>
      <c r="H43" s="17" t="n">
        <v>11000</v>
      </c>
      <c r="I43" s="14" t="n">
        <f aca="false">I42+G43-H43</f>
        <v>14153863</v>
      </c>
    </row>
    <row r="44" customFormat="false" ht="12" hidden="false" customHeight="true" outlineLevel="1" collapsed="false">
      <c r="B44" s="15" t="n">
        <v>44936</v>
      </c>
      <c r="C44" s="15" t="n">
        <f aca="false">B44</f>
        <v>44936</v>
      </c>
      <c r="D44" s="16" t="s">
        <v>59</v>
      </c>
      <c r="E44" s="16" t="s">
        <v>14</v>
      </c>
      <c r="F44" s="16" t="s">
        <v>15</v>
      </c>
      <c r="G44" s="17" t="n">
        <v>139870000</v>
      </c>
      <c r="H44" s="17"/>
      <c r="I44" s="14" t="n">
        <f aca="false">I43+G44-H44</f>
        <v>154023863</v>
      </c>
    </row>
    <row r="45" customFormat="false" ht="12" hidden="false" customHeight="true" outlineLevel="1" collapsed="false">
      <c r="B45" s="15" t="n">
        <v>44936</v>
      </c>
      <c r="C45" s="15" t="n">
        <f aca="false">B45</f>
        <v>44936</v>
      </c>
      <c r="D45" s="16" t="s">
        <v>60</v>
      </c>
      <c r="E45" s="16" t="s">
        <v>14</v>
      </c>
      <c r="F45" s="16" t="s">
        <v>15</v>
      </c>
      <c r="G45" s="17" t="n">
        <v>196649000</v>
      </c>
      <c r="H45" s="17"/>
      <c r="I45" s="14" t="n">
        <f aca="false">I44+G45-H45</f>
        <v>350672863</v>
      </c>
    </row>
    <row r="46" customFormat="false" ht="12" hidden="false" customHeight="true" outlineLevel="1" collapsed="false">
      <c r="B46" s="15" t="n">
        <v>44936</v>
      </c>
      <c r="C46" s="15" t="n">
        <f aca="false">B46</f>
        <v>44936</v>
      </c>
      <c r="D46" s="16" t="s">
        <v>61</v>
      </c>
      <c r="E46" s="16" t="s">
        <v>14</v>
      </c>
      <c r="F46" s="16" t="s">
        <v>15</v>
      </c>
      <c r="G46" s="17" t="n">
        <v>11000000</v>
      </c>
      <c r="H46" s="17"/>
      <c r="I46" s="14" t="n">
        <f aca="false">I45+G46-H46</f>
        <v>361672863</v>
      </c>
    </row>
    <row r="47" customFormat="false" ht="12" hidden="false" customHeight="true" outlineLevel="1" collapsed="false">
      <c r="B47" s="15" t="n">
        <v>44936</v>
      </c>
      <c r="C47" s="15" t="n">
        <f aca="false">B47</f>
        <v>44936</v>
      </c>
      <c r="D47" s="16" t="s">
        <v>62</v>
      </c>
      <c r="E47" s="16" t="s">
        <v>63</v>
      </c>
      <c r="F47" s="16" t="n">
        <v>331</v>
      </c>
      <c r="G47" s="17"/>
      <c r="H47" s="17" t="n">
        <v>6367023</v>
      </c>
      <c r="I47" s="14" t="n">
        <f aca="false">I46+G47-H47</f>
        <v>355305840</v>
      </c>
    </row>
    <row r="48" customFormat="false" ht="12" hidden="false" customHeight="true" outlineLevel="1" collapsed="false">
      <c r="B48" s="15" t="n">
        <v>44936</v>
      </c>
      <c r="C48" s="15" t="n">
        <f aca="false">B48</f>
        <v>44936</v>
      </c>
      <c r="D48" s="16" t="s">
        <v>64</v>
      </c>
      <c r="E48" s="16" t="s">
        <v>23</v>
      </c>
      <c r="F48" s="16" t="s">
        <v>24</v>
      </c>
      <c r="G48" s="17"/>
      <c r="H48" s="17" t="n">
        <v>340000000</v>
      </c>
      <c r="I48" s="14" t="n">
        <f aca="false">I47+G48-H48</f>
        <v>15305840</v>
      </c>
    </row>
    <row r="49" customFormat="false" ht="12" hidden="false" customHeight="true" outlineLevel="1" collapsed="false">
      <c r="B49" s="15" t="n">
        <v>44937</v>
      </c>
      <c r="C49" s="15" t="n">
        <f aca="false">B49</f>
        <v>44937</v>
      </c>
      <c r="D49" s="16" t="s">
        <v>65</v>
      </c>
      <c r="E49" s="16" t="s">
        <v>14</v>
      </c>
      <c r="F49" s="16" t="s">
        <v>15</v>
      </c>
      <c r="G49" s="17" t="n">
        <v>428977000</v>
      </c>
      <c r="H49" s="17"/>
      <c r="I49" s="14" t="n">
        <f aca="false">I48+G49-H49</f>
        <v>444282840</v>
      </c>
    </row>
    <row r="50" customFormat="false" ht="12" hidden="false" customHeight="true" outlineLevel="1" collapsed="false">
      <c r="B50" s="15" t="n">
        <v>44937</v>
      </c>
      <c r="C50" s="15" t="n">
        <f aca="false">B50</f>
        <v>44937</v>
      </c>
      <c r="D50" s="16" t="s">
        <v>66</v>
      </c>
      <c r="E50" s="16" t="s">
        <v>14</v>
      </c>
      <c r="F50" s="16" t="s">
        <v>15</v>
      </c>
      <c r="G50" s="17" t="n">
        <v>114571000</v>
      </c>
      <c r="H50" s="17"/>
      <c r="I50" s="14" t="n">
        <f aca="false">I49+G50-H50</f>
        <v>558853840</v>
      </c>
    </row>
    <row r="51" customFormat="false" ht="12" hidden="false" customHeight="true" outlineLevel="1" collapsed="false">
      <c r="B51" s="15" t="n">
        <v>44937</v>
      </c>
      <c r="C51" s="15" t="n">
        <f aca="false">B51</f>
        <v>44937</v>
      </c>
      <c r="D51" s="16" t="s">
        <v>67</v>
      </c>
      <c r="E51" s="16" t="s">
        <v>14</v>
      </c>
      <c r="F51" s="16" t="s">
        <v>15</v>
      </c>
      <c r="G51" s="17" t="n">
        <v>230368000</v>
      </c>
      <c r="H51" s="17"/>
      <c r="I51" s="14" t="n">
        <f aca="false">I50+G51-H51</f>
        <v>789221840</v>
      </c>
    </row>
    <row r="52" customFormat="false" ht="12" hidden="false" customHeight="true" outlineLevel="1" collapsed="false">
      <c r="B52" s="15" t="n">
        <v>44937</v>
      </c>
      <c r="C52" s="15" t="n">
        <f aca="false">B52</f>
        <v>44937</v>
      </c>
      <c r="D52" s="16" t="s">
        <v>68</v>
      </c>
      <c r="E52" s="16" t="s">
        <v>14</v>
      </c>
      <c r="F52" s="16" t="s">
        <v>15</v>
      </c>
      <c r="G52" s="17" t="n">
        <v>73618000</v>
      </c>
      <c r="H52" s="17"/>
      <c r="I52" s="14" t="n">
        <f aca="false">I51+G52-H52</f>
        <v>862839840</v>
      </c>
    </row>
    <row r="53" customFormat="false" ht="12" hidden="false" customHeight="true" outlineLevel="1" collapsed="false">
      <c r="B53" s="15" t="n">
        <v>44937</v>
      </c>
      <c r="C53" s="15" t="n">
        <f aca="false">B53</f>
        <v>44937</v>
      </c>
      <c r="D53" s="16" t="s">
        <v>69</v>
      </c>
      <c r="E53" s="16" t="s">
        <v>14</v>
      </c>
      <c r="F53" s="16" t="s">
        <v>15</v>
      </c>
      <c r="G53" s="17" t="n">
        <v>155491000</v>
      </c>
      <c r="H53" s="17"/>
      <c r="I53" s="14" t="n">
        <f aca="false">I52+G53-H53</f>
        <v>1018330840</v>
      </c>
      <c r="L53" s="18"/>
      <c r="M53" s="18"/>
    </row>
    <row r="54" customFormat="false" ht="12" hidden="false" customHeight="true" outlineLevel="1" collapsed="false">
      <c r="B54" s="15" t="n">
        <v>44937</v>
      </c>
      <c r="C54" s="15" t="n">
        <f aca="false">B54</f>
        <v>44937</v>
      </c>
      <c r="D54" s="16" t="s">
        <v>70</v>
      </c>
      <c r="E54" s="16" t="s">
        <v>14</v>
      </c>
      <c r="F54" s="16" t="s">
        <v>15</v>
      </c>
      <c r="G54" s="17" t="n">
        <v>100000000</v>
      </c>
      <c r="H54" s="17"/>
      <c r="I54" s="14" t="n">
        <f aca="false">I53+G54-H54</f>
        <v>1118330840</v>
      </c>
    </row>
    <row r="55" customFormat="false" ht="12" hidden="false" customHeight="true" outlineLevel="1" collapsed="false">
      <c r="B55" s="15" t="n">
        <v>44937</v>
      </c>
      <c r="C55" s="15" t="n">
        <f aca="false">B55</f>
        <v>44937</v>
      </c>
      <c r="D55" s="16" t="s">
        <v>71</v>
      </c>
      <c r="E55" s="16" t="s">
        <v>23</v>
      </c>
      <c r="F55" s="16" t="s">
        <v>24</v>
      </c>
      <c r="G55" s="17"/>
      <c r="H55" s="17" t="n">
        <v>410000000</v>
      </c>
      <c r="I55" s="14" t="n">
        <f aca="false">I54+G55-H55</f>
        <v>708330840</v>
      </c>
    </row>
    <row r="56" customFormat="false" ht="12" hidden="false" customHeight="true" outlineLevel="1" collapsed="false">
      <c r="B56" s="15" t="n">
        <v>44937</v>
      </c>
      <c r="C56" s="15" t="n">
        <f aca="false">B56</f>
        <v>44937</v>
      </c>
      <c r="D56" s="16" t="s">
        <v>72</v>
      </c>
      <c r="E56" s="16" t="s">
        <v>57</v>
      </c>
      <c r="F56" s="16" t="s">
        <v>73</v>
      </c>
      <c r="G56" s="17"/>
      <c r="H56" s="17" t="n">
        <v>110000</v>
      </c>
      <c r="I56" s="14" t="n">
        <f aca="false">I55+G56-H56</f>
        <v>708220840</v>
      </c>
    </row>
    <row r="57" customFormat="false" ht="12" hidden="false" customHeight="true" outlineLevel="1" collapsed="false">
      <c r="B57" s="15" t="n">
        <v>44937</v>
      </c>
      <c r="C57" s="15" t="n">
        <f aca="false">B57</f>
        <v>44937</v>
      </c>
      <c r="D57" s="16" t="s">
        <v>74</v>
      </c>
      <c r="E57" s="16" t="s">
        <v>75</v>
      </c>
      <c r="F57" s="16" t="n">
        <v>331</v>
      </c>
      <c r="G57" s="17"/>
      <c r="H57" s="17" t="n">
        <v>613847063</v>
      </c>
      <c r="I57" s="14" t="n">
        <f aca="false">I56+G57-H57</f>
        <v>94373777</v>
      </c>
    </row>
    <row r="58" customFormat="false" ht="12" hidden="false" customHeight="true" outlineLevel="1" collapsed="false">
      <c r="B58" s="15" t="n">
        <v>44937</v>
      </c>
      <c r="C58" s="15" t="n">
        <f aca="false">B58</f>
        <v>44937</v>
      </c>
      <c r="D58" s="16" t="s">
        <v>76</v>
      </c>
      <c r="E58" s="16" t="s">
        <v>57</v>
      </c>
      <c r="F58" s="16" t="s">
        <v>73</v>
      </c>
      <c r="G58" s="17"/>
      <c r="H58" s="17" t="n">
        <v>326806</v>
      </c>
      <c r="I58" s="14" t="n">
        <f aca="false">I57+G58-H58</f>
        <v>94046971</v>
      </c>
    </row>
    <row r="59" customFormat="false" ht="12" hidden="false" customHeight="true" outlineLevel="1" collapsed="false">
      <c r="B59" s="15" t="n">
        <v>44937</v>
      </c>
      <c r="C59" s="15" t="n">
        <f aca="false">B59</f>
        <v>44937</v>
      </c>
      <c r="D59" s="16" t="s">
        <v>77</v>
      </c>
      <c r="E59" s="16" t="s">
        <v>57</v>
      </c>
      <c r="F59" s="16" t="s">
        <v>73</v>
      </c>
      <c r="G59" s="17"/>
      <c r="H59" s="17" t="n">
        <v>100425</v>
      </c>
      <c r="I59" s="14" t="n">
        <f aca="false">I58+G59-H59</f>
        <v>93946546</v>
      </c>
    </row>
    <row r="60" customFormat="false" ht="12" hidden="false" customHeight="true" outlineLevel="1" collapsed="false">
      <c r="B60" s="15" t="n">
        <v>44938</v>
      </c>
      <c r="C60" s="15" t="n">
        <f aca="false">B60</f>
        <v>44938</v>
      </c>
      <c r="D60" s="16" t="s">
        <v>78</v>
      </c>
      <c r="E60" s="16" t="s">
        <v>14</v>
      </c>
      <c r="F60" s="16" t="s">
        <v>15</v>
      </c>
      <c r="G60" s="17" t="n">
        <v>180443000</v>
      </c>
      <c r="H60" s="17"/>
      <c r="I60" s="14" t="n">
        <f aca="false">I59+G60-H60</f>
        <v>274389546</v>
      </c>
    </row>
    <row r="61" customFormat="false" ht="12" hidden="false" customHeight="true" outlineLevel="1" collapsed="false">
      <c r="B61" s="15" t="n">
        <v>44938</v>
      </c>
      <c r="C61" s="15" t="n">
        <f aca="false">B61</f>
        <v>44938</v>
      </c>
      <c r="D61" s="16" t="s">
        <v>79</v>
      </c>
      <c r="E61" s="16" t="s">
        <v>14</v>
      </c>
      <c r="F61" s="16" t="s">
        <v>15</v>
      </c>
      <c r="G61" s="17" t="n">
        <v>61847000</v>
      </c>
      <c r="H61" s="17"/>
      <c r="I61" s="14" t="n">
        <f aca="false">I60+G61-H61</f>
        <v>336236546</v>
      </c>
    </row>
    <row r="62" customFormat="false" ht="12" hidden="false" customHeight="true" outlineLevel="1" collapsed="false">
      <c r="B62" s="15" t="n">
        <v>44938</v>
      </c>
      <c r="C62" s="15" t="n">
        <f aca="false">B62</f>
        <v>44938</v>
      </c>
      <c r="D62" s="16" t="s">
        <v>80</v>
      </c>
      <c r="E62" s="16" t="s">
        <v>14</v>
      </c>
      <c r="F62" s="16" t="s">
        <v>15</v>
      </c>
      <c r="G62" s="17" t="n">
        <v>373846000</v>
      </c>
      <c r="H62" s="17"/>
      <c r="I62" s="14" t="n">
        <f aca="false">I61+G62-H62</f>
        <v>710082546</v>
      </c>
    </row>
    <row r="63" customFormat="false" ht="12" hidden="false" customHeight="true" outlineLevel="1" collapsed="false">
      <c r="B63" s="15" t="n">
        <v>44938</v>
      </c>
      <c r="C63" s="15" t="n">
        <f aca="false">B63</f>
        <v>44938</v>
      </c>
      <c r="D63" s="16" t="s">
        <v>81</v>
      </c>
      <c r="E63" s="16" t="s">
        <v>23</v>
      </c>
      <c r="F63" s="16" t="s">
        <v>24</v>
      </c>
      <c r="G63" s="17"/>
      <c r="H63" s="17" t="n">
        <v>127722260</v>
      </c>
      <c r="I63" s="14" t="n">
        <f aca="false">I62+G63-H63</f>
        <v>582360286</v>
      </c>
    </row>
    <row r="64" customFormat="false" ht="12" hidden="false" customHeight="true" outlineLevel="1" collapsed="false">
      <c r="B64" s="15" t="n">
        <v>44938</v>
      </c>
      <c r="C64" s="15" t="n">
        <f aca="false">B64</f>
        <v>44938</v>
      </c>
      <c r="D64" s="16" t="s">
        <v>82</v>
      </c>
      <c r="E64" s="16" t="s">
        <v>23</v>
      </c>
      <c r="F64" s="16" t="s">
        <v>24</v>
      </c>
      <c r="G64" s="17"/>
      <c r="H64" s="17" t="n">
        <v>256302337</v>
      </c>
      <c r="I64" s="14" t="n">
        <f aca="false">I63+G64-H64</f>
        <v>326057949</v>
      </c>
    </row>
    <row r="65" customFormat="false" ht="12" hidden="false" customHeight="true" outlineLevel="1" collapsed="false">
      <c r="B65" s="15" t="n">
        <v>44938</v>
      </c>
      <c r="C65" s="15" t="n">
        <f aca="false">B65</f>
        <v>44938</v>
      </c>
      <c r="D65" s="16" t="s">
        <v>83</v>
      </c>
      <c r="E65" s="16" t="s">
        <v>23</v>
      </c>
      <c r="F65" s="16" t="s">
        <v>24</v>
      </c>
      <c r="G65" s="17"/>
      <c r="H65" s="17" t="n">
        <v>315975403</v>
      </c>
      <c r="I65" s="14" t="n">
        <f aca="false">I64+G65-H65</f>
        <v>10082546</v>
      </c>
    </row>
    <row r="66" customFormat="false" ht="12" hidden="false" customHeight="true" outlineLevel="1" collapsed="false">
      <c r="B66" s="15" t="n">
        <v>44938</v>
      </c>
      <c r="C66" s="15" t="n">
        <f aca="false">B66</f>
        <v>44938</v>
      </c>
      <c r="D66" s="16" t="s">
        <v>84</v>
      </c>
      <c r="E66" s="16" t="s">
        <v>57</v>
      </c>
      <c r="F66" s="16" t="s">
        <v>73</v>
      </c>
      <c r="G66" s="17"/>
      <c r="H66" s="17" t="n">
        <v>5834861</v>
      </c>
      <c r="I66" s="14" t="n">
        <f aca="false">I65+G66-H66</f>
        <v>4247685</v>
      </c>
    </row>
    <row r="67" customFormat="false" ht="12" hidden="false" customHeight="true" outlineLevel="1" collapsed="false">
      <c r="B67" s="15" t="n">
        <v>44938</v>
      </c>
      <c r="C67" s="15" t="n">
        <f aca="false">B67</f>
        <v>44938</v>
      </c>
      <c r="D67" s="16" t="s">
        <v>85</v>
      </c>
      <c r="E67" s="16" t="s">
        <v>23</v>
      </c>
      <c r="F67" s="16" t="s">
        <v>24</v>
      </c>
      <c r="G67" s="17"/>
      <c r="H67" s="17" t="n">
        <v>874237</v>
      </c>
      <c r="I67" s="14" t="n">
        <f aca="false">I66+G67-H67</f>
        <v>3373448</v>
      </c>
    </row>
    <row r="68" customFormat="false" ht="12" hidden="false" customHeight="true" outlineLevel="1" collapsed="false">
      <c r="B68" s="15" t="n">
        <v>44939</v>
      </c>
      <c r="C68" s="15" t="n">
        <f aca="false">B68</f>
        <v>44939</v>
      </c>
      <c r="D68" s="16" t="s">
        <v>86</v>
      </c>
      <c r="E68" s="16" t="s">
        <v>14</v>
      </c>
      <c r="F68" s="16" t="s">
        <v>15</v>
      </c>
      <c r="G68" s="17" t="n">
        <v>148467000</v>
      </c>
      <c r="H68" s="17"/>
      <c r="I68" s="14" t="n">
        <f aca="false">I67+G68-H68</f>
        <v>151840448</v>
      </c>
    </row>
    <row r="69" customFormat="false" ht="12" hidden="false" customHeight="true" outlineLevel="1" collapsed="false">
      <c r="B69" s="15" t="n">
        <v>44939</v>
      </c>
      <c r="C69" s="15" t="n">
        <f aca="false">B69</f>
        <v>44939</v>
      </c>
      <c r="D69" s="16" t="s">
        <v>87</v>
      </c>
      <c r="E69" s="16" t="s">
        <v>14</v>
      </c>
      <c r="F69" s="16" t="s">
        <v>15</v>
      </c>
      <c r="G69" s="17" t="n">
        <v>48228000</v>
      </c>
      <c r="H69" s="17"/>
      <c r="I69" s="14" t="n">
        <f aca="false">I68+G69-H69</f>
        <v>200068448</v>
      </c>
    </row>
    <row r="70" customFormat="false" ht="12" hidden="false" customHeight="true" outlineLevel="1" collapsed="false">
      <c r="B70" s="15" t="n">
        <v>44939</v>
      </c>
      <c r="C70" s="15" t="n">
        <f aca="false">B70</f>
        <v>44939</v>
      </c>
      <c r="D70" s="16" t="s">
        <v>88</v>
      </c>
      <c r="E70" s="16" t="s">
        <v>14</v>
      </c>
      <c r="F70" s="16" t="s">
        <v>15</v>
      </c>
      <c r="G70" s="17" t="n">
        <v>116151000</v>
      </c>
      <c r="H70" s="17"/>
      <c r="I70" s="14" t="n">
        <f aca="false">I69+G70-H70</f>
        <v>316219448</v>
      </c>
    </row>
    <row r="71" customFormat="false" ht="12" hidden="false" customHeight="true" outlineLevel="1" collapsed="false">
      <c r="B71" s="15" t="n">
        <v>44939</v>
      </c>
      <c r="C71" s="15" t="n">
        <f aca="false">B71</f>
        <v>44939</v>
      </c>
      <c r="D71" s="16" t="s">
        <v>89</v>
      </c>
      <c r="E71" s="16" t="s">
        <v>23</v>
      </c>
      <c r="F71" s="16" t="s">
        <v>24</v>
      </c>
      <c r="G71" s="17"/>
      <c r="H71" s="17" t="n">
        <v>5898312</v>
      </c>
      <c r="I71" s="14" t="n">
        <f aca="false">I70+G71-H71</f>
        <v>310321136</v>
      </c>
    </row>
    <row r="72" customFormat="false" ht="12" hidden="false" customHeight="true" outlineLevel="1" collapsed="false">
      <c r="B72" s="15" t="n">
        <v>44939</v>
      </c>
      <c r="C72" s="15" t="n">
        <f aca="false">B72</f>
        <v>44939</v>
      </c>
      <c r="D72" s="16" t="s">
        <v>90</v>
      </c>
      <c r="E72" s="16" t="s">
        <v>23</v>
      </c>
      <c r="F72" s="16" t="s">
        <v>24</v>
      </c>
      <c r="G72" s="17"/>
      <c r="H72" s="17" t="n">
        <v>294101688</v>
      </c>
      <c r="I72" s="14" t="n">
        <f aca="false">I71+G72-H72</f>
        <v>16219448</v>
      </c>
    </row>
    <row r="73" customFormat="false" ht="12" hidden="false" customHeight="true" outlineLevel="1" collapsed="false">
      <c r="B73" s="15" t="n">
        <v>44939</v>
      </c>
      <c r="C73" s="15" t="n">
        <f aca="false">B73</f>
        <v>44939</v>
      </c>
      <c r="D73" s="16" t="s">
        <v>91</v>
      </c>
      <c r="E73" s="16" t="s">
        <v>36</v>
      </c>
      <c r="F73" s="16" t="s">
        <v>92</v>
      </c>
      <c r="G73" s="17"/>
      <c r="H73" s="17" t="n">
        <v>1233312</v>
      </c>
      <c r="I73" s="14" t="n">
        <f aca="false">I72+G73-H73</f>
        <v>14986136</v>
      </c>
    </row>
    <row r="74" customFormat="false" ht="12" hidden="false" customHeight="true" outlineLevel="1" collapsed="false">
      <c r="B74" s="15" t="n">
        <v>44939</v>
      </c>
      <c r="C74" s="15" t="n">
        <f aca="false">B74</f>
        <v>44939</v>
      </c>
      <c r="D74" s="16" t="s">
        <v>93</v>
      </c>
      <c r="E74" s="16" t="s">
        <v>36</v>
      </c>
      <c r="F74" s="16" t="s">
        <v>92</v>
      </c>
      <c r="G74" s="17"/>
      <c r="H74" s="17" t="n">
        <v>258722</v>
      </c>
      <c r="I74" s="14" t="n">
        <f aca="false">I73+G74-H74</f>
        <v>14727414</v>
      </c>
    </row>
    <row r="75" customFormat="false" ht="12" hidden="false" customHeight="true" outlineLevel="1" collapsed="false">
      <c r="B75" s="15" t="n">
        <v>44942</v>
      </c>
      <c r="C75" s="15" t="n">
        <f aca="false">B75</f>
        <v>44942</v>
      </c>
      <c r="D75" s="16" t="s">
        <v>94</v>
      </c>
      <c r="E75" s="16" t="s">
        <v>14</v>
      </c>
      <c r="F75" s="16" t="s">
        <v>15</v>
      </c>
      <c r="G75" s="17" t="n">
        <v>363788000</v>
      </c>
      <c r="H75" s="17"/>
      <c r="I75" s="14" t="n">
        <f aca="false">I74+G75-H75</f>
        <v>378515414</v>
      </c>
    </row>
    <row r="76" customFormat="false" ht="12" hidden="false" customHeight="true" outlineLevel="1" collapsed="false">
      <c r="B76" s="15" t="n">
        <v>44942</v>
      </c>
      <c r="C76" s="15" t="n">
        <f aca="false">B76</f>
        <v>44942</v>
      </c>
      <c r="D76" s="16" t="s">
        <v>95</v>
      </c>
      <c r="E76" s="16" t="s">
        <v>14</v>
      </c>
      <c r="F76" s="16" t="s">
        <v>15</v>
      </c>
      <c r="G76" s="17" t="n">
        <v>155602000</v>
      </c>
      <c r="H76" s="17"/>
      <c r="I76" s="14" t="n">
        <f aca="false">I75+G76-H76</f>
        <v>534117414</v>
      </c>
    </row>
    <row r="77" customFormat="false" ht="12" hidden="false" customHeight="true" outlineLevel="1" collapsed="false">
      <c r="B77" s="15" t="n">
        <v>44942</v>
      </c>
      <c r="C77" s="15" t="n">
        <f aca="false">B77</f>
        <v>44942</v>
      </c>
      <c r="D77" s="16" t="s">
        <v>96</v>
      </c>
      <c r="E77" s="16" t="s">
        <v>14</v>
      </c>
      <c r="F77" s="16" t="s">
        <v>15</v>
      </c>
      <c r="G77" s="17" t="n">
        <v>78333000</v>
      </c>
      <c r="H77" s="17"/>
      <c r="I77" s="14" t="n">
        <f aca="false">I76+G77-H77</f>
        <v>612450414</v>
      </c>
    </row>
    <row r="78" customFormat="false" ht="12" hidden="false" customHeight="true" outlineLevel="1" collapsed="false">
      <c r="B78" s="15" t="n">
        <v>44942</v>
      </c>
      <c r="C78" s="15" t="n">
        <f aca="false">B78</f>
        <v>44942</v>
      </c>
      <c r="D78" s="16" t="s">
        <v>97</v>
      </c>
      <c r="E78" s="16" t="s">
        <v>14</v>
      </c>
      <c r="F78" s="16" t="s">
        <v>15</v>
      </c>
      <c r="G78" s="17" t="n">
        <v>80903000</v>
      </c>
      <c r="H78" s="17"/>
      <c r="I78" s="14" t="n">
        <f aca="false">I77+G78-H78</f>
        <v>693353414</v>
      </c>
    </row>
    <row r="79" customFormat="false" ht="12" hidden="false" customHeight="true" outlineLevel="1" collapsed="false">
      <c r="B79" s="15" t="n">
        <v>44942</v>
      </c>
      <c r="C79" s="15" t="n">
        <f aca="false">B79</f>
        <v>44942</v>
      </c>
      <c r="D79" s="16" t="s">
        <v>98</v>
      </c>
      <c r="E79" s="16" t="s">
        <v>14</v>
      </c>
      <c r="F79" s="16" t="s">
        <v>15</v>
      </c>
      <c r="G79" s="17" t="n">
        <v>286161000</v>
      </c>
      <c r="H79" s="17"/>
      <c r="I79" s="14" t="n">
        <f aca="false">I78+G79-H79</f>
        <v>979514414</v>
      </c>
    </row>
    <row r="80" customFormat="false" ht="12" hidden="false" customHeight="true" outlineLevel="1" collapsed="false">
      <c r="B80" s="15" t="n">
        <v>44942</v>
      </c>
      <c r="C80" s="15" t="n">
        <f aca="false">B80</f>
        <v>44942</v>
      </c>
      <c r="D80" s="16" t="s">
        <v>99</v>
      </c>
      <c r="E80" s="16" t="s">
        <v>14</v>
      </c>
      <c r="F80" s="16" t="s">
        <v>15</v>
      </c>
      <c r="G80" s="17" t="n">
        <v>233362000</v>
      </c>
      <c r="H80" s="17"/>
      <c r="I80" s="14" t="n">
        <f aca="false">I79+G80-H80</f>
        <v>1212876414</v>
      </c>
    </row>
    <row r="81" customFormat="false" ht="12" hidden="false" customHeight="true" outlineLevel="1" collapsed="false">
      <c r="B81" s="15" t="n">
        <v>44942</v>
      </c>
      <c r="C81" s="15" t="n">
        <f aca="false">B81</f>
        <v>44942</v>
      </c>
      <c r="D81" s="16" t="s">
        <v>100</v>
      </c>
      <c r="E81" s="16" t="s">
        <v>23</v>
      </c>
      <c r="F81" s="16" t="s">
        <v>24</v>
      </c>
      <c r="G81" s="17"/>
      <c r="H81" s="17" t="n">
        <v>590000000</v>
      </c>
      <c r="I81" s="14" t="n">
        <f aca="false">I80+G81-H81</f>
        <v>622876414</v>
      </c>
    </row>
    <row r="82" customFormat="false" ht="12" hidden="false" customHeight="true" outlineLevel="1" collapsed="false">
      <c r="B82" s="15" t="n">
        <v>44942</v>
      </c>
      <c r="C82" s="15" t="n">
        <f aca="false">B82</f>
        <v>44942</v>
      </c>
      <c r="D82" s="16" t="s">
        <v>101</v>
      </c>
      <c r="E82" s="16" t="s">
        <v>36</v>
      </c>
      <c r="F82" s="16" t="s">
        <v>92</v>
      </c>
      <c r="G82" s="17"/>
      <c r="H82" s="17" t="n">
        <v>11000</v>
      </c>
      <c r="I82" s="14" t="n">
        <f aca="false">I81+G82-H82</f>
        <v>622865414</v>
      </c>
    </row>
    <row r="83" customFormat="false" ht="12" hidden="false" customHeight="true" outlineLevel="1" collapsed="false">
      <c r="B83" s="15" t="n">
        <v>44943</v>
      </c>
      <c r="C83" s="15" t="n">
        <f aca="false">B83</f>
        <v>44943</v>
      </c>
      <c r="D83" s="16" t="s">
        <v>102</v>
      </c>
      <c r="E83" s="16" t="s">
        <v>75</v>
      </c>
      <c r="F83" s="16" t="n">
        <v>331</v>
      </c>
      <c r="G83" s="17"/>
      <c r="H83" s="17" t="n">
        <v>615651961</v>
      </c>
      <c r="I83" s="14" t="n">
        <f aca="false">I82+G83-H83</f>
        <v>7213453</v>
      </c>
    </row>
    <row r="84" customFormat="false" ht="12" hidden="false" customHeight="true" outlineLevel="1" collapsed="false">
      <c r="B84" s="15" t="n">
        <v>44943</v>
      </c>
      <c r="C84" s="15" t="n">
        <f aca="false">B84</f>
        <v>44943</v>
      </c>
      <c r="D84" s="16" t="s">
        <v>103</v>
      </c>
      <c r="E84" s="16" t="s">
        <v>14</v>
      </c>
      <c r="F84" s="16" t="s">
        <v>15</v>
      </c>
      <c r="G84" s="17" t="n">
        <v>103125000</v>
      </c>
      <c r="H84" s="17"/>
      <c r="I84" s="14" t="n">
        <f aca="false">I83+G84-H84</f>
        <v>110338453</v>
      </c>
    </row>
    <row r="85" customFormat="false" ht="12" hidden="false" customHeight="true" outlineLevel="1" collapsed="false">
      <c r="B85" s="15" t="n">
        <v>44943</v>
      </c>
      <c r="C85" s="15" t="n">
        <f aca="false">B85</f>
        <v>44943</v>
      </c>
      <c r="D85" s="16" t="s">
        <v>104</v>
      </c>
      <c r="E85" s="16" t="s">
        <v>14</v>
      </c>
      <c r="F85" s="16" t="s">
        <v>15</v>
      </c>
      <c r="G85" s="17" t="n">
        <v>77944000</v>
      </c>
      <c r="H85" s="17"/>
      <c r="I85" s="14" t="n">
        <f aca="false">I84+G85-H85</f>
        <v>188282453</v>
      </c>
    </row>
    <row r="86" customFormat="false" ht="12" hidden="false" customHeight="true" outlineLevel="1" collapsed="false">
      <c r="B86" s="15" t="n">
        <v>44943</v>
      </c>
      <c r="C86" s="15" t="n">
        <f aca="false">B86</f>
        <v>44943</v>
      </c>
      <c r="D86" s="16" t="s">
        <v>105</v>
      </c>
      <c r="E86" s="16" t="s">
        <v>14</v>
      </c>
      <c r="F86" s="16" t="s">
        <v>15</v>
      </c>
      <c r="G86" s="17" t="n">
        <v>309196000</v>
      </c>
      <c r="H86" s="17"/>
      <c r="I86" s="14" t="n">
        <f aca="false">I85+G86-H86</f>
        <v>497478453</v>
      </c>
    </row>
    <row r="87" customFormat="false" ht="12" hidden="false" customHeight="true" outlineLevel="1" collapsed="false">
      <c r="B87" s="15" t="n">
        <v>44943</v>
      </c>
      <c r="C87" s="15" t="n">
        <f aca="false">B87</f>
        <v>44943</v>
      </c>
      <c r="D87" s="16" t="s">
        <v>106</v>
      </c>
      <c r="E87" s="16" t="s">
        <v>23</v>
      </c>
      <c r="F87" s="16" t="s">
        <v>24</v>
      </c>
      <c r="G87" s="17"/>
      <c r="H87" s="17" t="n">
        <v>257711673</v>
      </c>
      <c r="I87" s="14" t="n">
        <f aca="false">I86+G87-H87</f>
        <v>239766780</v>
      </c>
    </row>
    <row r="88" customFormat="false" ht="12" hidden="false" customHeight="true" outlineLevel="1" collapsed="false">
      <c r="B88" s="15" t="n">
        <v>44943</v>
      </c>
      <c r="C88" s="15" t="n">
        <f aca="false">B88</f>
        <v>44943</v>
      </c>
      <c r="D88" s="16" t="s">
        <v>107</v>
      </c>
      <c r="E88" s="16" t="s">
        <v>23</v>
      </c>
      <c r="F88" s="16" t="s">
        <v>24</v>
      </c>
      <c r="G88" s="17"/>
      <c r="H88" s="17" t="n">
        <v>232288327</v>
      </c>
      <c r="I88" s="14" t="n">
        <f aca="false">I87+G88-H88</f>
        <v>7478453</v>
      </c>
    </row>
    <row r="89" customFormat="false" ht="12" hidden="false" customHeight="true" outlineLevel="1" collapsed="false">
      <c r="B89" s="15" t="n">
        <v>44943</v>
      </c>
      <c r="C89" s="15" t="n">
        <f aca="false">B89</f>
        <v>44943</v>
      </c>
      <c r="D89" s="16" t="s">
        <v>108</v>
      </c>
      <c r="E89" s="16" t="s">
        <v>36</v>
      </c>
      <c r="F89" s="16" t="s">
        <v>92</v>
      </c>
      <c r="G89" s="17"/>
      <c r="H89" s="17" t="n">
        <v>5344636</v>
      </c>
      <c r="I89" s="14" t="n">
        <f aca="false">I88+G89-H89</f>
        <v>2133817</v>
      </c>
    </row>
    <row r="90" customFormat="false" ht="12" hidden="false" customHeight="true" outlineLevel="1" collapsed="false">
      <c r="B90" s="15" t="n">
        <v>44943</v>
      </c>
      <c r="C90" s="15" t="n">
        <f aca="false">B90</f>
        <v>44943</v>
      </c>
      <c r="D90" s="16" t="s">
        <v>109</v>
      </c>
      <c r="E90" s="16" t="s">
        <v>110</v>
      </c>
      <c r="F90" s="16" t="n">
        <v>3338</v>
      </c>
      <c r="G90" s="17"/>
      <c r="H90" s="17" t="n">
        <v>2000000</v>
      </c>
      <c r="I90" s="14" t="n">
        <f aca="false">I89+G90-H90</f>
        <v>133817</v>
      </c>
    </row>
    <row r="91" customFormat="false" ht="12" hidden="false" customHeight="true" outlineLevel="1" collapsed="false">
      <c r="B91" s="15" t="n">
        <v>44944</v>
      </c>
      <c r="C91" s="15" t="n">
        <f aca="false">B91</f>
        <v>44944</v>
      </c>
      <c r="D91" s="16" t="s">
        <v>111</v>
      </c>
      <c r="E91" s="16" t="s">
        <v>36</v>
      </c>
      <c r="F91" s="16" t="s">
        <v>92</v>
      </c>
      <c r="G91" s="17"/>
      <c r="H91" s="17" t="n">
        <v>33000</v>
      </c>
      <c r="I91" s="14" t="n">
        <f aca="false">I90+G91-H91</f>
        <v>100817</v>
      </c>
    </row>
    <row r="92" customFormat="false" ht="12" hidden="false" customHeight="true" outlineLevel="1" collapsed="false">
      <c r="B92" s="15" t="n">
        <v>44945</v>
      </c>
      <c r="C92" s="15" t="n">
        <f aca="false">B92</f>
        <v>44945</v>
      </c>
      <c r="D92" s="16" t="s">
        <v>112</v>
      </c>
      <c r="E92" s="16" t="s">
        <v>14</v>
      </c>
      <c r="F92" s="16" t="s">
        <v>15</v>
      </c>
      <c r="G92" s="17" t="n">
        <v>108634000</v>
      </c>
      <c r="H92" s="17"/>
      <c r="I92" s="14" t="n">
        <f aca="false">I91+G92-H92</f>
        <v>108734817</v>
      </c>
    </row>
    <row r="93" customFormat="false" ht="12" hidden="false" customHeight="true" outlineLevel="1" collapsed="false">
      <c r="B93" s="15" t="n">
        <v>44945</v>
      </c>
      <c r="C93" s="15" t="n">
        <f aca="false">B93</f>
        <v>44945</v>
      </c>
      <c r="D93" s="16" t="s">
        <v>113</v>
      </c>
      <c r="E93" s="16" t="s">
        <v>14</v>
      </c>
      <c r="F93" s="16" t="s">
        <v>15</v>
      </c>
      <c r="G93" s="17" t="n">
        <v>261398000</v>
      </c>
      <c r="H93" s="17"/>
      <c r="I93" s="14" t="n">
        <f aca="false">I92+G93-H93</f>
        <v>370132817</v>
      </c>
    </row>
    <row r="94" customFormat="false" ht="12" hidden="false" customHeight="true" outlineLevel="1" collapsed="false">
      <c r="B94" s="15" t="n">
        <v>44945</v>
      </c>
      <c r="C94" s="15" t="n">
        <f aca="false">B94</f>
        <v>44945</v>
      </c>
      <c r="D94" s="16" t="s">
        <v>114</v>
      </c>
      <c r="E94" s="16" t="s">
        <v>14</v>
      </c>
      <c r="F94" s="16" t="s">
        <v>15</v>
      </c>
      <c r="G94" s="17" t="n">
        <v>139145000</v>
      </c>
      <c r="H94" s="17"/>
      <c r="I94" s="14" t="n">
        <f aca="false">I93+G94-H94</f>
        <v>509277817</v>
      </c>
    </row>
    <row r="95" customFormat="false" ht="12" hidden="false" customHeight="true" outlineLevel="1" collapsed="false">
      <c r="B95" s="15" t="n">
        <v>44945</v>
      </c>
      <c r="C95" s="15" t="n">
        <f aca="false">B95</f>
        <v>44945</v>
      </c>
      <c r="D95" s="16" t="s">
        <v>114</v>
      </c>
      <c r="E95" s="16" t="s">
        <v>14</v>
      </c>
      <c r="F95" s="16" t="s">
        <v>15</v>
      </c>
      <c r="G95" s="17" t="n">
        <v>106000000</v>
      </c>
      <c r="H95" s="17"/>
      <c r="I95" s="14" t="n">
        <f aca="false">I94+G95-H95</f>
        <v>615277817</v>
      </c>
    </row>
    <row r="96" customFormat="false" ht="12" hidden="false" customHeight="true" outlineLevel="1" collapsed="false">
      <c r="B96" s="15" t="n">
        <v>44945</v>
      </c>
      <c r="C96" s="15" t="n">
        <f aca="false">B96</f>
        <v>44945</v>
      </c>
      <c r="D96" s="16" t="s">
        <v>115</v>
      </c>
      <c r="E96" s="16" t="s">
        <v>23</v>
      </c>
      <c r="F96" s="16" t="s">
        <v>24</v>
      </c>
      <c r="G96" s="17"/>
      <c r="H96" s="17" t="n">
        <v>37048346</v>
      </c>
      <c r="I96" s="14" t="n">
        <f aca="false">I95+G96-H96</f>
        <v>578229471</v>
      </c>
    </row>
    <row r="97" customFormat="false" ht="12" hidden="false" customHeight="true" outlineLevel="1" collapsed="false">
      <c r="B97" s="15" t="n">
        <v>44945</v>
      </c>
      <c r="C97" s="15" t="n">
        <f aca="false">B97</f>
        <v>44945</v>
      </c>
      <c r="D97" s="16" t="s">
        <v>116</v>
      </c>
      <c r="E97" s="16" t="s">
        <v>23</v>
      </c>
      <c r="F97" s="16" t="s">
        <v>24</v>
      </c>
      <c r="G97" s="17"/>
      <c r="H97" s="17" t="n">
        <v>572951654</v>
      </c>
      <c r="I97" s="14" t="n">
        <f aca="false">I96+G97-H97</f>
        <v>5277817</v>
      </c>
    </row>
    <row r="98" customFormat="false" ht="12" hidden="false" customHeight="true" outlineLevel="1" collapsed="false">
      <c r="B98" s="15" t="n">
        <v>44945</v>
      </c>
      <c r="C98" s="15" t="n">
        <f aca="false">B98</f>
        <v>44945</v>
      </c>
      <c r="D98" s="16" t="s">
        <v>117</v>
      </c>
      <c r="E98" s="16" t="s">
        <v>118</v>
      </c>
      <c r="F98" s="16" t="s">
        <v>92</v>
      </c>
      <c r="G98" s="17"/>
      <c r="H98" s="17" t="n">
        <v>1314960</v>
      </c>
      <c r="I98" s="14" t="n">
        <f aca="false">I97+G98-H98</f>
        <v>3962857</v>
      </c>
    </row>
    <row r="99" customFormat="false" ht="12" hidden="false" customHeight="true" outlineLevel="1" collapsed="false">
      <c r="B99" s="15" t="n">
        <v>44951</v>
      </c>
      <c r="C99" s="15" t="n">
        <f aca="false">B99</f>
        <v>44951</v>
      </c>
      <c r="D99" s="16" t="s">
        <v>119</v>
      </c>
      <c r="E99" s="16" t="s">
        <v>36</v>
      </c>
      <c r="F99" s="16" t="s">
        <v>92</v>
      </c>
      <c r="G99" s="17"/>
      <c r="H99" s="17" t="n">
        <v>22000</v>
      </c>
      <c r="I99" s="14" t="n">
        <f aca="false">I98+G99-H99</f>
        <v>3940857</v>
      </c>
    </row>
    <row r="100" customFormat="false" ht="12" hidden="false" customHeight="true" outlineLevel="1" collapsed="false">
      <c r="B100" s="15" t="n">
        <v>44951</v>
      </c>
      <c r="C100" s="15" t="n">
        <f aca="false">B100</f>
        <v>44951</v>
      </c>
      <c r="D100" s="16" t="s">
        <v>120</v>
      </c>
      <c r="E100" s="16" t="s">
        <v>121</v>
      </c>
      <c r="F100" s="16" t="n">
        <v>515</v>
      </c>
      <c r="G100" s="17" t="n">
        <v>5050</v>
      </c>
      <c r="H100" s="17"/>
      <c r="I100" s="14" t="n">
        <f aca="false">I99+G100-H100</f>
        <v>3945907</v>
      </c>
    </row>
    <row r="101" customFormat="false" ht="12" hidden="false" customHeight="true" outlineLevel="1" collapsed="false">
      <c r="B101" s="15" t="n">
        <v>44953</v>
      </c>
      <c r="C101" s="15" t="n">
        <f aca="false">B101</f>
        <v>44953</v>
      </c>
      <c r="D101" s="16" t="s">
        <v>122</v>
      </c>
      <c r="E101" s="16" t="s">
        <v>123</v>
      </c>
      <c r="F101" s="16" t="n">
        <v>3311</v>
      </c>
      <c r="G101" s="17"/>
      <c r="H101" s="17" t="n">
        <v>3945907</v>
      </c>
      <c r="I101" s="14" t="n">
        <f aca="false">I100+G101-H101</f>
        <v>0</v>
      </c>
    </row>
    <row r="102" customFormat="false" ht="12" hidden="false" customHeight="true" outlineLevel="1" collapsed="false">
      <c r="B102" s="15" t="n">
        <v>44956</v>
      </c>
      <c r="C102" s="15" t="n">
        <f aca="false">B102</f>
        <v>44956</v>
      </c>
      <c r="D102" s="16" t="s">
        <v>124</v>
      </c>
      <c r="E102" s="16" t="s">
        <v>14</v>
      </c>
      <c r="F102" s="16" t="s">
        <v>15</v>
      </c>
      <c r="G102" s="17" t="n">
        <v>180993000</v>
      </c>
      <c r="H102" s="17"/>
      <c r="I102" s="14" t="n">
        <f aca="false">I101+G102-H102</f>
        <v>180993000</v>
      </c>
    </row>
    <row r="103" customFormat="false" ht="12" hidden="false" customHeight="true" outlineLevel="1" collapsed="false">
      <c r="B103" s="15" t="n">
        <v>44956</v>
      </c>
      <c r="C103" s="15" t="n">
        <f aca="false">B103</f>
        <v>44956</v>
      </c>
      <c r="D103" s="16" t="s">
        <v>124</v>
      </c>
      <c r="E103" s="16" t="s">
        <v>14</v>
      </c>
      <c r="F103" s="16" t="s">
        <v>15</v>
      </c>
      <c r="G103" s="17" t="n">
        <v>75708000</v>
      </c>
      <c r="H103" s="17"/>
      <c r="I103" s="14" t="n">
        <f aca="false">I102+G103-H103</f>
        <v>256701000</v>
      </c>
    </row>
    <row r="104" customFormat="false" ht="12" hidden="false" customHeight="true" outlineLevel="1" collapsed="false">
      <c r="B104" s="15" t="n">
        <v>44956</v>
      </c>
      <c r="C104" s="15" t="n">
        <f aca="false">B104</f>
        <v>44956</v>
      </c>
      <c r="D104" s="16" t="s">
        <v>125</v>
      </c>
      <c r="E104" s="16" t="s">
        <v>14</v>
      </c>
      <c r="F104" s="16" t="s">
        <v>15</v>
      </c>
      <c r="G104" s="17" t="n">
        <v>76927000</v>
      </c>
      <c r="H104" s="17"/>
      <c r="I104" s="14" t="n">
        <f aca="false">I103+G104-H104</f>
        <v>333628000</v>
      </c>
    </row>
    <row r="105" customFormat="false" ht="12" hidden="false" customHeight="true" outlineLevel="1" collapsed="false">
      <c r="B105" s="15" t="n">
        <v>44956</v>
      </c>
      <c r="C105" s="15" t="n">
        <f aca="false">B105</f>
        <v>44956</v>
      </c>
      <c r="D105" s="16" t="s">
        <v>126</v>
      </c>
      <c r="E105" s="16" t="s">
        <v>57</v>
      </c>
      <c r="F105" s="16" t="s">
        <v>73</v>
      </c>
      <c r="G105" s="17"/>
      <c r="H105" s="17" t="n">
        <v>220371</v>
      </c>
      <c r="I105" s="14" t="n">
        <f aca="false">I104+G105-H105</f>
        <v>333407629</v>
      </c>
    </row>
    <row r="106" customFormat="false" ht="12" hidden="false" customHeight="true" outlineLevel="1" collapsed="false">
      <c r="B106" s="15" t="n">
        <v>44956</v>
      </c>
      <c r="C106" s="15" t="n">
        <f aca="false">B106</f>
        <v>44956</v>
      </c>
      <c r="D106" s="16" t="s">
        <v>127</v>
      </c>
      <c r="E106" s="16" t="s">
        <v>14</v>
      </c>
      <c r="F106" s="16" t="s">
        <v>15</v>
      </c>
      <c r="G106" s="17" t="n">
        <v>193242000</v>
      </c>
      <c r="H106" s="17"/>
      <c r="I106" s="14" t="n">
        <f aca="false">I105+G106-H106</f>
        <v>526649629</v>
      </c>
    </row>
    <row r="107" customFormat="false" ht="12" hidden="false" customHeight="true" outlineLevel="1" collapsed="false">
      <c r="B107" s="15" t="n">
        <v>44956</v>
      </c>
      <c r="C107" s="15" t="n">
        <f aca="false">B107</f>
        <v>44956</v>
      </c>
      <c r="D107" s="16" t="s">
        <v>128</v>
      </c>
      <c r="E107" s="16" t="s">
        <v>14</v>
      </c>
      <c r="F107" s="16" t="s">
        <v>15</v>
      </c>
      <c r="G107" s="17" t="n">
        <v>84537000</v>
      </c>
      <c r="H107" s="17"/>
      <c r="I107" s="14" t="n">
        <f aca="false">I106+G107-H107</f>
        <v>611186629</v>
      </c>
    </row>
    <row r="108" customFormat="false" ht="12" hidden="false" customHeight="true" outlineLevel="1" collapsed="false">
      <c r="B108" s="15" t="n">
        <v>44956</v>
      </c>
      <c r="C108" s="15" t="n">
        <f aca="false">B108</f>
        <v>44956</v>
      </c>
      <c r="D108" s="16" t="s">
        <v>129</v>
      </c>
      <c r="E108" s="16" t="s">
        <v>23</v>
      </c>
      <c r="F108" s="16" t="s">
        <v>24</v>
      </c>
      <c r="G108" s="17"/>
      <c r="H108" s="17" t="n">
        <v>152002158</v>
      </c>
      <c r="I108" s="14" t="n">
        <f aca="false">I107+G108-H108</f>
        <v>459184471</v>
      </c>
    </row>
    <row r="109" customFormat="false" ht="12" hidden="false" customHeight="true" outlineLevel="1" collapsed="false">
      <c r="B109" s="15" t="n">
        <v>44956</v>
      </c>
      <c r="C109" s="15" t="n">
        <f aca="false">B109</f>
        <v>44956</v>
      </c>
      <c r="D109" s="16" t="s">
        <v>130</v>
      </c>
      <c r="E109" s="16" t="s">
        <v>23</v>
      </c>
      <c r="F109" s="16" t="s">
        <v>24</v>
      </c>
      <c r="G109" s="17"/>
      <c r="H109" s="17" t="n">
        <v>204340041</v>
      </c>
      <c r="I109" s="14" t="n">
        <f aca="false">I108+G109-H109</f>
        <v>254844430</v>
      </c>
    </row>
    <row r="110" customFormat="false" ht="12" hidden="false" customHeight="true" outlineLevel="1" collapsed="false">
      <c r="B110" s="15" t="n">
        <v>44956</v>
      </c>
      <c r="C110" s="15" t="n">
        <f aca="false">B110</f>
        <v>44956</v>
      </c>
      <c r="D110" s="16" t="s">
        <v>131</v>
      </c>
      <c r="E110" s="16" t="s">
        <v>23</v>
      </c>
      <c r="F110" s="16" t="s">
        <v>24</v>
      </c>
      <c r="G110" s="17"/>
      <c r="H110" s="17" t="n">
        <v>103657801</v>
      </c>
      <c r="I110" s="14" t="n">
        <f aca="false">I109+G110-H110</f>
        <v>151186629</v>
      </c>
    </row>
    <row r="111" customFormat="false" ht="12" hidden="false" customHeight="true" outlineLevel="1" collapsed="false">
      <c r="B111" s="15" t="n">
        <v>44956</v>
      </c>
      <c r="C111" s="15" t="n">
        <f aca="false">B111</f>
        <v>44956</v>
      </c>
      <c r="D111" s="16" t="s">
        <v>132</v>
      </c>
      <c r="E111" s="16" t="s">
        <v>57</v>
      </c>
      <c r="F111" s="16" t="n">
        <v>635</v>
      </c>
      <c r="G111" s="17"/>
      <c r="H111" s="17" t="n">
        <v>4179927</v>
      </c>
      <c r="I111" s="14" t="n">
        <f aca="false">I110+G111-H111</f>
        <v>147006702</v>
      </c>
    </row>
    <row r="112" customFormat="false" ht="12" hidden="false" customHeight="true" outlineLevel="1" collapsed="false">
      <c r="B112" s="15" t="n">
        <v>44956</v>
      </c>
      <c r="C112" s="15" t="n">
        <f aca="false">B112</f>
        <v>44956</v>
      </c>
      <c r="D112" s="16" t="s">
        <v>133</v>
      </c>
      <c r="E112" s="16" t="s">
        <v>57</v>
      </c>
      <c r="F112" s="16" t="n">
        <v>635</v>
      </c>
      <c r="G112" s="17"/>
      <c r="H112" s="17" t="n">
        <v>1567540</v>
      </c>
      <c r="I112" s="14" t="n">
        <f aca="false">I111+G112-H112</f>
        <v>145439162</v>
      </c>
    </row>
    <row r="113" customFormat="false" ht="12" hidden="false" customHeight="true" outlineLevel="1" collapsed="false">
      <c r="B113" s="15" t="n">
        <v>44956</v>
      </c>
      <c r="C113" s="15" t="n">
        <f aca="false">B113</f>
        <v>44956</v>
      </c>
      <c r="D113" s="16" t="s">
        <v>134</v>
      </c>
      <c r="E113" s="16" t="s">
        <v>57</v>
      </c>
      <c r="F113" s="16" t="n">
        <v>635</v>
      </c>
      <c r="G113" s="17"/>
      <c r="H113" s="17" t="n">
        <v>12917024</v>
      </c>
      <c r="I113" s="14" t="n">
        <f aca="false">I112+G113-H113</f>
        <v>132522138</v>
      </c>
    </row>
    <row r="114" customFormat="false" ht="12" hidden="false" customHeight="true" outlineLevel="1" collapsed="false">
      <c r="B114" s="15" t="n">
        <v>44956</v>
      </c>
      <c r="C114" s="15" t="n">
        <f aca="false">B114</f>
        <v>44956</v>
      </c>
      <c r="D114" s="16" t="s">
        <v>135</v>
      </c>
      <c r="E114" s="16" t="s">
        <v>57</v>
      </c>
      <c r="F114" s="16" t="n">
        <v>635</v>
      </c>
      <c r="G114" s="17"/>
      <c r="H114" s="17" t="n">
        <v>6335493</v>
      </c>
      <c r="I114" s="14" t="n">
        <f aca="false">I113+G114-H114</f>
        <v>126186645</v>
      </c>
    </row>
    <row r="115" customFormat="false" ht="12" hidden="false" customHeight="true" outlineLevel="1" collapsed="false">
      <c r="B115" s="15" t="n">
        <v>44956</v>
      </c>
      <c r="C115" s="15" t="n">
        <f aca="false">B115</f>
        <v>44956</v>
      </c>
      <c r="D115" s="16" t="s">
        <v>136</v>
      </c>
      <c r="E115" s="16" t="s">
        <v>57</v>
      </c>
      <c r="F115" s="16" t="n">
        <v>635</v>
      </c>
      <c r="G115" s="17"/>
      <c r="H115" s="17" t="n">
        <v>5366267</v>
      </c>
      <c r="I115" s="14" t="n">
        <f aca="false">I114+G115-H115</f>
        <v>120820378</v>
      </c>
    </row>
    <row r="116" customFormat="false" ht="12" hidden="false" customHeight="true" outlineLevel="1" collapsed="false">
      <c r="B116" s="15" t="n">
        <v>44956</v>
      </c>
      <c r="C116" s="15" t="n">
        <f aca="false">B116</f>
        <v>44956</v>
      </c>
      <c r="D116" s="16" t="s">
        <v>137</v>
      </c>
      <c r="E116" s="16" t="s">
        <v>57</v>
      </c>
      <c r="F116" s="16" t="n">
        <v>635</v>
      </c>
      <c r="G116" s="17"/>
      <c r="H116" s="17" t="n">
        <v>5140390</v>
      </c>
      <c r="I116" s="14" t="n">
        <f aca="false">I115+G116-H116</f>
        <v>115679988</v>
      </c>
    </row>
    <row r="117" customFormat="false" ht="12" hidden="false" customHeight="true" outlineLevel="1" collapsed="false">
      <c r="B117" s="15" t="n">
        <v>44956</v>
      </c>
      <c r="C117" s="15" t="n">
        <f aca="false">B117</f>
        <v>44956</v>
      </c>
      <c r="D117" s="16" t="s">
        <v>138</v>
      </c>
      <c r="E117" s="16" t="s">
        <v>57</v>
      </c>
      <c r="F117" s="16" t="n">
        <v>635</v>
      </c>
      <c r="G117" s="17"/>
      <c r="H117" s="17" t="n">
        <v>1313878</v>
      </c>
      <c r="I117" s="14" t="n">
        <f aca="false">I116+G117-H117</f>
        <v>114366110</v>
      </c>
    </row>
    <row r="118" customFormat="false" ht="12" hidden="false" customHeight="true" outlineLevel="1" collapsed="false">
      <c r="B118" s="15" t="n">
        <v>44956</v>
      </c>
      <c r="C118" s="15" t="n">
        <f aca="false">B118</f>
        <v>44956</v>
      </c>
      <c r="D118" s="16" t="s">
        <v>139</v>
      </c>
      <c r="E118" s="16" t="s">
        <v>57</v>
      </c>
      <c r="F118" s="16" t="n">
        <v>635</v>
      </c>
      <c r="G118" s="17"/>
      <c r="H118" s="17" t="n">
        <v>2157628</v>
      </c>
      <c r="I118" s="14" t="n">
        <f aca="false">I117+G118-H118</f>
        <v>112208482</v>
      </c>
    </row>
    <row r="119" customFormat="false" ht="12" hidden="false" customHeight="true" outlineLevel="1" collapsed="false">
      <c r="B119" s="15" t="n">
        <v>44956</v>
      </c>
      <c r="C119" s="15" t="n">
        <f aca="false">B119</f>
        <v>44956</v>
      </c>
      <c r="D119" s="16" t="s">
        <v>140</v>
      </c>
      <c r="E119" s="16" t="s">
        <v>57</v>
      </c>
      <c r="F119" s="16" t="n">
        <v>635</v>
      </c>
      <c r="G119" s="17"/>
      <c r="H119" s="17" t="n">
        <v>9213550</v>
      </c>
      <c r="I119" s="14" t="n">
        <f aca="false">I118+G119-H119</f>
        <v>102994932</v>
      </c>
    </row>
    <row r="120" customFormat="false" ht="12" hidden="false" customHeight="true" outlineLevel="1" collapsed="false">
      <c r="B120" s="15" t="n">
        <v>44956</v>
      </c>
      <c r="C120" s="15" t="n">
        <f aca="false">B120</f>
        <v>44956</v>
      </c>
      <c r="D120" s="16" t="s">
        <v>141</v>
      </c>
      <c r="E120" s="16" t="s">
        <v>57</v>
      </c>
      <c r="F120" s="16" t="n">
        <v>635</v>
      </c>
      <c r="G120" s="17"/>
      <c r="H120" s="17" t="n">
        <v>1719194</v>
      </c>
      <c r="I120" s="14" t="n">
        <f aca="false">I119+G120-H120</f>
        <v>101275738</v>
      </c>
    </row>
    <row r="121" customFormat="false" ht="12" hidden="false" customHeight="true" outlineLevel="1" collapsed="false">
      <c r="B121" s="15" t="n">
        <v>44956</v>
      </c>
      <c r="C121" s="15" t="n">
        <f aca="false">B121</f>
        <v>44956</v>
      </c>
      <c r="D121" s="16" t="s">
        <v>141</v>
      </c>
      <c r="E121" s="16" t="s">
        <v>57</v>
      </c>
      <c r="F121" s="16" t="n">
        <v>635</v>
      </c>
      <c r="G121" s="17"/>
      <c r="H121" s="17" t="n">
        <v>7683926</v>
      </c>
      <c r="I121" s="14" t="n">
        <f aca="false">I120+G121-H121</f>
        <v>93591812</v>
      </c>
    </row>
    <row r="122" customFormat="false" ht="12" hidden="false" customHeight="true" outlineLevel="1" collapsed="false">
      <c r="B122" s="15" t="n">
        <v>44956</v>
      </c>
      <c r="C122" s="15" t="n">
        <f aca="false">B122</f>
        <v>44956</v>
      </c>
      <c r="D122" s="16" t="s">
        <v>142</v>
      </c>
      <c r="E122" s="16" t="s">
        <v>57</v>
      </c>
      <c r="F122" s="16" t="n">
        <v>635</v>
      </c>
      <c r="G122" s="17"/>
      <c r="H122" s="17" t="n">
        <v>1080817</v>
      </c>
      <c r="I122" s="14" t="n">
        <f aca="false">I121+G122-H122</f>
        <v>92510995</v>
      </c>
    </row>
    <row r="123" customFormat="false" ht="12" hidden="false" customHeight="true" outlineLevel="1" collapsed="false">
      <c r="B123" s="15" t="n">
        <v>44956</v>
      </c>
      <c r="C123" s="15" t="n">
        <f aca="false">B123</f>
        <v>44956</v>
      </c>
      <c r="D123" s="16" t="s">
        <v>143</v>
      </c>
      <c r="E123" s="16" t="s">
        <v>57</v>
      </c>
      <c r="F123" s="16" t="n">
        <v>635</v>
      </c>
      <c r="G123" s="17"/>
      <c r="H123" s="17" t="n">
        <v>6511871</v>
      </c>
      <c r="I123" s="14" t="n">
        <f aca="false">I122+G123-H123</f>
        <v>85999124</v>
      </c>
    </row>
    <row r="124" customFormat="false" ht="12" hidden="false" customHeight="true" outlineLevel="1" collapsed="false">
      <c r="B124" s="15" t="n">
        <v>44956</v>
      </c>
      <c r="C124" s="15" t="n">
        <f aca="false">B124</f>
        <v>44956</v>
      </c>
      <c r="D124" s="16" t="s">
        <v>144</v>
      </c>
      <c r="E124" s="16" t="s">
        <v>57</v>
      </c>
      <c r="F124" s="16" t="n">
        <v>635</v>
      </c>
      <c r="G124" s="17"/>
      <c r="H124" s="17" t="n">
        <v>11300339</v>
      </c>
      <c r="I124" s="14" t="n">
        <f aca="false">I123+G124-H124</f>
        <v>74698785</v>
      </c>
    </row>
    <row r="125" customFormat="false" ht="12" hidden="false" customHeight="true" outlineLevel="1" collapsed="false">
      <c r="B125" s="15" t="n">
        <v>44956</v>
      </c>
      <c r="C125" s="15" t="n">
        <f aca="false">B125</f>
        <v>44956</v>
      </c>
      <c r="D125" s="16" t="s">
        <v>145</v>
      </c>
      <c r="E125" s="16" t="s">
        <v>57</v>
      </c>
      <c r="F125" s="16" t="n">
        <v>635</v>
      </c>
      <c r="G125" s="17"/>
      <c r="H125" s="17" t="n">
        <v>4841214</v>
      </c>
      <c r="I125" s="14" t="n">
        <f aca="false">I124+G125-H125</f>
        <v>69857571</v>
      </c>
    </row>
    <row r="126" customFormat="false" ht="12" hidden="false" customHeight="true" outlineLevel="1" collapsed="false">
      <c r="B126" s="15" t="n">
        <v>44956</v>
      </c>
      <c r="C126" s="15" t="n">
        <f aca="false">B126</f>
        <v>44956</v>
      </c>
      <c r="D126" s="16" t="s">
        <v>146</v>
      </c>
      <c r="E126" s="16" t="s">
        <v>57</v>
      </c>
      <c r="F126" s="16" t="n">
        <v>635</v>
      </c>
      <c r="G126" s="17"/>
      <c r="H126" s="17" t="n">
        <v>4291568</v>
      </c>
      <c r="I126" s="14" t="n">
        <f aca="false">I125+G126-H126</f>
        <v>65566003</v>
      </c>
    </row>
    <row r="127" customFormat="false" ht="12" hidden="false" customHeight="true" outlineLevel="1" collapsed="false">
      <c r="B127" s="15" t="n">
        <v>44956</v>
      </c>
      <c r="C127" s="15" t="n">
        <f aca="false">B127</f>
        <v>44956</v>
      </c>
      <c r="D127" s="16" t="s">
        <v>147</v>
      </c>
      <c r="E127" s="16" t="s">
        <v>57</v>
      </c>
      <c r="F127" s="16" t="n">
        <v>635</v>
      </c>
      <c r="G127" s="17"/>
      <c r="H127" s="17" t="n">
        <v>3998920</v>
      </c>
      <c r="I127" s="14" t="n">
        <f aca="false">I126+G127-H127</f>
        <v>61567083</v>
      </c>
    </row>
    <row r="128" customFormat="false" ht="12" hidden="false" customHeight="true" outlineLevel="1" collapsed="false">
      <c r="B128" s="15" t="n">
        <v>44956</v>
      </c>
      <c r="C128" s="15" t="n">
        <f aca="false">B128</f>
        <v>44956</v>
      </c>
      <c r="D128" s="16" t="s">
        <v>148</v>
      </c>
      <c r="E128" s="16" t="s">
        <v>57</v>
      </c>
      <c r="F128" s="16" t="n">
        <v>635</v>
      </c>
      <c r="G128" s="17"/>
      <c r="H128" s="17" t="n">
        <v>2315814</v>
      </c>
      <c r="I128" s="14" t="n">
        <f aca="false">I127+G128-H128</f>
        <v>59251269</v>
      </c>
    </row>
    <row r="129" customFormat="false" ht="12" hidden="false" customHeight="true" outlineLevel="1" collapsed="false">
      <c r="B129" s="15" t="n">
        <v>44956</v>
      </c>
      <c r="C129" s="15" t="n">
        <f aca="false">B129</f>
        <v>44956</v>
      </c>
      <c r="D129" s="16" t="s">
        <v>149</v>
      </c>
      <c r="E129" s="16" t="s">
        <v>57</v>
      </c>
      <c r="F129" s="16" t="n">
        <v>635</v>
      </c>
      <c r="G129" s="17"/>
      <c r="H129" s="17" t="n">
        <v>11397079</v>
      </c>
      <c r="I129" s="14" t="n">
        <f aca="false">I128+G129-H129</f>
        <v>47854190</v>
      </c>
    </row>
    <row r="130" customFormat="false" ht="12" hidden="false" customHeight="true" outlineLevel="1" collapsed="false">
      <c r="B130" s="15" t="n">
        <v>44956</v>
      </c>
      <c r="C130" s="15" t="n">
        <f aca="false">B130</f>
        <v>44956</v>
      </c>
      <c r="D130" s="16" t="s">
        <v>149</v>
      </c>
      <c r="E130" s="16" t="s">
        <v>57</v>
      </c>
      <c r="F130" s="16" t="n">
        <v>635</v>
      </c>
      <c r="G130" s="17"/>
      <c r="H130" s="17" t="n">
        <v>696398</v>
      </c>
      <c r="I130" s="14" t="n">
        <f aca="false">I129+G130-H130</f>
        <v>47157792</v>
      </c>
    </row>
    <row r="131" customFormat="false" ht="12" hidden="false" customHeight="true" outlineLevel="1" collapsed="false">
      <c r="B131" s="15" t="n">
        <v>44956</v>
      </c>
      <c r="C131" s="15" t="n">
        <f aca="false">B131</f>
        <v>44956</v>
      </c>
      <c r="D131" s="16" t="s">
        <v>149</v>
      </c>
      <c r="E131" s="16" t="s">
        <v>57</v>
      </c>
      <c r="F131" s="16" t="n">
        <v>635</v>
      </c>
      <c r="G131" s="17"/>
      <c r="H131" s="17" t="n">
        <v>11198802</v>
      </c>
      <c r="I131" s="14" t="n">
        <f aca="false">I130+G131-H131</f>
        <v>35958990</v>
      </c>
    </row>
    <row r="132" customFormat="false" ht="12" hidden="false" customHeight="true" outlineLevel="1" collapsed="false">
      <c r="B132" s="15" t="n">
        <v>44956</v>
      </c>
      <c r="C132" s="15" t="n">
        <f aca="false">B132</f>
        <v>44956</v>
      </c>
      <c r="D132" s="16" t="s">
        <v>150</v>
      </c>
      <c r="E132" s="16" t="s">
        <v>57</v>
      </c>
      <c r="F132" s="16" t="n">
        <v>635</v>
      </c>
      <c r="G132" s="17"/>
      <c r="H132" s="17" t="n">
        <v>2817032</v>
      </c>
      <c r="I132" s="14" t="n">
        <f aca="false">I131+G132-H132</f>
        <v>33141958</v>
      </c>
    </row>
    <row r="133" customFormat="false" ht="12" hidden="false" customHeight="true" outlineLevel="1" collapsed="false">
      <c r="B133" s="15" t="n">
        <v>44956</v>
      </c>
      <c r="C133" s="15" t="n">
        <f aca="false">B133</f>
        <v>44956</v>
      </c>
      <c r="D133" s="16" t="s">
        <v>151</v>
      </c>
      <c r="E133" s="16" t="s">
        <v>57</v>
      </c>
      <c r="F133" s="16" t="n">
        <v>635</v>
      </c>
      <c r="G133" s="17"/>
      <c r="H133" s="17" t="n">
        <v>1134919</v>
      </c>
      <c r="I133" s="14" t="n">
        <f aca="false">I132+G133-H133</f>
        <v>32007039</v>
      </c>
    </row>
    <row r="134" customFormat="false" ht="12" hidden="false" customHeight="true" outlineLevel="1" collapsed="false">
      <c r="B134" s="15" t="n">
        <v>44956</v>
      </c>
      <c r="C134" s="15" t="n">
        <f aca="false">B134</f>
        <v>44956</v>
      </c>
      <c r="D134" s="16" t="s">
        <v>152</v>
      </c>
      <c r="E134" s="16" t="s">
        <v>57</v>
      </c>
      <c r="F134" s="16" t="n">
        <v>635</v>
      </c>
      <c r="G134" s="17"/>
      <c r="H134" s="17" t="n">
        <v>13959826</v>
      </c>
      <c r="I134" s="14" t="n">
        <f aca="false">I133+G134-H134</f>
        <v>18047213</v>
      </c>
    </row>
    <row r="135" customFormat="false" ht="12" hidden="false" customHeight="true" outlineLevel="1" collapsed="false">
      <c r="B135" s="15" t="n">
        <v>44956</v>
      </c>
      <c r="C135" s="15" t="n">
        <f aca="false">B135</f>
        <v>44956</v>
      </c>
      <c r="D135" s="16" t="s">
        <v>152</v>
      </c>
      <c r="E135" s="16" t="s">
        <v>57</v>
      </c>
      <c r="F135" s="16" t="n">
        <v>635</v>
      </c>
      <c r="G135" s="17"/>
      <c r="H135" s="17" t="n">
        <v>4324192</v>
      </c>
      <c r="I135" s="14" t="n">
        <f aca="false">I134+G135-H135</f>
        <v>13723021</v>
      </c>
    </row>
    <row r="136" customFormat="false" ht="12" hidden="false" customHeight="true" outlineLevel="1" collapsed="false">
      <c r="B136" s="15" t="n">
        <v>44956</v>
      </c>
      <c r="C136" s="15" t="n">
        <f aca="false">B136</f>
        <v>44956</v>
      </c>
      <c r="D136" s="16" t="s">
        <v>153</v>
      </c>
      <c r="E136" s="16" t="s">
        <v>57</v>
      </c>
      <c r="F136" s="16" t="n">
        <v>635</v>
      </c>
      <c r="G136" s="17"/>
      <c r="H136" s="17" t="n">
        <v>2610924</v>
      </c>
      <c r="I136" s="14" t="n">
        <f aca="false">I135+G136-H136</f>
        <v>11112097</v>
      </c>
    </row>
    <row r="137" customFormat="false" ht="12" hidden="false" customHeight="true" outlineLevel="1" collapsed="false">
      <c r="B137" s="15" t="n">
        <v>44956</v>
      </c>
      <c r="C137" s="15" t="n">
        <f aca="false">B137</f>
        <v>44956</v>
      </c>
      <c r="D137" s="16" t="s">
        <v>154</v>
      </c>
      <c r="E137" s="16" t="s">
        <v>57</v>
      </c>
      <c r="F137" s="16" t="n">
        <v>635</v>
      </c>
      <c r="G137" s="17"/>
      <c r="H137" s="17" t="n">
        <v>3901371</v>
      </c>
      <c r="I137" s="14" t="n">
        <f aca="false">I136+G137-H137</f>
        <v>7210726</v>
      </c>
    </row>
    <row r="138" customFormat="false" ht="12" hidden="false" customHeight="true" outlineLevel="1" collapsed="false">
      <c r="B138" s="15" t="n">
        <v>44956</v>
      </c>
      <c r="C138" s="15" t="n">
        <f aca="false">B138</f>
        <v>44956</v>
      </c>
      <c r="D138" s="16" t="s">
        <v>154</v>
      </c>
      <c r="E138" s="16" t="s">
        <v>57</v>
      </c>
      <c r="F138" s="16" t="n">
        <v>635</v>
      </c>
      <c r="G138" s="17"/>
      <c r="H138" s="17" t="n">
        <v>1917058</v>
      </c>
      <c r="I138" s="14" t="n">
        <f aca="false">I137+G138-H138</f>
        <v>5293668</v>
      </c>
    </row>
    <row r="139" customFormat="false" ht="12" hidden="false" customHeight="true" outlineLevel="1" collapsed="false">
      <c r="B139" s="15" t="n">
        <v>44956</v>
      </c>
      <c r="C139" s="15" t="n">
        <f aca="false">B139</f>
        <v>44956</v>
      </c>
      <c r="D139" s="16" t="s">
        <v>155</v>
      </c>
      <c r="E139" s="16" t="s">
        <v>57</v>
      </c>
      <c r="F139" s="16" t="n">
        <v>635</v>
      </c>
      <c r="G139" s="17"/>
      <c r="H139" s="17" t="n">
        <v>3412200</v>
      </c>
      <c r="I139" s="14" t="n">
        <f aca="false">I138+G139-H139</f>
        <v>1881468</v>
      </c>
    </row>
    <row r="140" customFormat="false" ht="12" hidden="false" customHeight="true" outlineLevel="1" collapsed="false">
      <c r="B140" s="15" t="n">
        <v>44957</v>
      </c>
      <c r="C140" s="15" t="n">
        <f aca="false">B140</f>
        <v>44957</v>
      </c>
      <c r="D140" s="16" t="s">
        <v>156</v>
      </c>
      <c r="E140" s="16" t="s">
        <v>157</v>
      </c>
      <c r="F140" s="16" t="s">
        <v>15</v>
      </c>
      <c r="G140" s="17" t="n">
        <v>58000000</v>
      </c>
      <c r="H140" s="17"/>
      <c r="I140" s="14" t="n">
        <f aca="false">I139+G140-H140</f>
        <v>59881468</v>
      </c>
    </row>
    <row r="141" customFormat="false" ht="12" hidden="false" customHeight="true" outlineLevel="1" collapsed="false">
      <c r="B141" s="15" t="n">
        <v>44957</v>
      </c>
      <c r="C141" s="15" t="n">
        <f aca="false">B141</f>
        <v>44957</v>
      </c>
      <c r="D141" s="16" t="s">
        <v>158</v>
      </c>
      <c r="E141" s="16" t="s">
        <v>157</v>
      </c>
      <c r="F141" s="16" t="s">
        <v>15</v>
      </c>
      <c r="G141" s="17" t="n">
        <v>500000000</v>
      </c>
      <c r="H141" s="17"/>
      <c r="I141" s="14" t="n">
        <f aca="false">I140+G141-H141</f>
        <v>559881468</v>
      </c>
    </row>
    <row r="142" customFormat="false" ht="12" hidden="false" customHeight="true" outlineLevel="1" collapsed="false">
      <c r="B142" s="15" t="n">
        <v>44957</v>
      </c>
      <c r="C142" s="15" t="n">
        <f aca="false">B142</f>
        <v>44957</v>
      </c>
      <c r="D142" s="16" t="s">
        <v>159</v>
      </c>
      <c r="E142" s="16" t="s">
        <v>23</v>
      </c>
      <c r="F142" s="16" t="s">
        <v>24</v>
      </c>
      <c r="G142" s="17"/>
      <c r="H142" s="17" t="n">
        <v>550000000</v>
      </c>
      <c r="I142" s="14" t="n">
        <f aca="false">I141+G142-H142</f>
        <v>9881468</v>
      </c>
    </row>
    <row r="143" customFormat="false" ht="12" hidden="false" customHeight="true" outlineLevel="1" collapsed="false">
      <c r="B143" s="15" t="n">
        <v>44957</v>
      </c>
      <c r="C143" s="15" t="n">
        <f aca="false">B143</f>
        <v>44957</v>
      </c>
      <c r="D143" s="16" t="s">
        <v>159</v>
      </c>
      <c r="E143" s="16" t="s">
        <v>57</v>
      </c>
      <c r="F143" s="16" t="n">
        <v>635</v>
      </c>
      <c r="G143" s="17"/>
      <c r="H143" s="17" t="n">
        <v>11000</v>
      </c>
      <c r="I143" s="14" t="n">
        <f aca="false">I142+G143-H143</f>
        <v>9870468</v>
      </c>
    </row>
    <row r="144" customFormat="false" ht="12" hidden="false" customHeight="true" outlineLevel="1" collapsed="false">
      <c r="B144" s="15" t="n">
        <v>44958</v>
      </c>
      <c r="C144" s="15" t="n">
        <f aca="false">B144</f>
        <v>44958</v>
      </c>
      <c r="D144" s="16" t="s">
        <v>160</v>
      </c>
      <c r="E144" s="16" t="s">
        <v>157</v>
      </c>
      <c r="F144" s="16" t="s">
        <v>15</v>
      </c>
      <c r="G144" s="17" t="n">
        <v>54000000</v>
      </c>
      <c r="H144" s="17"/>
      <c r="I144" s="14" t="n">
        <f aca="false">I143+G144-H144</f>
        <v>63870468</v>
      </c>
    </row>
    <row r="145" customFormat="false" ht="12" hidden="false" customHeight="true" outlineLevel="1" collapsed="false">
      <c r="B145" s="15" t="n">
        <v>44958</v>
      </c>
      <c r="C145" s="15" t="n">
        <f aca="false">B145</f>
        <v>44958</v>
      </c>
      <c r="D145" s="16" t="s">
        <v>161</v>
      </c>
      <c r="E145" s="16" t="s">
        <v>157</v>
      </c>
      <c r="F145" s="16" t="s">
        <v>15</v>
      </c>
      <c r="G145" s="17" t="n">
        <v>103422000</v>
      </c>
      <c r="H145" s="17"/>
      <c r="I145" s="14" t="n">
        <f aca="false">I144+G145-H145</f>
        <v>167292468</v>
      </c>
    </row>
    <row r="146" customFormat="false" ht="12" hidden="false" customHeight="true" outlineLevel="1" collapsed="false">
      <c r="B146" s="15" t="n">
        <v>44958</v>
      </c>
      <c r="C146" s="15" t="n">
        <f aca="false">B146</f>
        <v>44958</v>
      </c>
      <c r="D146" s="16" t="s">
        <v>162</v>
      </c>
      <c r="E146" s="16" t="s">
        <v>157</v>
      </c>
      <c r="F146" s="16" t="s">
        <v>15</v>
      </c>
      <c r="G146" s="17" t="n">
        <v>251997000</v>
      </c>
      <c r="H146" s="17"/>
      <c r="I146" s="14" t="n">
        <f aca="false">I145+G146-H146</f>
        <v>419289468</v>
      </c>
    </row>
    <row r="147" customFormat="false" ht="12" hidden="false" customHeight="true" outlineLevel="1" collapsed="false">
      <c r="B147" s="15" t="n">
        <v>44958</v>
      </c>
      <c r="C147" s="15" t="n">
        <f aca="false">B147</f>
        <v>44958</v>
      </c>
      <c r="D147" s="16" t="s">
        <v>163</v>
      </c>
      <c r="E147" s="16" t="s">
        <v>157</v>
      </c>
      <c r="F147" s="16" t="s">
        <v>15</v>
      </c>
      <c r="G147" s="17" t="n">
        <v>122799000</v>
      </c>
      <c r="H147" s="17"/>
      <c r="I147" s="14" t="n">
        <f aca="false">I146+G147-H147</f>
        <v>542088468</v>
      </c>
    </row>
    <row r="148" customFormat="false" ht="12" hidden="false" customHeight="true" outlineLevel="1" collapsed="false">
      <c r="B148" s="15" t="n">
        <v>44958</v>
      </c>
      <c r="C148" s="15" t="n">
        <f aca="false">B148</f>
        <v>44958</v>
      </c>
      <c r="D148" s="16" t="s">
        <v>164</v>
      </c>
      <c r="E148" s="16" t="s">
        <v>23</v>
      </c>
      <c r="F148" s="16" t="s">
        <v>24</v>
      </c>
      <c r="G148" s="17"/>
      <c r="H148" s="17" t="n">
        <v>535000000</v>
      </c>
      <c r="I148" s="14" t="n">
        <f aca="false">I147+G148-H148</f>
        <v>7088468</v>
      </c>
    </row>
    <row r="149" customFormat="false" ht="12" hidden="false" customHeight="true" outlineLevel="1" collapsed="false">
      <c r="B149" s="15" t="n">
        <v>44958</v>
      </c>
      <c r="C149" s="15" t="n">
        <f aca="false">B149</f>
        <v>44958</v>
      </c>
      <c r="D149" s="16" t="s">
        <v>164</v>
      </c>
      <c r="E149" s="16" t="s">
        <v>165</v>
      </c>
      <c r="F149" s="16" t="n">
        <v>635</v>
      </c>
      <c r="G149" s="17"/>
      <c r="H149" s="17" t="n">
        <v>126357</v>
      </c>
      <c r="I149" s="14" t="n">
        <f aca="false">I148+G149-H149</f>
        <v>6962111</v>
      </c>
    </row>
    <row r="150" customFormat="false" ht="12" hidden="false" customHeight="true" outlineLevel="1" collapsed="false">
      <c r="B150" s="15" t="n">
        <v>44959</v>
      </c>
      <c r="C150" s="15" t="n">
        <f aca="false">B150</f>
        <v>44959</v>
      </c>
      <c r="D150" s="16" t="s">
        <v>166</v>
      </c>
      <c r="E150" s="16" t="s">
        <v>157</v>
      </c>
      <c r="F150" s="16" t="s">
        <v>15</v>
      </c>
      <c r="G150" s="17" t="n">
        <v>211998000</v>
      </c>
      <c r="H150" s="17"/>
      <c r="I150" s="14" t="n">
        <f aca="false">I149+G150-H150</f>
        <v>218960111</v>
      </c>
    </row>
    <row r="151" customFormat="false" ht="12" hidden="false" customHeight="true" outlineLevel="1" collapsed="false">
      <c r="B151" s="15" t="n">
        <v>44959</v>
      </c>
      <c r="C151" s="15" t="n">
        <f aca="false">B151</f>
        <v>44959</v>
      </c>
      <c r="D151" s="16" t="s">
        <v>167</v>
      </c>
      <c r="E151" s="16" t="s">
        <v>157</v>
      </c>
      <c r="F151" s="16" t="s">
        <v>15</v>
      </c>
      <c r="G151" s="17" t="n">
        <v>113706000</v>
      </c>
      <c r="H151" s="17"/>
      <c r="I151" s="14" t="n">
        <f aca="false">I150+G151-H151</f>
        <v>332666111</v>
      </c>
    </row>
    <row r="152" customFormat="false" ht="12" hidden="false" customHeight="true" outlineLevel="1" collapsed="false">
      <c r="B152" s="15" t="n">
        <v>44959</v>
      </c>
      <c r="C152" s="15" t="n">
        <f aca="false">B152</f>
        <v>44959</v>
      </c>
      <c r="D152" s="16" t="s">
        <v>168</v>
      </c>
      <c r="E152" s="16" t="s">
        <v>157</v>
      </c>
      <c r="F152" s="16" t="s">
        <v>15</v>
      </c>
      <c r="G152" s="17" t="n">
        <v>119817000</v>
      </c>
      <c r="H152" s="17"/>
      <c r="I152" s="14" t="n">
        <f aca="false">I151+G152-H152</f>
        <v>452483111</v>
      </c>
    </row>
    <row r="153" customFormat="false" ht="12" hidden="false" customHeight="true" outlineLevel="1" collapsed="false">
      <c r="B153" s="15" t="n">
        <v>44959</v>
      </c>
      <c r="C153" s="15" t="n">
        <f aca="false">B153</f>
        <v>44959</v>
      </c>
      <c r="D153" s="16" t="s">
        <v>169</v>
      </c>
      <c r="E153" s="16" t="s">
        <v>23</v>
      </c>
      <c r="F153" s="16" t="s">
        <v>24</v>
      </c>
      <c r="G153" s="17"/>
      <c r="H153" s="17" t="n">
        <v>445000000</v>
      </c>
      <c r="I153" s="14" t="n">
        <f aca="false">I152+G153-H153</f>
        <v>7483111</v>
      </c>
    </row>
    <row r="154" customFormat="false" ht="12" hidden="false" customHeight="true" outlineLevel="1" collapsed="false">
      <c r="B154" s="15" t="n">
        <v>44960</v>
      </c>
      <c r="C154" s="15" t="n">
        <f aca="false">B154</f>
        <v>44960</v>
      </c>
      <c r="D154" s="16" t="s">
        <v>170</v>
      </c>
      <c r="E154" s="16" t="s">
        <v>157</v>
      </c>
      <c r="F154" s="16" t="s">
        <v>15</v>
      </c>
      <c r="G154" s="17" t="n">
        <v>174116000</v>
      </c>
      <c r="H154" s="17"/>
      <c r="I154" s="14" t="n">
        <f aca="false">I153+G154-H154</f>
        <v>181599111</v>
      </c>
    </row>
    <row r="155" customFormat="false" ht="12" hidden="false" customHeight="true" outlineLevel="1" collapsed="false">
      <c r="B155" s="15" t="n">
        <v>44960</v>
      </c>
      <c r="C155" s="15" t="n">
        <f aca="false">B155</f>
        <v>44960</v>
      </c>
      <c r="D155" s="16" t="s">
        <v>171</v>
      </c>
      <c r="E155" s="16" t="s">
        <v>157</v>
      </c>
      <c r="F155" s="16" t="s">
        <v>15</v>
      </c>
      <c r="G155" s="17" t="n">
        <v>80805000</v>
      </c>
      <c r="H155" s="17"/>
      <c r="I155" s="14" t="n">
        <f aca="false">I154+G155-H155</f>
        <v>262404111</v>
      </c>
    </row>
    <row r="156" customFormat="false" ht="12" hidden="false" customHeight="true" outlineLevel="1" collapsed="false">
      <c r="B156" s="15" t="n">
        <v>44960</v>
      </c>
      <c r="C156" s="15" t="n">
        <f aca="false">B156</f>
        <v>44960</v>
      </c>
      <c r="D156" s="16" t="s">
        <v>172</v>
      </c>
      <c r="E156" s="16" t="s">
        <v>157</v>
      </c>
      <c r="F156" s="16" t="s">
        <v>15</v>
      </c>
      <c r="G156" s="17" t="n">
        <v>78573000</v>
      </c>
      <c r="H156" s="17"/>
      <c r="I156" s="14" t="n">
        <f aca="false">I155+G156-H156</f>
        <v>340977111</v>
      </c>
    </row>
    <row r="157" customFormat="false" ht="12" hidden="false" customHeight="true" outlineLevel="1" collapsed="false">
      <c r="B157" s="15" t="n">
        <v>44960</v>
      </c>
      <c r="C157" s="15" t="n">
        <f aca="false">B157</f>
        <v>44960</v>
      </c>
      <c r="D157" s="16" t="s">
        <v>173</v>
      </c>
      <c r="E157" s="16" t="s">
        <v>36</v>
      </c>
      <c r="F157" s="16" t="n">
        <v>635</v>
      </c>
      <c r="G157" s="17"/>
      <c r="H157" s="17" t="n">
        <v>68211</v>
      </c>
      <c r="I157" s="14" t="n">
        <f aca="false">I156+G157-H157</f>
        <v>340908900</v>
      </c>
    </row>
    <row r="158" customFormat="false" ht="12" hidden="false" customHeight="true" outlineLevel="1" collapsed="false">
      <c r="B158" s="15" t="n">
        <v>44960</v>
      </c>
      <c r="C158" s="15" t="n">
        <f aca="false">B158</f>
        <v>44960</v>
      </c>
      <c r="D158" s="16" t="s">
        <v>174</v>
      </c>
      <c r="E158" s="16" t="s">
        <v>23</v>
      </c>
      <c r="F158" s="16" t="s">
        <v>24</v>
      </c>
      <c r="G158" s="17"/>
      <c r="H158" s="17" t="n">
        <v>208027317</v>
      </c>
      <c r="I158" s="14" t="n">
        <f aca="false">I157+G158-H158</f>
        <v>132881583</v>
      </c>
    </row>
    <row r="159" customFormat="false" ht="12" hidden="false" customHeight="true" outlineLevel="1" collapsed="false">
      <c r="B159" s="15" t="n">
        <v>44960</v>
      </c>
      <c r="C159" s="15" t="n">
        <f aca="false">B159</f>
        <v>44960</v>
      </c>
      <c r="D159" s="16" t="s">
        <v>175</v>
      </c>
      <c r="E159" s="16" t="s">
        <v>23</v>
      </c>
      <c r="F159" s="16" t="s">
        <v>24</v>
      </c>
      <c r="G159" s="17"/>
      <c r="H159" s="17" t="n">
        <v>126972683</v>
      </c>
      <c r="I159" s="14" t="n">
        <f aca="false">I158+G159-H159</f>
        <v>5908900</v>
      </c>
    </row>
    <row r="160" customFormat="false" ht="12" hidden="false" customHeight="true" outlineLevel="1" collapsed="false">
      <c r="B160" s="15" t="n">
        <v>44960</v>
      </c>
      <c r="C160" s="15" t="n">
        <f aca="false">B160</f>
        <v>44960</v>
      </c>
      <c r="D160" s="16" t="s">
        <v>175</v>
      </c>
      <c r="E160" s="16" t="s">
        <v>23</v>
      </c>
      <c r="F160" s="16" t="s">
        <v>24</v>
      </c>
      <c r="G160" s="17"/>
      <c r="H160" s="17" t="n">
        <v>2041022</v>
      </c>
      <c r="I160" s="14" t="n">
        <f aca="false">I159+G160-H160</f>
        <v>3867878</v>
      </c>
    </row>
    <row r="161" customFormat="false" ht="12" hidden="false" customHeight="true" outlineLevel="1" collapsed="false">
      <c r="B161" s="15" t="n">
        <v>44961</v>
      </c>
      <c r="C161" s="15" t="n">
        <f aca="false">B161</f>
        <v>44961</v>
      </c>
      <c r="D161" s="16" t="s">
        <v>176</v>
      </c>
      <c r="E161" s="16" t="s">
        <v>36</v>
      </c>
      <c r="F161" s="16" t="n">
        <v>635</v>
      </c>
      <c r="G161" s="17"/>
      <c r="H161" s="17" t="n">
        <v>55000</v>
      </c>
      <c r="I161" s="14" t="n">
        <f aca="false">I160+G161-H161</f>
        <v>3812878</v>
      </c>
    </row>
    <row r="162" customFormat="false" ht="12" hidden="false" customHeight="true" outlineLevel="1" collapsed="false">
      <c r="B162" s="15" t="n">
        <v>44963</v>
      </c>
      <c r="C162" s="15" t="n">
        <f aca="false">B162</f>
        <v>44963</v>
      </c>
      <c r="D162" s="16" t="s">
        <v>177</v>
      </c>
      <c r="E162" s="16" t="s">
        <v>157</v>
      </c>
      <c r="F162" s="16" t="s">
        <v>15</v>
      </c>
      <c r="G162" s="17" t="n">
        <v>280000000</v>
      </c>
      <c r="H162" s="17"/>
      <c r="I162" s="14" t="n">
        <f aca="false">I161+G162-H162</f>
        <v>283812878</v>
      </c>
    </row>
    <row r="163" customFormat="false" ht="12" hidden="false" customHeight="true" outlineLevel="1" collapsed="false">
      <c r="B163" s="19" t="n">
        <v>44963</v>
      </c>
      <c r="C163" s="19" t="n">
        <f aca="false">B163</f>
        <v>44963</v>
      </c>
      <c r="D163" s="20" t="s">
        <v>177</v>
      </c>
      <c r="E163" s="20" t="s">
        <v>178</v>
      </c>
      <c r="F163" s="20" t="s">
        <v>179</v>
      </c>
      <c r="G163" s="21"/>
      <c r="H163" s="21" t="n">
        <v>281029167</v>
      </c>
      <c r="I163" s="14" t="n">
        <f aca="false">I162+G163-H163</f>
        <v>2783711</v>
      </c>
    </row>
    <row r="164" customFormat="false" ht="12" hidden="false" customHeight="true" outlineLevel="1" collapsed="false">
      <c r="B164" s="15" t="n">
        <v>44963</v>
      </c>
      <c r="C164" s="15" t="n">
        <f aca="false">B164</f>
        <v>44963</v>
      </c>
      <c r="D164" s="16" t="s">
        <v>180</v>
      </c>
      <c r="E164" s="16" t="s">
        <v>157</v>
      </c>
      <c r="F164" s="16" t="s">
        <v>15</v>
      </c>
      <c r="G164" s="17" t="n">
        <v>70815000</v>
      </c>
      <c r="H164" s="17"/>
      <c r="I164" s="14" t="n">
        <f aca="false">I163+G164-H164</f>
        <v>73598711</v>
      </c>
    </row>
    <row r="165" customFormat="false" ht="12" hidden="false" customHeight="true" outlineLevel="1" collapsed="false">
      <c r="B165" s="15" t="n">
        <v>44963</v>
      </c>
      <c r="C165" s="15" t="n">
        <f aca="false">B165</f>
        <v>44963</v>
      </c>
      <c r="D165" s="16" t="s">
        <v>181</v>
      </c>
      <c r="E165" s="16" t="s">
        <v>157</v>
      </c>
      <c r="F165" s="16" t="s">
        <v>15</v>
      </c>
      <c r="G165" s="17" t="n">
        <v>31985000</v>
      </c>
      <c r="H165" s="17"/>
      <c r="I165" s="14" t="n">
        <f aca="false">I164+G165-H165</f>
        <v>105583711</v>
      </c>
    </row>
    <row r="166" customFormat="false" ht="12" hidden="false" customHeight="true" outlineLevel="1" collapsed="false">
      <c r="B166" s="15" t="n">
        <v>44963</v>
      </c>
      <c r="C166" s="15" t="n">
        <f aca="false">B166</f>
        <v>44963</v>
      </c>
      <c r="D166" s="16" t="s">
        <v>182</v>
      </c>
      <c r="E166" s="16" t="s">
        <v>157</v>
      </c>
      <c r="F166" s="16" t="s">
        <v>15</v>
      </c>
      <c r="G166" s="17" t="n">
        <v>174169000</v>
      </c>
      <c r="H166" s="17"/>
      <c r="I166" s="14" t="n">
        <f aca="false">I165+G166-H166</f>
        <v>279752711</v>
      </c>
    </row>
    <row r="167" customFormat="false" ht="12" hidden="false" customHeight="true" outlineLevel="1" collapsed="false">
      <c r="B167" s="15" t="n">
        <v>44963</v>
      </c>
      <c r="C167" s="15" t="n">
        <f aca="false">B167</f>
        <v>44963</v>
      </c>
      <c r="D167" s="16" t="s">
        <v>183</v>
      </c>
      <c r="E167" s="16" t="s">
        <v>157</v>
      </c>
      <c r="F167" s="16" t="s">
        <v>15</v>
      </c>
      <c r="G167" s="17" t="n">
        <v>96940000</v>
      </c>
      <c r="H167" s="17"/>
      <c r="I167" s="14" t="n">
        <f aca="false">I166+G167-H167</f>
        <v>376692711</v>
      </c>
    </row>
    <row r="168" customFormat="false" ht="12" hidden="false" customHeight="true" outlineLevel="1" collapsed="false">
      <c r="B168" s="15" t="n">
        <v>44963</v>
      </c>
      <c r="C168" s="15" t="n">
        <f aca="false">B168</f>
        <v>44963</v>
      </c>
      <c r="D168" s="16" t="s">
        <v>184</v>
      </c>
      <c r="E168" s="16" t="s">
        <v>157</v>
      </c>
      <c r="F168" s="16" t="s">
        <v>15</v>
      </c>
      <c r="G168" s="17" t="n">
        <v>117162000</v>
      </c>
      <c r="H168" s="17"/>
      <c r="I168" s="14" t="n">
        <f aca="false">I167+G168-H168</f>
        <v>493854711</v>
      </c>
    </row>
    <row r="169" customFormat="false" ht="12" hidden="false" customHeight="true" outlineLevel="1" collapsed="false">
      <c r="B169" s="15" t="n">
        <v>44963</v>
      </c>
      <c r="C169" s="15" t="n">
        <f aca="false">B169</f>
        <v>44963</v>
      </c>
      <c r="D169" s="16" t="s">
        <v>185</v>
      </c>
      <c r="E169" s="16" t="s">
        <v>157</v>
      </c>
      <c r="F169" s="16" t="s">
        <v>15</v>
      </c>
      <c r="G169" s="17" t="n">
        <v>181000000</v>
      </c>
      <c r="H169" s="17"/>
      <c r="I169" s="14" t="n">
        <f aca="false">I168+G169-H169</f>
        <v>674854711</v>
      </c>
    </row>
    <row r="170" customFormat="false" ht="12" hidden="false" customHeight="true" outlineLevel="1" collapsed="false">
      <c r="B170" s="15" t="n">
        <v>44963</v>
      </c>
      <c r="C170" s="15" t="n">
        <f aca="false">B170</f>
        <v>44963</v>
      </c>
      <c r="D170" s="16" t="s">
        <v>186</v>
      </c>
      <c r="E170" s="16" t="s">
        <v>178</v>
      </c>
      <c r="F170" s="16" t="s">
        <v>15</v>
      </c>
      <c r="G170" s="17" t="n">
        <v>600000</v>
      </c>
      <c r="H170" s="17"/>
      <c r="I170" s="14" t="n">
        <f aca="false">I169+G170-H170</f>
        <v>675454711</v>
      </c>
    </row>
    <row r="171" customFormat="false" ht="12" hidden="false" customHeight="true" outlineLevel="1" collapsed="false">
      <c r="B171" s="15" t="n">
        <v>44963</v>
      </c>
      <c r="C171" s="15" t="n">
        <f aca="false">B171</f>
        <v>44963</v>
      </c>
      <c r="D171" s="16" t="s">
        <v>187</v>
      </c>
      <c r="E171" s="16" t="s">
        <v>178</v>
      </c>
      <c r="F171" s="16" t="s">
        <v>179</v>
      </c>
      <c r="G171" s="17"/>
      <c r="H171" s="17" t="n">
        <v>668794970</v>
      </c>
      <c r="I171" s="14" t="n">
        <f aca="false">I170+G171-H171</f>
        <v>6659741</v>
      </c>
    </row>
    <row r="172" customFormat="false" ht="12" hidden="false" customHeight="true" outlineLevel="1" collapsed="false">
      <c r="B172" s="15" t="n">
        <v>44963</v>
      </c>
      <c r="C172" s="15" t="n">
        <f aca="false">B172</f>
        <v>44963</v>
      </c>
      <c r="D172" s="16" t="s">
        <v>188</v>
      </c>
      <c r="E172" s="16" t="s">
        <v>178</v>
      </c>
      <c r="F172" s="16" t="s">
        <v>179</v>
      </c>
      <c r="G172" s="17"/>
      <c r="H172" s="17" t="n">
        <v>3322000</v>
      </c>
      <c r="I172" s="14" t="n">
        <f aca="false">I171+G172-H172</f>
        <v>3337741</v>
      </c>
    </row>
    <row r="173" customFormat="false" ht="12" hidden="false" customHeight="true" outlineLevel="1" collapsed="false">
      <c r="B173" s="15" t="n">
        <v>44965</v>
      </c>
      <c r="C173" s="15" t="n">
        <f aca="false">B173</f>
        <v>44965</v>
      </c>
      <c r="D173" s="16" t="s">
        <v>189</v>
      </c>
      <c r="E173" s="16" t="s">
        <v>36</v>
      </c>
      <c r="F173" s="16" t="n">
        <v>635</v>
      </c>
      <c r="G173" s="17"/>
      <c r="H173" s="17" t="n">
        <v>70428</v>
      </c>
      <c r="I173" s="14" t="n">
        <f aca="false">I172+G173-H173</f>
        <v>3267313</v>
      </c>
    </row>
    <row r="174" customFormat="false" ht="12" hidden="false" customHeight="true" outlineLevel="1" collapsed="false">
      <c r="B174" s="15" t="n">
        <v>44967</v>
      </c>
      <c r="C174" s="15" t="n">
        <f aca="false">B174</f>
        <v>44967</v>
      </c>
      <c r="D174" s="16" t="s">
        <v>190</v>
      </c>
      <c r="E174" s="16" t="s">
        <v>157</v>
      </c>
      <c r="F174" s="16" t="s">
        <v>15</v>
      </c>
      <c r="G174" s="17" t="n">
        <v>78786000</v>
      </c>
      <c r="H174" s="17"/>
      <c r="I174" s="14" t="n">
        <f aca="false">I173+G174-H174</f>
        <v>82053313</v>
      </c>
    </row>
    <row r="175" customFormat="false" ht="12" hidden="false" customHeight="true" outlineLevel="1" collapsed="false">
      <c r="B175" s="15" t="n">
        <v>44967</v>
      </c>
      <c r="C175" s="15" t="n">
        <f aca="false">B175</f>
        <v>44967</v>
      </c>
      <c r="D175" s="16" t="s">
        <v>190</v>
      </c>
      <c r="E175" s="16" t="s">
        <v>157</v>
      </c>
      <c r="F175" s="16" t="s">
        <v>15</v>
      </c>
      <c r="G175" s="17" t="n">
        <v>50000000</v>
      </c>
      <c r="H175" s="17"/>
      <c r="I175" s="14" t="n">
        <f aca="false">I174+G175-H175</f>
        <v>132053313</v>
      </c>
    </row>
    <row r="176" customFormat="false" ht="12" hidden="false" customHeight="true" outlineLevel="1" collapsed="false">
      <c r="B176" s="15" t="n">
        <v>44967</v>
      </c>
      <c r="C176" s="15" t="n">
        <f aca="false">B176</f>
        <v>44967</v>
      </c>
      <c r="D176" s="16" t="s">
        <v>191</v>
      </c>
      <c r="E176" s="16" t="s">
        <v>157</v>
      </c>
      <c r="F176" s="16" t="s">
        <v>15</v>
      </c>
      <c r="G176" s="17" t="n">
        <v>206554000</v>
      </c>
      <c r="H176" s="17"/>
      <c r="I176" s="14" t="n">
        <f aca="false">I175+G176-H176</f>
        <v>338607313</v>
      </c>
    </row>
    <row r="177" customFormat="false" ht="12" hidden="false" customHeight="true" outlineLevel="1" collapsed="false">
      <c r="B177" s="15" t="n">
        <v>44967</v>
      </c>
      <c r="C177" s="15" t="n">
        <f aca="false">B177</f>
        <v>44967</v>
      </c>
      <c r="D177" s="16" t="s">
        <v>192</v>
      </c>
      <c r="E177" s="16" t="s">
        <v>157</v>
      </c>
      <c r="F177" s="16" t="s">
        <v>15</v>
      </c>
      <c r="G177" s="17" t="n">
        <v>45994000</v>
      </c>
      <c r="H177" s="17"/>
      <c r="I177" s="14" t="n">
        <f aca="false">I176+G177-H177</f>
        <v>384601313</v>
      </c>
    </row>
    <row r="178" customFormat="false" ht="12" hidden="false" customHeight="true" outlineLevel="1" collapsed="false">
      <c r="B178" s="15" t="n">
        <v>44967</v>
      </c>
      <c r="C178" s="15" t="n">
        <f aca="false">B178</f>
        <v>44967</v>
      </c>
      <c r="D178" s="16" t="s">
        <v>193</v>
      </c>
      <c r="E178" s="16" t="s">
        <v>157</v>
      </c>
      <c r="F178" s="16" t="s">
        <v>15</v>
      </c>
      <c r="G178" s="17" t="n">
        <v>494000000</v>
      </c>
      <c r="H178" s="17"/>
      <c r="I178" s="14" t="n">
        <f aca="false">I177+G178-H178</f>
        <v>878601313</v>
      </c>
    </row>
    <row r="179" customFormat="false" ht="12" hidden="false" customHeight="true" outlineLevel="1" collapsed="false">
      <c r="B179" s="15" t="n">
        <v>44967</v>
      </c>
      <c r="C179" s="15" t="n">
        <f aca="false">B179</f>
        <v>44967</v>
      </c>
      <c r="D179" s="16" t="s">
        <v>194</v>
      </c>
      <c r="E179" s="16" t="s">
        <v>23</v>
      </c>
      <c r="F179" s="16" t="s">
        <v>24</v>
      </c>
      <c r="G179" s="17"/>
      <c r="H179" s="17" t="n">
        <v>773796516</v>
      </c>
      <c r="I179" s="14" t="n">
        <f aca="false">I178+G179-H179</f>
        <v>104804797</v>
      </c>
    </row>
    <row r="180" customFormat="false" ht="12" hidden="false" customHeight="true" outlineLevel="1" collapsed="false">
      <c r="B180" s="15" t="n">
        <v>44967</v>
      </c>
      <c r="C180" s="15" t="n">
        <f aca="false">B179</f>
        <v>44967</v>
      </c>
      <c r="D180" s="16" t="s">
        <v>195</v>
      </c>
      <c r="E180" s="16" t="s">
        <v>23</v>
      </c>
      <c r="F180" s="16" t="s">
        <v>24</v>
      </c>
      <c r="G180" s="17"/>
      <c r="H180" s="17" t="n">
        <v>91203484</v>
      </c>
      <c r="I180" s="14" t="n">
        <f aca="false">I179+G180-H180</f>
        <v>13601313</v>
      </c>
    </row>
    <row r="181" customFormat="false" ht="12" hidden="false" customHeight="true" outlineLevel="1" collapsed="false">
      <c r="B181" s="15" t="n">
        <v>44967</v>
      </c>
      <c r="C181" s="15" t="n">
        <f aca="false">B179</f>
        <v>44967</v>
      </c>
      <c r="D181" s="16" t="s">
        <v>195</v>
      </c>
      <c r="E181" s="16" t="s">
        <v>57</v>
      </c>
      <c r="F181" s="16" t="n">
        <v>635</v>
      </c>
      <c r="G181" s="17"/>
      <c r="H181" s="17" t="n">
        <v>2569196</v>
      </c>
      <c r="I181" s="14" t="n">
        <f aca="false">I180+G181-H181</f>
        <v>11032117</v>
      </c>
    </row>
    <row r="182" customFormat="false" ht="12" hidden="false" customHeight="true" outlineLevel="1" collapsed="false">
      <c r="B182" s="15" t="n">
        <v>44967</v>
      </c>
      <c r="C182" s="15" t="n">
        <f aca="false">B179</f>
        <v>44967</v>
      </c>
      <c r="D182" s="16" t="s">
        <v>196</v>
      </c>
      <c r="E182" s="16" t="s">
        <v>36</v>
      </c>
      <c r="F182" s="16" t="n">
        <v>635</v>
      </c>
      <c r="G182" s="17"/>
      <c r="H182" s="17" t="n">
        <v>11000</v>
      </c>
      <c r="I182" s="14" t="n">
        <f aca="false">I181+G182-H182</f>
        <v>11021117</v>
      </c>
    </row>
    <row r="183" customFormat="false" ht="12" hidden="false" customHeight="true" outlineLevel="1" collapsed="false">
      <c r="B183" s="15" t="n">
        <v>44967</v>
      </c>
      <c r="C183" s="15" t="n">
        <f aca="false">B179</f>
        <v>44967</v>
      </c>
      <c r="D183" s="16" t="s">
        <v>197</v>
      </c>
      <c r="E183" s="16" t="s">
        <v>36</v>
      </c>
      <c r="F183" s="16" t="n">
        <v>635</v>
      </c>
      <c r="G183" s="17"/>
      <c r="H183" s="17" t="n">
        <v>66701</v>
      </c>
      <c r="I183" s="14" t="n">
        <f aca="false">I182+G183-H183</f>
        <v>10954416</v>
      </c>
    </row>
    <row r="184" customFormat="false" ht="12" hidden="false" customHeight="true" outlineLevel="1" collapsed="false">
      <c r="B184" s="15" t="n">
        <v>44967</v>
      </c>
      <c r="C184" s="15" t="n">
        <f aca="false">B179</f>
        <v>44967</v>
      </c>
      <c r="D184" s="16" t="s">
        <v>198</v>
      </c>
      <c r="E184" s="16" t="s">
        <v>36</v>
      </c>
      <c r="F184" s="16" t="n">
        <v>635</v>
      </c>
      <c r="G184" s="17"/>
      <c r="H184" s="17" t="n">
        <v>238635</v>
      </c>
      <c r="I184" s="14" t="n">
        <f aca="false">I183+G184-H184</f>
        <v>10715781</v>
      </c>
    </row>
    <row r="185" customFormat="false" ht="12" hidden="false" customHeight="true" outlineLevel="1" collapsed="false">
      <c r="B185" s="15" t="n">
        <v>44970</v>
      </c>
      <c r="C185" s="15" t="n">
        <f aca="false">B185</f>
        <v>44970</v>
      </c>
      <c r="D185" s="16" t="s">
        <v>199</v>
      </c>
      <c r="E185" s="16" t="s">
        <v>157</v>
      </c>
      <c r="F185" s="16" t="s">
        <v>15</v>
      </c>
      <c r="G185" s="17" t="n">
        <v>182391000</v>
      </c>
      <c r="H185" s="17"/>
      <c r="I185" s="14" t="n">
        <f aca="false">I184+G185-H185</f>
        <v>193106781</v>
      </c>
    </row>
    <row r="186" customFormat="false" ht="12" hidden="false" customHeight="true" outlineLevel="1" collapsed="false">
      <c r="B186" s="15" t="n">
        <v>44970</v>
      </c>
      <c r="C186" s="15" t="n">
        <f aca="false">B186</f>
        <v>44970</v>
      </c>
      <c r="D186" s="16" t="s">
        <v>200</v>
      </c>
      <c r="E186" s="16" t="s">
        <v>201</v>
      </c>
      <c r="F186" s="16" t="s">
        <v>179</v>
      </c>
      <c r="G186" s="17"/>
      <c r="H186" s="17" t="n">
        <v>170880562</v>
      </c>
      <c r="I186" s="14" t="n">
        <f aca="false">I185+G186-H186</f>
        <v>22226219</v>
      </c>
    </row>
    <row r="187" customFormat="false" ht="12" hidden="false" customHeight="true" outlineLevel="1" collapsed="false">
      <c r="B187" s="15" t="n">
        <v>44971</v>
      </c>
      <c r="C187" s="15" t="n">
        <f aca="false">B187</f>
        <v>44971</v>
      </c>
      <c r="D187" s="16" t="s">
        <v>202</v>
      </c>
      <c r="E187" s="16" t="s">
        <v>157</v>
      </c>
      <c r="F187" s="16" t="s">
        <v>15</v>
      </c>
      <c r="G187" s="17" t="n">
        <v>95443000</v>
      </c>
      <c r="H187" s="17"/>
      <c r="I187" s="14" t="n">
        <f aca="false">I186+G187-H187</f>
        <v>117669219</v>
      </c>
    </row>
    <row r="188" customFormat="false" ht="12" hidden="false" customHeight="true" outlineLevel="1" collapsed="false">
      <c r="B188" s="15" t="n">
        <v>44971</v>
      </c>
      <c r="C188" s="15" t="n">
        <f aca="false">B188</f>
        <v>44971</v>
      </c>
      <c r="D188" s="16" t="s">
        <v>203</v>
      </c>
      <c r="E188" s="16" t="s">
        <v>157</v>
      </c>
      <c r="F188" s="16" t="s">
        <v>15</v>
      </c>
      <c r="G188" s="17" t="n">
        <v>71272000</v>
      </c>
      <c r="H188" s="17"/>
      <c r="I188" s="14" t="n">
        <f aca="false">I187+G188-H188</f>
        <v>188941219</v>
      </c>
    </row>
    <row r="189" customFormat="false" ht="12" hidden="false" customHeight="true" outlineLevel="1" collapsed="false">
      <c r="B189" s="15" t="n">
        <v>44971</v>
      </c>
      <c r="C189" s="15" t="n">
        <f aca="false">B189</f>
        <v>44971</v>
      </c>
      <c r="D189" s="16" t="s">
        <v>204</v>
      </c>
      <c r="E189" s="16" t="s">
        <v>157</v>
      </c>
      <c r="F189" s="16" t="n">
        <v>1111</v>
      </c>
      <c r="G189" s="17" t="n">
        <v>71000000</v>
      </c>
      <c r="H189" s="17"/>
      <c r="I189" s="14" t="n">
        <f aca="false">I188+G189-H189</f>
        <v>259941219</v>
      </c>
    </row>
    <row r="190" customFormat="false" ht="12" hidden="false" customHeight="true" outlineLevel="1" collapsed="false">
      <c r="B190" s="15" t="n">
        <v>44971</v>
      </c>
      <c r="C190" s="15" t="n">
        <f aca="false">B190</f>
        <v>44971</v>
      </c>
      <c r="D190" s="16" t="s">
        <v>204</v>
      </c>
      <c r="E190" s="16" t="s">
        <v>157</v>
      </c>
      <c r="F190" s="16" t="n">
        <v>1111</v>
      </c>
      <c r="G190" s="17"/>
      <c r="H190" s="17" t="n">
        <v>250000000</v>
      </c>
      <c r="I190" s="14" t="n">
        <f aca="false">I189+G190-H190</f>
        <v>9941219</v>
      </c>
    </row>
    <row r="191" customFormat="false" ht="12" hidden="false" customHeight="true" outlineLevel="1" collapsed="false">
      <c r="B191" s="15" t="n">
        <v>44972</v>
      </c>
      <c r="C191" s="15" t="n">
        <f aca="false">B191</f>
        <v>44972</v>
      </c>
      <c r="D191" s="16" t="s">
        <v>205</v>
      </c>
      <c r="E191" s="16" t="s">
        <v>157</v>
      </c>
      <c r="F191" s="16" t="n">
        <v>1111</v>
      </c>
      <c r="G191" s="17" t="n">
        <v>211430000</v>
      </c>
      <c r="H191" s="17"/>
      <c r="I191" s="14" t="n">
        <f aca="false">I190+G191-H191</f>
        <v>221371219</v>
      </c>
    </row>
    <row r="192" customFormat="false" ht="12" hidden="false" customHeight="true" outlineLevel="1" collapsed="false">
      <c r="B192" s="15" t="n">
        <v>44972</v>
      </c>
      <c r="C192" s="15" t="n">
        <f aca="false">B192</f>
        <v>44972</v>
      </c>
      <c r="D192" s="16" t="s">
        <v>206</v>
      </c>
      <c r="E192" s="16" t="s">
        <v>157</v>
      </c>
      <c r="F192" s="16" t="s">
        <v>15</v>
      </c>
      <c r="G192" s="17" t="n">
        <v>101049000</v>
      </c>
      <c r="H192" s="17"/>
      <c r="I192" s="14" t="n">
        <f aca="false">I191+G192-H192</f>
        <v>322420219</v>
      </c>
    </row>
    <row r="193" customFormat="false" ht="12" hidden="false" customHeight="true" outlineLevel="1" collapsed="false">
      <c r="B193" s="15" t="n">
        <v>44972</v>
      </c>
      <c r="C193" s="15" t="n">
        <f aca="false">B193</f>
        <v>44972</v>
      </c>
      <c r="D193" s="16" t="s">
        <v>207</v>
      </c>
      <c r="E193" s="16" t="s">
        <v>157</v>
      </c>
      <c r="F193" s="16" t="s">
        <v>15</v>
      </c>
      <c r="G193" s="17" t="n">
        <v>71194000</v>
      </c>
      <c r="H193" s="17"/>
      <c r="I193" s="14" t="n">
        <f aca="false">I192+G193-H193</f>
        <v>393614219</v>
      </c>
    </row>
    <row r="194" customFormat="false" ht="12" hidden="false" customHeight="true" outlineLevel="1" collapsed="false">
      <c r="B194" s="15" t="n">
        <v>44972</v>
      </c>
      <c r="C194" s="15" t="n">
        <f aca="false">B194</f>
        <v>44972</v>
      </c>
      <c r="D194" s="16" t="s">
        <v>208</v>
      </c>
      <c r="E194" s="16" t="s">
        <v>157</v>
      </c>
      <c r="F194" s="16" t="s">
        <v>15</v>
      </c>
      <c r="G194" s="17" t="n">
        <v>17000000</v>
      </c>
      <c r="H194" s="17"/>
      <c r="I194" s="14" t="n">
        <f aca="false">I193+G194-H194</f>
        <v>410614219</v>
      </c>
    </row>
    <row r="195" customFormat="false" ht="12" hidden="false" customHeight="true" outlineLevel="1" collapsed="false">
      <c r="B195" s="15" t="n">
        <v>44972</v>
      </c>
      <c r="C195" s="15" t="n">
        <f aca="false">B195</f>
        <v>44972</v>
      </c>
      <c r="D195" s="16" t="s">
        <v>209</v>
      </c>
      <c r="E195" s="16" t="s">
        <v>23</v>
      </c>
      <c r="F195" s="16" t="s">
        <v>24</v>
      </c>
      <c r="G195" s="17"/>
      <c r="H195" s="17" t="n">
        <v>400000000</v>
      </c>
      <c r="I195" s="14" t="n">
        <f aca="false">I194+G195-H195</f>
        <v>10614219</v>
      </c>
    </row>
    <row r="196" customFormat="false" ht="12" hidden="false" customHeight="true" outlineLevel="1" collapsed="false">
      <c r="B196" s="15" t="n">
        <v>44972</v>
      </c>
      <c r="C196" s="15" t="n">
        <f aca="false">B196</f>
        <v>44972</v>
      </c>
      <c r="D196" s="16" t="s">
        <v>210</v>
      </c>
      <c r="E196" s="16" t="s">
        <v>36</v>
      </c>
      <c r="F196" s="16" t="n">
        <v>635</v>
      </c>
      <c r="G196" s="17"/>
      <c r="H196" s="17" t="n">
        <v>110086</v>
      </c>
      <c r="I196" s="14" t="n">
        <f aca="false">I195+G196-H196</f>
        <v>10504133</v>
      </c>
    </row>
    <row r="197" customFormat="false" ht="12" hidden="false" customHeight="true" outlineLevel="1" collapsed="false">
      <c r="B197" s="15" t="n">
        <v>44973</v>
      </c>
      <c r="C197" s="15" t="n">
        <f aca="false">B197</f>
        <v>44973</v>
      </c>
      <c r="D197" s="16" t="s">
        <v>211</v>
      </c>
      <c r="E197" s="16" t="s">
        <v>157</v>
      </c>
      <c r="F197" s="16" t="s">
        <v>15</v>
      </c>
      <c r="G197" s="17" t="n">
        <v>58000000</v>
      </c>
      <c r="H197" s="17"/>
      <c r="I197" s="14" t="n">
        <f aca="false">I196+G197-H197</f>
        <v>68504133</v>
      </c>
    </row>
    <row r="198" customFormat="false" ht="12" hidden="false" customHeight="true" outlineLevel="1" collapsed="false">
      <c r="B198" s="15" t="n">
        <v>44973</v>
      </c>
      <c r="C198" s="15" t="n">
        <f aca="false">B198</f>
        <v>44973</v>
      </c>
      <c r="D198" s="16" t="s">
        <v>212</v>
      </c>
      <c r="E198" s="16" t="s">
        <v>157</v>
      </c>
      <c r="F198" s="16" t="s">
        <v>15</v>
      </c>
      <c r="G198" s="17" t="n">
        <v>191486000</v>
      </c>
      <c r="H198" s="17"/>
      <c r="I198" s="14" t="n">
        <f aca="false">I197+G198-H198</f>
        <v>259990133</v>
      </c>
    </row>
    <row r="199" customFormat="false" ht="12" hidden="false" customHeight="true" outlineLevel="1" collapsed="false">
      <c r="B199" s="15" t="n">
        <v>44973</v>
      </c>
      <c r="C199" s="15" t="n">
        <f aca="false">B199</f>
        <v>44973</v>
      </c>
      <c r="D199" s="16" t="s">
        <v>213</v>
      </c>
      <c r="E199" s="16" t="s">
        <v>157</v>
      </c>
      <c r="F199" s="16" t="s">
        <v>15</v>
      </c>
      <c r="G199" s="17" t="n">
        <v>110663000</v>
      </c>
      <c r="H199" s="17"/>
      <c r="I199" s="14" t="n">
        <f aca="false">I198+G199-H199</f>
        <v>370653133</v>
      </c>
    </row>
    <row r="200" customFormat="false" ht="12" hidden="false" customHeight="true" outlineLevel="1" collapsed="false">
      <c r="B200" s="15" t="n">
        <v>44973</v>
      </c>
      <c r="C200" s="15" t="n">
        <f aca="false">B200</f>
        <v>44973</v>
      </c>
      <c r="D200" s="16" t="s">
        <v>214</v>
      </c>
      <c r="E200" s="16" t="s">
        <v>157</v>
      </c>
      <c r="F200" s="16" t="n">
        <v>1111</v>
      </c>
      <c r="G200" s="17" t="n">
        <v>97233000</v>
      </c>
      <c r="H200" s="17"/>
      <c r="I200" s="14" t="n">
        <f aca="false">I199+G200-H200</f>
        <v>467886133</v>
      </c>
    </row>
    <row r="201" customFormat="false" ht="12" hidden="false" customHeight="true" outlineLevel="1" collapsed="false">
      <c r="B201" s="15" t="n">
        <v>44973</v>
      </c>
      <c r="C201" s="15" t="n">
        <f aca="false">B201</f>
        <v>44973</v>
      </c>
      <c r="D201" s="16" t="s">
        <v>215</v>
      </c>
      <c r="E201" s="16" t="s">
        <v>23</v>
      </c>
      <c r="F201" s="16" t="s">
        <v>24</v>
      </c>
      <c r="G201" s="17"/>
      <c r="H201" s="17" t="n">
        <v>23908800</v>
      </c>
      <c r="I201" s="14" t="n">
        <f aca="false">I200+G201-H201</f>
        <v>443977333</v>
      </c>
    </row>
    <row r="202" customFormat="false" ht="12" hidden="false" customHeight="true" outlineLevel="1" collapsed="false">
      <c r="B202" s="15" t="n">
        <v>44973</v>
      </c>
      <c r="C202" s="15" t="n">
        <f aca="false">B202</f>
        <v>44973</v>
      </c>
      <c r="D202" s="16" t="s">
        <v>216</v>
      </c>
      <c r="E202" s="16" t="s">
        <v>23</v>
      </c>
      <c r="F202" s="16" t="s">
        <v>24</v>
      </c>
      <c r="G202" s="17"/>
      <c r="H202" s="17" t="n">
        <v>396091200</v>
      </c>
      <c r="I202" s="14" t="n">
        <f aca="false">I201+G202-H202</f>
        <v>47886133</v>
      </c>
    </row>
    <row r="203" customFormat="false" ht="12" hidden="false" customHeight="true" outlineLevel="1" collapsed="false">
      <c r="B203" s="15" t="n">
        <v>44973</v>
      </c>
      <c r="C203" s="15" t="n">
        <f aca="false">B203</f>
        <v>44973</v>
      </c>
      <c r="D203" s="16" t="s">
        <v>216</v>
      </c>
      <c r="E203" s="16" t="s">
        <v>23</v>
      </c>
      <c r="F203" s="16" t="n">
        <v>635</v>
      </c>
      <c r="G203" s="17"/>
      <c r="H203" s="17" t="n">
        <v>3036718</v>
      </c>
      <c r="I203" s="14" t="n">
        <f aca="false">I202+G203-H203</f>
        <v>44849415</v>
      </c>
    </row>
    <row r="204" customFormat="false" ht="12" hidden="false" customHeight="true" outlineLevel="1" collapsed="false">
      <c r="B204" s="15" t="n">
        <v>44973</v>
      </c>
      <c r="C204" s="15" t="n">
        <f aca="false">B204</f>
        <v>44973</v>
      </c>
      <c r="D204" s="16" t="s">
        <v>217</v>
      </c>
      <c r="E204" s="16" t="s">
        <v>57</v>
      </c>
      <c r="F204" s="16" t="n">
        <v>635</v>
      </c>
      <c r="G204" s="17"/>
      <c r="H204" s="17" t="n">
        <v>50249</v>
      </c>
      <c r="I204" s="14" t="n">
        <f aca="false">I203+G204-H204</f>
        <v>44799166</v>
      </c>
    </row>
    <row r="205" customFormat="false" ht="12" hidden="false" customHeight="true" outlineLevel="1" collapsed="false">
      <c r="B205" s="15" t="n">
        <v>44973</v>
      </c>
      <c r="C205" s="15" t="n">
        <f aca="false">B205</f>
        <v>44973</v>
      </c>
      <c r="D205" s="16" t="s">
        <v>218</v>
      </c>
      <c r="E205" s="16" t="s">
        <v>57</v>
      </c>
      <c r="F205" s="16" t="n">
        <v>635</v>
      </c>
      <c r="G205" s="17"/>
      <c r="H205" s="17" t="n">
        <v>11000</v>
      </c>
      <c r="I205" s="14" t="n">
        <f aca="false">I204+G205-H205</f>
        <v>44788166</v>
      </c>
    </row>
    <row r="206" customFormat="false" ht="12" hidden="false" customHeight="true" outlineLevel="1" collapsed="false">
      <c r="B206" s="15" t="n">
        <v>44974</v>
      </c>
      <c r="C206" s="15" t="n">
        <f aca="false">B206</f>
        <v>44974</v>
      </c>
      <c r="D206" s="16" t="s">
        <v>219</v>
      </c>
      <c r="E206" s="16" t="s">
        <v>178</v>
      </c>
      <c r="F206" s="16" t="s">
        <v>179</v>
      </c>
      <c r="G206" s="17"/>
      <c r="H206" s="17" t="n">
        <v>29927700</v>
      </c>
      <c r="I206" s="14" t="n">
        <f aca="false">I205+G206-H206</f>
        <v>14860466</v>
      </c>
    </row>
    <row r="207" customFormat="false" ht="12" hidden="false" customHeight="true" outlineLevel="1" collapsed="false">
      <c r="B207" s="15" t="n">
        <v>44974</v>
      </c>
      <c r="C207" s="15" t="n">
        <f aca="false">B207</f>
        <v>44974</v>
      </c>
      <c r="D207" s="16" t="s">
        <v>220</v>
      </c>
      <c r="E207" s="16" t="s">
        <v>157</v>
      </c>
      <c r="F207" s="16" t="s">
        <v>15</v>
      </c>
      <c r="G207" s="17" t="n">
        <v>95741000</v>
      </c>
      <c r="H207" s="17"/>
      <c r="I207" s="14" t="n">
        <f aca="false">I206+G207-H207</f>
        <v>110601466</v>
      </c>
    </row>
    <row r="208" customFormat="false" ht="12" hidden="false" customHeight="true" outlineLevel="1" collapsed="false">
      <c r="B208" s="15" t="n">
        <v>44974</v>
      </c>
      <c r="C208" s="15" t="n">
        <f aca="false">B208</f>
        <v>44974</v>
      </c>
      <c r="D208" s="16" t="s">
        <v>221</v>
      </c>
      <c r="E208" s="16" t="s">
        <v>157</v>
      </c>
      <c r="F208" s="16" t="s">
        <v>15</v>
      </c>
      <c r="G208" s="17" t="n">
        <v>188404000</v>
      </c>
      <c r="H208" s="17"/>
      <c r="I208" s="14" t="n">
        <f aca="false">I207+G208-H208</f>
        <v>299005466</v>
      </c>
    </row>
    <row r="209" customFormat="false" ht="12" hidden="false" customHeight="true" outlineLevel="1" collapsed="false">
      <c r="B209" s="15" t="n">
        <v>44974</v>
      </c>
      <c r="C209" s="15" t="n">
        <f aca="false">B209</f>
        <v>44974</v>
      </c>
      <c r="D209" s="16" t="s">
        <v>222</v>
      </c>
      <c r="E209" s="16" t="s">
        <v>223</v>
      </c>
      <c r="F209" s="16" t="s">
        <v>179</v>
      </c>
      <c r="G209" s="17"/>
      <c r="H209" s="17" t="n">
        <v>69349720</v>
      </c>
      <c r="I209" s="14" t="n">
        <f aca="false">I208+G209-H209</f>
        <v>229655746</v>
      </c>
    </row>
    <row r="210" customFormat="false" ht="12" hidden="false" customHeight="true" outlineLevel="1" collapsed="false">
      <c r="B210" s="15" t="n">
        <v>44974</v>
      </c>
      <c r="C210" s="15" t="n">
        <f aca="false">B210</f>
        <v>44974</v>
      </c>
      <c r="D210" s="16" t="s">
        <v>222</v>
      </c>
      <c r="E210" s="16" t="s">
        <v>224</v>
      </c>
      <c r="F210" s="16" t="n">
        <v>635</v>
      </c>
      <c r="G210" s="17"/>
      <c r="H210" s="17" t="n">
        <v>22000</v>
      </c>
      <c r="I210" s="14" t="n">
        <f aca="false">I209+G210-H210</f>
        <v>229633746</v>
      </c>
    </row>
    <row r="211" customFormat="false" ht="12" hidden="false" customHeight="true" outlineLevel="1" collapsed="false">
      <c r="B211" s="15" t="n">
        <v>44974</v>
      </c>
      <c r="C211" s="15" t="n">
        <f aca="false">B211</f>
        <v>44974</v>
      </c>
      <c r="D211" s="16" t="s">
        <v>225</v>
      </c>
      <c r="E211" s="16" t="s">
        <v>157</v>
      </c>
      <c r="F211" s="16" t="s">
        <v>15</v>
      </c>
      <c r="G211" s="17"/>
      <c r="H211" s="17" t="n">
        <v>220000000</v>
      </c>
      <c r="I211" s="14" t="n">
        <f aca="false">I210+G211-H211</f>
        <v>9633746</v>
      </c>
    </row>
    <row r="212" customFormat="false" ht="12" hidden="false" customHeight="true" outlineLevel="1" collapsed="false">
      <c r="B212" s="15" t="n">
        <v>44977</v>
      </c>
      <c r="C212" s="15" t="n">
        <f aca="false">B212</f>
        <v>44977</v>
      </c>
      <c r="D212" s="16" t="s">
        <v>226</v>
      </c>
      <c r="E212" s="16" t="s">
        <v>157</v>
      </c>
      <c r="F212" s="16" t="s">
        <v>15</v>
      </c>
      <c r="G212" s="17" t="n">
        <v>191062000</v>
      </c>
      <c r="H212" s="17"/>
      <c r="I212" s="14" t="n">
        <f aca="false">I211+G212-H212</f>
        <v>200695746</v>
      </c>
    </row>
    <row r="213" customFormat="false" ht="12" hidden="false" customHeight="true" outlineLevel="1" collapsed="false">
      <c r="B213" s="15" t="n">
        <v>44977</v>
      </c>
      <c r="C213" s="15" t="n">
        <f aca="false">B213</f>
        <v>44977</v>
      </c>
      <c r="D213" s="16" t="s">
        <v>227</v>
      </c>
      <c r="E213" s="16" t="s">
        <v>157</v>
      </c>
      <c r="F213" s="16" t="s">
        <v>15</v>
      </c>
      <c r="G213" s="17" t="n">
        <v>125079000</v>
      </c>
      <c r="H213" s="17"/>
      <c r="I213" s="14" t="n">
        <f aca="false">I212+G213-H213</f>
        <v>325774746</v>
      </c>
    </row>
    <row r="214" customFormat="false" ht="12" hidden="false" customHeight="true" outlineLevel="1" collapsed="false">
      <c r="B214" s="15" t="n">
        <v>44977</v>
      </c>
      <c r="C214" s="15" t="n">
        <f aca="false">B214</f>
        <v>44977</v>
      </c>
      <c r="D214" s="16" t="s">
        <v>228</v>
      </c>
      <c r="E214" s="16" t="s">
        <v>157</v>
      </c>
      <c r="F214" s="16" t="s">
        <v>15</v>
      </c>
      <c r="G214" s="17" t="n">
        <v>104019000</v>
      </c>
      <c r="H214" s="17"/>
      <c r="I214" s="14" t="n">
        <f aca="false">I213+G214-H214</f>
        <v>429793746</v>
      </c>
    </row>
    <row r="215" customFormat="false" ht="12" hidden="false" customHeight="true" outlineLevel="1" collapsed="false">
      <c r="B215" s="15" t="n">
        <v>44977</v>
      </c>
      <c r="C215" s="15" t="n">
        <f aca="false">B215</f>
        <v>44977</v>
      </c>
      <c r="D215" s="16" t="s">
        <v>229</v>
      </c>
      <c r="E215" s="16" t="s">
        <v>157</v>
      </c>
      <c r="F215" s="16" t="s">
        <v>15</v>
      </c>
      <c r="G215" s="17" t="n">
        <v>179679000</v>
      </c>
      <c r="H215" s="17"/>
      <c r="I215" s="14" t="n">
        <f aca="false">I214+G215-H215</f>
        <v>609472746</v>
      </c>
    </row>
    <row r="216" customFormat="false" ht="12" hidden="false" customHeight="true" outlineLevel="1" collapsed="false">
      <c r="B216" s="15" t="n">
        <v>44977</v>
      </c>
      <c r="C216" s="15" t="n">
        <f aca="false">B216</f>
        <v>44977</v>
      </c>
      <c r="D216" s="16" t="s">
        <v>230</v>
      </c>
      <c r="E216" s="16" t="s">
        <v>157</v>
      </c>
      <c r="F216" s="16" t="s">
        <v>15</v>
      </c>
      <c r="G216" s="17" t="n">
        <v>64277000</v>
      </c>
      <c r="H216" s="17"/>
      <c r="I216" s="14" t="n">
        <f aca="false">I215+G216-H216</f>
        <v>673749746</v>
      </c>
    </row>
    <row r="217" customFormat="false" ht="12" hidden="false" customHeight="true" outlineLevel="1" collapsed="false">
      <c r="B217" s="15" t="n">
        <v>44977</v>
      </c>
      <c r="C217" s="15" t="n">
        <f aca="false">B217</f>
        <v>44977</v>
      </c>
      <c r="D217" s="16" t="s">
        <v>231</v>
      </c>
      <c r="E217" s="16" t="s">
        <v>118</v>
      </c>
      <c r="F217" s="16" t="s">
        <v>179</v>
      </c>
      <c r="G217" s="17"/>
      <c r="H217" s="17" t="n">
        <v>114969161</v>
      </c>
      <c r="I217" s="14" t="n">
        <f aca="false">I216+G217-H217</f>
        <v>558780585</v>
      </c>
    </row>
    <row r="218" customFormat="false" ht="12" hidden="false" customHeight="true" outlineLevel="1" collapsed="false">
      <c r="B218" s="15" t="n">
        <v>44977</v>
      </c>
      <c r="C218" s="15" t="n">
        <f aca="false">B218</f>
        <v>44977</v>
      </c>
      <c r="D218" s="16" t="s">
        <v>232</v>
      </c>
      <c r="E218" s="16" t="s">
        <v>23</v>
      </c>
      <c r="F218" s="16" t="s">
        <v>24</v>
      </c>
      <c r="G218" s="17"/>
      <c r="H218" s="17" t="n">
        <v>116815902</v>
      </c>
      <c r="I218" s="14" t="n">
        <f aca="false">I217+G218-H218</f>
        <v>441964683</v>
      </c>
    </row>
    <row r="219" customFormat="false" ht="12" hidden="false" customHeight="true" outlineLevel="1" collapsed="false">
      <c r="B219" s="15" t="n">
        <v>44977</v>
      </c>
      <c r="C219" s="15" t="n">
        <f aca="false">B219</f>
        <v>44977</v>
      </c>
      <c r="D219" s="16" t="s">
        <v>233</v>
      </c>
      <c r="E219" s="16" t="s">
        <v>23</v>
      </c>
      <c r="F219" s="16" t="s">
        <v>24</v>
      </c>
      <c r="G219" s="17"/>
      <c r="H219" s="17" t="n">
        <v>187330320</v>
      </c>
      <c r="I219" s="14" t="n">
        <f aca="false">I218+G219-H219</f>
        <v>254634363</v>
      </c>
    </row>
    <row r="220" customFormat="false" ht="12" hidden="false" customHeight="true" outlineLevel="1" collapsed="false">
      <c r="B220" s="15" t="n">
        <v>44977</v>
      </c>
      <c r="C220" s="15" t="n">
        <f aca="false">B220</f>
        <v>44977</v>
      </c>
      <c r="D220" s="16" t="s">
        <v>233</v>
      </c>
      <c r="E220" s="16" t="s">
        <v>23</v>
      </c>
      <c r="F220" s="16" t="s">
        <v>24</v>
      </c>
      <c r="G220" s="17"/>
      <c r="H220" s="17" t="n">
        <v>245853778</v>
      </c>
      <c r="I220" s="14" t="n">
        <f aca="false">I219+G220-H220</f>
        <v>8780585</v>
      </c>
    </row>
    <row r="221" customFormat="false" ht="12" hidden="false" customHeight="true" outlineLevel="1" collapsed="false">
      <c r="B221" s="15" t="n">
        <v>44977</v>
      </c>
      <c r="C221" s="15" t="n">
        <f aca="false">B221</f>
        <v>44977</v>
      </c>
      <c r="D221" s="16" t="s">
        <v>234</v>
      </c>
      <c r="E221" s="16" t="s">
        <v>235</v>
      </c>
      <c r="F221" s="16" t="n">
        <v>331</v>
      </c>
      <c r="G221" s="17"/>
      <c r="H221" s="17" t="n">
        <v>3363376</v>
      </c>
      <c r="I221" s="14" t="n">
        <f aca="false">I220+G221-H221</f>
        <v>5417209</v>
      </c>
    </row>
    <row r="222" customFormat="false" ht="12" hidden="false" customHeight="true" outlineLevel="1" collapsed="false">
      <c r="B222" s="15" t="n">
        <v>44977</v>
      </c>
      <c r="C222" s="15" t="n">
        <f aca="false">B222</f>
        <v>44977</v>
      </c>
      <c r="D222" s="16" t="s">
        <v>236</v>
      </c>
      <c r="E222" s="16" t="s">
        <v>237</v>
      </c>
      <c r="F222" s="16" t="n">
        <v>635</v>
      </c>
      <c r="G222" s="17"/>
      <c r="H222" s="17" t="n">
        <v>985409</v>
      </c>
      <c r="I222" s="14" t="n">
        <f aca="false">I221+G222-H222</f>
        <v>4431800</v>
      </c>
    </row>
    <row r="223" customFormat="false" ht="12" hidden="false" customHeight="true" outlineLevel="1" collapsed="false">
      <c r="B223" s="15" t="n">
        <v>44978</v>
      </c>
      <c r="C223" s="15" t="n">
        <f aca="false">B223</f>
        <v>44978</v>
      </c>
      <c r="D223" s="16" t="s">
        <v>238</v>
      </c>
      <c r="E223" s="16" t="s">
        <v>157</v>
      </c>
      <c r="F223" s="16" t="s">
        <v>15</v>
      </c>
      <c r="G223" s="17" t="n">
        <v>182227000</v>
      </c>
      <c r="H223" s="17"/>
      <c r="I223" s="14" t="n">
        <f aca="false">I222+G223-H223</f>
        <v>186658800</v>
      </c>
    </row>
    <row r="224" customFormat="false" ht="12" hidden="false" customHeight="true" outlineLevel="1" collapsed="false">
      <c r="B224" s="15" t="n">
        <v>44978</v>
      </c>
      <c r="C224" s="15" t="n">
        <f aca="false">B224</f>
        <v>44978</v>
      </c>
      <c r="D224" s="16" t="s">
        <v>239</v>
      </c>
      <c r="E224" s="16" t="s">
        <v>157</v>
      </c>
      <c r="F224" s="16" t="s">
        <v>15</v>
      </c>
      <c r="G224" s="17" t="n">
        <v>70000000</v>
      </c>
      <c r="H224" s="17"/>
      <c r="I224" s="14" t="n">
        <f aca="false">I223+G224-H224</f>
        <v>256658800</v>
      </c>
    </row>
    <row r="225" customFormat="false" ht="12" hidden="false" customHeight="true" outlineLevel="1" collapsed="false">
      <c r="B225" s="15" t="n">
        <v>44978</v>
      </c>
      <c r="C225" s="15" t="n">
        <f aca="false">B225</f>
        <v>44978</v>
      </c>
      <c r="D225" s="16" t="s">
        <v>240</v>
      </c>
      <c r="E225" s="16" t="s">
        <v>157</v>
      </c>
      <c r="F225" s="16" t="s">
        <v>15</v>
      </c>
      <c r="G225" s="17" t="n">
        <v>96794000</v>
      </c>
      <c r="H225" s="17"/>
      <c r="I225" s="14" t="n">
        <f aca="false">I224+G225-H225</f>
        <v>353452800</v>
      </c>
    </row>
    <row r="226" customFormat="false" ht="12" hidden="false" customHeight="true" outlineLevel="1" collapsed="false">
      <c r="B226" s="15" t="n">
        <v>44978</v>
      </c>
      <c r="C226" s="15" t="n">
        <f aca="false">B226</f>
        <v>44978</v>
      </c>
      <c r="D226" s="16" t="s">
        <v>241</v>
      </c>
      <c r="E226" s="16" t="s">
        <v>157</v>
      </c>
      <c r="F226" s="16" t="s">
        <v>15</v>
      </c>
      <c r="G226" s="17" t="n">
        <v>55321000</v>
      </c>
      <c r="H226" s="17"/>
      <c r="I226" s="14" t="n">
        <f aca="false">I225+G226-H226</f>
        <v>408773800</v>
      </c>
    </row>
    <row r="227" customFormat="false" ht="12" hidden="false" customHeight="true" outlineLevel="1" collapsed="false">
      <c r="B227" s="15" t="n">
        <v>44978</v>
      </c>
      <c r="C227" s="15" t="n">
        <f aca="false">B227</f>
        <v>44978</v>
      </c>
      <c r="D227" s="16" t="s">
        <v>242</v>
      </c>
      <c r="E227" s="16" t="s">
        <v>243</v>
      </c>
      <c r="F227" s="16" t="n">
        <v>635</v>
      </c>
      <c r="G227" s="17"/>
      <c r="H227" s="17" t="n">
        <v>11000</v>
      </c>
      <c r="I227" s="14" t="n">
        <f aca="false">I226+G227-H227</f>
        <v>408762800</v>
      </c>
    </row>
    <row r="228" customFormat="false" ht="12" hidden="false" customHeight="true" outlineLevel="1" collapsed="false">
      <c r="B228" s="15" t="n">
        <v>44978</v>
      </c>
      <c r="C228" s="15" t="n">
        <f aca="false">B228</f>
        <v>44978</v>
      </c>
      <c r="D228" s="16" t="s">
        <v>242</v>
      </c>
      <c r="E228" s="16" t="s">
        <v>23</v>
      </c>
      <c r="F228" s="16" t="s">
        <v>24</v>
      </c>
      <c r="G228" s="17"/>
      <c r="H228" s="17" t="n">
        <v>61776715</v>
      </c>
      <c r="I228" s="14" t="n">
        <f aca="false">I227+G228-H228</f>
        <v>346986085</v>
      </c>
    </row>
    <row r="229" customFormat="false" ht="12" hidden="false" customHeight="true" outlineLevel="1" collapsed="false">
      <c r="B229" s="15" t="n">
        <v>44978</v>
      </c>
      <c r="C229" s="15" t="n">
        <f aca="false">B229</f>
        <v>44978</v>
      </c>
      <c r="D229" s="16" t="s">
        <v>244</v>
      </c>
      <c r="E229" s="16" t="s">
        <v>23</v>
      </c>
      <c r="F229" s="16" t="s">
        <v>24</v>
      </c>
      <c r="G229" s="17"/>
      <c r="H229" s="17" t="n">
        <v>338223285</v>
      </c>
      <c r="I229" s="14" t="n">
        <f aca="false">I228+G229-H229</f>
        <v>8762800</v>
      </c>
    </row>
    <row r="230" customFormat="false" ht="12" hidden="false" customHeight="true" outlineLevel="1" collapsed="false">
      <c r="B230" s="15" t="n">
        <v>44978</v>
      </c>
      <c r="C230" s="15" t="n">
        <f aca="false">B230</f>
        <v>44978</v>
      </c>
      <c r="D230" s="16" t="s">
        <v>245</v>
      </c>
      <c r="E230" s="16" t="s">
        <v>57</v>
      </c>
      <c r="F230" s="16" t="n">
        <v>635</v>
      </c>
      <c r="G230" s="17"/>
      <c r="H230" s="17" t="n">
        <v>1631761</v>
      </c>
      <c r="I230" s="14" t="n">
        <f aca="false">I229+G230-H230</f>
        <v>7131039</v>
      </c>
    </row>
    <row r="231" customFormat="false" ht="12" hidden="false" customHeight="true" outlineLevel="1" collapsed="false">
      <c r="B231" s="15" t="n">
        <v>44979</v>
      </c>
      <c r="C231" s="15" t="n">
        <f aca="false">B231</f>
        <v>44979</v>
      </c>
      <c r="D231" s="16" t="s">
        <v>246</v>
      </c>
      <c r="E231" s="16" t="s">
        <v>157</v>
      </c>
      <c r="F231" s="16" t="s">
        <v>15</v>
      </c>
      <c r="G231" s="17" t="n">
        <v>119548000</v>
      </c>
      <c r="H231" s="17"/>
      <c r="I231" s="14" t="n">
        <f aca="false">I230+G231-H231</f>
        <v>126679039</v>
      </c>
    </row>
    <row r="232" customFormat="false" ht="12" hidden="false" customHeight="true" outlineLevel="1" collapsed="false">
      <c r="B232" s="15" t="n">
        <v>44979</v>
      </c>
      <c r="C232" s="15" t="n">
        <f aca="false">B232</f>
        <v>44979</v>
      </c>
      <c r="D232" s="16" t="s">
        <v>247</v>
      </c>
      <c r="E232" s="16" t="s">
        <v>157</v>
      </c>
      <c r="F232" s="16" t="s">
        <v>15</v>
      </c>
      <c r="G232" s="17" t="n">
        <v>256108000</v>
      </c>
      <c r="H232" s="17"/>
      <c r="I232" s="14" t="n">
        <f aca="false">I231+G232-H232</f>
        <v>382787039</v>
      </c>
    </row>
    <row r="233" customFormat="false" ht="12" hidden="false" customHeight="true" outlineLevel="1" collapsed="false">
      <c r="B233" s="15" t="n">
        <v>44979</v>
      </c>
      <c r="C233" s="15" t="n">
        <f aca="false">B233</f>
        <v>44979</v>
      </c>
      <c r="D233" s="16" t="s">
        <v>248</v>
      </c>
      <c r="E233" s="16" t="s">
        <v>157</v>
      </c>
      <c r="F233" s="16" t="s">
        <v>15</v>
      </c>
      <c r="G233" s="17" t="n">
        <v>119000000</v>
      </c>
      <c r="H233" s="17"/>
      <c r="I233" s="14" t="n">
        <f aca="false">I232+G233-H233</f>
        <v>501787039</v>
      </c>
    </row>
    <row r="234" customFormat="false" ht="12" hidden="false" customHeight="true" outlineLevel="1" collapsed="false">
      <c r="B234" s="15" t="n">
        <v>44979</v>
      </c>
      <c r="C234" s="15" t="n">
        <f aca="false">B234</f>
        <v>44979</v>
      </c>
      <c r="D234" s="16" t="s">
        <v>249</v>
      </c>
      <c r="E234" s="16" t="s">
        <v>118</v>
      </c>
      <c r="F234" s="16" t="s">
        <v>179</v>
      </c>
      <c r="G234" s="17"/>
      <c r="H234" s="17" t="n">
        <v>199452987</v>
      </c>
      <c r="I234" s="14" t="n">
        <f aca="false">I233+G234-H234</f>
        <v>302334052</v>
      </c>
    </row>
    <row r="235" customFormat="false" ht="12" hidden="false" customHeight="true" outlineLevel="1" collapsed="false">
      <c r="B235" s="15" t="n">
        <v>44979</v>
      </c>
      <c r="C235" s="15" t="n">
        <f aca="false">B235</f>
        <v>44979</v>
      </c>
      <c r="D235" s="16" t="s">
        <v>250</v>
      </c>
      <c r="E235" s="16" t="s">
        <v>36</v>
      </c>
      <c r="F235" s="16" t="n">
        <v>635</v>
      </c>
      <c r="G235" s="17"/>
      <c r="H235" s="17" t="n">
        <v>11000</v>
      </c>
      <c r="I235" s="14" t="n">
        <f aca="false">I234+G235-H235</f>
        <v>302323052</v>
      </c>
    </row>
    <row r="236" customFormat="false" ht="12" hidden="false" customHeight="true" outlineLevel="1" collapsed="false">
      <c r="B236" s="15" t="n">
        <v>44979</v>
      </c>
      <c r="C236" s="15" t="n">
        <f aca="false">B236</f>
        <v>44979</v>
      </c>
      <c r="D236" s="16" t="s">
        <v>251</v>
      </c>
      <c r="E236" s="16" t="s">
        <v>23</v>
      </c>
      <c r="F236" s="16" t="s">
        <v>24</v>
      </c>
      <c r="G236" s="17"/>
      <c r="H236" s="17" t="n">
        <v>300000000</v>
      </c>
      <c r="I236" s="14" t="n">
        <f aca="false">I235+G236-H236</f>
        <v>2323052</v>
      </c>
    </row>
    <row r="237" customFormat="false" ht="12" hidden="false" customHeight="true" outlineLevel="1" collapsed="false">
      <c r="B237" s="15" t="n">
        <v>44980</v>
      </c>
      <c r="C237" s="15" t="n">
        <f aca="false">B237</f>
        <v>44980</v>
      </c>
      <c r="D237" s="16" t="s">
        <v>252</v>
      </c>
      <c r="E237" s="16" t="s">
        <v>157</v>
      </c>
      <c r="F237" s="16" t="s">
        <v>15</v>
      </c>
      <c r="G237" s="17" t="n">
        <v>152235000</v>
      </c>
      <c r="H237" s="17"/>
      <c r="I237" s="14" t="n">
        <f aca="false">I236+G237-H237</f>
        <v>154558052</v>
      </c>
    </row>
    <row r="238" customFormat="false" ht="12" hidden="false" customHeight="true" outlineLevel="1" collapsed="false">
      <c r="B238" s="15" t="n">
        <v>44980</v>
      </c>
      <c r="C238" s="15" t="n">
        <f aca="false">B238</f>
        <v>44980</v>
      </c>
      <c r="D238" s="16" t="s">
        <v>253</v>
      </c>
      <c r="E238" s="16" t="s">
        <v>157</v>
      </c>
      <c r="F238" s="16" t="s">
        <v>15</v>
      </c>
      <c r="G238" s="17" t="n">
        <v>84918000</v>
      </c>
      <c r="H238" s="17"/>
      <c r="I238" s="14" t="n">
        <f aca="false">I237+G238-H238</f>
        <v>239476052</v>
      </c>
    </row>
    <row r="239" customFormat="false" ht="12" hidden="false" customHeight="true" outlineLevel="1" collapsed="false">
      <c r="B239" s="15" t="n">
        <v>44980</v>
      </c>
      <c r="C239" s="15" t="n">
        <f aca="false">B239</f>
        <v>44980</v>
      </c>
      <c r="D239" s="16" t="s">
        <v>254</v>
      </c>
      <c r="E239" s="16" t="s">
        <v>157</v>
      </c>
      <c r="F239" s="16" t="s">
        <v>15</v>
      </c>
      <c r="G239" s="17" t="n">
        <v>203407000</v>
      </c>
      <c r="H239" s="17"/>
      <c r="I239" s="14" t="n">
        <f aca="false">I238+G239-H239</f>
        <v>442883052</v>
      </c>
    </row>
    <row r="240" customFormat="false" ht="12" hidden="false" customHeight="true" outlineLevel="1" collapsed="false">
      <c r="B240" s="15" t="n">
        <v>44980</v>
      </c>
      <c r="C240" s="15" t="n">
        <f aca="false">B240</f>
        <v>44980</v>
      </c>
      <c r="D240" s="16" t="s">
        <v>255</v>
      </c>
      <c r="E240" s="16" t="s">
        <v>157</v>
      </c>
      <c r="F240" s="16" t="s">
        <v>15</v>
      </c>
      <c r="G240" s="17" t="n">
        <v>190283000</v>
      </c>
      <c r="H240" s="17"/>
      <c r="I240" s="14" t="n">
        <f aca="false">I239+G240-H240</f>
        <v>633166052</v>
      </c>
    </row>
    <row r="241" customFormat="false" ht="12" hidden="false" customHeight="true" outlineLevel="1" collapsed="false">
      <c r="B241" s="15" t="n">
        <v>44981</v>
      </c>
      <c r="C241" s="15" t="n">
        <f aca="false">B241</f>
        <v>44981</v>
      </c>
      <c r="D241" s="16" t="s">
        <v>256</v>
      </c>
      <c r="E241" s="16" t="s">
        <v>157</v>
      </c>
      <c r="F241" s="16" t="s">
        <v>15</v>
      </c>
      <c r="G241" s="17" t="n">
        <v>76506000</v>
      </c>
      <c r="H241" s="17"/>
      <c r="I241" s="14" t="n">
        <f aca="false">I240+G241-H241</f>
        <v>709672052</v>
      </c>
    </row>
    <row r="242" customFormat="false" ht="12" hidden="false" customHeight="true" outlineLevel="1" collapsed="false">
      <c r="B242" s="15" t="n">
        <v>44981</v>
      </c>
      <c r="C242" s="15" t="n">
        <f aca="false">B242</f>
        <v>44981</v>
      </c>
      <c r="D242" s="16" t="s">
        <v>257</v>
      </c>
      <c r="E242" s="16" t="s">
        <v>118</v>
      </c>
      <c r="F242" s="16" t="s">
        <v>179</v>
      </c>
      <c r="G242" s="17"/>
      <c r="H242" s="17" t="n">
        <v>68072802</v>
      </c>
      <c r="I242" s="14" t="n">
        <f aca="false">I241+G242-H242</f>
        <v>641599250</v>
      </c>
    </row>
    <row r="243" customFormat="false" ht="12" hidden="false" customHeight="true" outlineLevel="1" collapsed="false">
      <c r="B243" s="15" t="n">
        <v>44981</v>
      </c>
      <c r="C243" s="15" t="n">
        <f aca="false">B243</f>
        <v>44981</v>
      </c>
      <c r="D243" s="16" t="s">
        <v>258</v>
      </c>
      <c r="E243" s="16" t="s">
        <v>118</v>
      </c>
      <c r="F243" s="16" t="s">
        <v>179</v>
      </c>
      <c r="G243" s="17"/>
      <c r="H243" s="17" t="n">
        <v>419352140</v>
      </c>
      <c r="I243" s="14" t="n">
        <f aca="false">I242+G243-H243</f>
        <v>222247110</v>
      </c>
    </row>
    <row r="244" customFormat="false" ht="12" hidden="false" customHeight="true" outlineLevel="1" collapsed="false">
      <c r="B244" s="15" t="n">
        <v>44981</v>
      </c>
      <c r="C244" s="15" t="n">
        <f aca="false">B244</f>
        <v>44981</v>
      </c>
      <c r="D244" s="16" t="s">
        <v>259</v>
      </c>
      <c r="E244" s="16" t="s">
        <v>23</v>
      </c>
      <c r="F244" s="16" t="s">
        <v>24</v>
      </c>
      <c r="G244" s="17"/>
      <c r="H244" s="17" t="n">
        <v>222000000</v>
      </c>
      <c r="I244" s="14" t="n">
        <f aca="false">I243+G244-H244</f>
        <v>247110</v>
      </c>
    </row>
    <row r="245" customFormat="false" ht="12" hidden="false" customHeight="true" outlineLevel="1" collapsed="false">
      <c r="B245" s="15" t="n">
        <v>44982</v>
      </c>
      <c r="C245" s="15" t="n">
        <f aca="false">B245</f>
        <v>44982</v>
      </c>
      <c r="D245" s="16" t="s">
        <v>260</v>
      </c>
      <c r="E245" s="16" t="s">
        <v>36</v>
      </c>
      <c r="F245" s="16" t="n">
        <v>635</v>
      </c>
      <c r="G245" s="17"/>
      <c r="H245" s="17" t="n">
        <v>22000</v>
      </c>
      <c r="I245" s="14" t="n">
        <f aca="false">I244+G245-H245</f>
        <v>225110</v>
      </c>
    </row>
    <row r="246" customFormat="false" ht="12" hidden="false" customHeight="true" outlineLevel="1" collapsed="false">
      <c r="B246" s="15" t="n">
        <v>44982</v>
      </c>
      <c r="C246" s="15" t="n">
        <f aca="false">B246</f>
        <v>44982</v>
      </c>
      <c r="D246" s="16" t="s">
        <v>261</v>
      </c>
      <c r="E246" s="16" t="s">
        <v>262</v>
      </c>
      <c r="F246" s="16" t="n">
        <v>515</v>
      </c>
      <c r="G246" s="17" t="n">
        <v>3640</v>
      </c>
      <c r="H246" s="17"/>
      <c r="I246" s="14" t="n">
        <f aca="false">I245+G246-H246</f>
        <v>228750</v>
      </c>
    </row>
    <row r="247" customFormat="false" ht="12" hidden="false" customHeight="true" outlineLevel="1" collapsed="false">
      <c r="B247" s="15" t="n">
        <v>44984</v>
      </c>
      <c r="C247" s="15" t="n">
        <f aca="false">B247</f>
        <v>44984</v>
      </c>
      <c r="D247" s="16" t="s">
        <v>263</v>
      </c>
      <c r="E247" s="16" t="s">
        <v>157</v>
      </c>
      <c r="F247" s="16" t="s">
        <v>15</v>
      </c>
      <c r="G247" s="17" t="n">
        <v>180000000</v>
      </c>
      <c r="H247" s="17"/>
      <c r="I247" s="14" t="n">
        <f aca="false">I246+G247-H247</f>
        <v>180228750</v>
      </c>
    </row>
    <row r="248" customFormat="false" ht="12" hidden="false" customHeight="true" outlineLevel="1" collapsed="false">
      <c r="B248" s="15" t="n">
        <v>44984</v>
      </c>
      <c r="C248" s="15" t="n">
        <f aca="false">B248</f>
        <v>44984</v>
      </c>
      <c r="D248" s="16" t="s">
        <v>264</v>
      </c>
      <c r="E248" s="16" t="s">
        <v>157</v>
      </c>
      <c r="F248" s="16" t="s">
        <v>15</v>
      </c>
      <c r="G248" s="17" t="n">
        <v>252888000</v>
      </c>
      <c r="H248" s="17"/>
      <c r="I248" s="14" t="n">
        <f aca="false">I247+G248-H248</f>
        <v>433116750</v>
      </c>
    </row>
    <row r="249" customFormat="false" ht="12" hidden="false" customHeight="true" outlineLevel="1" collapsed="false">
      <c r="B249" s="15" t="n">
        <v>44984</v>
      </c>
      <c r="C249" s="15" t="n">
        <f aca="false">B249</f>
        <v>44984</v>
      </c>
      <c r="D249" s="16" t="s">
        <v>265</v>
      </c>
      <c r="E249" s="16" t="s">
        <v>157</v>
      </c>
      <c r="F249" s="16" t="s">
        <v>15</v>
      </c>
      <c r="G249" s="17" t="n">
        <v>90267000</v>
      </c>
      <c r="H249" s="17"/>
      <c r="I249" s="14" t="n">
        <f aca="false">I248+G249-H249</f>
        <v>523383750</v>
      </c>
    </row>
    <row r="250" customFormat="false" ht="12" hidden="false" customHeight="true" outlineLevel="1" collapsed="false">
      <c r="B250" s="15" t="n">
        <v>44984</v>
      </c>
      <c r="C250" s="15" t="n">
        <f aca="false">B250</f>
        <v>44984</v>
      </c>
      <c r="D250" s="16" t="s">
        <v>266</v>
      </c>
      <c r="E250" s="16" t="s">
        <v>157</v>
      </c>
      <c r="F250" s="16" t="s">
        <v>15</v>
      </c>
      <c r="G250" s="17" t="n">
        <v>225634000</v>
      </c>
      <c r="H250" s="17"/>
      <c r="I250" s="14" t="n">
        <f aca="false">I249+G250-H250</f>
        <v>749017750</v>
      </c>
    </row>
    <row r="251" customFormat="false" ht="12" hidden="false" customHeight="true" outlineLevel="1" collapsed="false">
      <c r="B251" s="15" t="n">
        <v>44984</v>
      </c>
      <c r="C251" s="15" t="n">
        <f aca="false">B251</f>
        <v>44984</v>
      </c>
      <c r="D251" s="16" t="s">
        <v>267</v>
      </c>
      <c r="E251" s="16" t="s">
        <v>157</v>
      </c>
      <c r="F251" s="16" t="s">
        <v>15</v>
      </c>
      <c r="G251" s="17" t="n">
        <v>129256000</v>
      </c>
      <c r="H251" s="17"/>
      <c r="I251" s="14" t="n">
        <f aca="false">I250+G251-H251</f>
        <v>878273750</v>
      </c>
    </row>
    <row r="252" customFormat="false" ht="12" hidden="false" customHeight="true" outlineLevel="1" collapsed="false">
      <c r="B252" s="15" t="n">
        <v>44984</v>
      </c>
      <c r="C252" s="15" t="n">
        <f aca="false">B252</f>
        <v>44984</v>
      </c>
      <c r="D252" s="16" t="s">
        <v>268</v>
      </c>
      <c r="E252" s="16" t="s">
        <v>157</v>
      </c>
      <c r="F252" s="16" t="s">
        <v>15</v>
      </c>
      <c r="G252" s="17" t="n">
        <v>96804000</v>
      </c>
      <c r="H252" s="17"/>
      <c r="I252" s="14" t="n">
        <f aca="false">I251+G252-H252</f>
        <v>975077750</v>
      </c>
    </row>
    <row r="253" customFormat="false" ht="12" hidden="false" customHeight="true" outlineLevel="1" collapsed="false">
      <c r="B253" s="15" t="n">
        <v>44984</v>
      </c>
      <c r="C253" s="15" t="n">
        <f aca="false">B253</f>
        <v>44984</v>
      </c>
      <c r="D253" s="16" t="s">
        <v>269</v>
      </c>
      <c r="E253" s="16" t="s">
        <v>23</v>
      </c>
      <c r="F253" s="16" t="s">
        <v>24</v>
      </c>
      <c r="G253" s="17"/>
      <c r="H253" s="17" t="n">
        <v>975000000</v>
      </c>
      <c r="I253" s="14" t="n">
        <f aca="false">I252+G253-H253</f>
        <v>77750</v>
      </c>
    </row>
    <row r="254" customFormat="false" ht="12" hidden="false" customHeight="true" outlineLevel="1" collapsed="false">
      <c r="B254" s="15" t="n">
        <v>44984</v>
      </c>
      <c r="C254" s="15" t="n">
        <f aca="false">B254</f>
        <v>44984</v>
      </c>
      <c r="D254" s="16" t="s">
        <v>270</v>
      </c>
      <c r="E254" s="16" t="s">
        <v>36</v>
      </c>
      <c r="F254" s="16" t="n">
        <v>635</v>
      </c>
      <c r="G254" s="17"/>
      <c r="H254" s="17" t="n">
        <v>11000</v>
      </c>
      <c r="I254" s="14" t="n">
        <f aca="false">I253+G254-H254</f>
        <v>66750</v>
      </c>
    </row>
    <row r="255" customFormat="false" ht="12" hidden="false" customHeight="true" outlineLevel="1" collapsed="false">
      <c r="B255" s="15" t="n">
        <v>44984</v>
      </c>
      <c r="C255" s="15" t="n">
        <f aca="false">B255</f>
        <v>44984</v>
      </c>
      <c r="D255" s="16" t="s">
        <v>271</v>
      </c>
      <c r="E255" s="16" t="s">
        <v>36</v>
      </c>
      <c r="F255" s="16" t="n">
        <v>635</v>
      </c>
      <c r="G255" s="17"/>
      <c r="H255" s="17" t="n">
        <v>66750</v>
      </c>
      <c r="I255" s="14" t="n">
        <f aca="false">I254+G255-H255</f>
        <v>0</v>
      </c>
    </row>
    <row r="256" customFormat="false" ht="12" hidden="false" customHeight="true" outlineLevel="1" collapsed="false">
      <c r="B256" s="15" t="n">
        <v>44985</v>
      </c>
      <c r="C256" s="15" t="n">
        <f aca="false">B256</f>
        <v>44985</v>
      </c>
      <c r="D256" s="16" t="s">
        <v>272</v>
      </c>
      <c r="E256" s="16" t="s">
        <v>157</v>
      </c>
      <c r="F256" s="16" t="s">
        <v>15</v>
      </c>
      <c r="G256" s="17" t="n">
        <v>233933000</v>
      </c>
      <c r="H256" s="17"/>
      <c r="I256" s="14" t="n">
        <f aca="false">I255+G256-H256</f>
        <v>233933000</v>
      </c>
    </row>
    <row r="257" customFormat="false" ht="12" hidden="false" customHeight="true" outlineLevel="1" collapsed="false">
      <c r="B257" s="15" t="n">
        <v>44985</v>
      </c>
      <c r="C257" s="15" t="n">
        <f aca="false">B257</f>
        <v>44985</v>
      </c>
      <c r="D257" s="16" t="s">
        <v>273</v>
      </c>
      <c r="E257" s="16" t="s">
        <v>157</v>
      </c>
      <c r="F257" s="16" t="s">
        <v>15</v>
      </c>
      <c r="G257" s="17" t="n">
        <v>58745000</v>
      </c>
      <c r="H257" s="17"/>
      <c r="I257" s="14" t="n">
        <f aca="false">I256+G257-H257</f>
        <v>292678000</v>
      </c>
    </row>
    <row r="258" customFormat="false" ht="12" hidden="false" customHeight="true" outlineLevel="1" collapsed="false">
      <c r="B258" s="15" t="n">
        <v>44985</v>
      </c>
      <c r="C258" s="15" t="n">
        <f aca="false">B258</f>
        <v>44985</v>
      </c>
      <c r="D258" s="16" t="s">
        <v>274</v>
      </c>
      <c r="E258" s="16" t="s">
        <v>157</v>
      </c>
      <c r="F258" s="16" t="s">
        <v>15</v>
      </c>
      <c r="G258" s="17" t="n">
        <v>79757000</v>
      </c>
      <c r="H258" s="17"/>
      <c r="I258" s="14" t="n">
        <f aca="false">I257+G258-H258</f>
        <v>372435000</v>
      </c>
    </row>
    <row r="259" customFormat="false" ht="12" hidden="false" customHeight="true" outlineLevel="1" collapsed="false">
      <c r="B259" s="15" t="n">
        <v>44985</v>
      </c>
      <c r="C259" s="15" t="n">
        <f aca="false">B259</f>
        <v>44985</v>
      </c>
      <c r="D259" s="16" t="s">
        <v>275</v>
      </c>
      <c r="E259" s="16" t="s">
        <v>276</v>
      </c>
      <c r="F259" s="16" t="s">
        <v>179</v>
      </c>
      <c r="G259" s="17"/>
      <c r="H259" s="17" t="n">
        <v>206385727</v>
      </c>
      <c r="I259" s="14" t="n">
        <f aca="false">I258+G259-H259</f>
        <v>166049273</v>
      </c>
    </row>
    <row r="260" customFormat="false" ht="12" hidden="false" customHeight="true" outlineLevel="1" collapsed="false">
      <c r="B260" s="15" t="n">
        <v>44985</v>
      </c>
      <c r="C260" s="15" t="n">
        <f aca="false">B260</f>
        <v>44985</v>
      </c>
      <c r="D260" s="16" t="s">
        <v>277</v>
      </c>
      <c r="E260" s="16" t="s">
        <v>157</v>
      </c>
      <c r="F260" s="16" t="s">
        <v>15</v>
      </c>
      <c r="G260" s="17" t="n">
        <v>1140000000</v>
      </c>
      <c r="H260" s="17"/>
      <c r="I260" s="14" t="n">
        <f aca="false">I259+G260-H260</f>
        <v>1306049273</v>
      </c>
    </row>
    <row r="261" customFormat="false" ht="12" hidden="false" customHeight="true" outlineLevel="1" collapsed="false">
      <c r="B261" s="15" t="n">
        <v>44985</v>
      </c>
      <c r="C261" s="15" t="n">
        <f aca="false">B261</f>
        <v>44985</v>
      </c>
      <c r="D261" s="16" t="s">
        <v>278</v>
      </c>
      <c r="E261" s="16" t="s">
        <v>23</v>
      </c>
      <c r="F261" s="16" t="s">
        <v>24</v>
      </c>
      <c r="G261" s="17"/>
      <c r="H261" s="17" t="n">
        <v>41027507</v>
      </c>
      <c r="I261" s="14" t="n">
        <f aca="false">I260+G261-H261</f>
        <v>1265021766</v>
      </c>
    </row>
    <row r="262" customFormat="false" ht="12" hidden="false" customHeight="true" outlineLevel="1" collapsed="false">
      <c r="B262" s="15" t="n">
        <v>44985</v>
      </c>
      <c r="C262" s="15" t="n">
        <f aca="false">B262</f>
        <v>44985</v>
      </c>
      <c r="D262" s="16" t="s">
        <v>279</v>
      </c>
      <c r="E262" s="16" t="s">
        <v>23</v>
      </c>
      <c r="F262" s="16" t="s">
        <v>24</v>
      </c>
      <c r="G262" s="17"/>
      <c r="H262" s="17" t="n">
        <v>245119525</v>
      </c>
      <c r="I262" s="14" t="n">
        <f aca="false">I261+G262-H262</f>
        <v>1019902241</v>
      </c>
    </row>
    <row r="263" customFormat="false" ht="12" hidden="false" customHeight="true" outlineLevel="1" collapsed="false">
      <c r="B263" s="15" t="n">
        <v>44985</v>
      </c>
      <c r="C263" s="15" t="n">
        <f aca="false">B263</f>
        <v>44985</v>
      </c>
      <c r="D263" s="16" t="s">
        <v>280</v>
      </c>
      <c r="E263" s="16" t="s">
        <v>276</v>
      </c>
      <c r="F263" s="16" t="s">
        <v>179</v>
      </c>
      <c r="G263" s="17"/>
      <c r="H263" s="17" t="n">
        <v>229036853</v>
      </c>
      <c r="I263" s="14" t="n">
        <f aca="false">I262+G263-H263</f>
        <v>790865388</v>
      </c>
    </row>
    <row r="264" customFormat="false" ht="12" hidden="false" customHeight="true" outlineLevel="1" collapsed="false">
      <c r="B264" s="15" t="n">
        <v>44985</v>
      </c>
      <c r="C264" s="15" t="n">
        <f aca="false">B264</f>
        <v>44985</v>
      </c>
      <c r="D264" s="16" t="s">
        <v>281</v>
      </c>
      <c r="E264" s="16" t="s">
        <v>57</v>
      </c>
      <c r="F264" s="16" t="n">
        <v>635</v>
      </c>
      <c r="G264" s="17"/>
      <c r="H264" s="17" t="n">
        <v>11837691</v>
      </c>
      <c r="I264" s="14" t="n">
        <f aca="false">I263+G264-H264</f>
        <v>779027697</v>
      </c>
    </row>
    <row r="265" customFormat="false" ht="12" hidden="false" customHeight="true" outlineLevel="1" collapsed="false">
      <c r="B265" s="15" t="n">
        <v>44985</v>
      </c>
      <c r="C265" s="15" t="n">
        <f aca="false">B265</f>
        <v>44985</v>
      </c>
      <c r="D265" s="16" t="s">
        <v>282</v>
      </c>
      <c r="E265" s="16" t="s">
        <v>57</v>
      </c>
      <c r="F265" s="16" t="n">
        <v>635</v>
      </c>
      <c r="G265" s="17"/>
      <c r="H265" s="17" t="n">
        <v>1719195</v>
      </c>
      <c r="I265" s="14" t="n">
        <f aca="false">I264+G265-H265</f>
        <v>777308502</v>
      </c>
    </row>
    <row r="266" customFormat="false" ht="12" hidden="false" customHeight="true" outlineLevel="1" collapsed="false">
      <c r="B266" s="15" t="n">
        <v>44985</v>
      </c>
      <c r="C266" s="15" t="n">
        <f aca="false">B266</f>
        <v>44985</v>
      </c>
      <c r="D266" s="16" t="s">
        <v>283</v>
      </c>
      <c r="E266" s="16" t="s">
        <v>23</v>
      </c>
      <c r="F266" s="16" t="s">
        <v>24</v>
      </c>
      <c r="G266" s="17"/>
      <c r="H266" s="17" t="n">
        <v>770000000</v>
      </c>
      <c r="I266" s="14" t="n">
        <f aca="false">I265+G266-H266</f>
        <v>7308502</v>
      </c>
    </row>
    <row r="267" customFormat="false" ht="12" hidden="false" customHeight="true" outlineLevel="1" collapsed="false">
      <c r="B267" s="15" t="n">
        <v>44985</v>
      </c>
      <c r="C267" s="15" t="n">
        <f aca="false">B267</f>
        <v>44985</v>
      </c>
      <c r="D267" s="16" t="s">
        <v>284</v>
      </c>
      <c r="E267" s="16" t="s">
        <v>157</v>
      </c>
      <c r="F267" s="16" t="s">
        <v>15</v>
      </c>
      <c r="G267" s="17"/>
      <c r="H267" s="17" t="n">
        <v>11000</v>
      </c>
      <c r="I267" s="14" t="n">
        <f aca="false">I266+G267-H267</f>
        <v>7297502</v>
      </c>
    </row>
    <row r="268" customFormat="false" ht="12" hidden="false" customHeight="true" outlineLevel="1" collapsed="false">
      <c r="B268" s="15" t="n">
        <v>44985</v>
      </c>
      <c r="C268" s="15" t="n">
        <f aca="false">B268</f>
        <v>44985</v>
      </c>
      <c r="D268" s="16" t="s">
        <v>285</v>
      </c>
      <c r="E268" s="16" t="s">
        <v>23</v>
      </c>
      <c r="F268" s="16" t="s">
        <v>24</v>
      </c>
      <c r="G268" s="17"/>
      <c r="H268" s="17" t="n">
        <v>7297502</v>
      </c>
      <c r="I268" s="14" t="n">
        <f aca="false">I267+G268-H268</f>
        <v>0</v>
      </c>
    </row>
    <row r="269" customFormat="false" ht="12" hidden="false" customHeight="true" outlineLevel="1" collapsed="false">
      <c r="B269" s="15" t="n">
        <v>44986</v>
      </c>
      <c r="C269" s="15" t="n">
        <f aca="false">B269</f>
        <v>44986</v>
      </c>
      <c r="D269" s="16" t="s">
        <v>286</v>
      </c>
      <c r="E269" s="16" t="s">
        <v>157</v>
      </c>
      <c r="F269" s="16" t="s">
        <v>15</v>
      </c>
      <c r="G269" s="17" t="n">
        <v>88679000</v>
      </c>
      <c r="H269" s="17"/>
      <c r="I269" s="14" t="n">
        <f aca="false">I268+G269-H269</f>
        <v>88679000</v>
      </c>
    </row>
    <row r="270" customFormat="false" ht="12" hidden="false" customHeight="true" outlineLevel="1" collapsed="false">
      <c r="B270" s="15" t="n">
        <v>44986</v>
      </c>
      <c r="C270" s="15" t="n">
        <f aca="false">B270</f>
        <v>44986</v>
      </c>
      <c r="D270" s="16" t="s">
        <v>287</v>
      </c>
      <c r="E270" s="16" t="s">
        <v>157</v>
      </c>
      <c r="F270" s="16" t="s">
        <v>15</v>
      </c>
      <c r="G270" s="17" t="n">
        <v>181075000</v>
      </c>
      <c r="H270" s="17"/>
      <c r="I270" s="14" t="n">
        <f aca="false">I269+G270-H270</f>
        <v>269754000</v>
      </c>
    </row>
    <row r="271" customFormat="false" ht="12" hidden="false" customHeight="true" outlineLevel="1" collapsed="false">
      <c r="B271" s="15" t="n">
        <v>44986</v>
      </c>
      <c r="C271" s="15" t="n">
        <f aca="false">B271</f>
        <v>44986</v>
      </c>
      <c r="D271" s="16" t="s">
        <v>288</v>
      </c>
      <c r="E271" s="16" t="s">
        <v>157</v>
      </c>
      <c r="F271" s="16" t="s">
        <v>15</v>
      </c>
      <c r="G271" s="17" t="n">
        <v>112706000</v>
      </c>
      <c r="H271" s="17"/>
      <c r="I271" s="14" t="n">
        <f aca="false">I270+G271-H271</f>
        <v>382460000</v>
      </c>
    </row>
    <row r="272" customFormat="false" ht="12" hidden="false" customHeight="true" outlineLevel="1" collapsed="false">
      <c r="B272" s="15" t="n">
        <v>44986</v>
      </c>
      <c r="C272" s="15" t="n">
        <f aca="false">B272</f>
        <v>44986</v>
      </c>
      <c r="D272" s="16" t="s">
        <v>289</v>
      </c>
      <c r="E272" s="16" t="s">
        <v>23</v>
      </c>
      <c r="F272" s="16" t="s">
        <v>24</v>
      </c>
      <c r="G272" s="17"/>
      <c r="H272" s="17" t="n">
        <v>200000000</v>
      </c>
      <c r="I272" s="14" t="n">
        <f aca="false">I271+G272-H272</f>
        <v>182460000</v>
      </c>
    </row>
    <row r="273" customFormat="false" ht="12" hidden="false" customHeight="true" outlineLevel="1" collapsed="false">
      <c r="B273" s="15" t="n">
        <v>44986</v>
      </c>
      <c r="C273" s="15" t="n">
        <f aca="false">B273</f>
        <v>44986</v>
      </c>
      <c r="D273" s="16" t="s">
        <v>290</v>
      </c>
      <c r="E273" s="16" t="s">
        <v>276</v>
      </c>
      <c r="F273" s="16" t="s">
        <v>179</v>
      </c>
      <c r="G273" s="17"/>
      <c r="H273" s="17" t="n">
        <v>180201635</v>
      </c>
      <c r="I273" s="14" t="n">
        <f aca="false">I272+G273-H273</f>
        <v>2258365</v>
      </c>
    </row>
    <row r="274" customFormat="false" ht="12" hidden="false" customHeight="true" outlineLevel="1" collapsed="false">
      <c r="B274" s="15" t="n">
        <v>44986</v>
      </c>
      <c r="C274" s="15" t="n">
        <f aca="false">B274</f>
        <v>44986</v>
      </c>
      <c r="D274" s="16" t="s">
        <v>291</v>
      </c>
      <c r="E274" s="16" t="s">
        <v>292</v>
      </c>
      <c r="F274" s="16" t="s">
        <v>15</v>
      </c>
      <c r="G274" s="17" t="n">
        <v>5000000</v>
      </c>
      <c r="H274" s="17"/>
      <c r="I274" s="14" t="n">
        <f aca="false">I273+G274-H274</f>
        <v>7258365</v>
      </c>
    </row>
    <row r="275" customFormat="false" ht="12" hidden="false" customHeight="true" outlineLevel="1" collapsed="false">
      <c r="B275" s="15" t="n">
        <v>44986</v>
      </c>
      <c r="C275" s="15" t="n">
        <f aca="false">B275</f>
        <v>44986</v>
      </c>
      <c r="D275" s="16" t="s">
        <v>293</v>
      </c>
      <c r="E275" s="16" t="s">
        <v>294</v>
      </c>
      <c r="F275" s="16" t="s">
        <v>179</v>
      </c>
      <c r="G275" s="17"/>
      <c r="H275" s="17" t="n">
        <v>6022000</v>
      </c>
      <c r="I275" s="14" t="n">
        <f aca="false">I274+G275-H275</f>
        <v>1236365</v>
      </c>
    </row>
    <row r="276" customFormat="false" ht="12" hidden="false" customHeight="true" outlineLevel="1" collapsed="false">
      <c r="B276" s="15" t="n">
        <v>44986</v>
      </c>
      <c r="C276" s="15" t="n">
        <f aca="false">B276</f>
        <v>44986</v>
      </c>
      <c r="D276" s="16" t="s">
        <v>295</v>
      </c>
      <c r="E276" s="16" t="s">
        <v>36</v>
      </c>
      <c r="F276" s="16" t="n">
        <v>635</v>
      </c>
      <c r="G276" s="17"/>
      <c r="H276" s="17" t="n">
        <v>146301</v>
      </c>
      <c r="I276" s="14" t="n">
        <f aca="false">I275+G276-H276</f>
        <v>1090064</v>
      </c>
    </row>
    <row r="277" customFormat="false" ht="12" hidden="false" customHeight="true" outlineLevel="1" collapsed="false">
      <c r="B277" s="15" t="n">
        <v>44986</v>
      </c>
      <c r="C277" s="15" t="n">
        <f aca="false">B277</f>
        <v>44986</v>
      </c>
      <c r="D277" s="16" t="s">
        <v>296</v>
      </c>
      <c r="E277" s="16" t="s">
        <v>294</v>
      </c>
      <c r="F277" s="16" t="s">
        <v>179</v>
      </c>
      <c r="G277" s="17"/>
      <c r="H277" s="17" t="n">
        <v>1047042</v>
      </c>
      <c r="I277" s="14" t="n">
        <f aca="false">I276+G277-H277</f>
        <v>43022</v>
      </c>
    </row>
    <row r="278" customFormat="false" ht="12" hidden="false" customHeight="true" outlineLevel="1" collapsed="false">
      <c r="B278" s="15" t="n">
        <v>44986</v>
      </c>
      <c r="C278" s="15" t="n">
        <f aca="false">B278</f>
        <v>44986</v>
      </c>
      <c r="D278" s="16" t="s">
        <v>297</v>
      </c>
      <c r="E278" s="16" t="s">
        <v>36</v>
      </c>
      <c r="F278" s="16" t="n">
        <v>635</v>
      </c>
      <c r="G278" s="17"/>
      <c r="H278" s="17" t="n">
        <v>43022</v>
      </c>
      <c r="I278" s="14" t="n">
        <f aca="false">I277+G278-H278</f>
        <v>0</v>
      </c>
    </row>
    <row r="279" customFormat="false" ht="12" hidden="false" customHeight="true" outlineLevel="1" collapsed="false">
      <c r="B279" s="15" t="n">
        <v>44987</v>
      </c>
      <c r="C279" s="15" t="n">
        <f aca="false">B279</f>
        <v>44987</v>
      </c>
      <c r="D279" s="16" t="s">
        <v>298</v>
      </c>
      <c r="E279" s="16" t="s">
        <v>157</v>
      </c>
      <c r="F279" s="16" t="s">
        <v>15</v>
      </c>
      <c r="G279" s="17" t="n">
        <v>105738000</v>
      </c>
      <c r="H279" s="17"/>
      <c r="I279" s="14" t="n">
        <f aca="false">I278+G279-H279</f>
        <v>105738000</v>
      </c>
    </row>
    <row r="280" customFormat="false" ht="12" hidden="false" customHeight="true" outlineLevel="1" collapsed="false">
      <c r="B280" s="15" t="n">
        <v>44987</v>
      </c>
      <c r="C280" s="15" t="n">
        <f aca="false">B280</f>
        <v>44987</v>
      </c>
      <c r="D280" s="16" t="s">
        <v>298</v>
      </c>
      <c r="E280" s="16" t="s">
        <v>57</v>
      </c>
      <c r="F280" s="16" t="n">
        <v>635</v>
      </c>
      <c r="G280" s="17"/>
      <c r="H280" s="17" t="n">
        <v>6265353</v>
      </c>
      <c r="I280" s="14" t="n">
        <f aca="false">I279+G280-H280</f>
        <v>99472647</v>
      </c>
    </row>
    <row r="281" customFormat="false" ht="12" hidden="false" customHeight="true" outlineLevel="1" collapsed="false">
      <c r="B281" s="15" t="n">
        <v>44987</v>
      </c>
      <c r="C281" s="15" t="n">
        <f aca="false">B281</f>
        <v>44987</v>
      </c>
      <c r="D281" s="16" t="s">
        <v>299</v>
      </c>
      <c r="E281" s="16" t="s">
        <v>57</v>
      </c>
      <c r="F281" s="16" t="n">
        <v>635</v>
      </c>
      <c r="G281" s="17"/>
      <c r="H281" s="17" t="n">
        <v>10947204</v>
      </c>
      <c r="I281" s="14" t="n">
        <f aca="false">I280+G281-H281</f>
        <v>88525443</v>
      </c>
    </row>
    <row r="282" customFormat="false" ht="12" hidden="false" customHeight="true" outlineLevel="1" collapsed="false">
      <c r="B282" s="15" t="n">
        <v>44987</v>
      </c>
      <c r="C282" s="15" t="n">
        <f aca="false">B282</f>
        <v>44987</v>
      </c>
      <c r="D282" s="16" t="s">
        <v>300</v>
      </c>
      <c r="E282" s="16" t="s">
        <v>57</v>
      </c>
      <c r="F282" s="16" t="n">
        <v>635</v>
      </c>
      <c r="G282" s="17"/>
      <c r="H282" s="17" t="n">
        <v>4689927</v>
      </c>
      <c r="I282" s="14" t="n">
        <f aca="false">I281+G282-H282</f>
        <v>83835516</v>
      </c>
    </row>
    <row r="283" customFormat="false" ht="12" hidden="false" customHeight="true" outlineLevel="1" collapsed="false">
      <c r="B283" s="15" t="n">
        <v>44987</v>
      </c>
      <c r="C283" s="15" t="n">
        <f aca="false">B283</f>
        <v>44987</v>
      </c>
      <c r="D283" s="16" t="s">
        <v>301</v>
      </c>
      <c r="E283" s="16" t="s">
        <v>57</v>
      </c>
      <c r="F283" s="16" t="n">
        <v>635</v>
      </c>
      <c r="G283" s="17"/>
      <c r="H283" s="17" t="n">
        <v>4157457</v>
      </c>
      <c r="I283" s="14" t="n">
        <f aca="false">I282+G283-H283</f>
        <v>79678059</v>
      </c>
    </row>
    <row r="284" customFormat="false" ht="12" hidden="false" customHeight="true" outlineLevel="1" collapsed="false">
      <c r="B284" s="15" t="n">
        <v>44987</v>
      </c>
      <c r="C284" s="15" t="n">
        <f aca="false">B284</f>
        <v>44987</v>
      </c>
      <c r="D284" s="16" t="s">
        <v>302</v>
      </c>
      <c r="E284" s="16" t="s">
        <v>57</v>
      </c>
      <c r="F284" s="16" t="n">
        <v>635</v>
      </c>
      <c r="G284" s="17"/>
      <c r="H284" s="17" t="n">
        <v>3873954</v>
      </c>
      <c r="I284" s="14" t="n">
        <f aca="false">I283+G284-H284</f>
        <v>75804105</v>
      </c>
    </row>
    <row r="285" customFormat="false" ht="12" hidden="false" customHeight="true" outlineLevel="1" collapsed="false">
      <c r="B285" s="15" t="n">
        <v>44987</v>
      </c>
      <c r="C285" s="15" t="n">
        <f aca="false">B285</f>
        <v>44987</v>
      </c>
      <c r="D285" s="16" t="s">
        <v>303</v>
      </c>
      <c r="E285" s="16" t="s">
        <v>57</v>
      </c>
      <c r="F285" s="16" t="n">
        <v>635</v>
      </c>
      <c r="G285" s="17"/>
      <c r="H285" s="17" t="n">
        <v>2243445</v>
      </c>
      <c r="I285" s="14" t="n">
        <f aca="false">I284+G285-H285</f>
        <v>73560660</v>
      </c>
    </row>
    <row r="286" customFormat="false" ht="12" hidden="false" customHeight="true" outlineLevel="1" collapsed="false">
      <c r="B286" s="15" t="n">
        <v>44987</v>
      </c>
      <c r="C286" s="15" t="n">
        <f aca="false">B286</f>
        <v>44987</v>
      </c>
      <c r="D286" s="16" t="s">
        <v>304</v>
      </c>
      <c r="E286" s="16" t="s">
        <v>57</v>
      </c>
      <c r="F286" s="16" t="n">
        <v>635</v>
      </c>
      <c r="G286" s="17"/>
      <c r="H286" s="17" t="n">
        <v>11040920</v>
      </c>
      <c r="I286" s="14" t="n">
        <f aca="false">I285+G286-H286</f>
        <v>62519740</v>
      </c>
    </row>
    <row r="287" customFormat="false" ht="12" hidden="false" customHeight="true" outlineLevel="1" collapsed="false">
      <c r="B287" s="15" t="n">
        <v>44987</v>
      </c>
      <c r="C287" s="15" t="n">
        <f aca="false">B287</f>
        <v>44987</v>
      </c>
      <c r="D287" s="16" t="s">
        <v>305</v>
      </c>
      <c r="E287" s="16" t="s">
        <v>57</v>
      </c>
      <c r="F287" s="16" t="n">
        <v>635</v>
      </c>
      <c r="G287" s="17"/>
      <c r="H287" s="17" t="n">
        <v>674635</v>
      </c>
      <c r="I287" s="14" t="n">
        <f aca="false">I286+G287-H287</f>
        <v>61845105</v>
      </c>
    </row>
    <row r="288" customFormat="false" ht="12" hidden="false" customHeight="true" outlineLevel="1" collapsed="false">
      <c r="B288" s="15" t="n">
        <v>44987</v>
      </c>
      <c r="C288" s="15" t="n">
        <f aca="false">B288</f>
        <v>44987</v>
      </c>
      <c r="D288" s="16" t="s">
        <v>306</v>
      </c>
      <c r="E288" s="16" t="s">
        <v>57</v>
      </c>
      <c r="F288" s="16" t="n">
        <v>635</v>
      </c>
      <c r="G288" s="17"/>
      <c r="H288" s="17" t="n">
        <v>11198802</v>
      </c>
      <c r="I288" s="14" t="n">
        <f aca="false">I287+G288-H288</f>
        <v>50646303</v>
      </c>
    </row>
    <row r="289" customFormat="false" ht="12" hidden="false" customHeight="true" outlineLevel="1" collapsed="false">
      <c r="B289" s="15" t="n">
        <v>44987</v>
      </c>
      <c r="C289" s="15" t="n">
        <f aca="false">B289</f>
        <v>44987</v>
      </c>
      <c r="D289" s="16" t="s">
        <v>307</v>
      </c>
      <c r="E289" s="16" t="s">
        <v>57</v>
      </c>
      <c r="F289" s="16" t="n">
        <v>635</v>
      </c>
      <c r="G289" s="17"/>
      <c r="H289" s="17" t="n">
        <v>2910933</v>
      </c>
      <c r="I289" s="14" t="n">
        <f aca="false">I288+G289-H289</f>
        <v>47735370</v>
      </c>
    </row>
    <row r="290" customFormat="false" ht="12" hidden="false" customHeight="true" outlineLevel="1" collapsed="false">
      <c r="B290" s="15" t="n">
        <v>44987</v>
      </c>
      <c r="C290" s="15" t="n">
        <f aca="false">B290</f>
        <v>44987</v>
      </c>
      <c r="D290" s="16" t="s">
        <v>308</v>
      </c>
      <c r="E290" s="16" t="s">
        <v>57</v>
      </c>
      <c r="F290" s="16" t="n">
        <v>635</v>
      </c>
      <c r="G290" s="17"/>
      <c r="H290" s="17" t="n">
        <v>1213188</v>
      </c>
      <c r="I290" s="14" t="n">
        <f aca="false">I289+G290-H290</f>
        <v>46522182</v>
      </c>
    </row>
    <row r="291" customFormat="false" ht="12" hidden="false" customHeight="true" outlineLevel="1" collapsed="false">
      <c r="B291" s="15" t="n">
        <v>44987</v>
      </c>
      <c r="C291" s="15" t="n">
        <f aca="false">B291</f>
        <v>44987</v>
      </c>
      <c r="D291" s="16" t="s">
        <v>309</v>
      </c>
      <c r="E291" s="16" t="s">
        <v>57</v>
      </c>
      <c r="F291" s="16" t="n">
        <v>635</v>
      </c>
      <c r="G291" s="17"/>
      <c r="H291" s="17" t="n">
        <v>15455522</v>
      </c>
      <c r="I291" s="14" t="n">
        <f aca="false">I290+G291-H291</f>
        <v>31066660</v>
      </c>
    </row>
    <row r="292" customFormat="false" ht="12" hidden="false" customHeight="true" outlineLevel="1" collapsed="false">
      <c r="B292" s="15" t="n">
        <v>44987</v>
      </c>
      <c r="C292" s="15" t="n">
        <f aca="false">B292</f>
        <v>44987</v>
      </c>
      <c r="D292" s="16" t="s">
        <v>310</v>
      </c>
      <c r="E292" s="16" t="s">
        <v>57</v>
      </c>
      <c r="F292" s="16" t="n">
        <v>635</v>
      </c>
      <c r="G292" s="17"/>
      <c r="H292" s="17" t="n">
        <v>6093181</v>
      </c>
      <c r="I292" s="14" t="n">
        <f aca="false">I291+G292-H292</f>
        <v>24973479</v>
      </c>
    </row>
    <row r="293" customFormat="false" ht="12" hidden="false" customHeight="true" outlineLevel="1" collapsed="false">
      <c r="B293" s="15" t="n">
        <v>44987</v>
      </c>
      <c r="C293" s="15" t="n">
        <f aca="false">B293</f>
        <v>44987</v>
      </c>
      <c r="D293" s="16" t="s">
        <v>311</v>
      </c>
      <c r="E293" s="16" t="s">
        <v>57</v>
      </c>
      <c r="F293" s="16" t="n">
        <v>635</v>
      </c>
      <c r="G293" s="17"/>
      <c r="H293" s="17" t="n">
        <v>4496591</v>
      </c>
      <c r="I293" s="14" t="n">
        <f aca="false">I292+G293-H293</f>
        <v>20476888</v>
      </c>
    </row>
    <row r="294" customFormat="false" ht="12" hidden="false" customHeight="true" outlineLevel="1" collapsed="false">
      <c r="B294" s="15" t="n">
        <v>44987</v>
      </c>
      <c r="C294" s="15" t="n">
        <f aca="false">B294</f>
        <v>44987</v>
      </c>
      <c r="D294" s="16" t="s">
        <v>312</v>
      </c>
      <c r="E294" s="16" t="s">
        <v>57</v>
      </c>
      <c r="F294" s="16" t="n">
        <v>635</v>
      </c>
      <c r="G294" s="17"/>
      <c r="H294" s="17" t="n">
        <v>7558905</v>
      </c>
      <c r="I294" s="14" t="n">
        <f aca="false">I293+G294-H294</f>
        <v>12917983</v>
      </c>
    </row>
    <row r="295" customFormat="false" ht="12" hidden="false" customHeight="true" outlineLevel="1" collapsed="false">
      <c r="B295" s="15" t="n">
        <v>44987</v>
      </c>
      <c r="C295" s="15" t="n">
        <f aca="false">B295</f>
        <v>44987</v>
      </c>
      <c r="D295" s="16" t="s">
        <v>313</v>
      </c>
      <c r="E295" s="16" t="s">
        <v>57</v>
      </c>
      <c r="F295" s="16" t="n">
        <v>635</v>
      </c>
      <c r="G295" s="17"/>
      <c r="H295" s="17" t="n">
        <v>4244915</v>
      </c>
      <c r="I295" s="14" t="n">
        <f aca="false">I294+G295-H295</f>
        <v>8673068</v>
      </c>
    </row>
    <row r="296" customFormat="false" ht="12" hidden="false" customHeight="true" outlineLevel="1" collapsed="false">
      <c r="B296" s="15" t="n">
        <v>44987</v>
      </c>
      <c r="C296" s="15" t="n">
        <f aca="false">B296</f>
        <v>44987</v>
      </c>
      <c r="D296" s="16" t="s">
        <v>314</v>
      </c>
      <c r="E296" s="16" t="s">
        <v>57</v>
      </c>
      <c r="F296" s="16" t="n">
        <v>635</v>
      </c>
      <c r="G296" s="17"/>
      <c r="H296" s="17" t="n">
        <v>8673068</v>
      </c>
      <c r="I296" s="14" t="n">
        <f aca="false">I295+G296-H296</f>
        <v>0</v>
      </c>
    </row>
    <row r="297" customFormat="false" ht="12" hidden="false" customHeight="true" outlineLevel="1" collapsed="false">
      <c r="B297" s="15" t="n">
        <v>44988</v>
      </c>
      <c r="C297" s="15" t="n">
        <f aca="false">B297</f>
        <v>44988</v>
      </c>
      <c r="D297" s="16" t="s">
        <v>315</v>
      </c>
      <c r="E297" s="16" t="s">
        <v>157</v>
      </c>
      <c r="F297" s="16" t="s">
        <v>15</v>
      </c>
      <c r="G297" s="17" t="n">
        <v>168100000</v>
      </c>
      <c r="H297" s="17"/>
      <c r="I297" s="14" t="n">
        <f aca="false">I296+G297-H297</f>
        <v>168100000</v>
      </c>
    </row>
    <row r="298" customFormat="false" ht="12" hidden="false" customHeight="true" outlineLevel="1" collapsed="false">
      <c r="B298" s="15" t="n">
        <v>44988</v>
      </c>
      <c r="C298" s="15" t="n">
        <f aca="false">B298</f>
        <v>44988</v>
      </c>
      <c r="D298" s="16" t="s">
        <v>315</v>
      </c>
      <c r="E298" s="16" t="s">
        <v>157</v>
      </c>
      <c r="F298" s="16" t="s">
        <v>15</v>
      </c>
      <c r="G298" s="17" t="n">
        <v>21575000</v>
      </c>
      <c r="H298" s="17"/>
      <c r="I298" s="14" t="n">
        <f aca="false">I297+G298-H298</f>
        <v>189675000</v>
      </c>
    </row>
    <row r="299" customFormat="false" ht="12" hidden="false" customHeight="true" outlineLevel="1" collapsed="false">
      <c r="B299" s="15" t="n">
        <v>44988</v>
      </c>
      <c r="C299" s="15" t="n">
        <f aca="false">B299</f>
        <v>44988</v>
      </c>
      <c r="D299" s="16" t="s">
        <v>316</v>
      </c>
      <c r="E299" s="16" t="s">
        <v>157</v>
      </c>
      <c r="F299" s="16" t="s">
        <v>15</v>
      </c>
      <c r="G299" s="17" t="n">
        <v>51536000</v>
      </c>
      <c r="H299" s="17"/>
      <c r="I299" s="14" t="n">
        <f aca="false">I298+G299-H299</f>
        <v>241211000</v>
      </c>
    </row>
    <row r="300" customFormat="false" ht="12" hidden="false" customHeight="true" outlineLevel="1" collapsed="false">
      <c r="B300" s="15" t="n">
        <v>44988</v>
      </c>
      <c r="C300" s="15" t="n">
        <f aca="false">B300</f>
        <v>44988</v>
      </c>
      <c r="D300" s="16" t="s">
        <v>317</v>
      </c>
      <c r="E300" s="16" t="s">
        <v>276</v>
      </c>
      <c r="F300" s="16" t="s">
        <v>179</v>
      </c>
      <c r="G300" s="17"/>
      <c r="H300" s="17" t="n">
        <v>99614635</v>
      </c>
      <c r="I300" s="14" t="n">
        <f aca="false">I299+G300-H300</f>
        <v>141596365</v>
      </c>
    </row>
    <row r="301" customFormat="false" ht="12" hidden="false" customHeight="true" outlineLevel="1" collapsed="false">
      <c r="B301" s="15" t="n">
        <v>44988</v>
      </c>
      <c r="C301" s="15" t="n">
        <f aca="false">B301</f>
        <v>44988</v>
      </c>
      <c r="D301" s="16" t="s">
        <v>318</v>
      </c>
      <c r="E301" s="16" t="s">
        <v>157</v>
      </c>
      <c r="F301" s="16" t="s">
        <v>15</v>
      </c>
      <c r="G301" s="17" t="n">
        <v>53000000</v>
      </c>
      <c r="H301" s="17"/>
      <c r="I301" s="14" t="n">
        <f aca="false">I300+G301-H301</f>
        <v>194596365</v>
      </c>
    </row>
    <row r="302" customFormat="false" ht="12" hidden="false" customHeight="true" outlineLevel="1" collapsed="false">
      <c r="B302" s="15" t="n">
        <v>44988</v>
      </c>
      <c r="C302" s="15" t="n">
        <f aca="false">B302</f>
        <v>44988</v>
      </c>
      <c r="D302" s="16" t="s">
        <v>319</v>
      </c>
      <c r="E302" s="16" t="s">
        <v>23</v>
      </c>
      <c r="F302" s="16" t="s">
        <v>24</v>
      </c>
      <c r="G302" s="17"/>
      <c r="H302" s="17" t="n">
        <v>34440278</v>
      </c>
      <c r="I302" s="14" t="n">
        <f aca="false">I301+G302-H302</f>
        <v>160156087</v>
      </c>
    </row>
    <row r="303" customFormat="false" ht="12" hidden="false" customHeight="true" outlineLevel="1" collapsed="false">
      <c r="B303" s="15" t="n">
        <v>44988</v>
      </c>
      <c r="C303" s="15" t="n">
        <f aca="false">B303</f>
        <v>44988</v>
      </c>
      <c r="D303" s="16" t="s">
        <v>320</v>
      </c>
      <c r="E303" s="16" t="s">
        <v>57</v>
      </c>
      <c r="F303" s="16" t="n">
        <v>635</v>
      </c>
      <c r="G303" s="17"/>
      <c r="H303" s="17" t="n">
        <v>366518</v>
      </c>
      <c r="I303" s="14" t="n">
        <f aca="false">I302+G303-H303</f>
        <v>159789569</v>
      </c>
    </row>
    <row r="304" customFormat="false" ht="12" hidden="false" customHeight="true" outlineLevel="1" collapsed="false">
      <c r="B304" s="15" t="n">
        <v>44988</v>
      </c>
      <c r="C304" s="15" t="n">
        <f aca="false">B304</f>
        <v>44988</v>
      </c>
      <c r="D304" s="16" t="s">
        <v>321</v>
      </c>
      <c r="E304" s="16" t="s">
        <v>23</v>
      </c>
      <c r="F304" s="16" t="s">
        <v>24</v>
      </c>
      <c r="G304" s="17"/>
      <c r="H304" s="17" t="n">
        <v>125559722</v>
      </c>
      <c r="I304" s="14" t="n">
        <f aca="false">I303+G304-H304</f>
        <v>34229847</v>
      </c>
    </row>
    <row r="305" customFormat="false" ht="12" hidden="false" customHeight="true" outlineLevel="1" collapsed="false">
      <c r="B305" s="15" t="n">
        <v>44988</v>
      </c>
      <c r="C305" s="15" t="n">
        <f aca="false">B305</f>
        <v>44988</v>
      </c>
      <c r="D305" s="16" t="s">
        <v>322</v>
      </c>
      <c r="E305" s="16" t="s">
        <v>57</v>
      </c>
      <c r="F305" s="16" t="n">
        <v>635</v>
      </c>
      <c r="G305" s="17"/>
      <c r="H305" s="17" t="n">
        <v>11000</v>
      </c>
      <c r="I305" s="14" t="n">
        <f aca="false">I304+G305-H305</f>
        <v>34218847</v>
      </c>
    </row>
    <row r="306" customFormat="false" ht="12" hidden="false" customHeight="true" outlineLevel="1" collapsed="false">
      <c r="B306" s="15" t="n">
        <v>44988</v>
      </c>
      <c r="C306" s="15" t="n">
        <f aca="false">B306</f>
        <v>44988</v>
      </c>
      <c r="D306" s="16" t="s">
        <v>323</v>
      </c>
      <c r="E306" s="16" t="s">
        <v>57</v>
      </c>
      <c r="F306" s="16" t="n">
        <v>635</v>
      </c>
      <c r="G306" s="17"/>
      <c r="H306" s="17" t="n">
        <v>943132</v>
      </c>
      <c r="I306" s="14" t="n">
        <f aca="false">I305+G306-H306</f>
        <v>33275715</v>
      </c>
    </row>
    <row r="307" customFormat="false" ht="12" hidden="false" customHeight="true" outlineLevel="1" collapsed="false">
      <c r="B307" s="15" t="n">
        <v>44988</v>
      </c>
      <c r="C307" s="15" t="n">
        <f aca="false">B307</f>
        <v>44988</v>
      </c>
      <c r="D307" s="16" t="s">
        <v>324</v>
      </c>
      <c r="E307" s="16" t="s">
        <v>23</v>
      </c>
      <c r="F307" s="16" t="n">
        <v>635</v>
      </c>
      <c r="G307" s="17"/>
      <c r="H307" s="17" t="n">
        <v>3265771</v>
      </c>
      <c r="I307" s="14" t="n">
        <f aca="false">I306+G307-H307</f>
        <v>30009944</v>
      </c>
    </row>
    <row r="308" customFormat="false" ht="12" hidden="false" customHeight="true" outlineLevel="1" collapsed="false">
      <c r="B308" s="15" t="n">
        <v>44988</v>
      </c>
      <c r="C308" s="15" t="n">
        <f aca="false">B308</f>
        <v>44988</v>
      </c>
      <c r="D308" s="16" t="s">
        <v>325</v>
      </c>
      <c r="E308" s="16" t="s">
        <v>23</v>
      </c>
      <c r="F308" s="16" t="n">
        <v>635</v>
      </c>
      <c r="G308" s="17"/>
      <c r="H308" s="17" t="n">
        <v>8466360</v>
      </c>
      <c r="I308" s="14" t="n">
        <f aca="false">I307+G308-H308</f>
        <v>21543584</v>
      </c>
    </row>
    <row r="309" customFormat="false" ht="12" hidden="false" customHeight="true" outlineLevel="1" collapsed="false">
      <c r="B309" s="15" t="n">
        <v>44988</v>
      </c>
      <c r="C309" s="15" t="n">
        <f aca="false">B309</f>
        <v>44988</v>
      </c>
      <c r="D309" s="16" t="s">
        <v>326</v>
      </c>
      <c r="E309" s="16" t="s">
        <v>23</v>
      </c>
      <c r="F309" s="16" t="n">
        <v>635</v>
      </c>
      <c r="G309" s="17"/>
      <c r="H309" s="17" t="n">
        <v>2251631</v>
      </c>
      <c r="I309" s="14" t="n">
        <f aca="false">I308+G309-H309</f>
        <v>19291953</v>
      </c>
    </row>
    <row r="310" customFormat="false" ht="12" hidden="false" customHeight="true" outlineLevel="1" collapsed="false">
      <c r="B310" s="15" t="n">
        <v>44988</v>
      </c>
      <c r="C310" s="15" t="n">
        <f aca="false">B310</f>
        <v>44988</v>
      </c>
      <c r="D310" s="16" t="s">
        <v>327</v>
      </c>
      <c r="E310" s="16" t="s">
        <v>23</v>
      </c>
      <c r="F310" s="16" t="n">
        <v>635</v>
      </c>
      <c r="G310" s="17"/>
      <c r="H310" s="17" t="n">
        <v>1155255</v>
      </c>
      <c r="I310" s="14" t="n">
        <f aca="false">I309+G310-H310</f>
        <v>18136698</v>
      </c>
    </row>
    <row r="311" customFormat="false" ht="12" hidden="false" customHeight="true" outlineLevel="1" collapsed="false">
      <c r="B311" s="15" t="n">
        <v>44988</v>
      </c>
      <c r="C311" s="15" t="n">
        <f aca="false">B311</f>
        <v>44988</v>
      </c>
      <c r="D311" s="16" t="s">
        <v>328</v>
      </c>
      <c r="E311" s="16" t="s">
        <v>23</v>
      </c>
      <c r="F311" s="16" t="n">
        <v>635</v>
      </c>
      <c r="G311" s="17"/>
      <c r="H311" s="17" t="n">
        <v>944295</v>
      </c>
      <c r="I311" s="14" t="n">
        <f aca="false">I310+G311-H311</f>
        <v>17192403</v>
      </c>
    </row>
    <row r="312" customFormat="false" ht="12" hidden="false" customHeight="true" outlineLevel="1" collapsed="false">
      <c r="B312" s="15" t="n">
        <v>44988</v>
      </c>
      <c r="C312" s="15" t="n">
        <f aca="false">B312</f>
        <v>44988</v>
      </c>
      <c r="D312" s="16" t="s">
        <v>329</v>
      </c>
      <c r="E312" s="16" t="s">
        <v>23</v>
      </c>
      <c r="F312" s="16" t="n">
        <v>635</v>
      </c>
      <c r="G312" s="17"/>
      <c r="H312" s="17" t="n">
        <v>5864390</v>
      </c>
      <c r="I312" s="14" t="n">
        <f aca="false">I311+G312-H312</f>
        <v>11328013</v>
      </c>
    </row>
    <row r="313" customFormat="false" ht="12" hidden="false" customHeight="true" outlineLevel="1" collapsed="false">
      <c r="B313" s="15" t="n">
        <v>44988</v>
      </c>
      <c r="C313" s="15" t="n">
        <f aca="false">B313</f>
        <v>44988</v>
      </c>
      <c r="D313" s="16" t="s">
        <v>330</v>
      </c>
      <c r="E313" s="16" t="s">
        <v>23</v>
      </c>
      <c r="F313" s="16" t="n">
        <v>635</v>
      </c>
      <c r="G313" s="17"/>
      <c r="H313" s="17" t="n">
        <v>932233</v>
      </c>
      <c r="I313" s="14" t="n">
        <f aca="false">I312+G313-H313</f>
        <v>10395780</v>
      </c>
    </row>
    <row r="314" customFormat="false" ht="12" hidden="false" customHeight="true" outlineLevel="1" collapsed="false">
      <c r="B314" s="15" t="n">
        <v>44988</v>
      </c>
      <c r="C314" s="15" t="n">
        <f aca="false">B314</f>
        <v>44988</v>
      </c>
      <c r="D314" s="16" t="s">
        <v>331</v>
      </c>
      <c r="E314" s="16" t="s">
        <v>23</v>
      </c>
      <c r="F314" s="16" t="n">
        <v>635</v>
      </c>
      <c r="G314" s="17"/>
      <c r="H314" s="17" t="n">
        <v>1366306</v>
      </c>
      <c r="I314" s="14" t="n">
        <f aca="false">I313+G314-H314</f>
        <v>9029474</v>
      </c>
    </row>
    <row r="315" customFormat="false" ht="12" hidden="false" customHeight="true" outlineLevel="1" collapsed="false">
      <c r="B315" s="15" t="n">
        <v>44988</v>
      </c>
      <c r="C315" s="15" t="n">
        <f aca="false">B315</f>
        <v>44988</v>
      </c>
      <c r="D315" s="16" t="s">
        <v>332</v>
      </c>
      <c r="E315" s="16" t="s">
        <v>23</v>
      </c>
      <c r="F315" s="16" t="n">
        <v>635</v>
      </c>
      <c r="G315" s="17"/>
      <c r="H315" s="17" t="n">
        <v>390061</v>
      </c>
      <c r="I315" s="14" t="n">
        <f aca="false">I314+G315-H315</f>
        <v>8639413</v>
      </c>
    </row>
    <row r="316" customFormat="false" ht="12" hidden="false" customHeight="true" outlineLevel="1" collapsed="false">
      <c r="B316" s="15" t="n">
        <v>44988</v>
      </c>
      <c r="C316" s="15" t="n">
        <f aca="false">B316</f>
        <v>44988</v>
      </c>
      <c r="D316" s="16" t="s">
        <v>332</v>
      </c>
      <c r="E316" s="16" t="s">
        <v>23</v>
      </c>
      <c r="F316" s="16" t="n">
        <v>635</v>
      </c>
      <c r="G316" s="17"/>
      <c r="H316" s="17" t="n">
        <v>736049</v>
      </c>
      <c r="I316" s="14" t="n">
        <f aca="false">I315+G316-H316</f>
        <v>7903364</v>
      </c>
    </row>
    <row r="317" customFormat="false" ht="12" hidden="false" customHeight="true" outlineLevel="1" collapsed="false">
      <c r="B317" s="15" t="n">
        <v>44988</v>
      </c>
      <c r="C317" s="15" t="n">
        <f aca="false">B317</f>
        <v>44988</v>
      </c>
      <c r="D317" s="16" t="s">
        <v>333</v>
      </c>
      <c r="E317" s="16" t="s">
        <v>23</v>
      </c>
      <c r="F317" s="16" t="n">
        <v>635</v>
      </c>
      <c r="G317" s="17"/>
      <c r="H317" s="17" t="n">
        <v>859074</v>
      </c>
      <c r="I317" s="14" t="n">
        <f aca="false">I316+G317-H317</f>
        <v>7044290</v>
      </c>
    </row>
    <row r="318" customFormat="false" ht="12" hidden="false" customHeight="true" outlineLevel="1" collapsed="false">
      <c r="B318" s="15" t="n">
        <v>44989</v>
      </c>
      <c r="C318" s="15" t="n">
        <f aca="false">B318</f>
        <v>44989</v>
      </c>
      <c r="D318" s="16" t="s">
        <v>334</v>
      </c>
      <c r="E318" s="16" t="s">
        <v>57</v>
      </c>
      <c r="F318" s="16" t="n">
        <v>635</v>
      </c>
      <c r="G318" s="17"/>
      <c r="H318" s="17" t="n">
        <v>55000</v>
      </c>
      <c r="I318" s="14" t="n">
        <f aca="false">I317+G318-H318</f>
        <v>6989290</v>
      </c>
    </row>
    <row r="319" customFormat="false" ht="12" hidden="false" customHeight="true" outlineLevel="1" collapsed="false">
      <c r="B319" s="15" t="n">
        <v>44991</v>
      </c>
      <c r="C319" s="15" t="n">
        <f aca="false">B319</f>
        <v>44991</v>
      </c>
      <c r="D319" s="16" t="s">
        <v>335</v>
      </c>
      <c r="E319" s="16" t="s">
        <v>157</v>
      </c>
      <c r="F319" s="16" t="s">
        <v>15</v>
      </c>
      <c r="G319" s="17" t="n">
        <v>144723000</v>
      </c>
      <c r="H319" s="17"/>
      <c r="I319" s="14" t="n">
        <f aca="false">I318+G319-H319</f>
        <v>151712290</v>
      </c>
    </row>
    <row r="320" customFormat="false" ht="12" hidden="false" customHeight="true" outlineLevel="1" collapsed="false">
      <c r="B320" s="15" t="n">
        <v>44991</v>
      </c>
      <c r="C320" s="15" t="n">
        <f aca="false">B320</f>
        <v>44991</v>
      </c>
      <c r="D320" s="16" t="s">
        <v>336</v>
      </c>
      <c r="E320" s="16" t="s">
        <v>157</v>
      </c>
      <c r="F320" s="16" t="s">
        <v>15</v>
      </c>
      <c r="G320" s="17" t="n">
        <v>79438000</v>
      </c>
      <c r="H320" s="17"/>
      <c r="I320" s="14" t="n">
        <f aca="false">I319+G320-H320</f>
        <v>231150290</v>
      </c>
    </row>
    <row r="321" customFormat="false" ht="12" hidden="false" customHeight="true" outlineLevel="1" collapsed="false">
      <c r="B321" s="15" t="n">
        <v>44991</v>
      </c>
      <c r="C321" s="15" t="n">
        <f aca="false">B321</f>
        <v>44991</v>
      </c>
      <c r="D321" s="16" t="s">
        <v>337</v>
      </c>
      <c r="E321" s="16" t="s">
        <v>23</v>
      </c>
      <c r="F321" s="16" t="s">
        <v>24</v>
      </c>
      <c r="G321" s="17" t="n">
        <v>67001000</v>
      </c>
      <c r="H321" s="17"/>
      <c r="I321" s="14" t="n">
        <f aca="false">I320+G321-H321</f>
        <v>298151290</v>
      </c>
    </row>
    <row r="322" customFormat="false" ht="12" hidden="false" customHeight="true" outlineLevel="1" collapsed="false">
      <c r="B322" s="15" t="n">
        <v>44991</v>
      </c>
      <c r="C322" s="15" t="n">
        <f aca="false">B322</f>
        <v>44991</v>
      </c>
      <c r="D322" s="16" t="s">
        <v>338</v>
      </c>
      <c r="E322" s="16" t="s">
        <v>23</v>
      </c>
      <c r="F322" s="16" t="n">
        <v>3411</v>
      </c>
      <c r="G322" s="17"/>
      <c r="H322" s="17" t="n">
        <v>119660615</v>
      </c>
      <c r="I322" s="14" t="n">
        <f aca="false">I321+G322-H322</f>
        <v>178490675</v>
      </c>
    </row>
    <row r="323" customFormat="false" ht="12" hidden="false" customHeight="true" outlineLevel="1" collapsed="false">
      <c r="B323" s="15" t="n">
        <v>44991</v>
      </c>
      <c r="C323" s="15" t="n">
        <f aca="false">B323</f>
        <v>44991</v>
      </c>
      <c r="D323" s="16" t="s">
        <v>339</v>
      </c>
      <c r="E323" s="16" t="s">
        <v>23</v>
      </c>
      <c r="F323" s="16" t="s">
        <v>24</v>
      </c>
      <c r="G323" s="17"/>
      <c r="H323" s="17" t="n">
        <v>170339385</v>
      </c>
      <c r="I323" s="14" t="n">
        <f aca="false">I322+G323-H323</f>
        <v>8151290</v>
      </c>
    </row>
    <row r="324" customFormat="false" ht="12" hidden="false" customHeight="true" outlineLevel="1" collapsed="false">
      <c r="B324" s="15" t="n">
        <v>44991</v>
      </c>
      <c r="C324" s="15" t="n">
        <f aca="false">B324</f>
        <v>44991</v>
      </c>
      <c r="D324" s="16" t="s">
        <v>340</v>
      </c>
      <c r="E324" s="16" t="s">
        <v>57</v>
      </c>
      <c r="F324" s="16" t="n">
        <v>635</v>
      </c>
      <c r="G324" s="17"/>
      <c r="H324" s="17" t="n">
        <v>213783</v>
      </c>
      <c r="I324" s="14" t="n">
        <f aca="false">I323+G324-H324</f>
        <v>7937507</v>
      </c>
    </row>
    <row r="325" customFormat="false" ht="12" hidden="false" customHeight="true" outlineLevel="1" collapsed="false">
      <c r="B325" s="15" t="n">
        <v>44992</v>
      </c>
      <c r="C325" s="15" t="n">
        <f aca="false">B325</f>
        <v>44992</v>
      </c>
      <c r="D325" s="16" t="s">
        <v>341</v>
      </c>
      <c r="E325" s="16" t="s">
        <v>157</v>
      </c>
      <c r="F325" s="16" t="s">
        <v>15</v>
      </c>
      <c r="G325" s="17" t="n">
        <v>231477000</v>
      </c>
      <c r="H325" s="17"/>
      <c r="I325" s="14" t="n">
        <f aca="false">I324+G325-H325</f>
        <v>239414507</v>
      </c>
    </row>
    <row r="326" customFormat="false" ht="12" hidden="false" customHeight="true" outlineLevel="1" collapsed="false">
      <c r="B326" s="15" t="n">
        <v>44992</v>
      </c>
      <c r="C326" s="15" t="n">
        <f aca="false">B326</f>
        <v>44992</v>
      </c>
      <c r="D326" s="16" t="s">
        <v>342</v>
      </c>
      <c r="E326" s="16" t="s">
        <v>157</v>
      </c>
      <c r="F326" s="16" t="s">
        <v>15</v>
      </c>
      <c r="G326" s="17" t="n">
        <v>60465000</v>
      </c>
      <c r="H326" s="17"/>
      <c r="I326" s="14" t="n">
        <f aca="false">I325+G326-H326</f>
        <v>299879507</v>
      </c>
    </row>
    <row r="327" customFormat="false" ht="12" hidden="false" customHeight="true" outlineLevel="1" collapsed="false">
      <c r="B327" s="15" t="n">
        <v>44992</v>
      </c>
      <c r="C327" s="15" t="n">
        <f aca="false">B327</f>
        <v>44992</v>
      </c>
      <c r="D327" s="16" t="s">
        <v>343</v>
      </c>
      <c r="E327" s="16" t="s">
        <v>23</v>
      </c>
      <c r="F327" s="16" t="s">
        <v>24</v>
      </c>
      <c r="G327" s="17"/>
      <c r="H327" s="17" t="n">
        <v>290000000</v>
      </c>
      <c r="I327" s="14" t="n">
        <f aca="false">I326+G327-H327</f>
        <v>9879507</v>
      </c>
    </row>
    <row r="328" customFormat="false" ht="12" hidden="false" customHeight="true" outlineLevel="1" collapsed="false">
      <c r="B328" s="15" t="n">
        <v>44993</v>
      </c>
      <c r="C328" s="15" t="n">
        <f aca="false">B328</f>
        <v>44993</v>
      </c>
      <c r="D328" s="16" t="s">
        <v>343</v>
      </c>
      <c r="E328" s="16" t="s">
        <v>57</v>
      </c>
      <c r="F328" s="16" t="n">
        <v>635</v>
      </c>
      <c r="G328" s="17"/>
      <c r="H328" s="17" t="n">
        <v>163317</v>
      </c>
      <c r="I328" s="14" t="n">
        <f aca="false">I327+G328-H328</f>
        <v>9716190</v>
      </c>
    </row>
    <row r="329" customFormat="false" ht="12" hidden="false" customHeight="true" outlineLevel="1" collapsed="false">
      <c r="B329" s="15" t="n">
        <v>44995</v>
      </c>
      <c r="C329" s="15" t="n">
        <f aca="false">B329</f>
        <v>44995</v>
      </c>
      <c r="D329" s="16" t="s">
        <v>344</v>
      </c>
      <c r="E329" s="16" t="s">
        <v>157</v>
      </c>
      <c r="F329" s="16" t="s">
        <v>15</v>
      </c>
      <c r="G329" s="17" t="n">
        <v>212721000</v>
      </c>
      <c r="H329" s="17"/>
      <c r="I329" s="14" t="n">
        <f aca="false">I328+G329-H329</f>
        <v>222437190</v>
      </c>
    </row>
    <row r="330" customFormat="false" ht="12" hidden="false" customHeight="true" outlineLevel="1" collapsed="false">
      <c r="B330" s="15" t="n">
        <v>44995</v>
      </c>
      <c r="C330" s="15" t="n">
        <f aca="false">B330</f>
        <v>44995</v>
      </c>
      <c r="D330" s="16" t="s">
        <v>345</v>
      </c>
      <c r="E330" s="16" t="s">
        <v>157</v>
      </c>
      <c r="F330" s="16" t="s">
        <v>15</v>
      </c>
      <c r="G330" s="17" t="n">
        <v>87137000</v>
      </c>
      <c r="H330" s="17"/>
      <c r="I330" s="14" t="n">
        <f aca="false">I329+G330-H330</f>
        <v>309574190</v>
      </c>
    </row>
    <row r="331" customFormat="false" ht="12" hidden="false" customHeight="true" outlineLevel="1" collapsed="false">
      <c r="B331" s="15" t="n">
        <v>44995</v>
      </c>
      <c r="C331" s="15" t="n">
        <f aca="false">B331</f>
        <v>44995</v>
      </c>
      <c r="D331" s="16" t="s">
        <v>346</v>
      </c>
      <c r="E331" s="16" t="s">
        <v>157</v>
      </c>
      <c r="F331" s="16" t="s">
        <v>15</v>
      </c>
      <c r="G331" s="17" t="n">
        <v>62792000</v>
      </c>
      <c r="H331" s="17"/>
      <c r="I331" s="14" t="n">
        <f aca="false">I330+G331-H331</f>
        <v>372366190</v>
      </c>
    </row>
    <row r="332" customFormat="false" ht="12" hidden="false" customHeight="true" outlineLevel="1" collapsed="false">
      <c r="B332" s="15" t="n">
        <v>44995</v>
      </c>
      <c r="C332" s="15" t="n">
        <f aca="false">B332</f>
        <v>44995</v>
      </c>
      <c r="D332" s="16" t="s">
        <v>347</v>
      </c>
      <c r="E332" s="16" t="s">
        <v>23</v>
      </c>
      <c r="F332" s="16" t="s">
        <v>24</v>
      </c>
      <c r="G332" s="17"/>
      <c r="H332" s="17" t="n">
        <v>110000000</v>
      </c>
      <c r="I332" s="14" t="n">
        <f aca="false">I331+G332-H332</f>
        <v>262366190</v>
      </c>
    </row>
    <row r="333" customFormat="false" ht="12" hidden="false" customHeight="true" outlineLevel="1" collapsed="false">
      <c r="B333" s="15" t="n">
        <v>44995</v>
      </c>
      <c r="C333" s="15" t="n">
        <f aca="false">B333</f>
        <v>44995</v>
      </c>
      <c r="D333" s="16" t="s">
        <v>348</v>
      </c>
      <c r="E333" s="16" t="s">
        <v>23</v>
      </c>
      <c r="F333" s="16" t="s">
        <v>24</v>
      </c>
      <c r="G333" s="17"/>
      <c r="H333" s="17" t="n">
        <v>257919270</v>
      </c>
      <c r="I333" s="14" t="n">
        <f aca="false">I332+G333-H333</f>
        <v>4446920</v>
      </c>
    </row>
    <row r="334" customFormat="false" ht="12" hidden="false" customHeight="true" outlineLevel="1" collapsed="false">
      <c r="B334" s="15" t="n">
        <v>44998</v>
      </c>
      <c r="C334" s="15" t="n">
        <f aca="false">B334</f>
        <v>44998</v>
      </c>
      <c r="D334" s="16" t="s">
        <v>349</v>
      </c>
      <c r="E334" s="16" t="s">
        <v>157</v>
      </c>
      <c r="F334" s="16" t="s">
        <v>15</v>
      </c>
      <c r="G334" s="17" t="n">
        <v>339811000</v>
      </c>
      <c r="H334" s="17"/>
      <c r="I334" s="14" t="n">
        <f aca="false">I333+G334-H334</f>
        <v>344257920</v>
      </c>
    </row>
    <row r="335" customFormat="false" ht="12" hidden="false" customHeight="true" outlineLevel="1" collapsed="false">
      <c r="B335" s="15" t="n">
        <v>44998</v>
      </c>
      <c r="C335" s="15" t="n">
        <f aca="false">B335</f>
        <v>44998</v>
      </c>
      <c r="D335" s="16" t="s">
        <v>349</v>
      </c>
      <c r="E335" s="16" t="s">
        <v>157</v>
      </c>
      <c r="F335" s="16" t="s">
        <v>15</v>
      </c>
      <c r="G335" s="17" t="n">
        <v>112201000</v>
      </c>
      <c r="H335" s="17"/>
      <c r="I335" s="14" t="n">
        <f aca="false">I334+G335-H335</f>
        <v>456458920</v>
      </c>
    </row>
    <row r="336" customFormat="false" ht="12" hidden="false" customHeight="true" outlineLevel="1" collapsed="false">
      <c r="B336" s="15" t="n">
        <v>44998</v>
      </c>
      <c r="C336" s="15" t="n">
        <f aca="false">B336</f>
        <v>44998</v>
      </c>
      <c r="D336" s="16" t="s">
        <v>350</v>
      </c>
      <c r="E336" s="16" t="s">
        <v>157</v>
      </c>
      <c r="F336" s="16" t="s">
        <v>15</v>
      </c>
      <c r="G336" s="17" t="n">
        <v>61614000</v>
      </c>
      <c r="H336" s="17"/>
      <c r="I336" s="14" t="n">
        <f aca="false">I335+G336-H336</f>
        <v>518072920</v>
      </c>
    </row>
    <row r="337" customFormat="false" ht="12" hidden="false" customHeight="true" outlineLevel="1" collapsed="false">
      <c r="B337" s="15" t="n">
        <v>44998</v>
      </c>
      <c r="C337" s="15" t="n">
        <f aca="false">B337</f>
        <v>44998</v>
      </c>
      <c r="D337" s="16" t="s">
        <v>351</v>
      </c>
      <c r="E337" s="16" t="s">
        <v>157</v>
      </c>
      <c r="F337" s="16" t="s">
        <v>15</v>
      </c>
      <c r="G337" s="17" t="n">
        <v>305273000</v>
      </c>
      <c r="H337" s="17"/>
      <c r="I337" s="14" t="n">
        <f aca="false">I336+G337-H337</f>
        <v>823345920</v>
      </c>
    </row>
    <row r="338" customFormat="false" ht="12" hidden="false" customHeight="true" outlineLevel="1" collapsed="false">
      <c r="B338" s="15" t="n">
        <v>44998</v>
      </c>
      <c r="C338" s="15" t="n">
        <f aca="false">B338</f>
        <v>44998</v>
      </c>
      <c r="D338" s="16" t="s">
        <v>351</v>
      </c>
      <c r="E338" s="16" t="s">
        <v>157</v>
      </c>
      <c r="F338" s="16" t="s">
        <v>15</v>
      </c>
      <c r="G338" s="17" t="n">
        <v>66553000</v>
      </c>
      <c r="H338" s="17"/>
      <c r="I338" s="14" t="n">
        <f aca="false">I337+G338-H338</f>
        <v>889898920</v>
      </c>
    </row>
    <row r="339" customFormat="false" ht="12" hidden="false" customHeight="true" outlineLevel="1" collapsed="false">
      <c r="B339" s="15" t="n">
        <v>44998</v>
      </c>
      <c r="C339" s="15" t="n">
        <f aca="false">B339</f>
        <v>44998</v>
      </c>
      <c r="D339" s="16" t="s">
        <v>352</v>
      </c>
      <c r="E339" s="16" t="s">
        <v>157</v>
      </c>
      <c r="F339" s="16" t="s">
        <v>15</v>
      </c>
      <c r="G339" s="17" t="n">
        <v>83701000</v>
      </c>
      <c r="H339" s="17"/>
      <c r="I339" s="14" t="n">
        <f aca="false">I338+G339-H339</f>
        <v>973599920</v>
      </c>
    </row>
    <row r="340" customFormat="false" ht="12" hidden="false" customHeight="true" outlineLevel="1" collapsed="false">
      <c r="B340" s="15" t="n">
        <v>44998</v>
      </c>
      <c r="C340" s="15" t="n">
        <f aca="false">B340</f>
        <v>44998</v>
      </c>
      <c r="D340" s="16" t="s">
        <v>353</v>
      </c>
      <c r="E340" s="16" t="s">
        <v>23</v>
      </c>
      <c r="F340" s="16" t="s">
        <v>24</v>
      </c>
      <c r="G340" s="17"/>
      <c r="H340" s="17" t="n">
        <v>257085594</v>
      </c>
      <c r="I340" s="14" t="n">
        <f aca="false">I339+G340-H340</f>
        <v>716514326</v>
      </c>
    </row>
    <row r="341" customFormat="false" ht="12" hidden="false" customHeight="true" outlineLevel="1" collapsed="false">
      <c r="B341" s="15" t="n">
        <v>44998</v>
      </c>
      <c r="C341" s="15" t="n">
        <f aca="false">B341</f>
        <v>44998</v>
      </c>
      <c r="D341" s="16" t="s">
        <v>354</v>
      </c>
      <c r="E341" s="16" t="s">
        <v>36</v>
      </c>
      <c r="F341" s="16" t="n">
        <v>635</v>
      </c>
      <c r="G341" s="17"/>
      <c r="H341" s="17" t="n">
        <v>33611</v>
      </c>
      <c r="I341" s="14" t="n">
        <f aca="false">I340+G341-H341</f>
        <v>716480715</v>
      </c>
    </row>
    <row r="342" customFormat="false" ht="12" hidden="false" customHeight="true" outlineLevel="1" collapsed="false">
      <c r="B342" s="15" t="n">
        <v>44998</v>
      </c>
      <c r="C342" s="15" t="n">
        <f aca="false">B342</f>
        <v>44998</v>
      </c>
      <c r="D342" s="16" t="s">
        <v>355</v>
      </c>
      <c r="E342" s="16" t="s">
        <v>23</v>
      </c>
      <c r="F342" s="16" t="s">
        <v>24</v>
      </c>
      <c r="G342" s="17"/>
      <c r="H342" s="17" t="n">
        <v>358110978</v>
      </c>
      <c r="I342" s="14" t="n">
        <f aca="false">I341+G342-H342</f>
        <v>358369737</v>
      </c>
    </row>
    <row r="343" customFormat="false" ht="12" hidden="false" customHeight="true" outlineLevel="1" collapsed="false">
      <c r="B343" s="15" t="n">
        <v>44998</v>
      </c>
      <c r="C343" s="15" t="n">
        <f aca="false">B343</f>
        <v>44998</v>
      </c>
      <c r="D343" s="16" t="s">
        <v>356</v>
      </c>
      <c r="E343" s="16" t="s">
        <v>23</v>
      </c>
      <c r="F343" s="16" t="s">
        <v>24</v>
      </c>
      <c r="G343" s="17"/>
      <c r="H343" s="17" t="n">
        <v>353889022</v>
      </c>
      <c r="I343" s="14" t="n">
        <f aca="false">I342+G343-H343</f>
        <v>4480715</v>
      </c>
    </row>
    <row r="344" customFormat="false" ht="12" hidden="false" customHeight="true" outlineLevel="1" collapsed="false">
      <c r="B344" s="15" t="n">
        <v>44998</v>
      </c>
      <c r="C344" s="15" t="n">
        <f aca="false">B344</f>
        <v>44998</v>
      </c>
      <c r="D344" s="16" t="s">
        <v>357</v>
      </c>
      <c r="E344" s="16" t="s">
        <v>36</v>
      </c>
      <c r="F344" s="16" t="n">
        <v>635</v>
      </c>
      <c r="G344" s="17"/>
      <c r="H344" s="17" t="n">
        <v>2133903</v>
      </c>
      <c r="I344" s="14" t="n">
        <f aca="false">I343+G344-H344</f>
        <v>2346812</v>
      </c>
    </row>
    <row r="345" customFormat="false" ht="12" hidden="false" customHeight="true" outlineLevel="1" collapsed="false">
      <c r="B345" s="15" t="n">
        <v>44999</v>
      </c>
      <c r="C345" s="15" t="n">
        <f aca="false">B345</f>
        <v>44999</v>
      </c>
      <c r="D345" s="16" t="s">
        <v>358</v>
      </c>
      <c r="E345" s="16" t="s">
        <v>157</v>
      </c>
      <c r="F345" s="16" t="s">
        <v>15</v>
      </c>
      <c r="G345" s="17" t="n">
        <v>127184000</v>
      </c>
      <c r="H345" s="17"/>
      <c r="I345" s="14" t="n">
        <f aca="false">I344+G345-H345</f>
        <v>129530812</v>
      </c>
    </row>
    <row r="346" customFormat="false" ht="12" hidden="false" customHeight="true" outlineLevel="1" collapsed="false">
      <c r="B346" s="15" t="n">
        <v>44999</v>
      </c>
      <c r="C346" s="15" t="n">
        <f aca="false">B346</f>
        <v>44999</v>
      </c>
      <c r="D346" s="16" t="s">
        <v>359</v>
      </c>
      <c r="E346" s="16" t="s">
        <v>157</v>
      </c>
      <c r="F346" s="16" t="s">
        <v>15</v>
      </c>
      <c r="G346" s="17" t="n">
        <v>85483000</v>
      </c>
      <c r="H346" s="17"/>
      <c r="I346" s="14" t="n">
        <f aca="false">I345+G346-H346</f>
        <v>215013812</v>
      </c>
    </row>
    <row r="347" customFormat="false" ht="12" hidden="false" customHeight="true" outlineLevel="1" collapsed="false">
      <c r="B347" s="15" t="n">
        <v>44999</v>
      </c>
      <c r="C347" s="15" t="n">
        <f aca="false">B347</f>
        <v>44999</v>
      </c>
      <c r="D347" s="16" t="s">
        <v>360</v>
      </c>
      <c r="E347" s="16" t="s">
        <v>157</v>
      </c>
      <c r="F347" s="16" t="s">
        <v>15</v>
      </c>
      <c r="G347" s="17" t="n">
        <v>291403000</v>
      </c>
      <c r="H347" s="17"/>
      <c r="I347" s="14" t="n">
        <f aca="false">I346+G347-H347</f>
        <v>506416812</v>
      </c>
    </row>
    <row r="348" customFormat="false" ht="12" hidden="false" customHeight="true" outlineLevel="1" collapsed="false">
      <c r="B348" s="15" t="n">
        <v>44999</v>
      </c>
      <c r="C348" s="15" t="n">
        <f aca="false">B348</f>
        <v>44999</v>
      </c>
      <c r="D348" s="16" t="s">
        <v>361</v>
      </c>
      <c r="E348" s="16" t="s">
        <v>23</v>
      </c>
      <c r="F348" s="16" t="s">
        <v>24</v>
      </c>
      <c r="G348" s="17"/>
      <c r="H348" s="17" t="n">
        <v>504000000</v>
      </c>
      <c r="I348" s="14" t="n">
        <f aca="false">I347+G348-H348</f>
        <v>2416812</v>
      </c>
    </row>
    <row r="349" customFormat="false" ht="12" hidden="false" customHeight="true" outlineLevel="1" collapsed="false">
      <c r="B349" s="15" t="n">
        <v>44999</v>
      </c>
      <c r="C349" s="15" t="n">
        <f aca="false">B349</f>
        <v>44999</v>
      </c>
      <c r="D349" s="16" t="s">
        <v>362</v>
      </c>
      <c r="E349" s="16" t="s">
        <v>36</v>
      </c>
      <c r="F349" s="16" t="n">
        <v>635</v>
      </c>
      <c r="G349" s="17"/>
      <c r="H349" s="17" t="n">
        <v>11000</v>
      </c>
      <c r="I349" s="14" t="n">
        <f aca="false">I348+G349-H349</f>
        <v>2405812</v>
      </c>
    </row>
    <row r="350" customFormat="false" ht="12" hidden="false" customHeight="true" outlineLevel="1" collapsed="false">
      <c r="B350" s="15" t="n">
        <v>45000</v>
      </c>
      <c r="C350" s="15" t="n">
        <f aca="false">B350</f>
        <v>45000</v>
      </c>
      <c r="D350" s="16" t="s">
        <v>363</v>
      </c>
      <c r="E350" s="16" t="s">
        <v>157</v>
      </c>
      <c r="F350" s="16" t="s">
        <v>15</v>
      </c>
      <c r="G350" s="17" t="n">
        <v>277014000</v>
      </c>
      <c r="H350" s="17"/>
      <c r="I350" s="14" t="n">
        <f aca="false">I349+G350-H350</f>
        <v>279419812</v>
      </c>
    </row>
    <row r="351" customFormat="false" ht="12" hidden="false" customHeight="true" outlineLevel="1" collapsed="false">
      <c r="B351" s="15" t="n">
        <v>45000</v>
      </c>
      <c r="C351" s="15" t="n">
        <f aca="false">B351</f>
        <v>45000</v>
      </c>
      <c r="D351" s="16" t="s">
        <v>364</v>
      </c>
      <c r="E351" s="16" t="s">
        <v>157</v>
      </c>
      <c r="F351" s="16" t="s">
        <v>15</v>
      </c>
      <c r="G351" s="17" t="n">
        <v>98974000</v>
      </c>
      <c r="H351" s="17"/>
      <c r="I351" s="14" t="n">
        <f aca="false">I350+G351-H351</f>
        <v>378393812</v>
      </c>
    </row>
    <row r="352" customFormat="false" ht="12" hidden="false" customHeight="true" outlineLevel="1" collapsed="false">
      <c r="B352" s="15" t="n">
        <v>45000</v>
      </c>
      <c r="C352" s="15" t="n">
        <f aca="false">B352</f>
        <v>45000</v>
      </c>
      <c r="D352" s="16" t="s">
        <v>365</v>
      </c>
      <c r="E352" s="16" t="s">
        <v>157</v>
      </c>
      <c r="F352" s="16" t="s">
        <v>15</v>
      </c>
      <c r="G352" s="17" t="n">
        <v>90393000</v>
      </c>
      <c r="H352" s="17"/>
      <c r="I352" s="14" t="n">
        <f aca="false">I351+G352-H352</f>
        <v>468786812</v>
      </c>
    </row>
    <row r="353" customFormat="false" ht="12" hidden="false" customHeight="true" outlineLevel="1" collapsed="false">
      <c r="B353" s="15" t="n">
        <v>45000</v>
      </c>
      <c r="C353" s="15" t="n">
        <f aca="false">B353</f>
        <v>45000</v>
      </c>
      <c r="D353" s="16" t="s">
        <v>366</v>
      </c>
      <c r="E353" s="16" t="s">
        <v>367</v>
      </c>
      <c r="F353" s="16" t="s">
        <v>179</v>
      </c>
      <c r="G353" s="17"/>
      <c r="H353" s="17" t="n">
        <v>289498983</v>
      </c>
      <c r="I353" s="14" t="n">
        <f aca="false">I352+G353-H353</f>
        <v>179287829</v>
      </c>
    </row>
    <row r="354" customFormat="false" ht="12" hidden="false" customHeight="true" outlineLevel="1" collapsed="false">
      <c r="B354" s="15" t="n">
        <v>45000</v>
      </c>
      <c r="C354" s="15" t="n">
        <f aca="false">B354</f>
        <v>45000</v>
      </c>
      <c r="D354" s="16" t="s">
        <v>368</v>
      </c>
      <c r="E354" s="16" t="s">
        <v>157</v>
      </c>
      <c r="F354" s="16" t="s">
        <v>15</v>
      </c>
      <c r="G354" s="17" t="n">
        <v>10000000</v>
      </c>
      <c r="H354" s="17"/>
      <c r="I354" s="14" t="n">
        <f aca="false">I353+G354-H354</f>
        <v>189287829</v>
      </c>
    </row>
    <row r="355" customFormat="false" ht="12" hidden="false" customHeight="true" outlineLevel="1" collapsed="false">
      <c r="B355" s="15" t="n">
        <v>45000</v>
      </c>
      <c r="C355" s="15" t="n">
        <f aca="false">B355</f>
        <v>45000</v>
      </c>
      <c r="D355" s="16" t="s">
        <v>369</v>
      </c>
      <c r="E355" s="16" t="s">
        <v>367</v>
      </c>
      <c r="F355" s="16" t="s">
        <v>179</v>
      </c>
      <c r="G355" s="17"/>
      <c r="H355" s="17" t="n">
        <v>37213440</v>
      </c>
      <c r="I355" s="14" t="n">
        <f aca="false">I354+G355-H355</f>
        <v>152074389</v>
      </c>
    </row>
    <row r="356" customFormat="false" ht="12" hidden="false" customHeight="true" outlineLevel="1" collapsed="false">
      <c r="B356" s="15" t="n">
        <v>45000</v>
      </c>
      <c r="C356" s="15" t="n">
        <f aca="false">B356</f>
        <v>45000</v>
      </c>
      <c r="D356" s="16" t="s">
        <v>370</v>
      </c>
      <c r="E356" s="16" t="s">
        <v>23</v>
      </c>
      <c r="F356" s="16" t="s">
        <v>24</v>
      </c>
      <c r="G356" s="17"/>
      <c r="H356" s="17" t="n">
        <v>145000000</v>
      </c>
      <c r="I356" s="14" t="n">
        <f aca="false">I355+G356-H356</f>
        <v>7074389</v>
      </c>
    </row>
    <row r="357" customFormat="false" ht="12" hidden="false" customHeight="true" outlineLevel="1" collapsed="false">
      <c r="B357" s="15" t="n">
        <v>45001</v>
      </c>
      <c r="C357" s="15" t="n">
        <f aca="false">B357</f>
        <v>45001</v>
      </c>
      <c r="D357" s="16" t="s">
        <v>370</v>
      </c>
      <c r="E357" s="16" t="s">
        <v>157</v>
      </c>
      <c r="F357" s="16" t="s">
        <v>15</v>
      </c>
      <c r="G357" s="17" t="n">
        <v>232457000</v>
      </c>
      <c r="H357" s="17"/>
      <c r="I357" s="14" t="n">
        <f aca="false">I356+G357-H357</f>
        <v>239531389</v>
      </c>
    </row>
    <row r="358" customFormat="false" ht="12" hidden="false" customHeight="true" outlineLevel="1" collapsed="false">
      <c r="B358" s="15" t="n">
        <v>45001</v>
      </c>
      <c r="C358" s="15" t="n">
        <f aca="false">B358</f>
        <v>45001</v>
      </c>
      <c r="D358" s="16" t="s">
        <v>371</v>
      </c>
      <c r="E358" s="16" t="s">
        <v>157</v>
      </c>
      <c r="F358" s="16" t="s">
        <v>15</v>
      </c>
      <c r="G358" s="17" t="n">
        <v>109160000</v>
      </c>
      <c r="H358" s="17"/>
      <c r="I358" s="14" t="n">
        <f aca="false">I357+G358-H358</f>
        <v>348691389</v>
      </c>
    </row>
    <row r="359" customFormat="false" ht="12" hidden="false" customHeight="true" outlineLevel="1" collapsed="false">
      <c r="B359" s="15" t="n">
        <v>45001</v>
      </c>
      <c r="C359" s="15" t="n">
        <f aca="false">B359</f>
        <v>45001</v>
      </c>
      <c r="D359" s="16" t="s">
        <v>372</v>
      </c>
      <c r="E359" s="16" t="s">
        <v>157</v>
      </c>
      <c r="F359" s="16" t="s">
        <v>15</v>
      </c>
      <c r="G359" s="17" t="n">
        <v>115803000</v>
      </c>
      <c r="H359" s="17"/>
      <c r="I359" s="14" t="n">
        <f aca="false">I358+G359-H359</f>
        <v>464494389</v>
      </c>
    </row>
    <row r="360" customFormat="false" ht="12" hidden="false" customHeight="true" outlineLevel="1" collapsed="false">
      <c r="B360" s="15" t="n">
        <v>45001</v>
      </c>
      <c r="C360" s="15" t="n">
        <f aca="false">B360</f>
        <v>45001</v>
      </c>
      <c r="D360" s="16" t="s">
        <v>373</v>
      </c>
      <c r="E360" s="16" t="s">
        <v>23</v>
      </c>
      <c r="F360" s="16" t="s">
        <v>24</v>
      </c>
      <c r="G360" s="17"/>
      <c r="H360" s="17" t="n">
        <v>460000000</v>
      </c>
      <c r="I360" s="14" t="n">
        <f aca="false">I359+G360-H360</f>
        <v>4494389</v>
      </c>
    </row>
    <row r="361" customFormat="false" ht="12" hidden="false" customHeight="true" outlineLevel="1" collapsed="false">
      <c r="B361" s="15" t="n">
        <v>45002</v>
      </c>
      <c r="C361" s="15" t="n">
        <f aca="false">B361</f>
        <v>45002</v>
      </c>
      <c r="D361" s="16" t="s">
        <v>374</v>
      </c>
      <c r="E361" s="16" t="s">
        <v>157</v>
      </c>
      <c r="F361" s="16" t="s">
        <v>15</v>
      </c>
      <c r="G361" s="17" t="n">
        <v>87168000</v>
      </c>
      <c r="H361" s="17"/>
      <c r="I361" s="14" t="n">
        <f aca="false">I360+G361-H361</f>
        <v>91662389</v>
      </c>
    </row>
    <row r="362" customFormat="false" ht="12" hidden="false" customHeight="true" outlineLevel="1" collapsed="false">
      <c r="B362" s="15" t="n">
        <v>45002</v>
      </c>
      <c r="C362" s="15" t="n">
        <f aca="false">B362</f>
        <v>45002</v>
      </c>
      <c r="D362" s="16" t="s">
        <v>375</v>
      </c>
      <c r="E362" s="16" t="s">
        <v>157</v>
      </c>
      <c r="F362" s="16" t="s">
        <v>15</v>
      </c>
      <c r="G362" s="17" t="n">
        <v>60662000</v>
      </c>
      <c r="H362" s="17"/>
      <c r="I362" s="14" t="n">
        <f aca="false">I361+G362-H362</f>
        <v>152324389</v>
      </c>
    </row>
    <row r="363" customFormat="false" ht="12" hidden="false" customHeight="true" outlineLevel="1" collapsed="false">
      <c r="B363" s="15" t="n">
        <v>45002</v>
      </c>
      <c r="C363" s="15" t="n">
        <f aca="false">B363</f>
        <v>45002</v>
      </c>
      <c r="D363" s="16" t="s">
        <v>375</v>
      </c>
      <c r="E363" s="16" t="s">
        <v>157</v>
      </c>
      <c r="F363" s="16" t="s">
        <v>15</v>
      </c>
      <c r="G363" s="17" t="n">
        <v>286344000</v>
      </c>
      <c r="H363" s="17"/>
      <c r="I363" s="14" t="n">
        <f aca="false">I362+G363-H363</f>
        <v>438668389</v>
      </c>
    </row>
    <row r="364" customFormat="false" ht="12" hidden="false" customHeight="true" outlineLevel="1" collapsed="false">
      <c r="B364" s="15" t="n">
        <v>45002</v>
      </c>
      <c r="C364" s="15" t="n">
        <f aca="false">B364</f>
        <v>45002</v>
      </c>
      <c r="D364" s="16" t="s">
        <v>375</v>
      </c>
      <c r="E364" s="16" t="s">
        <v>367</v>
      </c>
      <c r="F364" s="16" t="s">
        <v>179</v>
      </c>
      <c r="G364" s="17"/>
      <c r="H364" s="17" t="n">
        <v>180087444</v>
      </c>
      <c r="I364" s="14" t="n">
        <f aca="false">I363+G364-H364</f>
        <v>258580945</v>
      </c>
    </row>
    <row r="365" customFormat="false" ht="12" hidden="false" customHeight="true" outlineLevel="1" collapsed="false">
      <c r="B365" s="15" t="n">
        <v>45002</v>
      </c>
      <c r="C365" s="15" t="n">
        <f aca="false">B365</f>
        <v>45002</v>
      </c>
      <c r="D365" s="16" t="s">
        <v>376</v>
      </c>
      <c r="E365" s="16" t="s">
        <v>23</v>
      </c>
      <c r="F365" s="16" t="s">
        <v>24</v>
      </c>
      <c r="G365" s="17"/>
      <c r="H365" s="17" t="n">
        <v>148292128</v>
      </c>
      <c r="I365" s="14" t="n">
        <f aca="false">I364+G365-H365</f>
        <v>110288817</v>
      </c>
    </row>
    <row r="366" customFormat="false" ht="12" hidden="false" customHeight="true" outlineLevel="1" collapsed="false">
      <c r="B366" s="15" t="n">
        <v>45002</v>
      </c>
      <c r="C366" s="15" t="n">
        <f aca="false">B366</f>
        <v>45002</v>
      </c>
      <c r="D366" s="16" t="s">
        <v>376</v>
      </c>
      <c r="E366" s="16" t="s">
        <v>23</v>
      </c>
      <c r="F366" s="16" t="s">
        <v>24</v>
      </c>
      <c r="G366" s="17"/>
      <c r="H366" s="17" t="n">
        <v>107707872</v>
      </c>
      <c r="I366" s="14" t="n">
        <f aca="false">I365+G366-H366</f>
        <v>2580945</v>
      </c>
    </row>
    <row r="367" customFormat="false" ht="12" hidden="false" customHeight="true" outlineLevel="1" collapsed="false">
      <c r="B367" s="15" t="n">
        <v>45005</v>
      </c>
      <c r="C367" s="15" t="n">
        <f aca="false">B367</f>
        <v>45005</v>
      </c>
      <c r="D367" s="16" t="s">
        <v>374</v>
      </c>
      <c r="E367" s="16" t="s">
        <v>157</v>
      </c>
      <c r="F367" s="16" t="s">
        <v>15</v>
      </c>
      <c r="G367" s="17" t="n">
        <v>307288000</v>
      </c>
      <c r="H367" s="17"/>
      <c r="I367" s="14" t="n">
        <f aca="false">I366+G367-H367</f>
        <v>309868945</v>
      </c>
    </row>
    <row r="368" customFormat="false" ht="12" hidden="false" customHeight="true" outlineLevel="1" collapsed="false">
      <c r="B368" s="15" t="n">
        <v>45005</v>
      </c>
      <c r="C368" s="15" t="n">
        <f aca="false">B368</f>
        <v>45005</v>
      </c>
      <c r="D368" s="16" t="s">
        <v>375</v>
      </c>
      <c r="E368" s="16" t="s">
        <v>157</v>
      </c>
      <c r="F368" s="16" t="s">
        <v>15</v>
      </c>
      <c r="G368" s="17" t="n">
        <v>92814000</v>
      </c>
      <c r="H368" s="17"/>
      <c r="I368" s="14" t="n">
        <f aca="false">I367+G368-H368</f>
        <v>402682945</v>
      </c>
    </row>
    <row r="369" customFormat="false" ht="12" hidden="false" customHeight="true" outlineLevel="1" collapsed="false">
      <c r="B369" s="15" t="n">
        <v>45005</v>
      </c>
      <c r="C369" s="15" t="n">
        <f aca="false">B369</f>
        <v>45005</v>
      </c>
      <c r="D369" s="16" t="s">
        <v>375</v>
      </c>
      <c r="E369" s="16" t="s">
        <v>157</v>
      </c>
      <c r="F369" s="16" t="s">
        <v>15</v>
      </c>
      <c r="G369" s="17" t="n">
        <v>44830000</v>
      </c>
      <c r="H369" s="17"/>
      <c r="I369" s="14" t="n">
        <f aca="false">I368+G369-H369</f>
        <v>447512945</v>
      </c>
    </row>
    <row r="370" customFormat="false" ht="12" hidden="false" customHeight="true" outlineLevel="1" collapsed="false">
      <c r="B370" s="15" t="n">
        <v>45005</v>
      </c>
      <c r="C370" s="15" t="n">
        <f aca="false">B370</f>
        <v>45005</v>
      </c>
      <c r="D370" s="16" t="s">
        <v>375</v>
      </c>
      <c r="E370" s="16" t="s">
        <v>157</v>
      </c>
      <c r="F370" s="16" t="s">
        <v>15</v>
      </c>
      <c r="G370" s="17" t="n">
        <v>103613000</v>
      </c>
      <c r="H370" s="17"/>
      <c r="I370" s="14" t="n">
        <f aca="false">I369+G370-H370</f>
        <v>551125945</v>
      </c>
    </row>
    <row r="371" customFormat="false" ht="12" hidden="false" customHeight="true" outlineLevel="1" collapsed="false">
      <c r="B371" s="15" t="n">
        <v>45005</v>
      </c>
      <c r="C371" s="15" t="n">
        <f aca="false">B371</f>
        <v>45005</v>
      </c>
      <c r="D371" s="16" t="s">
        <v>375</v>
      </c>
      <c r="E371" s="16" t="s">
        <v>157</v>
      </c>
      <c r="F371" s="16" t="s">
        <v>15</v>
      </c>
      <c r="G371" s="17" t="n">
        <v>77767000</v>
      </c>
      <c r="H371" s="17"/>
      <c r="I371" s="14" t="n">
        <f aca="false">I370+G371-H371</f>
        <v>628892945</v>
      </c>
    </row>
    <row r="372" customFormat="false" ht="12" hidden="false" customHeight="true" outlineLevel="1" collapsed="false">
      <c r="B372" s="15" t="n">
        <v>45005</v>
      </c>
      <c r="C372" s="15" t="n">
        <f aca="false">B372</f>
        <v>45005</v>
      </c>
      <c r="D372" s="16" t="s">
        <v>376</v>
      </c>
      <c r="E372" s="16" t="s">
        <v>367</v>
      </c>
      <c r="F372" s="16" t="s">
        <v>179</v>
      </c>
      <c r="G372" s="17"/>
      <c r="H372" s="17" t="n">
        <v>236935218</v>
      </c>
      <c r="I372" s="14" t="n">
        <f aca="false">I371+G372-H372</f>
        <v>391957727</v>
      </c>
    </row>
    <row r="373" customFormat="false" ht="12" hidden="false" customHeight="true" outlineLevel="1" collapsed="false">
      <c r="B373" s="15" t="n">
        <v>45005</v>
      </c>
      <c r="C373" s="15" t="n">
        <f aca="false">B373</f>
        <v>45005</v>
      </c>
      <c r="D373" s="16" t="s">
        <v>376</v>
      </c>
      <c r="E373" s="16" t="s">
        <v>367</v>
      </c>
      <c r="F373" s="16" t="s">
        <v>179</v>
      </c>
      <c r="G373" s="17"/>
      <c r="H373" s="17" t="n">
        <v>200472753</v>
      </c>
      <c r="I373" s="14" t="n">
        <f aca="false">I372+G373-H373</f>
        <v>191484974</v>
      </c>
    </row>
    <row r="374" customFormat="false" ht="12" hidden="false" customHeight="true" outlineLevel="1" collapsed="false">
      <c r="B374" s="15" t="n">
        <v>45005</v>
      </c>
      <c r="C374" s="15" t="n">
        <f aca="false">B374</f>
        <v>45005</v>
      </c>
      <c r="D374" s="16" t="s">
        <v>376</v>
      </c>
      <c r="E374" s="16" t="s">
        <v>36</v>
      </c>
      <c r="F374" s="16" t="n">
        <v>635</v>
      </c>
      <c r="G374" s="17"/>
      <c r="H374" s="17" t="n">
        <v>144297</v>
      </c>
      <c r="I374" s="14" t="n">
        <f aca="false">I373+G374-H374</f>
        <v>191340677</v>
      </c>
    </row>
    <row r="375" customFormat="false" ht="12" hidden="false" customHeight="true" outlineLevel="1" collapsed="false">
      <c r="B375" s="15" t="n">
        <v>45005</v>
      </c>
      <c r="C375" s="15" t="n">
        <f aca="false">B375</f>
        <v>45005</v>
      </c>
      <c r="D375" s="16" t="s">
        <v>376</v>
      </c>
      <c r="E375" s="16" t="s">
        <v>36</v>
      </c>
      <c r="F375" s="16" t="n">
        <v>635</v>
      </c>
      <c r="G375" s="17"/>
      <c r="H375" s="17" t="n">
        <v>5550401</v>
      </c>
      <c r="I375" s="14" t="n">
        <f aca="false">I374+G375-H375</f>
        <v>185790276</v>
      </c>
    </row>
    <row r="376" customFormat="false" ht="12" hidden="false" customHeight="true" outlineLevel="1" collapsed="false">
      <c r="B376" s="15" t="n">
        <v>45005</v>
      </c>
      <c r="C376" s="15" t="n">
        <f aca="false">B376</f>
        <v>45005</v>
      </c>
      <c r="D376" s="16" t="s">
        <v>376</v>
      </c>
      <c r="E376" s="16" t="s">
        <v>23</v>
      </c>
      <c r="F376" s="16" t="s">
        <v>24</v>
      </c>
      <c r="G376" s="17"/>
      <c r="H376" s="17" t="n">
        <v>180000000</v>
      </c>
      <c r="I376" s="14" t="n">
        <f aca="false">I375+G376-H376</f>
        <v>5790276</v>
      </c>
    </row>
    <row r="377" customFormat="false" ht="12" hidden="false" customHeight="true" outlineLevel="1" collapsed="false">
      <c r="B377" s="15" t="n">
        <v>45006</v>
      </c>
      <c r="C377" s="15" t="n">
        <f aca="false">B377</f>
        <v>45006</v>
      </c>
      <c r="D377" s="16" t="s">
        <v>375</v>
      </c>
      <c r="E377" s="16" t="s">
        <v>157</v>
      </c>
      <c r="F377" s="16" t="s">
        <v>15</v>
      </c>
      <c r="G377" s="17" t="n">
        <v>10000000</v>
      </c>
      <c r="H377" s="17"/>
      <c r="I377" s="14" t="n">
        <f aca="false">I376+G377-H377</f>
        <v>15790276</v>
      </c>
    </row>
    <row r="378" customFormat="false" ht="12" hidden="false" customHeight="true" outlineLevel="1" collapsed="false">
      <c r="B378" s="15" t="n">
        <v>45006</v>
      </c>
      <c r="C378" s="15" t="n">
        <f aca="false">B378</f>
        <v>45006</v>
      </c>
      <c r="D378" s="16" t="s">
        <v>375</v>
      </c>
      <c r="E378" s="16" t="s">
        <v>157</v>
      </c>
      <c r="F378" s="16" t="s">
        <v>15</v>
      </c>
      <c r="G378" s="17" t="n">
        <v>195020000</v>
      </c>
      <c r="H378" s="17"/>
      <c r="I378" s="14" t="n">
        <f aca="false">I377+G378-H378</f>
        <v>210810276</v>
      </c>
    </row>
    <row r="379" customFormat="false" ht="12" hidden="false" customHeight="true" outlineLevel="1" collapsed="false">
      <c r="B379" s="15" t="n">
        <v>45006</v>
      </c>
      <c r="C379" s="15" t="n">
        <f aca="false">B379</f>
        <v>45006</v>
      </c>
      <c r="D379" s="16" t="s">
        <v>375</v>
      </c>
      <c r="E379" s="16" t="s">
        <v>157</v>
      </c>
      <c r="F379" s="16" t="s">
        <v>15</v>
      </c>
      <c r="G379" s="17" t="n">
        <v>75082000</v>
      </c>
      <c r="H379" s="17"/>
      <c r="I379" s="14" t="n">
        <f aca="false">I378+G379-H379</f>
        <v>285892276</v>
      </c>
    </row>
    <row r="380" customFormat="false" ht="12" hidden="false" customHeight="true" outlineLevel="1" collapsed="false">
      <c r="B380" s="15" t="n">
        <v>45006</v>
      </c>
      <c r="C380" s="15" t="n">
        <f aca="false">B380</f>
        <v>45006</v>
      </c>
      <c r="D380" s="16" t="s">
        <v>375</v>
      </c>
      <c r="E380" s="16" t="s">
        <v>157</v>
      </c>
      <c r="F380" s="16" t="s">
        <v>15</v>
      </c>
      <c r="G380" s="17" t="n">
        <v>47486000</v>
      </c>
      <c r="H380" s="17"/>
      <c r="I380" s="14" t="n">
        <f aca="false">I379+G380-H380</f>
        <v>333378276</v>
      </c>
    </row>
    <row r="381" customFormat="false" ht="12" hidden="false" customHeight="true" outlineLevel="1" collapsed="false">
      <c r="B381" s="15" t="n">
        <v>45006</v>
      </c>
      <c r="C381" s="15" t="n">
        <f aca="false">B381</f>
        <v>45006</v>
      </c>
      <c r="D381" s="16" t="s">
        <v>376</v>
      </c>
      <c r="E381" s="16" t="s">
        <v>36</v>
      </c>
      <c r="F381" s="16" t="n">
        <v>635</v>
      </c>
      <c r="G381" s="17"/>
      <c r="H381" s="17" t="n">
        <v>11000</v>
      </c>
      <c r="I381" s="14" t="n">
        <f aca="false">I380+G381-H381</f>
        <v>333367276</v>
      </c>
    </row>
    <row r="382" customFormat="false" ht="12" hidden="false" customHeight="true" outlineLevel="1" collapsed="false">
      <c r="B382" s="15" t="n">
        <v>45006</v>
      </c>
      <c r="C382" s="15" t="n">
        <f aca="false">B382</f>
        <v>45006</v>
      </c>
      <c r="D382" s="16" t="s">
        <v>376</v>
      </c>
      <c r="E382" s="16" t="s">
        <v>367</v>
      </c>
      <c r="F382" s="16" t="s">
        <v>179</v>
      </c>
      <c r="G382" s="17"/>
      <c r="H382" s="17" t="n">
        <v>332732410</v>
      </c>
      <c r="I382" s="14" t="n">
        <f aca="false">I381+G382-H382</f>
        <v>634866</v>
      </c>
    </row>
    <row r="383" customFormat="false" ht="12" hidden="false" customHeight="true" outlineLevel="1" collapsed="false">
      <c r="B383" s="15" t="n">
        <v>45007</v>
      </c>
      <c r="C383" s="15" t="n">
        <f aca="false">B383</f>
        <v>45007</v>
      </c>
      <c r="D383" s="16" t="s">
        <v>375</v>
      </c>
      <c r="E383" s="16" t="s">
        <v>157</v>
      </c>
      <c r="F383" s="16" t="s">
        <v>15</v>
      </c>
      <c r="G383" s="17" t="n">
        <v>81331000</v>
      </c>
      <c r="H383" s="17"/>
      <c r="I383" s="14" t="n">
        <f aca="false">I382+G383-H383</f>
        <v>81965866</v>
      </c>
    </row>
    <row r="384" customFormat="false" ht="12" hidden="false" customHeight="true" outlineLevel="1" collapsed="false">
      <c r="B384" s="15" t="n">
        <v>45007</v>
      </c>
      <c r="C384" s="15" t="n">
        <f aca="false">B384</f>
        <v>45007</v>
      </c>
      <c r="D384" s="16" t="s">
        <v>375</v>
      </c>
      <c r="E384" s="16" t="s">
        <v>157</v>
      </c>
      <c r="F384" s="16" t="s">
        <v>15</v>
      </c>
      <c r="G384" s="17" t="n">
        <v>103637000</v>
      </c>
      <c r="H384" s="17"/>
      <c r="I384" s="14" t="n">
        <f aca="false">I383+G384-H384</f>
        <v>185602866</v>
      </c>
    </row>
    <row r="385" customFormat="false" ht="12" hidden="false" customHeight="true" outlineLevel="1" collapsed="false">
      <c r="B385" s="15" t="n">
        <v>45007</v>
      </c>
      <c r="C385" s="15" t="n">
        <f aca="false">B385</f>
        <v>45007</v>
      </c>
      <c r="D385" s="16" t="s">
        <v>376</v>
      </c>
      <c r="E385" s="16" t="s">
        <v>36</v>
      </c>
      <c r="F385" s="16" t="n">
        <v>635</v>
      </c>
      <c r="G385" s="17"/>
      <c r="H385" s="17" t="n">
        <v>76976</v>
      </c>
      <c r="I385" s="14" t="n">
        <f aca="false">I384+G385-H385</f>
        <v>185525890</v>
      </c>
    </row>
    <row r="386" customFormat="false" ht="12" hidden="false" customHeight="true" outlineLevel="1" collapsed="false">
      <c r="B386" s="15" t="n">
        <v>45007</v>
      </c>
      <c r="C386" s="15" t="n">
        <f aca="false">B386</f>
        <v>45007</v>
      </c>
      <c r="D386" s="16" t="s">
        <v>376</v>
      </c>
      <c r="E386" s="16" t="s">
        <v>23</v>
      </c>
      <c r="F386" s="16" t="s">
        <v>24</v>
      </c>
      <c r="G386" s="17"/>
      <c r="H386" s="17" t="n">
        <v>180000000</v>
      </c>
      <c r="I386" s="14" t="n">
        <f aca="false">I385+G386-H386</f>
        <v>5525890</v>
      </c>
    </row>
    <row r="387" customFormat="false" ht="12" hidden="false" customHeight="true" outlineLevel="1" collapsed="false">
      <c r="B387" s="15" t="n">
        <v>45008</v>
      </c>
      <c r="C387" s="15" t="n">
        <f aca="false">B387</f>
        <v>45008</v>
      </c>
      <c r="D387" s="16" t="s">
        <v>375</v>
      </c>
      <c r="E387" s="16" t="s">
        <v>157</v>
      </c>
      <c r="F387" s="16" t="s">
        <v>15</v>
      </c>
      <c r="G387" s="17" t="n">
        <v>126660000</v>
      </c>
      <c r="H387" s="17"/>
      <c r="I387" s="14" t="n">
        <f aca="false">I386+G387-H387</f>
        <v>132185890</v>
      </c>
    </row>
    <row r="388" customFormat="false" ht="12" hidden="false" customHeight="true" outlineLevel="1" collapsed="false">
      <c r="B388" s="15" t="n">
        <v>45008</v>
      </c>
      <c r="C388" s="15" t="n">
        <f aca="false">B388</f>
        <v>45008</v>
      </c>
      <c r="D388" s="16" t="s">
        <v>375</v>
      </c>
      <c r="E388" s="16" t="s">
        <v>157</v>
      </c>
      <c r="F388" s="16" t="s">
        <v>15</v>
      </c>
      <c r="G388" s="17" t="n">
        <v>89049000</v>
      </c>
      <c r="H388" s="17"/>
      <c r="I388" s="14" t="n">
        <f aca="false">I387+G388-H388</f>
        <v>221234890</v>
      </c>
    </row>
    <row r="389" customFormat="false" ht="12" hidden="false" customHeight="true" outlineLevel="1" collapsed="false">
      <c r="B389" s="15" t="n">
        <v>45008</v>
      </c>
      <c r="C389" s="15" t="n">
        <f aca="false">B389</f>
        <v>45008</v>
      </c>
      <c r="D389" s="16" t="s">
        <v>375</v>
      </c>
      <c r="E389" s="16" t="s">
        <v>157</v>
      </c>
      <c r="F389" s="16" t="s">
        <v>15</v>
      </c>
      <c r="G389" s="17" t="n">
        <v>170680000</v>
      </c>
      <c r="H389" s="17"/>
      <c r="I389" s="14" t="n">
        <f aca="false">I388+G389-H389</f>
        <v>391914890</v>
      </c>
    </row>
    <row r="390" customFormat="false" ht="12" hidden="false" customHeight="true" outlineLevel="1" collapsed="false">
      <c r="B390" s="15" t="n">
        <v>45008</v>
      </c>
      <c r="C390" s="15" t="n">
        <f aca="false">B390</f>
        <v>45008</v>
      </c>
      <c r="D390" s="16" t="s">
        <v>376</v>
      </c>
      <c r="E390" s="16" t="s">
        <v>23</v>
      </c>
      <c r="F390" s="16" t="s">
        <v>24</v>
      </c>
      <c r="G390" s="17"/>
      <c r="H390" s="17" t="n">
        <v>222543470</v>
      </c>
      <c r="I390" s="14" t="n">
        <f aca="false">I389+G390-H390</f>
        <v>169371420</v>
      </c>
    </row>
    <row r="391" customFormat="false" ht="12" hidden="false" customHeight="true" outlineLevel="1" collapsed="false">
      <c r="B391" s="15" t="n">
        <v>45008</v>
      </c>
      <c r="C391" s="15" t="n">
        <f aca="false">B391</f>
        <v>45008</v>
      </c>
      <c r="D391" s="16" t="s">
        <v>376</v>
      </c>
      <c r="E391" s="16" t="s">
        <v>23</v>
      </c>
      <c r="F391" s="16" t="s">
        <v>24</v>
      </c>
      <c r="G391" s="17"/>
      <c r="H391" s="17" t="n">
        <v>162456530</v>
      </c>
      <c r="I391" s="14" t="n">
        <f aca="false">I390+G391-H391</f>
        <v>6914890</v>
      </c>
    </row>
    <row r="392" customFormat="false" ht="12" hidden="false" customHeight="true" outlineLevel="1" collapsed="false">
      <c r="B392" s="15" t="n">
        <v>45008</v>
      </c>
      <c r="C392" s="15" t="n">
        <f aca="false">B392</f>
        <v>45008</v>
      </c>
      <c r="D392" s="16" t="s">
        <v>376</v>
      </c>
      <c r="E392" s="16" t="s">
        <v>36</v>
      </c>
      <c r="F392" s="16" t="n">
        <v>635</v>
      </c>
      <c r="G392" s="17"/>
      <c r="H392" s="17" t="n">
        <v>3331460</v>
      </c>
      <c r="I392" s="14" t="n">
        <f aca="false">I391+G392-H392</f>
        <v>3583430</v>
      </c>
    </row>
    <row r="393" customFormat="false" ht="12" hidden="false" customHeight="true" outlineLevel="1" collapsed="false">
      <c r="B393" s="15" t="n">
        <v>45009</v>
      </c>
      <c r="C393" s="15" t="n">
        <f aca="false">B393</f>
        <v>45009</v>
      </c>
      <c r="D393" s="16" t="s">
        <v>375</v>
      </c>
      <c r="E393" s="16" t="s">
        <v>157</v>
      </c>
      <c r="F393" s="16" t="s">
        <v>15</v>
      </c>
      <c r="G393" s="17" t="n">
        <v>146412000</v>
      </c>
      <c r="H393" s="17"/>
      <c r="I393" s="14" t="n">
        <f aca="false">I392+G393-H393</f>
        <v>149995430</v>
      </c>
    </row>
    <row r="394" customFormat="false" ht="12" hidden="false" customHeight="true" outlineLevel="1" collapsed="false">
      <c r="B394" s="15" t="n">
        <v>45009</v>
      </c>
      <c r="C394" s="15" t="n">
        <f aca="false">B394</f>
        <v>45009</v>
      </c>
      <c r="D394" s="16" t="s">
        <v>375</v>
      </c>
      <c r="E394" s="16" t="s">
        <v>157</v>
      </c>
      <c r="F394" s="16" t="s">
        <v>15</v>
      </c>
      <c r="G394" s="17" t="n">
        <v>74293000</v>
      </c>
      <c r="H394" s="17"/>
      <c r="I394" s="14" t="n">
        <f aca="false">I393+G394-H394</f>
        <v>224288430</v>
      </c>
    </row>
    <row r="395" customFormat="false" ht="12" hidden="false" customHeight="true" outlineLevel="1" collapsed="false">
      <c r="B395" s="15" t="n">
        <v>45009</v>
      </c>
      <c r="C395" s="15" t="n">
        <f aca="false">B395</f>
        <v>45009</v>
      </c>
      <c r="D395" s="16" t="s">
        <v>376</v>
      </c>
      <c r="E395" s="16" t="s">
        <v>36</v>
      </c>
      <c r="F395" s="16" t="n">
        <v>635</v>
      </c>
      <c r="G395" s="17"/>
      <c r="H395" s="17" t="n">
        <v>55057</v>
      </c>
      <c r="I395" s="14" t="n">
        <f aca="false">I394+G395-H395</f>
        <v>224233373</v>
      </c>
    </row>
    <row r="396" customFormat="false" ht="12" hidden="false" customHeight="true" outlineLevel="1" collapsed="false">
      <c r="B396" s="15" t="n">
        <v>45009</v>
      </c>
      <c r="C396" s="15" t="n">
        <f aca="false">B396</f>
        <v>45009</v>
      </c>
      <c r="D396" s="16" t="s">
        <v>376</v>
      </c>
      <c r="E396" s="16" t="s">
        <v>367</v>
      </c>
      <c r="F396" s="16" t="s">
        <v>179</v>
      </c>
      <c r="G396" s="17"/>
      <c r="H396" s="17" t="n">
        <v>200319726</v>
      </c>
      <c r="I396" s="14" t="n">
        <f aca="false">I395+G396-H396</f>
        <v>23913647</v>
      </c>
    </row>
    <row r="397" customFormat="false" ht="12" hidden="false" customHeight="true" outlineLevel="1" collapsed="false">
      <c r="B397" s="15" t="n">
        <v>45010</v>
      </c>
      <c r="C397" s="15" t="n">
        <f aca="false">B397</f>
        <v>45010</v>
      </c>
      <c r="D397" s="16" t="s">
        <v>375</v>
      </c>
      <c r="E397" s="16" t="s">
        <v>157</v>
      </c>
      <c r="F397" s="16" t="s">
        <v>15</v>
      </c>
      <c r="G397" s="17" t="n">
        <v>743</v>
      </c>
      <c r="H397" s="17"/>
      <c r="I397" s="14" t="n">
        <f aca="false">I396+G397-H397</f>
        <v>23914390</v>
      </c>
    </row>
    <row r="398" customFormat="false" ht="12" hidden="false" customHeight="true" outlineLevel="1" collapsed="false">
      <c r="B398" s="15" t="n">
        <v>45012</v>
      </c>
      <c r="C398" s="15" t="n">
        <f aca="false">B398</f>
        <v>45012</v>
      </c>
      <c r="D398" s="16" t="s">
        <v>375</v>
      </c>
      <c r="E398" s="16" t="s">
        <v>157</v>
      </c>
      <c r="F398" s="16" t="s">
        <v>15</v>
      </c>
      <c r="G398" s="17" t="n">
        <v>150225000</v>
      </c>
      <c r="H398" s="17"/>
      <c r="I398" s="14" t="n">
        <f aca="false">I397+G398-H398</f>
        <v>174139390</v>
      </c>
    </row>
    <row r="399" customFormat="false" ht="12" hidden="false" customHeight="true" outlineLevel="1" collapsed="false">
      <c r="B399" s="15" t="n">
        <v>45012</v>
      </c>
      <c r="C399" s="15" t="n">
        <f aca="false">B399</f>
        <v>45012</v>
      </c>
      <c r="D399" s="16" t="s">
        <v>375</v>
      </c>
      <c r="E399" s="16" t="s">
        <v>157</v>
      </c>
      <c r="F399" s="16" t="s">
        <v>15</v>
      </c>
      <c r="G399" s="17" t="n">
        <v>77153000</v>
      </c>
      <c r="H399" s="17"/>
      <c r="I399" s="14" t="n">
        <f aca="false">I398+G399-H399</f>
        <v>251292390</v>
      </c>
    </row>
    <row r="400" customFormat="false" ht="12" hidden="false" customHeight="true" outlineLevel="1" collapsed="false">
      <c r="B400" s="15" t="n">
        <v>45012</v>
      </c>
      <c r="C400" s="15" t="n">
        <f aca="false">B400</f>
        <v>45012</v>
      </c>
      <c r="D400" s="16" t="s">
        <v>375</v>
      </c>
      <c r="E400" s="16" t="s">
        <v>157</v>
      </c>
      <c r="F400" s="16" t="s">
        <v>15</v>
      </c>
      <c r="G400" s="17" t="n">
        <v>88459000</v>
      </c>
      <c r="H400" s="17"/>
      <c r="I400" s="14" t="n">
        <f aca="false">I399+G400-H400</f>
        <v>339751390</v>
      </c>
    </row>
    <row r="401" customFormat="false" ht="12" hidden="false" customHeight="true" outlineLevel="1" collapsed="false">
      <c r="B401" s="15" t="n">
        <v>45012</v>
      </c>
      <c r="C401" s="15" t="n">
        <f aca="false">B401</f>
        <v>45012</v>
      </c>
      <c r="D401" s="16" t="s">
        <v>376</v>
      </c>
      <c r="E401" s="16" t="s">
        <v>23</v>
      </c>
      <c r="F401" s="16" t="s">
        <v>24</v>
      </c>
      <c r="G401" s="17"/>
      <c r="H401" s="17" t="n">
        <v>330000000</v>
      </c>
      <c r="I401" s="14" t="n">
        <f aca="false">I400+G401-H401</f>
        <v>9751390</v>
      </c>
    </row>
    <row r="402" customFormat="false" ht="12" hidden="false" customHeight="true" outlineLevel="1" collapsed="false">
      <c r="B402" s="15" t="n">
        <v>45012</v>
      </c>
      <c r="C402" s="15" t="n">
        <f aca="false">B402</f>
        <v>45012</v>
      </c>
      <c r="D402" s="16" t="s">
        <v>376</v>
      </c>
      <c r="E402" s="16" t="s">
        <v>36</v>
      </c>
      <c r="F402" s="16" t="n">
        <v>635</v>
      </c>
      <c r="G402" s="17"/>
      <c r="H402" s="17" t="n">
        <v>104500</v>
      </c>
      <c r="I402" s="14" t="n">
        <f aca="false">I401+G402-H402</f>
        <v>9646890</v>
      </c>
    </row>
    <row r="403" customFormat="false" ht="12" hidden="false" customHeight="true" outlineLevel="1" collapsed="false">
      <c r="B403" s="15" t="n">
        <v>45012</v>
      </c>
      <c r="C403" s="15" t="n">
        <f aca="false">B403</f>
        <v>45012</v>
      </c>
      <c r="D403" s="16" t="s">
        <v>376</v>
      </c>
      <c r="E403" s="16" t="s">
        <v>57</v>
      </c>
      <c r="F403" s="16" t="n">
        <v>635</v>
      </c>
      <c r="G403" s="17"/>
      <c r="H403" s="17" t="n">
        <v>3434894</v>
      </c>
      <c r="I403" s="14" t="n">
        <f aca="false">I402+G403-H403</f>
        <v>6211996</v>
      </c>
    </row>
    <row r="404" customFormat="false" ht="12" hidden="false" customHeight="true" outlineLevel="1" collapsed="false">
      <c r="B404" s="15" t="n">
        <v>45012</v>
      </c>
      <c r="C404" s="15" t="n">
        <f aca="false">B404</f>
        <v>45012</v>
      </c>
      <c r="D404" s="16" t="s">
        <v>376</v>
      </c>
      <c r="E404" s="16" t="s">
        <v>57</v>
      </c>
      <c r="F404" s="16" t="n">
        <v>635</v>
      </c>
      <c r="G404" s="17"/>
      <c r="H404" s="17" t="n">
        <v>2525145</v>
      </c>
      <c r="I404" s="14" t="n">
        <f aca="false">I403+G404-H404</f>
        <v>3686851</v>
      </c>
    </row>
    <row r="405" customFormat="false" ht="12" hidden="false" customHeight="true" outlineLevel="1" collapsed="false">
      <c r="B405" s="15" t="n">
        <v>45012</v>
      </c>
      <c r="C405" s="15" t="n">
        <f aca="false">B405</f>
        <v>45012</v>
      </c>
      <c r="D405" s="16" t="s">
        <v>376</v>
      </c>
      <c r="E405" s="16" t="s">
        <v>57</v>
      </c>
      <c r="F405" s="16" t="n">
        <v>635</v>
      </c>
      <c r="G405" s="17"/>
      <c r="H405" s="17" t="n">
        <v>105964</v>
      </c>
      <c r="I405" s="14" t="n">
        <f aca="false">I404+G405-H405</f>
        <v>3580887</v>
      </c>
    </row>
    <row r="406" customFormat="false" ht="12" hidden="false" customHeight="true" outlineLevel="1" collapsed="false">
      <c r="B406" s="15" t="n">
        <v>45012</v>
      </c>
      <c r="C406" s="15" t="n">
        <f aca="false">B406</f>
        <v>45012</v>
      </c>
      <c r="D406" s="16" t="s">
        <v>376</v>
      </c>
      <c r="E406" s="16" t="s">
        <v>57</v>
      </c>
      <c r="F406" s="16" t="n">
        <v>635</v>
      </c>
      <c r="G406" s="17"/>
      <c r="H406" s="17" t="n">
        <v>2629231</v>
      </c>
      <c r="I406" s="14" t="n">
        <f aca="false">I405+G406-H406</f>
        <v>951656</v>
      </c>
    </row>
    <row r="407" customFormat="false" ht="12" hidden="false" customHeight="true" outlineLevel="1" collapsed="false">
      <c r="B407" s="15" t="n">
        <v>45012</v>
      </c>
      <c r="C407" s="15" t="n">
        <f aca="false">B407</f>
        <v>45012</v>
      </c>
      <c r="D407" s="16" t="s">
        <v>376</v>
      </c>
      <c r="E407" s="16" t="s">
        <v>57</v>
      </c>
      <c r="F407" s="16" t="n">
        <v>635</v>
      </c>
      <c r="G407" s="17"/>
      <c r="H407" s="17" t="n">
        <v>951656</v>
      </c>
      <c r="I407" s="14" t="n">
        <f aca="false">I406+G407-H407</f>
        <v>0</v>
      </c>
    </row>
    <row r="408" customFormat="false" ht="12" hidden="false" customHeight="true" outlineLevel="1" collapsed="false">
      <c r="B408" s="15" t="n">
        <v>45013</v>
      </c>
      <c r="C408" s="15" t="n">
        <f aca="false">B408</f>
        <v>45013</v>
      </c>
      <c r="D408" s="16" t="s">
        <v>375</v>
      </c>
      <c r="E408" s="16" t="s">
        <v>157</v>
      </c>
      <c r="F408" s="16" t="s">
        <v>15</v>
      </c>
      <c r="G408" s="17" t="n">
        <v>96547000</v>
      </c>
      <c r="H408" s="17"/>
      <c r="I408" s="14" t="n">
        <f aca="false">I407+G408-H408</f>
        <v>96547000</v>
      </c>
    </row>
    <row r="409" customFormat="false" ht="12" hidden="false" customHeight="true" outlineLevel="1" collapsed="false">
      <c r="B409" s="15" t="n">
        <v>45013</v>
      </c>
      <c r="C409" s="15" t="n">
        <f aca="false">B409</f>
        <v>45013</v>
      </c>
      <c r="D409" s="16" t="s">
        <v>375</v>
      </c>
      <c r="E409" s="16" t="s">
        <v>157</v>
      </c>
      <c r="F409" s="16" t="s">
        <v>15</v>
      </c>
      <c r="G409" s="17" t="n">
        <v>42969000</v>
      </c>
      <c r="H409" s="17"/>
      <c r="I409" s="14" t="n">
        <f aca="false">I408+G409-H409</f>
        <v>139516000</v>
      </c>
    </row>
    <row r="410" customFormat="false" ht="12" hidden="false" customHeight="true" outlineLevel="1" collapsed="false">
      <c r="B410" s="15" t="n">
        <v>45013</v>
      </c>
      <c r="C410" s="15" t="n">
        <f aca="false">B410</f>
        <v>45013</v>
      </c>
      <c r="D410" s="16" t="s">
        <v>375</v>
      </c>
      <c r="E410" s="16" t="s">
        <v>157</v>
      </c>
      <c r="F410" s="16" t="s">
        <v>15</v>
      </c>
      <c r="G410" s="17" t="n">
        <v>203767000</v>
      </c>
      <c r="H410" s="17"/>
      <c r="I410" s="14" t="n">
        <f aca="false">I409+G410-H410</f>
        <v>343283000</v>
      </c>
    </row>
    <row r="411" customFormat="false" ht="12" hidden="false" customHeight="true" outlineLevel="1" collapsed="false">
      <c r="B411" s="15" t="n">
        <v>45013</v>
      </c>
      <c r="C411" s="15" t="n">
        <f aca="false">B411</f>
        <v>45013</v>
      </c>
      <c r="D411" s="16" t="s">
        <v>376</v>
      </c>
      <c r="E411" s="16" t="s">
        <v>23</v>
      </c>
      <c r="F411" s="16" t="s">
        <v>24</v>
      </c>
      <c r="G411" s="17"/>
      <c r="H411" s="17" t="n">
        <v>119427236</v>
      </c>
      <c r="I411" s="14" t="n">
        <f aca="false">I410+G411-H411</f>
        <v>223855764</v>
      </c>
    </row>
    <row r="412" customFormat="false" ht="12" hidden="false" customHeight="true" outlineLevel="1" collapsed="false">
      <c r="B412" s="15" t="n">
        <v>45013</v>
      </c>
      <c r="C412" s="15" t="n">
        <f aca="false">B412</f>
        <v>45013</v>
      </c>
      <c r="D412" s="16" t="s">
        <v>376</v>
      </c>
      <c r="E412" s="16" t="s">
        <v>23</v>
      </c>
      <c r="F412" s="16" t="s">
        <v>24</v>
      </c>
      <c r="G412" s="17"/>
      <c r="H412" s="17" t="n">
        <v>70572764</v>
      </c>
      <c r="I412" s="14" t="n">
        <f aca="false">I411+G412-H412</f>
        <v>153283000</v>
      </c>
    </row>
    <row r="413" customFormat="false" ht="12" hidden="false" customHeight="true" outlineLevel="1" collapsed="false">
      <c r="B413" s="15" t="n">
        <v>45013</v>
      </c>
      <c r="C413" s="15" t="n">
        <f aca="false">B413</f>
        <v>45013</v>
      </c>
      <c r="D413" s="16" t="s">
        <v>376</v>
      </c>
      <c r="E413" s="16" t="s">
        <v>57</v>
      </c>
      <c r="F413" s="16" t="n">
        <v>635</v>
      </c>
      <c r="G413" s="17"/>
      <c r="H413" s="17" t="n">
        <v>3638871</v>
      </c>
      <c r="I413" s="14" t="n">
        <f aca="false">I412+G413-H413</f>
        <v>149644129</v>
      </c>
    </row>
    <row r="414" customFormat="false" ht="12" hidden="false" customHeight="true" outlineLevel="1" collapsed="false">
      <c r="B414" s="15" t="n">
        <v>45013</v>
      </c>
      <c r="C414" s="15" t="n">
        <f aca="false">B414</f>
        <v>45013</v>
      </c>
      <c r="D414" s="16" t="s">
        <v>376</v>
      </c>
      <c r="E414" s="16" t="s">
        <v>57</v>
      </c>
      <c r="F414" s="16" t="n">
        <v>635</v>
      </c>
      <c r="G414" s="17"/>
      <c r="H414" s="17" t="n">
        <v>3499055</v>
      </c>
      <c r="I414" s="14" t="n">
        <f aca="false">I413+G414-H414</f>
        <v>146145074</v>
      </c>
    </row>
    <row r="415" customFormat="false" ht="12" hidden="false" customHeight="true" outlineLevel="1" collapsed="false">
      <c r="B415" s="15" t="n">
        <v>45013</v>
      </c>
      <c r="C415" s="15" t="n">
        <f aca="false">B415</f>
        <v>45013</v>
      </c>
      <c r="D415" s="16" t="s">
        <v>376</v>
      </c>
      <c r="E415" s="16" t="s">
        <v>57</v>
      </c>
      <c r="F415" s="16" t="n">
        <v>635</v>
      </c>
      <c r="G415" s="17"/>
      <c r="H415" s="17" t="n">
        <v>2026337</v>
      </c>
      <c r="I415" s="14" t="n">
        <f aca="false">I414+G415-H415</f>
        <v>144118737</v>
      </c>
    </row>
    <row r="416" customFormat="false" ht="12" hidden="false" customHeight="true" outlineLevel="1" collapsed="false">
      <c r="B416" s="15" t="n">
        <v>45013</v>
      </c>
      <c r="C416" s="15" t="n">
        <f aca="false">B416</f>
        <v>45013</v>
      </c>
      <c r="D416" s="16" t="s">
        <v>376</v>
      </c>
      <c r="E416" s="16" t="s">
        <v>57</v>
      </c>
      <c r="F416" s="16" t="n">
        <v>635</v>
      </c>
      <c r="G416" s="17"/>
      <c r="H416" s="17" t="n">
        <v>9972445</v>
      </c>
      <c r="I416" s="14" t="n">
        <f aca="false">I415+G416-H416</f>
        <v>134146292</v>
      </c>
    </row>
    <row r="417" customFormat="false" ht="12" hidden="false" customHeight="true" outlineLevel="1" collapsed="false">
      <c r="B417" s="15" t="n">
        <v>45013</v>
      </c>
      <c r="C417" s="15" t="n">
        <f aca="false">B417</f>
        <v>45013</v>
      </c>
      <c r="D417" s="16" t="s">
        <v>376</v>
      </c>
      <c r="E417" s="16" t="s">
        <v>57</v>
      </c>
      <c r="F417" s="16" t="n">
        <v>635</v>
      </c>
      <c r="G417" s="17"/>
      <c r="H417" s="17" t="n">
        <v>609348</v>
      </c>
      <c r="I417" s="14" t="n">
        <f aca="false">I416+G417-H417</f>
        <v>133536944</v>
      </c>
    </row>
    <row r="418" customFormat="false" ht="12" hidden="false" customHeight="true" outlineLevel="1" collapsed="false">
      <c r="B418" s="15" t="n">
        <v>45013</v>
      </c>
      <c r="C418" s="15" t="n">
        <f aca="false">B418</f>
        <v>45013</v>
      </c>
      <c r="D418" s="16" t="s">
        <v>376</v>
      </c>
      <c r="E418" s="16" t="s">
        <v>57</v>
      </c>
      <c r="F418" s="16" t="n">
        <v>635</v>
      </c>
      <c r="G418" s="17"/>
      <c r="H418" s="17" t="n">
        <v>10115046</v>
      </c>
      <c r="I418" s="14" t="n">
        <f aca="false">I417+G418-H418</f>
        <v>123421898</v>
      </c>
    </row>
    <row r="419" customFormat="false" ht="12" hidden="false" customHeight="true" outlineLevel="1" collapsed="false">
      <c r="B419" s="15" t="n">
        <v>45013</v>
      </c>
      <c r="C419" s="15" t="n">
        <f aca="false">B419</f>
        <v>45013</v>
      </c>
      <c r="D419" s="16" t="s">
        <v>376</v>
      </c>
      <c r="E419" s="16" t="s">
        <v>57</v>
      </c>
      <c r="F419" s="16" t="n">
        <v>635</v>
      </c>
      <c r="G419" s="17"/>
      <c r="H419" s="17" t="n">
        <v>1095784</v>
      </c>
      <c r="I419" s="14" t="n">
        <f aca="false">I418+G419-H419</f>
        <v>122326114</v>
      </c>
    </row>
    <row r="420" customFormat="false" ht="12" hidden="false" customHeight="true" outlineLevel="1" collapsed="false">
      <c r="B420" s="15" t="n">
        <v>45013</v>
      </c>
      <c r="C420" s="15" t="n">
        <f aca="false">B420</f>
        <v>45013</v>
      </c>
      <c r="D420" s="16" t="s">
        <v>376</v>
      </c>
      <c r="E420" s="16" t="s">
        <v>57</v>
      </c>
      <c r="F420" s="16" t="n">
        <v>635</v>
      </c>
      <c r="G420" s="17"/>
      <c r="H420" s="17" t="n">
        <v>13959826</v>
      </c>
      <c r="I420" s="14" t="n">
        <f aca="false">I419+G420-H420</f>
        <v>108366288</v>
      </c>
    </row>
    <row r="421" customFormat="false" ht="12" hidden="false" customHeight="true" outlineLevel="1" collapsed="false">
      <c r="B421" s="15" t="n">
        <v>45013</v>
      </c>
      <c r="C421" s="15" t="n">
        <f aca="false">B421</f>
        <v>45013</v>
      </c>
      <c r="D421" s="16" t="s">
        <v>376</v>
      </c>
      <c r="E421" s="16" t="s">
        <v>57</v>
      </c>
      <c r="F421" s="16" t="n">
        <v>635</v>
      </c>
      <c r="G421" s="17"/>
      <c r="H421" s="17" t="n">
        <v>5503517</v>
      </c>
      <c r="I421" s="14" t="n">
        <f aca="false">I420+G421-H421</f>
        <v>102862771</v>
      </c>
    </row>
    <row r="422" customFormat="false" ht="12" hidden="false" customHeight="true" outlineLevel="1" collapsed="false">
      <c r="B422" s="15" t="n">
        <v>45013</v>
      </c>
      <c r="C422" s="15" t="n">
        <f aca="false">B422</f>
        <v>45013</v>
      </c>
      <c r="D422" s="16" t="s">
        <v>376</v>
      </c>
      <c r="E422" s="16" t="s">
        <v>57</v>
      </c>
      <c r="F422" s="16" t="n">
        <v>635</v>
      </c>
      <c r="G422" s="17"/>
      <c r="H422" s="17" t="n">
        <v>4061438</v>
      </c>
      <c r="I422" s="14" t="n">
        <f aca="false">I421+G422-H422</f>
        <v>98801333</v>
      </c>
    </row>
    <row r="423" customFormat="false" ht="12" hidden="false" customHeight="true" outlineLevel="1" collapsed="false">
      <c r="B423" s="15" t="n">
        <v>45013</v>
      </c>
      <c r="C423" s="15" t="n">
        <f aca="false">B423</f>
        <v>45013</v>
      </c>
      <c r="D423" s="16" t="s">
        <v>376</v>
      </c>
      <c r="E423" s="16" t="s">
        <v>57</v>
      </c>
      <c r="F423" s="16" t="n">
        <v>635</v>
      </c>
      <c r="G423" s="17"/>
      <c r="H423" s="17" t="n">
        <v>6827399</v>
      </c>
      <c r="I423" s="14" t="n">
        <f aca="false">I422+G423-H423</f>
        <v>91973934</v>
      </c>
    </row>
    <row r="424" customFormat="false" ht="12" hidden="false" customHeight="true" outlineLevel="1" collapsed="false">
      <c r="B424" s="15" t="n">
        <v>45013</v>
      </c>
      <c r="C424" s="15" t="n">
        <f aca="false">B424</f>
        <v>45013</v>
      </c>
      <c r="D424" s="16" t="s">
        <v>376</v>
      </c>
      <c r="E424" s="16" t="s">
        <v>57</v>
      </c>
      <c r="F424" s="16" t="n">
        <v>635</v>
      </c>
      <c r="G424" s="17"/>
      <c r="H424" s="17" t="n">
        <v>3834117</v>
      </c>
      <c r="I424" s="14" t="n">
        <f aca="false">I423+G424-H424</f>
        <v>88139817</v>
      </c>
    </row>
    <row r="425" customFormat="false" ht="12" hidden="false" customHeight="true" outlineLevel="1" collapsed="false">
      <c r="B425" s="15" t="n">
        <v>45013</v>
      </c>
      <c r="C425" s="15" t="n">
        <f aca="false">B425</f>
        <v>45013</v>
      </c>
      <c r="D425" s="16" t="s">
        <v>376</v>
      </c>
      <c r="E425" s="16" t="s">
        <v>57</v>
      </c>
      <c r="F425" s="16" t="n">
        <v>635</v>
      </c>
      <c r="G425" s="17"/>
      <c r="H425" s="17" t="n">
        <v>8685600</v>
      </c>
      <c r="I425" s="14" t="n">
        <f aca="false">I424+G425-H425</f>
        <v>79454217</v>
      </c>
    </row>
    <row r="426" customFormat="false" ht="12" hidden="false" customHeight="true" outlineLevel="1" collapsed="false">
      <c r="B426" s="15" t="n">
        <v>45013</v>
      </c>
      <c r="C426" s="15" t="n">
        <f aca="false">B426</f>
        <v>45013</v>
      </c>
      <c r="D426" s="16" t="s">
        <v>376</v>
      </c>
      <c r="E426" s="16" t="s">
        <v>57</v>
      </c>
      <c r="F426" s="16" t="n">
        <v>635</v>
      </c>
      <c r="G426" s="17"/>
      <c r="H426" s="17" t="n">
        <v>3265770</v>
      </c>
      <c r="I426" s="14" t="n">
        <f aca="false">I425+G426-H426</f>
        <v>76188447</v>
      </c>
    </row>
    <row r="427" customFormat="false" ht="12" hidden="false" customHeight="true" outlineLevel="1" collapsed="false">
      <c r="B427" s="15" t="n">
        <v>45013</v>
      </c>
      <c r="C427" s="15" t="n">
        <f aca="false">B427</f>
        <v>45013</v>
      </c>
      <c r="D427" s="16" t="s">
        <v>376</v>
      </c>
      <c r="E427" s="16" t="s">
        <v>57</v>
      </c>
      <c r="F427" s="16" t="n">
        <v>635</v>
      </c>
      <c r="G427" s="17"/>
      <c r="H427" s="17" t="n">
        <v>8779929</v>
      </c>
      <c r="I427" s="14" t="n">
        <f aca="false">I426+G427-H427</f>
        <v>67408518</v>
      </c>
    </row>
    <row r="428" customFormat="false" ht="12" hidden="false" customHeight="true" outlineLevel="1" collapsed="false">
      <c r="B428" s="15" t="n">
        <v>45013</v>
      </c>
      <c r="C428" s="15" t="n">
        <f aca="false">B428</f>
        <v>45013</v>
      </c>
      <c r="D428" s="16" t="s">
        <v>376</v>
      </c>
      <c r="E428" s="16" t="s">
        <v>57</v>
      </c>
      <c r="F428" s="16" t="n">
        <v>635</v>
      </c>
      <c r="G428" s="17"/>
      <c r="H428" s="17" t="n">
        <v>2496718</v>
      </c>
      <c r="I428" s="14" t="n">
        <f aca="false">I427+G428-H428</f>
        <v>64911800</v>
      </c>
    </row>
    <row r="429" customFormat="false" ht="12" hidden="false" customHeight="true" outlineLevel="1" collapsed="false">
      <c r="B429" s="15" t="n">
        <v>45013</v>
      </c>
      <c r="C429" s="15" t="n">
        <f aca="false">B429</f>
        <v>45013</v>
      </c>
      <c r="D429" s="16" t="s">
        <v>376</v>
      </c>
      <c r="E429" s="16" t="s">
        <v>57</v>
      </c>
      <c r="F429" s="16" t="n">
        <v>635</v>
      </c>
      <c r="G429" s="17"/>
      <c r="H429" s="17" t="n">
        <v>1347798</v>
      </c>
      <c r="I429" s="14" t="n">
        <f aca="false">I428+G429-H429</f>
        <v>63564002</v>
      </c>
    </row>
    <row r="430" customFormat="false" ht="12" hidden="false" customHeight="true" outlineLevel="1" collapsed="false">
      <c r="B430" s="15" t="n">
        <v>45013</v>
      </c>
      <c r="C430" s="15" t="n">
        <f aca="false">B430</f>
        <v>45013</v>
      </c>
      <c r="D430" s="16" t="s">
        <v>376</v>
      </c>
      <c r="E430" s="16" t="s">
        <v>57</v>
      </c>
      <c r="F430" s="16" t="n">
        <v>635</v>
      </c>
      <c r="G430" s="17"/>
      <c r="H430" s="17" t="n">
        <v>1391594</v>
      </c>
      <c r="I430" s="14" t="n">
        <f aca="false">I429+G430-H430</f>
        <v>62172408</v>
      </c>
    </row>
    <row r="431" customFormat="false" ht="12" hidden="false" customHeight="true" outlineLevel="1" collapsed="false">
      <c r="B431" s="15" t="n">
        <v>45013</v>
      </c>
      <c r="C431" s="15" t="n">
        <f aca="false">B431</f>
        <v>45013</v>
      </c>
      <c r="D431" s="16" t="s">
        <v>376</v>
      </c>
      <c r="E431" s="16" t="s">
        <v>57</v>
      </c>
      <c r="F431" s="16" t="n">
        <v>635</v>
      </c>
      <c r="G431" s="17"/>
      <c r="H431" s="17" t="n">
        <v>9658996</v>
      </c>
      <c r="I431" s="14" t="n">
        <f aca="false">I430+G431-H431</f>
        <v>52513412</v>
      </c>
    </row>
    <row r="432" customFormat="false" ht="12" hidden="false" customHeight="true" outlineLevel="1" collapsed="false">
      <c r="B432" s="15" t="n">
        <v>45013</v>
      </c>
      <c r="C432" s="15" t="n">
        <f aca="false">B432</f>
        <v>45013</v>
      </c>
      <c r="D432" s="16" t="s">
        <v>376</v>
      </c>
      <c r="E432" s="16" t="s">
        <v>57</v>
      </c>
      <c r="F432" s="16" t="n">
        <v>635</v>
      </c>
      <c r="G432" s="17"/>
      <c r="H432" s="17" t="n">
        <v>2175212</v>
      </c>
      <c r="I432" s="14" t="n">
        <f aca="false">I431+G432-H432</f>
        <v>50338200</v>
      </c>
    </row>
    <row r="433" customFormat="false" ht="12" hidden="false" customHeight="true" outlineLevel="1" collapsed="false">
      <c r="B433" s="15" t="n">
        <v>45013</v>
      </c>
      <c r="C433" s="15" t="n">
        <f aca="false">B433</f>
        <v>45013</v>
      </c>
      <c r="D433" s="16" t="s">
        <v>376</v>
      </c>
      <c r="E433" s="16" t="s">
        <v>57</v>
      </c>
      <c r="F433" s="16" t="n">
        <v>635</v>
      </c>
      <c r="G433" s="17"/>
      <c r="H433" s="17" t="n">
        <v>3477868</v>
      </c>
      <c r="I433" s="14" t="n">
        <f aca="false">I432+G433-H433</f>
        <v>46860332</v>
      </c>
    </row>
    <row r="434" customFormat="false" ht="12" hidden="false" customHeight="true" outlineLevel="1" collapsed="false">
      <c r="B434" s="15" t="n">
        <v>45013</v>
      </c>
      <c r="C434" s="15" t="n">
        <f aca="false">B434</f>
        <v>45013</v>
      </c>
      <c r="D434" s="16" t="s">
        <v>376</v>
      </c>
      <c r="E434" s="16" t="s">
        <v>57</v>
      </c>
      <c r="F434" s="16" t="n">
        <v>635</v>
      </c>
      <c r="G434" s="17"/>
      <c r="H434" s="17" t="n">
        <v>992884</v>
      </c>
      <c r="I434" s="14" t="n">
        <f aca="false">I433+G434-H434</f>
        <v>45867448</v>
      </c>
    </row>
    <row r="435" customFormat="false" ht="12" hidden="false" customHeight="true" outlineLevel="1" collapsed="false">
      <c r="B435" s="15" t="n">
        <v>45013</v>
      </c>
      <c r="C435" s="15" t="n">
        <f aca="false">B435</f>
        <v>45013</v>
      </c>
      <c r="D435" s="16" t="s">
        <v>376</v>
      </c>
      <c r="E435" s="16" t="s">
        <v>57</v>
      </c>
      <c r="F435" s="16" t="n">
        <v>635</v>
      </c>
      <c r="G435" s="17"/>
      <c r="H435" s="17" t="n">
        <v>4810816</v>
      </c>
      <c r="I435" s="14" t="n">
        <f aca="false">I434+G435-H435</f>
        <v>41056632</v>
      </c>
    </row>
    <row r="436" customFormat="false" ht="12" hidden="false" customHeight="true" outlineLevel="1" collapsed="false">
      <c r="B436" s="15" t="n">
        <v>45013</v>
      </c>
      <c r="C436" s="15" t="n">
        <f aca="false">B436</f>
        <v>45013</v>
      </c>
      <c r="D436" s="16" t="s">
        <v>376</v>
      </c>
      <c r="E436" s="16" t="s">
        <v>57</v>
      </c>
      <c r="F436" s="16" t="n">
        <v>635</v>
      </c>
      <c r="G436" s="17"/>
      <c r="H436" s="17" t="n">
        <v>7797845</v>
      </c>
      <c r="I436" s="14" t="n">
        <f aca="false">I435+G436-H436</f>
        <v>33258787</v>
      </c>
    </row>
    <row r="437" customFormat="false" ht="12" hidden="false" customHeight="true" outlineLevel="1" collapsed="false">
      <c r="B437" s="15" t="n">
        <v>45013</v>
      </c>
      <c r="C437" s="15" t="n">
        <f aca="false">B437</f>
        <v>45013</v>
      </c>
      <c r="D437" s="16" t="s">
        <v>376</v>
      </c>
      <c r="E437" s="16" t="s">
        <v>57</v>
      </c>
      <c r="F437" s="16" t="n">
        <v>635</v>
      </c>
      <c r="G437" s="17"/>
      <c r="H437" s="17" t="n">
        <v>9277113</v>
      </c>
      <c r="I437" s="14" t="n">
        <f aca="false">I436+G437-H437</f>
        <v>23981674</v>
      </c>
    </row>
    <row r="438" customFormat="false" ht="12" hidden="false" customHeight="true" outlineLevel="1" collapsed="false">
      <c r="B438" s="15" t="n">
        <v>45013</v>
      </c>
      <c r="C438" s="15" t="n">
        <f aca="false">B438</f>
        <v>45013</v>
      </c>
      <c r="D438" s="16" t="s">
        <v>376</v>
      </c>
      <c r="E438" s="16" t="s">
        <v>57</v>
      </c>
      <c r="F438" s="16" t="n">
        <v>635</v>
      </c>
      <c r="G438" s="17"/>
      <c r="H438" s="17" t="n">
        <v>978162</v>
      </c>
      <c r="I438" s="14" t="n">
        <f aca="false">I437+G438-H438</f>
        <v>23003512</v>
      </c>
    </row>
    <row r="439" customFormat="false" ht="12" hidden="false" customHeight="true" outlineLevel="1" collapsed="false">
      <c r="B439" s="15" t="n">
        <v>45013</v>
      </c>
      <c r="C439" s="15" t="n">
        <f aca="false">B439</f>
        <v>45013</v>
      </c>
      <c r="D439" s="16" t="s">
        <v>376</v>
      </c>
      <c r="E439" s="16" t="s">
        <v>57</v>
      </c>
      <c r="F439" s="16" t="n">
        <v>635</v>
      </c>
      <c r="G439" s="17"/>
      <c r="H439" s="17" t="n">
        <v>2189763</v>
      </c>
      <c r="I439" s="14" t="n">
        <f aca="false">I438+G439-H439</f>
        <v>20813749</v>
      </c>
    </row>
    <row r="440" customFormat="false" ht="12" hidden="false" customHeight="true" outlineLevel="1" collapsed="false">
      <c r="B440" s="15" t="n">
        <v>45013</v>
      </c>
      <c r="C440" s="15" t="n">
        <f aca="false">B440</f>
        <v>45013</v>
      </c>
      <c r="D440" s="16" t="s">
        <v>376</v>
      </c>
      <c r="E440" s="16" t="s">
        <v>57</v>
      </c>
      <c r="F440" s="16" t="n">
        <v>635</v>
      </c>
      <c r="G440" s="17"/>
      <c r="H440" s="17" t="n">
        <v>332064</v>
      </c>
      <c r="I440" s="14" t="n">
        <f aca="false">I439+G440-H440</f>
        <v>20481685</v>
      </c>
    </row>
    <row r="441" customFormat="false" ht="12" hidden="false" customHeight="true" outlineLevel="1" collapsed="false">
      <c r="B441" s="15" t="n">
        <v>45013</v>
      </c>
      <c r="C441" s="15" t="n">
        <f aca="false">B441</f>
        <v>45013</v>
      </c>
      <c r="D441" s="16" t="s">
        <v>376</v>
      </c>
      <c r="E441" s="16" t="s">
        <v>57</v>
      </c>
      <c r="F441" s="16" t="n">
        <v>635</v>
      </c>
      <c r="G441" s="17"/>
      <c r="H441" s="17" t="n">
        <v>934212</v>
      </c>
      <c r="I441" s="14" t="n">
        <f aca="false">I440+G441-H441</f>
        <v>19547473</v>
      </c>
    </row>
    <row r="442" customFormat="false" ht="12" hidden="false" customHeight="true" outlineLevel="1" collapsed="false">
      <c r="B442" s="15" t="n">
        <v>45013</v>
      </c>
      <c r="C442" s="15" t="n">
        <f aca="false">B442</f>
        <v>45013</v>
      </c>
      <c r="D442" s="16" t="s">
        <v>376</v>
      </c>
      <c r="E442" s="16" t="s">
        <v>57</v>
      </c>
      <c r="F442" s="16" t="n">
        <v>635</v>
      </c>
      <c r="G442" s="17"/>
      <c r="H442" s="17" t="n">
        <v>271603</v>
      </c>
      <c r="I442" s="14" t="n">
        <f aca="false">I441+G442-H442</f>
        <v>19275870</v>
      </c>
    </row>
    <row r="443" customFormat="false" ht="12" hidden="false" customHeight="true" outlineLevel="1" collapsed="false">
      <c r="B443" s="15" t="n">
        <v>45014</v>
      </c>
      <c r="C443" s="15" t="n">
        <f aca="false">B443</f>
        <v>45014</v>
      </c>
      <c r="D443" s="16" t="s">
        <v>376</v>
      </c>
      <c r="E443" s="16" t="s">
        <v>36</v>
      </c>
      <c r="F443" s="16" t="n">
        <v>635</v>
      </c>
      <c r="G443" s="17"/>
      <c r="H443" s="17" t="n">
        <v>56299</v>
      </c>
      <c r="I443" s="14" t="n">
        <f aca="false">I442+G443-H443</f>
        <v>19219571</v>
      </c>
    </row>
    <row r="444" customFormat="false" ht="12" hidden="false" customHeight="true" outlineLevel="1" collapsed="false">
      <c r="B444" s="15" t="n">
        <v>45015</v>
      </c>
      <c r="C444" s="15" t="n">
        <f aca="false">B444</f>
        <v>45015</v>
      </c>
      <c r="D444" s="16" t="s">
        <v>375</v>
      </c>
      <c r="E444" s="16" t="s">
        <v>157</v>
      </c>
      <c r="F444" s="16" t="s">
        <v>15</v>
      </c>
      <c r="G444" s="17" t="n">
        <v>76837000</v>
      </c>
      <c r="H444" s="17"/>
      <c r="I444" s="14" t="n">
        <f aca="false">I443+G444-H444</f>
        <v>96056571</v>
      </c>
    </row>
    <row r="445" customFormat="false" ht="12" hidden="false" customHeight="true" outlineLevel="1" collapsed="false">
      <c r="B445" s="15" t="n">
        <v>45015</v>
      </c>
      <c r="C445" s="15" t="n">
        <f aca="false">B445</f>
        <v>45015</v>
      </c>
      <c r="D445" s="16" t="s">
        <v>375</v>
      </c>
      <c r="E445" s="16" t="s">
        <v>157</v>
      </c>
      <c r="F445" s="16" t="s">
        <v>15</v>
      </c>
      <c r="G445" s="17" t="n">
        <v>70498000</v>
      </c>
      <c r="H445" s="17"/>
      <c r="I445" s="14" t="n">
        <f aca="false">I444+G445-H445</f>
        <v>166554571</v>
      </c>
    </row>
    <row r="446" customFormat="false" ht="12" hidden="false" customHeight="true" outlineLevel="1" collapsed="false">
      <c r="B446" s="15" t="n">
        <v>45015</v>
      </c>
      <c r="C446" s="15" t="n">
        <f aca="false">B446</f>
        <v>45015</v>
      </c>
      <c r="D446" s="16" t="s">
        <v>375</v>
      </c>
      <c r="E446" s="16" t="s">
        <v>157</v>
      </c>
      <c r="F446" s="16" t="s">
        <v>15</v>
      </c>
      <c r="G446" s="17" t="n">
        <v>166807000</v>
      </c>
      <c r="H446" s="17"/>
      <c r="I446" s="14" t="n">
        <f aca="false">I445+G446-H446</f>
        <v>333361571</v>
      </c>
    </row>
    <row r="447" customFormat="false" ht="12" hidden="false" customHeight="true" outlineLevel="1" collapsed="false">
      <c r="B447" s="15" t="n">
        <v>45015</v>
      </c>
      <c r="C447" s="15" t="n">
        <f aca="false">B447</f>
        <v>45015</v>
      </c>
      <c r="D447" s="16" t="s">
        <v>375</v>
      </c>
      <c r="E447" s="16" t="s">
        <v>157</v>
      </c>
      <c r="F447" s="16" t="s">
        <v>15</v>
      </c>
      <c r="G447" s="17" t="n">
        <v>61000000</v>
      </c>
      <c r="H447" s="17"/>
      <c r="I447" s="14" t="n">
        <f aca="false">I446+G447-H447</f>
        <v>394361571</v>
      </c>
    </row>
    <row r="448" customFormat="false" ht="12" hidden="false" customHeight="true" outlineLevel="1" collapsed="false">
      <c r="B448" s="15" t="n">
        <v>45015</v>
      </c>
      <c r="C448" s="15" t="n">
        <f aca="false">B448</f>
        <v>45015</v>
      </c>
      <c r="D448" s="16" t="s">
        <v>375</v>
      </c>
      <c r="E448" s="16" t="s">
        <v>157</v>
      </c>
      <c r="F448" s="16" t="s">
        <v>15</v>
      </c>
      <c r="G448" s="17" t="n">
        <v>700000000</v>
      </c>
      <c r="H448" s="17"/>
      <c r="I448" s="14" t="n">
        <f aca="false">I447+G448-H448</f>
        <v>1094361571</v>
      </c>
    </row>
    <row r="449" customFormat="false" ht="12" hidden="false" customHeight="true" outlineLevel="1" collapsed="false">
      <c r="B449" s="15" t="n">
        <v>45015</v>
      </c>
      <c r="C449" s="15" t="n">
        <f aca="false">B449</f>
        <v>45015</v>
      </c>
      <c r="D449" s="16" t="s">
        <v>376</v>
      </c>
      <c r="E449" s="16" t="s">
        <v>23</v>
      </c>
      <c r="F449" s="16" t="s">
        <v>24</v>
      </c>
      <c r="G449" s="17"/>
      <c r="H449" s="17" t="n">
        <v>499585786</v>
      </c>
      <c r="I449" s="14" t="n">
        <f aca="false">I448+G449-H449</f>
        <v>594775785</v>
      </c>
    </row>
    <row r="450" customFormat="false" ht="12" hidden="false" customHeight="true" outlineLevel="1" collapsed="false">
      <c r="B450" s="15" t="n">
        <v>45015</v>
      </c>
      <c r="C450" s="15" t="n">
        <f aca="false">B450</f>
        <v>45015</v>
      </c>
      <c r="D450" s="16" t="s">
        <v>376</v>
      </c>
      <c r="E450" s="16" t="s">
        <v>23</v>
      </c>
      <c r="F450" s="16" t="s">
        <v>24</v>
      </c>
      <c r="G450" s="17"/>
      <c r="H450" s="17" t="n">
        <v>330184433</v>
      </c>
      <c r="I450" s="14" t="n">
        <f aca="false">I449+G450-H450</f>
        <v>264591352</v>
      </c>
    </row>
    <row r="451" customFormat="false" ht="12" hidden="false" customHeight="true" outlineLevel="1" collapsed="false">
      <c r="B451" s="15" t="n">
        <v>45015</v>
      </c>
      <c r="C451" s="15" t="n">
        <f aca="false">B451</f>
        <v>45015</v>
      </c>
      <c r="D451" s="16" t="s">
        <v>376</v>
      </c>
      <c r="E451" s="16" t="s">
        <v>23</v>
      </c>
      <c r="F451" s="16" t="s">
        <v>24</v>
      </c>
      <c r="G451" s="17"/>
      <c r="H451" s="17" t="n">
        <v>245229781</v>
      </c>
      <c r="I451" s="14" t="n">
        <f aca="false">I450+G451-H451</f>
        <v>19361571</v>
      </c>
    </row>
    <row r="452" customFormat="false" ht="12" hidden="false" customHeight="true" outlineLevel="1" collapsed="false">
      <c r="B452" s="15" t="n">
        <v>45015</v>
      </c>
      <c r="C452" s="15" t="n">
        <f aca="false">B452</f>
        <v>45015</v>
      </c>
      <c r="D452" s="16" t="s">
        <v>376</v>
      </c>
      <c r="E452" s="16" t="s">
        <v>36</v>
      </c>
      <c r="F452" s="16" t="n">
        <v>635</v>
      </c>
      <c r="G452" s="17"/>
      <c r="H452" s="17" t="n">
        <v>343963</v>
      </c>
      <c r="I452" s="14" t="n">
        <f aca="false">I451+G452-H452</f>
        <v>19017608</v>
      </c>
    </row>
    <row r="453" customFormat="false" ht="12" hidden="false" customHeight="true" outlineLevel="1" collapsed="false">
      <c r="B453" s="15" t="n">
        <v>45015</v>
      </c>
      <c r="C453" s="15" t="n">
        <f aca="false">B453</f>
        <v>45015</v>
      </c>
      <c r="D453" s="16" t="s">
        <v>376</v>
      </c>
      <c r="E453" s="16" t="s">
        <v>36</v>
      </c>
      <c r="F453" s="16" t="n">
        <v>635</v>
      </c>
      <c r="G453" s="17"/>
      <c r="H453" s="17" t="n">
        <v>217108</v>
      </c>
      <c r="I453" s="14" t="n">
        <f aca="false">I452+G453-H453</f>
        <v>18800500</v>
      </c>
    </row>
    <row r="454" customFormat="false" ht="12" hidden="false" customHeight="true" outlineLevel="1" collapsed="false">
      <c r="B454" s="15" t="n">
        <v>45015</v>
      </c>
      <c r="C454" s="15" t="n">
        <f aca="false">B454</f>
        <v>45015</v>
      </c>
      <c r="D454" s="16" t="s">
        <v>376</v>
      </c>
      <c r="E454" s="16" t="s">
        <v>36</v>
      </c>
      <c r="F454" s="16" t="n">
        <v>635</v>
      </c>
      <c r="G454" s="17"/>
      <c r="H454" s="17" t="n">
        <v>11000</v>
      </c>
      <c r="I454" s="14" t="n">
        <f aca="false">I453+G454-H454</f>
        <v>18789500</v>
      </c>
    </row>
    <row r="455" customFormat="false" ht="12" hidden="false" customHeight="true" outlineLevel="1" collapsed="false">
      <c r="B455" s="15" t="n">
        <v>45016</v>
      </c>
      <c r="C455" s="15" t="n">
        <f aca="false">B455</f>
        <v>45016</v>
      </c>
      <c r="D455" s="16" t="s">
        <v>375</v>
      </c>
      <c r="E455" s="16" t="s">
        <v>157</v>
      </c>
      <c r="F455" s="16" t="s">
        <v>15</v>
      </c>
      <c r="G455" s="17" t="n">
        <v>86469000</v>
      </c>
      <c r="H455" s="17"/>
      <c r="I455" s="14" t="n">
        <f aca="false">I454+G455-H455</f>
        <v>105258500</v>
      </c>
    </row>
    <row r="456" customFormat="false" ht="12" hidden="false" customHeight="true" outlineLevel="1" collapsed="false">
      <c r="B456" s="15" t="n">
        <v>45016</v>
      </c>
      <c r="C456" s="15" t="n">
        <f aca="false">B456</f>
        <v>45016</v>
      </c>
      <c r="D456" s="16" t="s">
        <v>375</v>
      </c>
      <c r="E456" s="16" t="s">
        <v>157</v>
      </c>
      <c r="F456" s="16" t="s">
        <v>15</v>
      </c>
      <c r="G456" s="17" t="n">
        <v>73061000</v>
      </c>
      <c r="H456" s="17"/>
      <c r="I456" s="14" t="n">
        <f aca="false">I455+G456-H456</f>
        <v>178319500</v>
      </c>
    </row>
    <row r="457" customFormat="false" ht="12" hidden="false" customHeight="true" outlineLevel="1" collapsed="false">
      <c r="B457" s="15" t="n">
        <v>45016</v>
      </c>
      <c r="C457" s="15" t="n">
        <f aca="false">B457</f>
        <v>45016</v>
      </c>
      <c r="D457" s="16" t="s">
        <v>375</v>
      </c>
      <c r="E457" s="16" t="s">
        <v>157</v>
      </c>
      <c r="F457" s="16" t="s">
        <v>15</v>
      </c>
      <c r="G457" s="17" t="n">
        <v>152113000</v>
      </c>
      <c r="H457" s="17"/>
      <c r="I457" s="14" t="n">
        <f aca="false">I456+G457-H457</f>
        <v>330432500</v>
      </c>
    </row>
    <row r="458" customFormat="false" ht="12" hidden="false" customHeight="true" outlineLevel="1" collapsed="false">
      <c r="B458" s="15" t="n">
        <v>45016</v>
      </c>
      <c r="C458" s="15" t="n">
        <f aca="false">B458</f>
        <v>45016</v>
      </c>
      <c r="D458" s="16" t="s">
        <v>376</v>
      </c>
      <c r="E458" s="16" t="s">
        <v>367</v>
      </c>
      <c r="F458" s="16" t="s">
        <v>179</v>
      </c>
      <c r="G458" s="17"/>
      <c r="H458" s="17" t="n">
        <v>200395956</v>
      </c>
      <c r="I458" s="14" t="n">
        <f aca="false">I457+G458-H458</f>
        <v>130036544</v>
      </c>
    </row>
    <row r="459" customFormat="false" ht="12" hidden="false" customHeight="true" outlineLevel="1" collapsed="false">
      <c r="B459" s="15" t="n">
        <v>45016</v>
      </c>
      <c r="C459" s="15" t="n">
        <f aca="false">B459</f>
        <v>45016</v>
      </c>
      <c r="D459" s="16" t="s">
        <v>376</v>
      </c>
      <c r="E459" s="16" t="s">
        <v>367</v>
      </c>
      <c r="F459" s="16" t="s">
        <v>179</v>
      </c>
      <c r="G459" s="17"/>
      <c r="H459" s="17" t="n">
        <v>83389113</v>
      </c>
      <c r="I459" s="14" t="n">
        <f aca="false">I458+G459-H459</f>
        <v>46647431</v>
      </c>
    </row>
    <row r="460" customFormat="false" ht="12" hidden="false" customHeight="true" outlineLevel="1" collapsed="false">
      <c r="B460" s="15" t="n">
        <v>45016</v>
      </c>
      <c r="C460" s="15" t="n">
        <f aca="false">B460</f>
        <v>45016</v>
      </c>
      <c r="D460" s="16" t="s">
        <v>376</v>
      </c>
      <c r="E460" s="16" t="s">
        <v>23</v>
      </c>
      <c r="F460" s="16" t="s">
        <v>24</v>
      </c>
      <c r="G460" s="17"/>
      <c r="H460" s="17" t="n">
        <v>45000000</v>
      </c>
      <c r="I460" s="14" t="n">
        <f aca="false">I459+G460-H460</f>
        <v>1647431</v>
      </c>
    </row>
    <row r="461" customFormat="false" ht="12" hidden="false" customHeight="true" outlineLevel="1" collapsed="false">
      <c r="B461" s="15" t="n">
        <v>45019</v>
      </c>
      <c r="C461" s="15" t="n">
        <f aca="false">B461</f>
        <v>45019</v>
      </c>
      <c r="D461" s="16" t="s">
        <v>377</v>
      </c>
      <c r="E461" s="16" t="s">
        <v>378</v>
      </c>
      <c r="F461" s="16" t="s">
        <v>15</v>
      </c>
      <c r="G461" s="17" t="n">
        <v>155952000</v>
      </c>
      <c r="H461" s="17"/>
      <c r="I461" s="14" t="n">
        <f aca="false">I460+G461-H461</f>
        <v>157599431</v>
      </c>
    </row>
    <row r="462" customFormat="false" ht="12" hidden="false" customHeight="true" outlineLevel="1" collapsed="false">
      <c r="B462" s="15" t="n">
        <v>45019</v>
      </c>
      <c r="C462" s="15" t="n">
        <f aca="false">B462</f>
        <v>45019</v>
      </c>
      <c r="D462" s="16" t="s">
        <v>379</v>
      </c>
      <c r="E462" s="16" t="s">
        <v>378</v>
      </c>
      <c r="F462" s="16" t="s">
        <v>15</v>
      </c>
      <c r="G462" s="17" t="n">
        <v>78413000</v>
      </c>
      <c r="H462" s="17"/>
      <c r="I462" s="14" t="n">
        <f aca="false">I461+G462-H462</f>
        <v>236012431</v>
      </c>
    </row>
    <row r="463" customFormat="false" ht="12" hidden="false" customHeight="true" outlineLevel="1" collapsed="false">
      <c r="B463" s="15" t="n">
        <v>45019</v>
      </c>
      <c r="C463" s="15" t="n">
        <f aca="false">B463</f>
        <v>45019</v>
      </c>
      <c r="D463" s="16" t="s">
        <v>380</v>
      </c>
      <c r="E463" s="16" t="s">
        <v>378</v>
      </c>
      <c r="F463" s="16" t="s">
        <v>15</v>
      </c>
      <c r="G463" s="17" t="n">
        <v>147000000</v>
      </c>
      <c r="H463" s="17"/>
      <c r="I463" s="14" t="n">
        <f aca="false">I462+G463-H463</f>
        <v>383012431</v>
      </c>
    </row>
    <row r="464" customFormat="false" ht="12" hidden="false" customHeight="true" outlineLevel="1" collapsed="false">
      <c r="B464" s="15" t="n">
        <v>45019</v>
      </c>
      <c r="C464" s="15" t="n">
        <f aca="false">B464</f>
        <v>45019</v>
      </c>
      <c r="D464" s="16" t="s">
        <v>381</v>
      </c>
      <c r="E464" s="16" t="s">
        <v>378</v>
      </c>
      <c r="F464" s="16" t="s">
        <v>15</v>
      </c>
      <c r="G464" s="17" t="n">
        <v>76354000</v>
      </c>
      <c r="H464" s="17"/>
      <c r="I464" s="14" t="n">
        <f aca="false">I463+G464-H464</f>
        <v>459366431</v>
      </c>
    </row>
    <row r="465" customFormat="false" ht="12" hidden="false" customHeight="true" outlineLevel="1" collapsed="false">
      <c r="B465" s="15" t="n">
        <v>45019</v>
      </c>
      <c r="C465" s="15" t="n">
        <f aca="false">B465</f>
        <v>45019</v>
      </c>
      <c r="D465" s="16" t="s">
        <v>382</v>
      </c>
      <c r="E465" s="16" t="s">
        <v>378</v>
      </c>
      <c r="F465" s="16" t="s">
        <v>15</v>
      </c>
      <c r="G465" s="17" t="n">
        <v>88000000</v>
      </c>
      <c r="H465" s="17"/>
      <c r="I465" s="14" t="n">
        <f aca="false">I464+G465-H465</f>
        <v>547366431</v>
      </c>
    </row>
    <row r="466" customFormat="false" ht="12" hidden="false" customHeight="true" outlineLevel="1" collapsed="false">
      <c r="B466" s="15" t="n">
        <v>45019</v>
      </c>
      <c r="C466" s="15" t="n">
        <f aca="false">B466</f>
        <v>45019</v>
      </c>
      <c r="D466" s="16" t="s">
        <v>383</v>
      </c>
      <c r="E466" s="16" t="s">
        <v>157</v>
      </c>
      <c r="F466" s="16" t="s">
        <v>15</v>
      </c>
      <c r="G466" s="17" t="n">
        <v>50960000</v>
      </c>
      <c r="H466" s="17"/>
      <c r="I466" s="14" t="n">
        <f aca="false">I465+G466-H466</f>
        <v>598326431</v>
      </c>
    </row>
    <row r="467" customFormat="false" ht="12" hidden="false" customHeight="true" outlineLevel="1" collapsed="false">
      <c r="B467" s="15" t="n">
        <v>45019</v>
      </c>
      <c r="C467" s="15" t="n">
        <f aca="false">B467</f>
        <v>45019</v>
      </c>
      <c r="D467" s="16"/>
      <c r="E467" s="16" t="s">
        <v>294</v>
      </c>
      <c r="F467" s="16" t="s">
        <v>179</v>
      </c>
      <c r="G467" s="17"/>
      <c r="H467" s="17" t="n">
        <v>571372060</v>
      </c>
      <c r="I467" s="14" t="n">
        <f aca="false">I466+G467-H467</f>
        <v>26954371</v>
      </c>
    </row>
    <row r="468" customFormat="false" ht="12" hidden="false" customHeight="true" outlineLevel="1" collapsed="false">
      <c r="B468" s="15" t="n">
        <v>45020</v>
      </c>
      <c r="C468" s="15" t="n">
        <f aca="false">B468</f>
        <v>45020</v>
      </c>
      <c r="D468" s="16" t="s">
        <v>384</v>
      </c>
      <c r="E468" s="16" t="s">
        <v>378</v>
      </c>
      <c r="F468" s="16" t="n">
        <v>1111</v>
      </c>
      <c r="G468" s="17" t="n">
        <v>70005000</v>
      </c>
      <c r="H468" s="17"/>
      <c r="I468" s="14" t="n">
        <f aca="false">I467+G468-H468</f>
        <v>96959371</v>
      </c>
    </row>
    <row r="469" customFormat="false" ht="12" hidden="false" customHeight="true" outlineLevel="1" collapsed="false">
      <c r="B469" s="15" t="n">
        <v>45020</v>
      </c>
      <c r="C469" s="15" t="n">
        <f aca="false">B469</f>
        <v>45020</v>
      </c>
      <c r="D469" s="16" t="s">
        <v>384</v>
      </c>
      <c r="E469" s="16" t="s">
        <v>378</v>
      </c>
      <c r="F469" s="16" t="n">
        <v>1111</v>
      </c>
      <c r="G469" s="17" t="n">
        <v>170509000</v>
      </c>
      <c r="H469" s="17"/>
      <c r="I469" s="14" t="n">
        <f aca="false">I468+G469-H469</f>
        <v>267468371</v>
      </c>
    </row>
    <row r="470" customFormat="false" ht="12" hidden="false" customHeight="true" outlineLevel="1" collapsed="false">
      <c r="B470" s="15" t="n">
        <v>45020</v>
      </c>
      <c r="C470" s="15" t="n">
        <f aca="false">B470</f>
        <v>45020</v>
      </c>
      <c r="D470" s="16" t="s">
        <v>384</v>
      </c>
      <c r="E470" s="16" t="s">
        <v>378</v>
      </c>
      <c r="F470" s="16" t="n">
        <v>1111</v>
      </c>
      <c r="G470" s="17" t="n">
        <v>51025000</v>
      </c>
      <c r="H470" s="17"/>
      <c r="I470" s="14" t="n">
        <f aca="false">I469+G470-H470</f>
        <v>318493371</v>
      </c>
    </row>
    <row r="471" customFormat="false" ht="12" hidden="false" customHeight="true" outlineLevel="1" collapsed="false">
      <c r="B471" s="15" t="n">
        <v>45020</v>
      </c>
      <c r="C471" s="15" t="n">
        <f aca="false">B471</f>
        <v>45020</v>
      </c>
      <c r="D471" s="16" t="s">
        <v>384</v>
      </c>
      <c r="E471" s="16" t="s">
        <v>292</v>
      </c>
      <c r="F471" s="16" t="s">
        <v>15</v>
      </c>
      <c r="G471" s="17" t="n">
        <v>1320000000</v>
      </c>
      <c r="H471" s="17"/>
      <c r="I471" s="14" t="n">
        <f aca="false">I470+G471-H471</f>
        <v>1638493371</v>
      </c>
    </row>
    <row r="472" customFormat="false" ht="12" hidden="false" customHeight="true" outlineLevel="1" collapsed="false">
      <c r="B472" s="15" t="n">
        <v>45020</v>
      </c>
      <c r="C472" s="15" t="n">
        <f aca="false">B472</f>
        <v>45020</v>
      </c>
      <c r="D472" s="16" t="s">
        <v>384</v>
      </c>
      <c r="E472" s="16" t="s">
        <v>385</v>
      </c>
      <c r="F472" s="16" t="n">
        <v>331</v>
      </c>
      <c r="G472" s="17"/>
      <c r="H472" s="17" t="n">
        <v>1631931898</v>
      </c>
      <c r="I472" s="14" t="n">
        <f aca="false">I471+G472-H472</f>
        <v>6561473</v>
      </c>
    </row>
    <row r="473" customFormat="false" ht="12" hidden="false" customHeight="true" outlineLevel="1" collapsed="false">
      <c r="B473" s="15" t="n">
        <v>45021</v>
      </c>
      <c r="C473" s="15" t="n">
        <f aca="false">B473</f>
        <v>45021</v>
      </c>
      <c r="D473" s="16" t="s">
        <v>384</v>
      </c>
      <c r="E473" s="16" t="s">
        <v>378</v>
      </c>
      <c r="F473" s="16" t="s">
        <v>15</v>
      </c>
      <c r="G473" s="17" t="n">
        <v>177675000</v>
      </c>
      <c r="H473" s="17"/>
      <c r="I473" s="14" t="n">
        <f aca="false">I472+G473-H473</f>
        <v>184236473</v>
      </c>
    </row>
    <row r="474" customFormat="false" ht="12" hidden="false" customHeight="true" outlineLevel="1" collapsed="false">
      <c r="B474" s="15" t="n">
        <v>45021</v>
      </c>
      <c r="C474" s="15" t="n">
        <f aca="false">B474</f>
        <v>45021</v>
      </c>
      <c r="D474" s="16" t="s">
        <v>384</v>
      </c>
      <c r="E474" s="16" t="s">
        <v>378</v>
      </c>
      <c r="F474" s="16" t="n">
        <v>1111</v>
      </c>
      <c r="G474" s="17" t="n">
        <v>63806000</v>
      </c>
      <c r="H474" s="17"/>
      <c r="I474" s="14" t="n">
        <f aca="false">I473+G474-H474</f>
        <v>248042473</v>
      </c>
    </row>
    <row r="475" customFormat="false" ht="12" hidden="false" customHeight="true" outlineLevel="1" collapsed="false">
      <c r="B475" s="15" t="n">
        <v>45021</v>
      </c>
      <c r="C475" s="15" t="n">
        <f aca="false">B475</f>
        <v>45021</v>
      </c>
      <c r="D475" s="16" t="s">
        <v>384</v>
      </c>
      <c r="E475" s="16" t="s">
        <v>378</v>
      </c>
      <c r="F475" s="16" t="n">
        <v>1111</v>
      </c>
      <c r="G475" s="17" t="n">
        <v>48382000</v>
      </c>
      <c r="H475" s="17"/>
      <c r="I475" s="14" t="n">
        <f aca="false">I474+G475-H475</f>
        <v>296424473</v>
      </c>
    </row>
    <row r="476" customFormat="false" ht="12" hidden="false" customHeight="true" outlineLevel="1" collapsed="false">
      <c r="B476" s="15" t="n">
        <v>45021</v>
      </c>
      <c r="C476" s="15" t="n">
        <f aca="false">B476</f>
        <v>45021</v>
      </c>
      <c r="D476" s="16" t="s">
        <v>386</v>
      </c>
      <c r="E476" s="16" t="s">
        <v>385</v>
      </c>
      <c r="F476" s="16" t="n">
        <v>635</v>
      </c>
      <c r="G476" s="17"/>
      <c r="H476" s="17" t="n">
        <v>222427833</v>
      </c>
      <c r="I476" s="14" t="n">
        <f aca="false">I475+G476-H476</f>
        <v>73996640</v>
      </c>
    </row>
    <row r="477" customFormat="false" ht="12" hidden="false" customHeight="true" outlineLevel="1" collapsed="false">
      <c r="B477" s="15" t="n">
        <v>45022</v>
      </c>
      <c r="C477" s="15" t="n">
        <f aca="false">B477</f>
        <v>45022</v>
      </c>
      <c r="D477" s="16" t="s">
        <v>384</v>
      </c>
      <c r="E477" s="16" t="s">
        <v>378</v>
      </c>
      <c r="F477" s="16" t="n">
        <v>1111</v>
      </c>
      <c r="G477" s="17" t="n">
        <v>200250000</v>
      </c>
      <c r="H477" s="17"/>
      <c r="I477" s="14" t="n">
        <f aca="false">I476+G477-H477</f>
        <v>274246640</v>
      </c>
    </row>
    <row r="478" customFormat="false" ht="12" hidden="false" customHeight="true" outlineLevel="1" collapsed="false">
      <c r="B478" s="15" t="n">
        <v>45022</v>
      </c>
      <c r="C478" s="15" t="n">
        <f aca="false">B478</f>
        <v>45022</v>
      </c>
      <c r="D478" s="16" t="s">
        <v>384</v>
      </c>
      <c r="E478" s="16" t="s">
        <v>378</v>
      </c>
      <c r="F478" s="16" t="n">
        <f aca="false">F477</f>
        <v>1111</v>
      </c>
      <c r="G478" s="17" t="n">
        <v>97105000</v>
      </c>
      <c r="H478" s="17"/>
      <c r="I478" s="14" t="n">
        <f aca="false">I477+G478-H478</f>
        <v>371351640</v>
      </c>
    </row>
    <row r="479" customFormat="false" ht="12" hidden="false" customHeight="true" outlineLevel="1" collapsed="false">
      <c r="B479" s="15" t="n">
        <v>45022</v>
      </c>
      <c r="C479" s="15" t="n">
        <f aca="false">B479</f>
        <v>45022</v>
      </c>
      <c r="D479" s="16" t="s">
        <v>384</v>
      </c>
      <c r="E479" s="16" t="s">
        <v>378</v>
      </c>
      <c r="F479" s="16" t="s">
        <v>15</v>
      </c>
      <c r="G479" s="17" t="n">
        <v>70093000</v>
      </c>
      <c r="H479" s="17"/>
      <c r="I479" s="14" t="n">
        <f aca="false">I478+G479-H479</f>
        <v>441444640</v>
      </c>
    </row>
    <row r="480" customFormat="false" ht="12" hidden="false" customHeight="true" outlineLevel="1" collapsed="false">
      <c r="B480" s="15" t="n">
        <v>45023</v>
      </c>
      <c r="C480" s="15" t="n">
        <f aca="false">B480</f>
        <v>45023</v>
      </c>
      <c r="D480" s="16" t="s">
        <v>384</v>
      </c>
      <c r="E480" s="16" t="s">
        <v>378</v>
      </c>
      <c r="F480" s="16" t="s">
        <v>15</v>
      </c>
      <c r="G480" s="17" t="n">
        <v>71648000</v>
      </c>
      <c r="H480" s="17"/>
      <c r="I480" s="14" t="n">
        <f aca="false">I479+G480-H480</f>
        <v>513092640</v>
      </c>
    </row>
    <row r="481" customFormat="false" ht="12" hidden="false" customHeight="true" outlineLevel="1" collapsed="false">
      <c r="B481" s="15" t="n">
        <v>45023</v>
      </c>
      <c r="C481" s="15" t="n">
        <f aca="false">B481</f>
        <v>45023</v>
      </c>
      <c r="D481" s="16" t="s">
        <v>384</v>
      </c>
      <c r="E481" s="16" t="s">
        <v>378</v>
      </c>
      <c r="F481" s="16" t="s">
        <v>15</v>
      </c>
      <c r="G481" s="17" t="n">
        <v>62912000</v>
      </c>
      <c r="H481" s="17"/>
      <c r="I481" s="14" t="n">
        <f aca="false">I480+G481-H481</f>
        <v>576004640</v>
      </c>
    </row>
    <row r="482" customFormat="false" ht="12" hidden="false" customHeight="true" outlineLevel="1" collapsed="false">
      <c r="B482" s="15" t="n">
        <v>45023</v>
      </c>
      <c r="C482" s="15" t="n">
        <f aca="false">B482</f>
        <v>45023</v>
      </c>
      <c r="D482" s="16" t="s">
        <v>384</v>
      </c>
      <c r="E482" s="16" t="s">
        <v>378</v>
      </c>
      <c r="F482" s="16" t="s">
        <v>15</v>
      </c>
      <c r="G482" s="17" t="n">
        <v>165589000</v>
      </c>
      <c r="H482" s="17"/>
      <c r="I482" s="14" t="n">
        <f aca="false">I481+G482-H482</f>
        <v>741593640</v>
      </c>
    </row>
    <row r="483" customFormat="false" ht="12" hidden="false" customHeight="true" outlineLevel="1" collapsed="false">
      <c r="B483" s="15" t="n">
        <v>45023</v>
      </c>
      <c r="C483" s="15" t="n">
        <f aca="false">B483</f>
        <v>45023</v>
      </c>
      <c r="D483" s="16" t="s">
        <v>384</v>
      </c>
      <c r="E483" s="16" t="s">
        <v>378</v>
      </c>
      <c r="F483" s="16" t="s">
        <v>15</v>
      </c>
      <c r="G483" s="17" t="n">
        <v>5000000</v>
      </c>
      <c r="H483" s="17"/>
      <c r="I483" s="14" t="n">
        <f aca="false">I482+G483-H483</f>
        <v>746593640</v>
      </c>
    </row>
    <row r="484" customFormat="false" ht="12" hidden="false" customHeight="true" outlineLevel="1" collapsed="false">
      <c r="B484" s="15" t="n">
        <v>45023</v>
      </c>
      <c r="C484" s="15" t="n">
        <f aca="false">B484</f>
        <v>45023</v>
      </c>
      <c r="D484" s="16" t="s">
        <v>387</v>
      </c>
      <c r="E484" s="16" t="s">
        <v>388</v>
      </c>
      <c r="F484" s="16" t="n">
        <v>3368</v>
      </c>
      <c r="G484" s="17" t="n">
        <v>340000000</v>
      </c>
      <c r="H484" s="17"/>
      <c r="I484" s="14" t="n">
        <f aca="false">I483+G484-H484</f>
        <v>1086593640</v>
      </c>
    </row>
    <row r="485" customFormat="false" ht="12" hidden="false" customHeight="true" outlineLevel="1" collapsed="false">
      <c r="B485" s="15" t="n">
        <v>45023</v>
      </c>
      <c r="C485" s="15" t="n">
        <f aca="false">B485</f>
        <v>45023</v>
      </c>
      <c r="D485" s="16" t="s">
        <v>389</v>
      </c>
      <c r="E485" s="16" t="s">
        <v>178</v>
      </c>
      <c r="F485" s="16" t="n">
        <v>331</v>
      </c>
      <c r="G485" s="17"/>
      <c r="H485" s="17" t="n">
        <v>834097407</v>
      </c>
      <c r="I485" s="14" t="n">
        <f aca="false">I484+G485-H485</f>
        <v>252496233</v>
      </c>
    </row>
    <row r="486" customFormat="false" ht="12" hidden="false" customHeight="true" outlineLevel="1" collapsed="false">
      <c r="B486" s="15" t="n">
        <v>45023</v>
      </c>
      <c r="C486" s="15" t="n">
        <f aca="false">B486</f>
        <v>45023</v>
      </c>
      <c r="D486" s="16" t="s">
        <v>390</v>
      </c>
      <c r="E486" s="16" t="s">
        <v>391</v>
      </c>
      <c r="F486" s="16" t="n">
        <v>3411</v>
      </c>
      <c r="G486" s="17"/>
      <c r="H486" s="17" t="n">
        <v>240000000</v>
      </c>
      <c r="I486" s="14" t="n">
        <f aca="false">I485+G486-H486</f>
        <v>12496233</v>
      </c>
    </row>
    <row r="487" customFormat="false" ht="12" hidden="false" customHeight="true" outlineLevel="1" collapsed="false">
      <c r="B487" s="15" t="n">
        <v>45023</v>
      </c>
      <c r="C487" s="15" t="n">
        <f aca="false">B487</f>
        <v>45023</v>
      </c>
      <c r="D487" s="16" t="s">
        <v>392</v>
      </c>
      <c r="E487" s="16" t="s">
        <v>388</v>
      </c>
      <c r="F487" s="16" t="n">
        <v>3368</v>
      </c>
      <c r="G487" s="17" t="n">
        <v>24000000</v>
      </c>
      <c r="H487" s="17"/>
      <c r="I487" s="14" t="n">
        <f aca="false">I486+G487-H487</f>
        <v>36496233</v>
      </c>
    </row>
    <row r="488" customFormat="false" ht="12" hidden="false" customHeight="true" outlineLevel="1" collapsed="false">
      <c r="B488" s="15" t="n">
        <v>45023</v>
      </c>
      <c r="C488" s="15" t="n">
        <f aca="false">B488</f>
        <v>45023</v>
      </c>
      <c r="D488" s="16" t="s">
        <v>393</v>
      </c>
      <c r="E488" s="16" t="s">
        <v>388</v>
      </c>
      <c r="F488" s="16" t="n">
        <v>3368</v>
      </c>
      <c r="G488" s="17" t="n">
        <v>25000000</v>
      </c>
      <c r="H488" s="17"/>
      <c r="I488" s="14" t="n">
        <f aca="false">I487+G488-H488</f>
        <v>61496233</v>
      </c>
    </row>
    <row r="489" customFormat="false" ht="12" hidden="false" customHeight="true" outlineLevel="1" collapsed="false">
      <c r="B489" s="15" t="n">
        <v>45023</v>
      </c>
      <c r="C489" s="15" t="n">
        <f aca="false">B489</f>
        <v>45023</v>
      </c>
      <c r="D489" s="16" t="s">
        <v>394</v>
      </c>
      <c r="E489" s="16" t="s">
        <v>36</v>
      </c>
      <c r="F489" s="16" t="n">
        <v>635</v>
      </c>
      <c r="G489" s="17"/>
      <c r="H489" s="17" t="n">
        <v>93467</v>
      </c>
      <c r="I489" s="14" t="n">
        <f aca="false">I488+G489-H489</f>
        <v>61402766</v>
      </c>
    </row>
    <row r="490" customFormat="false" ht="12" hidden="false" customHeight="true" outlineLevel="1" collapsed="false">
      <c r="B490" s="15" t="n">
        <v>45023</v>
      </c>
      <c r="C490" s="15" t="n">
        <f aca="false">B490</f>
        <v>45023</v>
      </c>
      <c r="D490" s="16" t="s">
        <v>395</v>
      </c>
      <c r="E490" s="16" t="s">
        <v>178</v>
      </c>
      <c r="F490" s="16" t="n">
        <v>331</v>
      </c>
      <c r="G490" s="17"/>
      <c r="H490" s="17" t="n">
        <v>55837000</v>
      </c>
      <c r="I490" s="14" t="n">
        <f aca="false">I489+G490-H490</f>
        <v>5565766</v>
      </c>
    </row>
    <row r="491" customFormat="false" ht="12" hidden="false" customHeight="true" outlineLevel="1" collapsed="false">
      <c r="B491" s="15" t="n">
        <v>45024</v>
      </c>
      <c r="C491" s="15" t="n">
        <f aca="false">B491</f>
        <v>45024</v>
      </c>
      <c r="D491" s="16" t="s">
        <v>396</v>
      </c>
      <c r="E491" s="16" t="s">
        <v>36</v>
      </c>
      <c r="F491" s="16" t="n">
        <v>635</v>
      </c>
      <c r="G491" s="17"/>
      <c r="H491" s="17" t="n">
        <v>55000</v>
      </c>
      <c r="I491" s="14" t="n">
        <f aca="false">I490+G491-H491</f>
        <v>5510766</v>
      </c>
    </row>
    <row r="492" customFormat="false" ht="12" hidden="false" customHeight="true" outlineLevel="1" collapsed="false">
      <c r="B492" s="15" t="n">
        <v>45028</v>
      </c>
      <c r="C492" s="15" t="n">
        <f aca="false">B492</f>
        <v>45028</v>
      </c>
      <c r="D492" s="16" t="s">
        <v>384</v>
      </c>
      <c r="E492" s="16" t="s">
        <v>378</v>
      </c>
      <c r="F492" s="16" t="s">
        <v>15</v>
      </c>
      <c r="G492" s="17" t="n">
        <v>226077000</v>
      </c>
      <c r="H492" s="17"/>
      <c r="I492" s="14" t="n">
        <f aca="false">I491+G492-H492</f>
        <v>231587766</v>
      </c>
    </row>
    <row r="493" customFormat="false" ht="12" hidden="false" customHeight="true" outlineLevel="1" collapsed="false">
      <c r="B493" s="15" t="n">
        <v>45028</v>
      </c>
      <c r="C493" s="15" t="n">
        <f aca="false">B493</f>
        <v>45028</v>
      </c>
      <c r="D493" s="16" t="s">
        <v>384</v>
      </c>
      <c r="E493" s="16" t="s">
        <v>378</v>
      </c>
      <c r="F493" s="16" t="s">
        <v>15</v>
      </c>
      <c r="G493" s="17" t="n">
        <v>88617000</v>
      </c>
      <c r="H493" s="17"/>
      <c r="I493" s="14" t="n">
        <f aca="false">I492+G493-H493</f>
        <v>320204766</v>
      </c>
    </row>
    <row r="494" customFormat="false" ht="12" hidden="false" customHeight="true" outlineLevel="1" collapsed="false">
      <c r="B494" s="15" t="n">
        <v>45028</v>
      </c>
      <c r="C494" s="15" t="n">
        <f aca="false">B494</f>
        <v>45028</v>
      </c>
      <c r="D494" s="16" t="s">
        <v>384</v>
      </c>
      <c r="E494" s="16" t="s">
        <v>378</v>
      </c>
      <c r="F494" s="16" t="s">
        <v>15</v>
      </c>
      <c r="G494" s="17" t="n">
        <v>87747000</v>
      </c>
      <c r="H494" s="17"/>
      <c r="I494" s="14" t="n">
        <f aca="false">I493+G494-H494</f>
        <v>407951766</v>
      </c>
    </row>
    <row r="495" customFormat="false" ht="12" hidden="false" customHeight="true" outlineLevel="1" collapsed="false">
      <c r="B495" s="15" t="n">
        <v>45028</v>
      </c>
      <c r="C495" s="15" t="n">
        <f aca="false">B495</f>
        <v>45028</v>
      </c>
      <c r="D495" s="16" t="s">
        <v>384</v>
      </c>
      <c r="E495" s="16" t="s">
        <v>378</v>
      </c>
      <c r="F495" s="16" t="s">
        <v>15</v>
      </c>
      <c r="G495" s="17" t="n">
        <v>50000000</v>
      </c>
      <c r="H495" s="17"/>
      <c r="I495" s="14" t="n">
        <f aca="false">I494+G495-H495</f>
        <v>457951766</v>
      </c>
    </row>
    <row r="496" customFormat="false" ht="12" hidden="false" customHeight="true" outlineLevel="1" collapsed="false">
      <c r="B496" s="15" t="n">
        <v>45028</v>
      </c>
      <c r="C496" s="15" t="n">
        <f aca="false">B496</f>
        <v>45028</v>
      </c>
      <c r="D496" s="16" t="s">
        <v>395</v>
      </c>
      <c r="E496" s="16" t="s">
        <v>178</v>
      </c>
      <c r="F496" s="16" t="n">
        <v>331</v>
      </c>
      <c r="G496" s="17"/>
      <c r="H496" s="17" t="n">
        <v>452475560</v>
      </c>
      <c r="I496" s="14" t="n">
        <f aca="false">I495+G496-H496</f>
        <v>5476206</v>
      </c>
    </row>
    <row r="497" customFormat="false" ht="12" hidden="false" customHeight="true" outlineLevel="1" collapsed="false">
      <c r="B497" s="15" t="n">
        <v>45029</v>
      </c>
      <c r="C497" s="15" t="n">
        <f aca="false">B497</f>
        <v>45029</v>
      </c>
      <c r="D497" s="16" t="s">
        <v>384</v>
      </c>
      <c r="E497" s="16" t="s">
        <v>378</v>
      </c>
      <c r="F497" s="16" t="s">
        <v>15</v>
      </c>
      <c r="G497" s="17" t="n">
        <v>182649000</v>
      </c>
      <c r="H497" s="17"/>
      <c r="I497" s="14" t="n">
        <f aca="false">I496+G497-H497</f>
        <v>188125206</v>
      </c>
    </row>
    <row r="498" customFormat="false" ht="12" hidden="false" customHeight="true" outlineLevel="1" collapsed="false">
      <c r="B498" s="15" t="n">
        <v>45029</v>
      </c>
      <c r="C498" s="15" t="n">
        <f aca="false">B498</f>
        <v>45029</v>
      </c>
      <c r="D498" s="16" t="s">
        <v>384</v>
      </c>
      <c r="E498" s="16" t="s">
        <v>378</v>
      </c>
      <c r="F498" s="16" t="s">
        <v>15</v>
      </c>
      <c r="G498" s="17" t="n">
        <v>107966000</v>
      </c>
      <c r="H498" s="17"/>
      <c r="I498" s="14" t="n">
        <f aca="false">I497+G498-H498</f>
        <v>296091206</v>
      </c>
    </row>
    <row r="499" customFormat="false" ht="12" hidden="false" customHeight="true" outlineLevel="1" collapsed="false">
      <c r="B499" s="15" t="n">
        <v>45029</v>
      </c>
      <c r="C499" s="15" t="n">
        <f aca="false">B499</f>
        <v>45029</v>
      </c>
      <c r="D499" s="16" t="s">
        <v>384</v>
      </c>
      <c r="E499" s="16" t="s">
        <v>378</v>
      </c>
      <c r="F499" s="16" t="s">
        <v>15</v>
      </c>
      <c r="G499" s="17" t="n">
        <v>16319000</v>
      </c>
      <c r="H499" s="17"/>
      <c r="I499" s="14" t="n">
        <f aca="false">I498+G499-H499</f>
        <v>312410206</v>
      </c>
    </row>
    <row r="500" customFormat="false" ht="12" hidden="false" customHeight="true" outlineLevel="1" collapsed="false">
      <c r="B500" s="15" t="n">
        <v>45030</v>
      </c>
      <c r="C500" s="15" t="n">
        <f aca="false">B500</f>
        <v>45030</v>
      </c>
      <c r="D500" s="16" t="s">
        <v>384</v>
      </c>
      <c r="E500" s="16" t="s">
        <v>378</v>
      </c>
      <c r="F500" s="16" t="s">
        <v>15</v>
      </c>
      <c r="G500" s="17" t="n">
        <v>197779000</v>
      </c>
      <c r="H500" s="17"/>
      <c r="I500" s="14" t="n">
        <f aca="false">I499+G500-H500</f>
        <v>510189206</v>
      </c>
    </row>
    <row r="501" customFormat="false" ht="12" hidden="false" customHeight="true" outlineLevel="1" collapsed="false">
      <c r="B501" s="15" t="n">
        <v>44665</v>
      </c>
      <c r="C501" s="15" t="n">
        <f aca="false">B501</f>
        <v>44665</v>
      </c>
      <c r="D501" s="16" t="s">
        <v>384</v>
      </c>
      <c r="E501" s="16" t="s">
        <v>378</v>
      </c>
      <c r="F501" s="16" t="s">
        <v>15</v>
      </c>
      <c r="G501" s="17" t="n">
        <v>39793000</v>
      </c>
      <c r="H501" s="17"/>
      <c r="I501" s="14" t="n">
        <f aca="false">I500+G501-H501</f>
        <v>549982206</v>
      </c>
    </row>
    <row r="502" customFormat="false" ht="12" hidden="false" customHeight="true" outlineLevel="1" collapsed="false">
      <c r="B502" s="15" t="n">
        <v>44665</v>
      </c>
      <c r="C502" s="15" t="n">
        <f aca="false">B502</f>
        <v>44665</v>
      </c>
      <c r="D502" s="16" t="s">
        <v>397</v>
      </c>
      <c r="E502" s="16" t="s">
        <v>23</v>
      </c>
      <c r="F502" s="16" t="s">
        <v>24</v>
      </c>
      <c r="G502" s="17"/>
      <c r="H502" s="17" t="n">
        <v>390000000</v>
      </c>
      <c r="I502" s="14" t="n">
        <f aca="false">I501+G502-H502</f>
        <v>159982206</v>
      </c>
    </row>
    <row r="503" customFormat="false" ht="12" hidden="false" customHeight="true" outlineLevel="1" collapsed="false">
      <c r="B503" s="15" t="n">
        <v>44665</v>
      </c>
      <c r="C503" s="15" t="n">
        <f aca="false">B503</f>
        <v>44665</v>
      </c>
      <c r="D503" s="16" t="s">
        <v>398</v>
      </c>
      <c r="E503" s="16" t="s">
        <v>178</v>
      </c>
      <c r="F503" s="16" t="n">
        <v>331</v>
      </c>
      <c r="G503" s="17"/>
      <c r="H503" s="17" t="n">
        <v>151032079</v>
      </c>
      <c r="I503" s="14" t="n">
        <f aca="false">I502+G503-H503</f>
        <v>8950127</v>
      </c>
    </row>
    <row r="504" customFormat="false" ht="12" hidden="false" customHeight="true" outlineLevel="1" collapsed="false">
      <c r="B504" s="15" t="n">
        <v>45034</v>
      </c>
      <c r="C504" s="15" t="n">
        <f aca="false">B504</f>
        <v>45034</v>
      </c>
      <c r="D504" s="16" t="s">
        <v>384</v>
      </c>
      <c r="E504" s="16" t="s">
        <v>378</v>
      </c>
      <c r="F504" s="16" t="s">
        <v>15</v>
      </c>
      <c r="G504" s="17" t="n">
        <v>131594000</v>
      </c>
      <c r="H504" s="17"/>
      <c r="I504" s="14" t="n">
        <f aca="false">I503+G504-H504</f>
        <v>140544127</v>
      </c>
    </row>
    <row r="505" customFormat="false" ht="12" hidden="false" customHeight="true" outlineLevel="1" collapsed="false">
      <c r="B505" s="15" t="n">
        <v>45034</v>
      </c>
      <c r="C505" s="15" t="n">
        <f aca="false">B505</f>
        <v>45034</v>
      </c>
      <c r="D505" s="16" t="s">
        <v>384</v>
      </c>
      <c r="E505" s="16" t="s">
        <v>378</v>
      </c>
      <c r="F505" s="16" t="s">
        <v>15</v>
      </c>
      <c r="G505" s="17" t="n">
        <v>73835000</v>
      </c>
      <c r="H505" s="17"/>
      <c r="I505" s="14" t="n">
        <f aca="false">I504+G505-H505</f>
        <v>214379127</v>
      </c>
    </row>
    <row r="506" customFormat="false" ht="12" hidden="false" customHeight="true" outlineLevel="1" collapsed="false">
      <c r="B506" s="15" t="n">
        <v>45034</v>
      </c>
      <c r="C506" s="15" t="n">
        <f aca="false">B506</f>
        <v>45034</v>
      </c>
      <c r="D506" s="16" t="s">
        <v>384</v>
      </c>
      <c r="E506" s="16" t="s">
        <v>378</v>
      </c>
      <c r="F506" s="16" t="s">
        <v>15</v>
      </c>
      <c r="G506" s="17" t="n">
        <v>28270000</v>
      </c>
      <c r="H506" s="17"/>
      <c r="I506" s="14" t="n">
        <f aca="false">I505+G506-H506</f>
        <v>242649127</v>
      </c>
    </row>
    <row r="507" customFormat="false" ht="12" hidden="false" customHeight="true" outlineLevel="1" collapsed="false">
      <c r="B507" s="15" t="n">
        <v>45034</v>
      </c>
      <c r="C507" s="15" t="n">
        <f aca="false">B507</f>
        <v>45034</v>
      </c>
      <c r="D507" s="16" t="s">
        <v>399</v>
      </c>
      <c r="E507" s="16" t="s">
        <v>23</v>
      </c>
      <c r="F507" s="16" t="s">
        <v>24</v>
      </c>
      <c r="G507" s="17"/>
      <c r="H507" s="17" t="n">
        <v>235000000</v>
      </c>
      <c r="I507" s="14" t="n">
        <f aca="false">I506+G507-H507</f>
        <v>7649127</v>
      </c>
    </row>
    <row r="508" customFormat="false" ht="12" hidden="false" customHeight="true" outlineLevel="1" collapsed="false">
      <c r="B508" s="15" t="n">
        <v>45034</v>
      </c>
      <c r="C508" s="15" t="n">
        <f aca="false">B508</f>
        <v>45034</v>
      </c>
      <c r="D508" s="16" t="s">
        <v>400</v>
      </c>
      <c r="E508" s="16" t="s">
        <v>36</v>
      </c>
      <c r="F508" s="16" t="n">
        <v>635</v>
      </c>
      <c r="G508" s="17"/>
      <c r="H508" s="17" t="n">
        <v>11000</v>
      </c>
      <c r="I508" s="14" t="n">
        <f aca="false">I507+G508-H508</f>
        <v>7638127</v>
      </c>
    </row>
    <row r="509" customFormat="false" ht="12" hidden="false" customHeight="true" outlineLevel="1" collapsed="false">
      <c r="B509" s="15" t="n">
        <v>45035</v>
      </c>
      <c r="C509" s="15" t="n">
        <f aca="false">B509</f>
        <v>45035</v>
      </c>
      <c r="D509" s="16" t="s">
        <v>384</v>
      </c>
      <c r="E509" s="16" t="s">
        <v>378</v>
      </c>
      <c r="F509" s="16" t="s">
        <v>15</v>
      </c>
      <c r="G509" s="17" t="n">
        <v>144810000</v>
      </c>
      <c r="H509" s="17"/>
      <c r="I509" s="14" t="n">
        <f aca="false">I508+G509-H509</f>
        <v>152448127</v>
      </c>
    </row>
    <row r="510" customFormat="false" ht="12" hidden="false" customHeight="true" outlineLevel="1" collapsed="false">
      <c r="B510" s="15" t="n">
        <v>45035</v>
      </c>
      <c r="C510" s="15" t="n">
        <f aca="false">B510</f>
        <v>45035</v>
      </c>
      <c r="D510" s="16" t="s">
        <v>384</v>
      </c>
      <c r="E510" s="16" t="s">
        <v>378</v>
      </c>
      <c r="F510" s="16" t="s">
        <v>15</v>
      </c>
      <c r="G510" s="17" t="n">
        <v>67892000</v>
      </c>
      <c r="H510" s="17"/>
      <c r="I510" s="14" t="n">
        <f aca="false">I509+G510-H510</f>
        <v>220340127</v>
      </c>
    </row>
    <row r="511" customFormat="false" ht="12" hidden="false" customHeight="true" outlineLevel="1" collapsed="false">
      <c r="B511" s="15" t="n">
        <v>45035</v>
      </c>
      <c r="C511" s="15" t="n">
        <f aca="false">B511</f>
        <v>45035</v>
      </c>
      <c r="D511" s="16" t="s">
        <v>384</v>
      </c>
      <c r="E511" s="16" t="s">
        <v>378</v>
      </c>
      <c r="F511" s="16" t="s">
        <v>15</v>
      </c>
      <c r="G511" s="17" t="n">
        <v>82605000</v>
      </c>
      <c r="H511" s="17"/>
      <c r="I511" s="14" t="n">
        <f aca="false">I510+G511-H511</f>
        <v>302945127</v>
      </c>
    </row>
    <row r="512" customFormat="false" ht="12" hidden="false" customHeight="true" outlineLevel="1" collapsed="false">
      <c r="B512" s="15" t="n">
        <v>45035</v>
      </c>
      <c r="C512" s="15" t="n">
        <f aca="false">B512</f>
        <v>45035</v>
      </c>
      <c r="D512" s="16" t="s">
        <v>401</v>
      </c>
      <c r="E512" s="16" t="s">
        <v>23</v>
      </c>
      <c r="F512" s="16" t="s">
        <v>24</v>
      </c>
      <c r="G512" s="17"/>
      <c r="H512" s="17" t="n">
        <v>175000000</v>
      </c>
      <c r="I512" s="14" t="n">
        <f aca="false">I511+G512-H512</f>
        <v>127945127</v>
      </c>
    </row>
    <row r="513" customFormat="false" ht="12" hidden="false" customHeight="true" outlineLevel="1" collapsed="false">
      <c r="B513" s="15" t="n">
        <v>45035</v>
      </c>
      <c r="C513" s="15" t="n">
        <f aca="false">B513</f>
        <v>45035</v>
      </c>
      <c r="D513" s="16" t="s">
        <v>402</v>
      </c>
      <c r="E513" s="16" t="s">
        <v>178</v>
      </c>
      <c r="F513" s="16" t="n">
        <v>331</v>
      </c>
      <c r="G513" s="17"/>
      <c r="H513" s="17" t="n">
        <v>122066821</v>
      </c>
      <c r="I513" s="14" t="n">
        <f aca="false">I512+G513-H513</f>
        <v>5878306</v>
      </c>
    </row>
    <row r="514" customFormat="false" ht="12" hidden="false" customHeight="true" outlineLevel="1" collapsed="false">
      <c r="B514" s="15" t="n">
        <v>45036</v>
      </c>
      <c r="C514" s="15" t="n">
        <f aca="false">B514</f>
        <v>45036</v>
      </c>
      <c r="D514" s="16" t="s">
        <v>403</v>
      </c>
      <c r="E514" s="16" t="s">
        <v>157</v>
      </c>
      <c r="F514" s="16" t="s">
        <v>15</v>
      </c>
      <c r="G514" s="17" t="n">
        <v>146613000</v>
      </c>
      <c r="H514" s="17"/>
      <c r="I514" s="14" t="n">
        <f aca="false">I513+G514-H514</f>
        <v>152491306</v>
      </c>
    </row>
    <row r="515" customFormat="false" ht="12" hidden="false" customHeight="true" outlineLevel="1" collapsed="false">
      <c r="B515" s="15" t="n">
        <v>45036</v>
      </c>
      <c r="C515" s="15" t="n">
        <f aca="false">B515</f>
        <v>45036</v>
      </c>
      <c r="D515" s="16" t="s">
        <v>404</v>
      </c>
      <c r="E515" s="16" t="s">
        <v>157</v>
      </c>
      <c r="F515" s="16" t="s">
        <v>15</v>
      </c>
      <c r="G515" s="17" t="n">
        <v>106262000</v>
      </c>
      <c r="H515" s="17"/>
      <c r="I515" s="14" t="n">
        <f aca="false">I514+G515-H515</f>
        <v>258753306</v>
      </c>
    </row>
    <row r="516" customFormat="false" ht="12" hidden="false" customHeight="true" outlineLevel="1" collapsed="false">
      <c r="B516" s="15" t="n">
        <v>45036</v>
      </c>
      <c r="C516" s="15" t="n">
        <f aca="false">B516</f>
        <v>45036</v>
      </c>
      <c r="D516" s="16" t="s">
        <v>405</v>
      </c>
      <c r="E516" s="16" t="s">
        <v>157</v>
      </c>
      <c r="F516" s="16" t="s">
        <v>15</v>
      </c>
      <c r="G516" s="17" t="n">
        <v>56148000</v>
      </c>
      <c r="H516" s="17"/>
      <c r="I516" s="14" t="n">
        <f aca="false">I515+G516-H516</f>
        <v>314901306</v>
      </c>
    </row>
    <row r="517" customFormat="false" ht="12" hidden="false" customHeight="true" outlineLevel="1" collapsed="false">
      <c r="B517" s="15" t="n">
        <v>45036</v>
      </c>
      <c r="C517" s="15" t="n">
        <f aca="false">B517</f>
        <v>45036</v>
      </c>
      <c r="D517" s="16" t="s">
        <v>406</v>
      </c>
      <c r="E517" s="16" t="s">
        <v>157</v>
      </c>
      <c r="F517" s="16" t="s">
        <v>15</v>
      </c>
      <c r="G517" s="17" t="n">
        <v>24000000</v>
      </c>
      <c r="H517" s="17"/>
      <c r="I517" s="14" t="n">
        <f aca="false">I516+G517-H517</f>
        <v>338901306</v>
      </c>
    </row>
    <row r="518" customFormat="false" ht="12" hidden="false" customHeight="true" outlineLevel="1" collapsed="false">
      <c r="B518" s="15" t="n">
        <v>45036</v>
      </c>
      <c r="C518" s="15" t="n">
        <f aca="false">B518</f>
        <v>45036</v>
      </c>
      <c r="D518" s="16" t="s">
        <v>407</v>
      </c>
      <c r="E518" s="16" t="s">
        <v>408</v>
      </c>
      <c r="F518" s="16" t="s">
        <v>24</v>
      </c>
      <c r="G518" s="17"/>
      <c r="H518" s="17" t="n">
        <v>294744387</v>
      </c>
      <c r="I518" s="14" t="n">
        <f aca="false">I517+G518-H518</f>
        <v>44156919</v>
      </c>
    </row>
    <row r="519" customFormat="false" ht="12" hidden="false" customHeight="true" outlineLevel="1" collapsed="false">
      <c r="B519" s="15" t="n">
        <v>45036</v>
      </c>
      <c r="C519" s="15" t="n">
        <f aca="false">B519</f>
        <v>45036</v>
      </c>
      <c r="D519" s="16" t="s">
        <v>409</v>
      </c>
      <c r="E519" s="16" t="s">
        <v>408</v>
      </c>
      <c r="F519" s="16" t="s">
        <v>24</v>
      </c>
      <c r="G519" s="17"/>
      <c r="H519" s="17" t="n">
        <v>35255613</v>
      </c>
      <c r="I519" s="14" t="n">
        <f aca="false">I518+G519-H519</f>
        <v>8901306</v>
      </c>
    </row>
    <row r="520" customFormat="false" ht="12" hidden="false" customHeight="true" outlineLevel="1" collapsed="false">
      <c r="B520" s="15" t="n">
        <v>45036</v>
      </c>
      <c r="C520" s="15" t="n">
        <f aca="false">B520</f>
        <v>45036</v>
      </c>
      <c r="D520" s="16" t="s">
        <v>410</v>
      </c>
      <c r="E520" s="16" t="s">
        <v>36</v>
      </c>
      <c r="F520" s="16" t="n">
        <v>635</v>
      </c>
      <c r="G520" s="17"/>
      <c r="H520" s="17" t="n">
        <v>5883738</v>
      </c>
      <c r="I520" s="14" t="n">
        <f aca="false">I519+G520-H520</f>
        <v>3017568</v>
      </c>
    </row>
    <row r="521" customFormat="false" ht="12" hidden="false" customHeight="true" outlineLevel="1" collapsed="false">
      <c r="B521" s="15" t="n">
        <v>45037</v>
      </c>
      <c r="C521" s="15" t="n">
        <f aca="false">B521</f>
        <v>45037</v>
      </c>
      <c r="D521" s="16" t="s">
        <v>384</v>
      </c>
      <c r="E521" s="16" t="s">
        <v>378</v>
      </c>
      <c r="F521" s="16" t="s">
        <v>15</v>
      </c>
      <c r="G521" s="17" t="n">
        <v>135683000</v>
      </c>
      <c r="H521" s="17"/>
      <c r="I521" s="14" t="n">
        <f aca="false">I520+G521-H521</f>
        <v>138700568</v>
      </c>
    </row>
    <row r="522" customFormat="false" ht="12" hidden="false" customHeight="true" outlineLevel="1" collapsed="false">
      <c r="B522" s="15" t="n">
        <v>45037</v>
      </c>
      <c r="C522" s="15" t="n">
        <f aca="false">B522</f>
        <v>45037</v>
      </c>
      <c r="D522" s="16" t="s">
        <v>384</v>
      </c>
      <c r="E522" s="16" t="s">
        <v>378</v>
      </c>
      <c r="F522" s="16" t="s">
        <v>15</v>
      </c>
      <c r="G522" s="17" t="n">
        <v>36089000</v>
      </c>
      <c r="H522" s="17"/>
      <c r="I522" s="14" t="n">
        <f aca="false">I521+G522-H522</f>
        <v>174789568</v>
      </c>
    </row>
    <row r="523" customFormat="false" ht="12" hidden="false" customHeight="true" outlineLevel="1" collapsed="false">
      <c r="B523" s="15" t="n">
        <v>45037</v>
      </c>
      <c r="C523" s="15" t="n">
        <f aca="false">B523</f>
        <v>45037</v>
      </c>
      <c r="D523" s="16" t="s">
        <v>384</v>
      </c>
      <c r="E523" s="16" t="s">
        <v>378</v>
      </c>
      <c r="F523" s="16" t="s">
        <v>15</v>
      </c>
      <c r="G523" s="17" t="n">
        <v>56494000</v>
      </c>
      <c r="H523" s="17"/>
      <c r="I523" s="14" t="n">
        <f aca="false">I522+G523-H523</f>
        <v>231283568</v>
      </c>
    </row>
    <row r="524" customFormat="false" ht="12" hidden="false" customHeight="true" outlineLevel="1" collapsed="false">
      <c r="B524" s="15" t="n">
        <v>45037</v>
      </c>
      <c r="C524" s="15" t="n">
        <f aca="false">B524</f>
        <v>45037</v>
      </c>
      <c r="D524" s="16" t="s">
        <v>384</v>
      </c>
      <c r="E524" s="16" t="s">
        <v>378</v>
      </c>
      <c r="F524" s="16" t="s">
        <v>15</v>
      </c>
      <c r="G524" s="17" t="n">
        <v>153000000</v>
      </c>
      <c r="H524" s="17"/>
      <c r="I524" s="14" t="n">
        <f aca="false">I523+G524-H524</f>
        <v>384283568</v>
      </c>
    </row>
    <row r="525" customFormat="false" ht="12" hidden="false" customHeight="true" outlineLevel="1" collapsed="false">
      <c r="B525" s="15" t="n">
        <v>45037</v>
      </c>
      <c r="C525" s="15" t="n">
        <f aca="false">B525</f>
        <v>45037</v>
      </c>
      <c r="D525" s="16" t="s">
        <v>411</v>
      </c>
      <c r="E525" s="16" t="s">
        <v>36</v>
      </c>
      <c r="F525" s="16" t="n">
        <v>635</v>
      </c>
      <c r="G525" s="17"/>
      <c r="H525" s="17" t="n">
        <v>99620</v>
      </c>
      <c r="I525" s="14" t="n">
        <f aca="false">I524+G525-H525</f>
        <v>384183948</v>
      </c>
    </row>
    <row r="526" customFormat="false" ht="12" hidden="false" customHeight="true" outlineLevel="1" collapsed="false">
      <c r="B526" s="15" t="n">
        <v>45037</v>
      </c>
      <c r="C526" s="15" t="n">
        <f aca="false">B526</f>
        <v>45037</v>
      </c>
      <c r="D526" s="16" t="s">
        <v>412</v>
      </c>
      <c r="E526" s="16" t="s">
        <v>23</v>
      </c>
      <c r="F526" s="16" t="s">
        <v>24</v>
      </c>
      <c r="G526" s="17"/>
      <c r="H526" s="17" t="n">
        <v>64035440</v>
      </c>
      <c r="I526" s="14" t="n">
        <f aca="false">I525+G526-H526</f>
        <v>320148508</v>
      </c>
    </row>
    <row r="527" customFormat="false" ht="12" hidden="false" customHeight="true" outlineLevel="1" collapsed="false">
      <c r="B527" s="15" t="n">
        <v>45037</v>
      </c>
      <c r="C527" s="15" t="n">
        <f aca="false">B527</f>
        <v>45037</v>
      </c>
      <c r="D527" s="16" t="s">
        <v>412</v>
      </c>
      <c r="E527" s="16" t="s">
        <v>23</v>
      </c>
      <c r="F527" s="16" t="s">
        <v>24</v>
      </c>
      <c r="G527" s="17"/>
      <c r="H527" s="17" t="n">
        <v>310964560</v>
      </c>
      <c r="I527" s="14" t="n">
        <f aca="false">I526+G527-H527</f>
        <v>9183948</v>
      </c>
    </row>
    <row r="528" customFormat="false" ht="12" hidden="false" customHeight="true" outlineLevel="1" collapsed="false">
      <c r="B528" s="15" t="n">
        <v>45037</v>
      </c>
      <c r="C528" s="15" t="n">
        <f aca="false">B528</f>
        <v>45037</v>
      </c>
      <c r="D528" s="16" t="s">
        <v>411</v>
      </c>
      <c r="E528" s="16" t="s">
        <v>57</v>
      </c>
      <c r="F528" s="16" t="n">
        <v>635</v>
      </c>
      <c r="G528" s="17"/>
      <c r="H528" s="17" t="n">
        <v>536333</v>
      </c>
      <c r="I528" s="14" t="n">
        <f aca="false">I527+G528-H528</f>
        <v>8647615</v>
      </c>
    </row>
    <row r="529" customFormat="false" ht="12" hidden="false" customHeight="true" outlineLevel="1" collapsed="false">
      <c r="B529" s="15" t="n">
        <v>45040</v>
      </c>
      <c r="C529" s="15" t="n">
        <f aca="false">B529</f>
        <v>45040</v>
      </c>
      <c r="D529" s="16" t="s">
        <v>384</v>
      </c>
      <c r="E529" s="16" t="s">
        <v>378</v>
      </c>
      <c r="F529" s="16" t="s">
        <v>15</v>
      </c>
      <c r="G529" s="17" t="n">
        <v>142908000</v>
      </c>
      <c r="H529" s="17"/>
      <c r="I529" s="14" t="n">
        <f aca="false">I528+G529-H529</f>
        <v>151555615</v>
      </c>
    </row>
    <row r="530" customFormat="false" ht="12" hidden="false" customHeight="true" outlineLevel="1" collapsed="false">
      <c r="B530" s="15" t="n">
        <v>45040</v>
      </c>
      <c r="C530" s="15" t="n">
        <f aca="false">B530</f>
        <v>45040</v>
      </c>
      <c r="D530" s="16" t="s">
        <v>384</v>
      </c>
      <c r="E530" s="16" t="s">
        <v>378</v>
      </c>
      <c r="F530" s="16" t="s">
        <v>15</v>
      </c>
      <c r="G530" s="17" t="n">
        <v>68632000</v>
      </c>
      <c r="H530" s="17"/>
      <c r="I530" s="14" t="n">
        <f aca="false">I529+G530-H530</f>
        <v>220187615</v>
      </c>
    </row>
    <row r="531" customFormat="false" ht="12" hidden="false" customHeight="true" outlineLevel="1" collapsed="false">
      <c r="B531" s="15" t="n">
        <v>45040</v>
      </c>
      <c r="C531" s="15" t="n">
        <f aca="false">B531</f>
        <v>45040</v>
      </c>
      <c r="D531" s="16" t="s">
        <v>384</v>
      </c>
      <c r="E531" s="16" t="s">
        <v>378</v>
      </c>
      <c r="F531" s="16" t="s">
        <v>15</v>
      </c>
      <c r="G531" s="17" t="n">
        <v>82263000</v>
      </c>
      <c r="H531" s="17"/>
      <c r="I531" s="14" t="n">
        <f aca="false">I530+G531-H531</f>
        <v>302450615</v>
      </c>
    </row>
    <row r="532" customFormat="false" ht="12" hidden="false" customHeight="true" outlineLevel="1" collapsed="false">
      <c r="B532" s="15" t="n">
        <v>45040</v>
      </c>
      <c r="C532" s="15" t="n">
        <f aca="false">B532</f>
        <v>45040</v>
      </c>
      <c r="D532" s="16" t="s">
        <v>384</v>
      </c>
      <c r="E532" s="16" t="s">
        <v>378</v>
      </c>
      <c r="F532" s="16" t="s">
        <v>15</v>
      </c>
      <c r="G532" s="17" t="n">
        <v>78276000</v>
      </c>
      <c r="H532" s="17"/>
      <c r="I532" s="14" t="n">
        <f aca="false">I531+G532-H532</f>
        <v>380726615</v>
      </c>
      <c r="K532" s="22"/>
    </row>
    <row r="533" customFormat="false" ht="12" hidden="false" customHeight="true" outlineLevel="1" collapsed="false">
      <c r="B533" s="15" t="n">
        <v>45040</v>
      </c>
      <c r="C533" s="15" t="n">
        <f aca="false">B533</f>
        <v>45040</v>
      </c>
      <c r="D533" s="16" t="s">
        <v>413</v>
      </c>
      <c r="E533" s="16" t="s">
        <v>57</v>
      </c>
      <c r="F533" s="16" t="n">
        <v>635</v>
      </c>
      <c r="G533" s="17"/>
      <c r="H533" s="17" t="n">
        <v>43305</v>
      </c>
      <c r="I533" s="14" t="n">
        <f aca="false">I532+G533-H533</f>
        <v>380683310</v>
      </c>
      <c r="K533" s="22"/>
    </row>
    <row r="534" customFormat="false" ht="12" hidden="false" customHeight="true" outlineLevel="1" collapsed="false">
      <c r="B534" s="15" t="n">
        <v>45040</v>
      </c>
      <c r="C534" s="15" t="n">
        <f aca="false">B534</f>
        <v>45040</v>
      </c>
      <c r="D534" s="16" t="s">
        <v>414</v>
      </c>
      <c r="E534" s="16" t="s">
        <v>23</v>
      </c>
      <c r="F534" s="16" t="s">
        <v>24</v>
      </c>
      <c r="G534" s="17"/>
      <c r="H534" s="17" t="n">
        <v>370000000</v>
      </c>
      <c r="I534" s="14" t="n">
        <f aca="false">I533+G534-H534</f>
        <v>10683310</v>
      </c>
    </row>
    <row r="535" customFormat="false" ht="12" hidden="false" customHeight="true" outlineLevel="1" collapsed="false">
      <c r="B535" s="15" t="n">
        <v>45041</v>
      </c>
      <c r="C535" s="15" t="n">
        <f aca="false">B535</f>
        <v>45041</v>
      </c>
      <c r="D535" s="16" t="s">
        <v>384</v>
      </c>
      <c r="E535" s="16" t="s">
        <v>378</v>
      </c>
      <c r="F535" s="16" t="s">
        <v>15</v>
      </c>
      <c r="G535" s="17" t="n">
        <v>139487000</v>
      </c>
      <c r="H535" s="17"/>
      <c r="I535" s="14" t="n">
        <f aca="false">I534+G535-H535</f>
        <v>150170310</v>
      </c>
      <c r="K535" s="3" t="n">
        <v>7129310</v>
      </c>
      <c r="L535" s="3" t="n">
        <f aca="false">K535-L537</f>
        <v>7123318</v>
      </c>
    </row>
    <row r="536" customFormat="false" ht="12" hidden="false" customHeight="true" outlineLevel="1" collapsed="false">
      <c r="B536" s="15" t="n">
        <v>45041</v>
      </c>
      <c r="C536" s="15" t="n">
        <f aca="false">B536</f>
        <v>45041</v>
      </c>
      <c r="D536" s="16" t="s">
        <v>384</v>
      </c>
      <c r="E536" s="16" t="s">
        <v>378</v>
      </c>
      <c r="F536" s="16" t="s">
        <v>15</v>
      </c>
      <c r="G536" s="17" t="n">
        <v>42685000</v>
      </c>
      <c r="H536" s="17"/>
      <c r="I536" s="14" t="n">
        <f aca="false">I535+G536-H536</f>
        <v>192855310</v>
      </c>
    </row>
    <row r="537" customFormat="false" ht="12" hidden="false" customHeight="true" outlineLevel="1" collapsed="false">
      <c r="B537" s="15" t="n">
        <v>45041</v>
      </c>
      <c r="C537" s="15" t="n">
        <f aca="false">B537</f>
        <v>45041</v>
      </c>
      <c r="D537" s="16" t="s">
        <v>384</v>
      </c>
      <c r="E537" s="16" t="s">
        <v>378</v>
      </c>
      <c r="F537" s="16" t="s">
        <v>15</v>
      </c>
      <c r="G537" s="17" t="n">
        <v>94274000</v>
      </c>
      <c r="H537" s="17"/>
      <c r="I537" s="14" t="n">
        <f aca="false">I536+G537-H537</f>
        <v>287129310</v>
      </c>
      <c r="L537" s="22" t="n">
        <v>5992</v>
      </c>
    </row>
    <row r="538" customFormat="false" ht="12" hidden="false" customHeight="true" outlineLevel="1" collapsed="false">
      <c r="B538" s="15" t="n">
        <v>45041</v>
      </c>
      <c r="C538" s="15" t="n">
        <f aca="false">B538</f>
        <v>45041</v>
      </c>
      <c r="D538" s="16" t="s">
        <v>384</v>
      </c>
      <c r="E538" s="16" t="s">
        <v>378</v>
      </c>
      <c r="F538" s="16" t="s">
        <v>15</v>
      </c>
      <c r="G538" s="17" t="n">
        <v>80000000</v>
      </c>
      <c r="H538" s="17"/>
      <c r="I538" s="14" t="n">
        <f aca="false">I537+G538-H538</f>
        <v>367129310</v>
      </c>
      <c r="L538" s="22" t="n">
        <v>360000000</v>
      </c>
    </row>
    <row r="539" customFormat="false" ht="12" hidden="false" customHeight="true" outlineLevel="1" collapsed="false">
      <c r="B539" s="15" t="n">
        <v>45041</v>
      </c>
      <c r="C539" s="15" t="n">
        <f aca="false">B539</f>
        <v>45041</v>
      </c>
      <c r="D539" s="16" t="s">
        <v>415</v>
      </c>
      <c r="E539" s="16" t="s">
        <v>416</v>
      </c>
      <c r="F539" s="16" t="n">
        <v>515</v>
      </c>
      <c r="G539" s="17" t="n">
        <v>5992</v>
      </c>
      <c r="H539" s="17"/>
      <c r="I539" s="14" t="n">
        <f aca="false">I538+G539-H539</f>
        <v>367135302</v>
      </c>
      <c r="K539" s="3" t="n">
        <f aca="false">I539-H540</f>
        <v>7135302</v>
      </c>
    </row>
    <row r="540" customFormat="false" ht="12" hidden="false" customHeight="true" outlineLevel="1" collapsed="false">
      <c r="B540" s="15" t="n">
        <v>45041</v>
      </c>
      <c r="C540" s="15" t="n">
        <f aca="false">B540</f>
        <v>45041</v>
      </c>
      <c r="D540" s="16" t="s">
        <v>417</v>
      </c>
      <c r="E540" s="16" t="s">
        <v>23</v>
      </c>
      <c r="F540" s="16" t="s">
        <v>24</v>
      </c>
      <c r="G540" s="17"/>
      <c r="H540" s="17" t="n">
        <v>360000000</v>
      </c>
      <c r="I540" s="14" t="n">
        <f aca="false">I539+G540-H540</f>
        <v>7135302</v>
      </c>
      <c r="K540" s="3" t="n">
        <f aca="false">L540-I540</f>
        <v>0</v>
      </c>
      <c r="L540" s="3" t="n">
        <v>7135302</v>
      </c>
    </row>
    <row r="541" customFormat="false" ht="12" hidden="false" customHeight="true" outlineLevel="1" collapsed="false">
      <c r="B541" s="15" t="n">
        <v>45042</v>
      </c>
      <c r="C541" s="15" t="n">
        <f aca="false">B541</f>
        <v>45042</v>
      </c>
      <c r="D541" s="16" t="s">
        <v>384</v>
      </c>
      <c r="E541" s="16" t="s">
        <v>378</v>
      </c>
      <c r="F541" s="16" t="s">
        <v>15</v>
      </c>
      <c r="G541" s="17" t="n">
        <v>221931000</v>
      </c>
      <c r="H541" s="17"/>
      <c r="I541" s="14" t="n">
        <f aca="false">I540+G541-H541</f>
        <v>229066302</v>
      </c>
      <c r="K541" s="3" t="n">
        <f aca="false">K540-H540</f>
        <v>-360000000</v>
      </c>
    </row>
    <row r="542" customFormat="false" ht="12" hidden="false" customHeight="true" outlineLevel="1" collapsed="false">
      <c r="B542" s="15" t="n">
        <v>45042</v>
      </c>
      <c r="C542" s="15" t="n">
        <f aca="false">B542</f>
        <v>45042</v>
      </c>
      <c r="D542" s="16" t="s">
        <v>384</v>
      </c>
      <c r="E542" s="16" t="s">
        <v>378</v>
      </c>
      <c r="F542" s="16" t="s">
        <v>15</v>
      </c>
      <c r="G542" s="17" t="n">
        <v>87898000</v>
      </c>
      <c r="H542" s="17"/>
      <c r="I542" s="14" t="n">
        <f aca="false">I541+G542-H542</f>
        <v>316964302</v>
      </c>
    </row>
    <row r="543" customFormat="false" ht="12" hidden="false" customHeight="true" outlineLevel="1" collapsed="false">
      <c r="B543" s="15" t="n">
        <v>45042</v>
      </c>
      <c r="C543" s="15" t="n">
        <f aca="false">B543</f>
        <v>45042</v>
      </c>
      <c r="D543" s="16" t="s">
        <v>384</v>
      </c>
      <c r="E543" s="16" t="s">
        <v>378</v>
      </c>
      <c r="F543" s="16" t="s">
        <v>15</v>
      </c>
      <c r="G543" s="17" t="n">
        <v>65166000</v>
      </c>
      <c r="H543" s="17"/>
      <c r="I543" s="14" t="n">
        <f aca="false">I542+G543-H543</f>
        <v>382130302</v>
      </c>
    </row>
    <row r="544" customFormat="false" ht="12" hidden="false" customHeight="true" outlineLevel="1" collapsed="false">
      <c r="B544" s="15" t="n">
        <v>45042</v>
      </c>
      <c r="C544" s="15" t="n">
        <f aca="false">B544</f>
        <v>45042</v>
      </c>
      <c r="D544" s="16" t="s">
        <v>384</v>
      </c>
      <c r="E544" s="16" t="s">
        <v>378</v>
      </c>
      <c r="F544" s="16" t="s">
        <v>15</v>
      </c>
      <c r="G544" s="17" t="n">
        <v>12000000</v>
      </c>
      <c r="H544" s="17"/>
      <c r="I544" s="14" t="n">
        <f aca="false">I543+G544-H544</f>
        <v>394130302</v>
      </c>
    </row>
    <row r="545" customFormat="false" ht="12" hidden="false" customHeight="true" outlineLevel="1" collapsed="false">
      <c r="B545" s="15" t="n">
        <v>45042</v>
      </c>
      <c r="C545" s="15" t="n">
        <f aca="false">B545</f>
        <v>45042</v>
      </c>
      <c r="D545" s="16" t="s">
        <v>418</v>
      </c>
      <c r="E545" s="16" t="s">
        <v>294</v>
      </c>
      <c r="F545" s="16" t="s">
        <v>179</v>
      </c>
      <c r="G545" s="17"/>
      <c r="H545" s="17" t="n">
        <v>337153668</v>
      </c>
      <c r="I545" s="14" t="n">
        <f aca="false">I544+G545-H545</f>
        <v>56976634</v>
      </c>
    </row>
    <row r="546" customFormat="false" ht="12" hidden="false" customHeight="true" outlineLevel="1" collapsed="false">
      <c r="B546" s="15" t="n">
        <v>45042</v>
      </c>
      <c r="C546" s="15" t="n">
        <f aca="false">B546</f>
        <v>45042</v>
      </c>
      <c r="D546" s="16" t="s">
        <v>418</v>
      </c>
      <c r="E546" s="16" t="s">
        <v>294</v>
      </c>
      <c r="F546" s="16" t="s">
        <v>179</v>
      </c>
      <c r="G546" s="17"/>
      <c r="H546" s="17" t="n">
        <v>13463641</v>
      </c>
      <c r="I546" s="14" t="n">
        <f aca="false">I545+G546-H546</f>
        <v>43512993</v>
      </c>
    </row>
    <row r="547" customFormat="false" ht="12" hidden="false" customHeight="true" outlineLevel="1" collapsed="false">
      <c r="B547" s="15" t="n">
        <v>45042</v>
      </c>
      <c r="C547" s="15" t="n">
        <f aca="false">B547</f>
        <v>45042</v>
      </c>
      <c r="D547" s="16" t="s">
        <v>419</v>
      </c>
      <c r="E547" s="16" t="s">
        <v>23</v>
      </c>
      <c r="F547" s="16" t="s">
        <v>24</v>
      </c>
      <c r="G547" s="17"/>
      <c r="H547" s="17" t="n">
        <v>35000000</v>
      </c>
      <c r="I547" s="14" t="n">
        <f aca="false">I546+G547-H547</f>
        <v>8512993</v>
      </c>
    </row>
    <row r="548" customFormat="false" ht="12" hidden="false" customHeight="true" outlineLevel="1" collapsed="false">
      <c r="B548" s="15" t="n">
        <v>45042</v>
      </c>
      <c r="C548" s="15" t="n">
        <f aca="false">B548</f>
        <v>45042</v>
      </c>
      <c r="D548" s="16" t="s">
        <v>420</v>
      </c>
      <c r="E548" s="16" t="s">
        <v>57</v>
      </c>
      <c r="F548" s="16" t="n">
        <v>635</v>
      </c>
      <c r="G548" s="17"/>
      <c r="H548" s="17" t="n">
        <v>11000</v>
      </c>
      <c r="I548" s="14" t="n">
        <f aca="false">I547+G548-H548</f>
        <v>8501993</v>
      </c>
    </row>
    <row r="549" customFormat="false" ht="12" hidden="false" customHeight="true" outlineLevel="1" collapsed="false">
      <c r="B549" s="15" t="n">
        <v>45042</v>
      </c>
      <c r="C549" s="15" t="n">
        <f aca="false">B549</f>
        <v>45042</v>
      </c>
      <c r="D549" s="16" t="s">
        <v>421</v>
      </c>
      <c r="E549" s="16" t="s">
        <v>23</v>
      </c>
      <c r="F549" s="16" t="s">
        <v>24</v>
      </c>
      <c r="G549" s="17"/>
      <c r="H549" s="17" t="n">
        <v>8501993</v>
      </c>
      <c r="I549" s="14" t="n">
        <f aca="false">I548+G549-H549</f>
        <v>0</v>
      </c>
    </row>
    <row r="550" customFormat="false" ht="12" hidden="false" customHeight="true" outlineLevel="1" collapsed="false">
      <c r="B550" s="15" t="n">
        <v>45043</v>
      </c>
      <c r="C550" s="15" t="n">
        <v>45043</v>
      </c>
      <c r="D550" s="16" t="s">
        <v>384</v>
      </c>
      <c r="E550" s="16" t="s">
        <v>378</v>
      </c>
      <c r="F550" s="16" t="s">
        <v>15</v>
      </c>
      <c r="G550" s="17" t="n">
        <v>62000000</v>
      </c>
      <c r="H550" s="17"/>
      <c r="I550" s="14" t="n">
        <f aca="false">I549+G550-H550</f>
        <v>62000000</v>
      </c>
    </row>
    <row r="551" customFormat="false" ht="12" hidden="false" customHeight="true" outlineLevel="1" collapsed="false">
      <c r="B551" s="15" t="n">
        <v>45043</v>
      </c>
      <c r="C551" s="15" t="n">
        <v>45043</v>
      </c>
      <c r="D551" s="16" t="s">
        <v>384</v>
      </c>
      <c r="E551" s="16" t="s">
        <v>378</v>
      </c>
      <c r="F551" s="16" t="s">
        <v>15</v>
      </c>
      <c r="G551" s="17" t="n">
        <v>139605000</v>
      </c>
      <c r="H551" s="17"/>
      <c r="I551" s="14" t="n">
        <f aca="false">I550+G551-H551</f>
        <v>201605000</v>
      </c>
    </row>
    <row r="552" customFormat="false" ht="12" hidden="false" customHeight="true" outlineLevel="1" collapsed="false">
      <c r="B552" s="15" t="n">
        <v>45043</v>
      </c>
      <c r="C552" s="15" t="n">
        <v>45043</v>
      </c>
      <c r="D552" s="16" t="s">
        <v>384</v>
      </c>
      <c r="E552" s="16" t="s">
        <v>378</v>
      </c>
      <c r="F552" s="16" t="s">
        <v>15</v>
      </c>
      <c r="G552" s="17" t="n">
        <v>246247000</v>
      </c>
      <c r="H552" s="17"/>
      <c r="I552" s="14" t="n">
        <f aca="false">I551+G552-H552</f>
        <v>447852000</v>
      </c>
    </row>
    <row r="553" customFormat="false" ht="12" hidden="false" customHeight="true" outlineLevel="1" collapsed="false">
      <c r="B553" s="15" t="n">
        <v>45043</v>
      </c>
      <c r="C553" s="15" t="n">
        <v>45043</v>
      </c>
      <c r="D553" s="16" t="s">
        <v>384</v>
      </c>
      <c r="E553" s="16" t="s">
        <v>378</v>
      </c>
      <c r="F553" s="16" t="s">
        <v>15</v>
      </c>
      <c r="G553" s="17" t="n">
        <v>114536000</v>
      </c>
      <c r="H553" s="17"/>
      <c r="I553" s="14" t="n">
        <f aca="false">I552+G553-H553</f>
        <v>562388000</v>
      </c>
    </row>
    <row r="554" customFormat="false" ht="12" hidden="false" customHeight="true" outlineLevel="1" collapsed="false">
      <c r="B554" s="15" t="n">
        <v>45043</v>
      </c>
      <c r="C554" s="15" t="n">
        <f aca="false">B554</f>
        <v>45043</v>
      </c>
      <c r="D554" s="16" t="s">
        <v>419</v>
      </c>
      <c r="E554" s="16" t="s">
        <v>23</v>
      </c>
      <c r="F554" s="16" t="s">
        <v>24</v>
      </c>
      <c r="G554" s="17"/>
      <c r="H554" s="17" t="n">
        <v>560000000</v>
      </c>
      <c r="I554" s="14" t="n">
        <f aca="false">I553+G554-H554</f>
        <v>2388000</v>
      </c>
    </row>
    <row r="555" customFormat="false" ht="12" hidden="false" customHeight="true" outlineLevel="1" collapsed="false">
      <c r="B555" s="15" t="n">
        <v>45043</v>
      </c>
      <c r="C555" s="15" t="n">
        <f aca="false">B555</f>
        <v>45043</v>
      </c>
      <c r="D555" s="16" t="s">
        <v>419</v>
      </c>
      <c r="E555" s="16" t="s">
        <v>57</v>
      </c>
      <c r="F555" s="16" t="n">
        <v>635</v>
      </c>
      <c r="G555" s="17"/>
      <c r="H555" s="17" t="n">
        <v>2388000</v>
      </c>
      <c r="I555" s="14" t="n">
        <f aca="false">I554+G555-H555</f>
        <v>0</v>
      </c>
    </row>
    <row r="556" customFormat="false" ht="12" hidden="false" customHeight="true" outlineLevel="1" collapsed="false">
      <c r="B556" s="15" t="n">
        <v>45044</v>
      </c>
      <c r="C556" s="15" t="n">
        <f aca="false">B556</f>
        <v>45044</v>
      </c>
      <c r="D556" s="16" t="s">
        <v>384</v>
      </c>
      <c r="E556" s="16" t="s">
        <v>378</v>
      </c>
      <c r="F556" s="16" t="s">
        <v>15</v>
      </c>
      <c r="G556" s="17" t="n">
        <v>97000000</v>
      </c>
      <c r="H556" s="17"/>
      <c r="I556" s="14" t="n">
        <f aca="false">I555+G556-H556</f>
        <v>97000000</v>
      </c>
    </row>
    <row r="557" customFormat="false" ht="12" hidden="false" customHeight="true" outlineLevel="1" collapsed="false">
      <c r="B557" s="15" t="n">
        <v>45044</v>
      </c>
      <c r="C557" s="15" t="n">
        <f aca="false">B557</f>
        <v>45044</v>
      </c>
      <c r="D557" s="16" t="s">
        <v>384</v>
      </c>
      <c r="E557" s="16" t="s">
        <v>378</v>
      </c>
      <c r="F557" s="16" t="s">
        <v>15</v>
      </c>
      <c r="G557" s="17" t="n">
        <v>291013000</v>
      </c>
      <c r="H557" s="17"/>
      <c r="I557" s="14" t="n">
        <f aca="false">I556+G557-H557</f>
        <v>388013000</v>
      </c>
    </row>
    <row r="558" customFormat="false" ht="12" hidden="false" customHeight="true" outlineLevel="1" collapsed="false">
      <c r="B558" s="15" t="n">
        <v>45044</v>
      </c>
      <c r="C558" s="15" t="n">
        <f aca="false">B558</f>
        <v>45044</v>
      </c>
      <c r="D558" s="16" t="s">
        <v>384</v>
      </c>
      <c r="E558" s="16" t="s">
        <v>378</v>
      </c>
      <c r="F558" s="16" t="s">
        <v>15</v>
      </c>
      <c r="G558" s="17" t="n">
        <v>80323000</v>
      </c>
      <c r="H558" s="17"/>
      <c r="I558" s="14" t="n">
        <f aca="false">I557+G558-H558</f>
        <v>468336000</v>
      </c>
    </row>
    <row r="559" customFormat="false" ht="12" hidden="false" customHeight="true" outlineLevel="1" collapsed="false">
      <c r="B559" s="15" t="n">
        <v>45044</v>
      </c>
      <c r="C559" s="15" t="n">
        <f aca="false">B559</f>
        <v>45044</v>
      </c>
      <c r="D559" s="16" t="s">
        <v>384</v>
      </c>
      <c r="E559" s="16" t="s">
        <v>378</v>
      </c>
      <c r="F559" s="16" t="s">
        <v>15</v>
      </c>
      <c r="G559" s="17" t="n">
        <v>104879000</v>
      </c>
      <c r="H559" s="17"/>
      <c r="I559" s="14" t="n">
        <f aca="false">I558+G559-H559</f>
        <v>573215000</v>
      </c>
    </row>
    <row r="560" customFormat="false" ht="12" hidden="false" customHeight="true" outlineLevel="1" collapsed="false">
      <c r="B560" s="15" t="n">
        <v>45044</v>
      </c>
      <c r="C560" s="15" t="n">
        <f aca="false">B560</f>
        <v>45044</v>
      </c>
      <c r="D560" s="16" t="s">
        <v>422</v>
      </c>
      <c r="E560" s="16" t="s">
        <v>294</v>
      </c>
      <c r="F560" s="16" t="s">
        <v>179</v>
      </c>
      <c r="G560" s="17"/>
      <c r="H560" s="17" t="n">
        <v>325486178</v>
      </c>
      <c r="I560" s="14" t="n">
        <f aca="false">I559+G560-H560</f>
        <v>247728822</v>
      </c>
    </row>
    <row r="561" customFormat="false" ht="12" hidden="false" customHeight="true" outlineLevel="1" collapsed="false">
      <c r="B561" s="15" t="n">
        <v>45044</v>
      </c>
      <c r="C561" s="15" t="n">
        <f aca="false">B561</f>
        <v>45044</v>
      </c>
      <c r="D561" s="16" t="s">
        <v>422</v>
      </c>
      <c r="E561" s="16" t="s">
        <v>294</v>
      </c>
      <c r="F561" s="16" t="s">
        <v>179</v>
      </c>
      <c r="G561" s="17"/>
      <c r="H561" s="17" t="n">
        <v>40588548</v>
      </c>
      <c r="I561" s="14" t="n">
        <f aca="false">I560+G561-H561</f>
        <v>207140274</v>
      </c>
    </row>
    <row r="562" customFormat="false" ht="12" hidden="false" customHeight="true" outlineLevel="1" collapsed="false">
      <c r="B562" s="15" t="n">
        <v>45044</v>
      </c>
      <c r="C562" s="15" t="n">
        <f aca="false">B562</f>
        <v>45044</v>
      </c>
      <c r="D562" s="16" t="s">
        <v>422</v>
      </c>
      <c r="E562" s="16" t="s">
        <v>294</v>
      </c>
      <c r="F562" s="16" t="s">
        <v>179</v>
      </c>
      <c r="G562" s="17"/>
      <c r="H562" s="17" t="n">
        <v>23936000</v>
      </c>
      <c r="I562" s="14" t="n">
        <f aca="false">I561+G562-H562</f>
        <v>183204274</v>
      </c>
    </row>
    <row r="563" customFormat="false" ht="12" hidden="false" customHeight="true" outlineLevel="1" collapsed="false">
      <c r="B563" s="15" t="n">
        <v>45044</v>
      </c>
      <c r="C563" s="15" t="n">
        <f aca="false">B563</f>
        <v>45044</v>
      </c>
      <c r="D563" s="16" t="s">
        <v>384</v>
      </c>
      <c r="E563" s="16" t="s">
        <v>378</v>
      </c>
      <c r="F563" s="16" t="s">
        <v>15</v>
      </c>
      <c r="G563" s="17" t="n">
        <v>11000000</v>
      </c>
      <c r="H563" s="17"/>
      <c r="I563" s="14" t="n">
        <f aca="false">I562+G563-H563</f>
        <v>194204274</v>
      </c>
    </row>
    <row r="564" customFormat="false" ht="12" hidden="false" customHeight="true" outlineLevel="1" collapsed="false">
      <c r="B564" s="15" t="n">
        <v>45044</v>
      </c>
      <c r="C564" s="15" t="n">
        <f aca="false">B564</f>
        <v>45044</v>
      </c>
      <c r="D564" s="16" t="s">
        <v>384</v>
      </c>
      <c r="E564" s="16" t="s">
        <v>292</v>
      </c>
      <c r="F564" s="16" t="s">
        <v>15</v>
      </c>
      <c r="G564" s="17" t="n">
        <v>1283000000</v>
      </c>
      <c r="H564" s="17"/>
      <c r="I564" s="14" t="n">
        <f aca="false">I563+G564-H564</f>
        <v>1477204274</v>
      </c>
    </row>
    <row r="565" customFormat="false" ht="12" hidden="false" customHeight="true" outlineLevel="1" collapsed="false">
      <c r="B565" s="15" t="n">
        <v>45044</v>
      </c>
      <c r="C565" s="15" t="n">
        <f aca="false">B565</f>
        <v>45044</v>
      </c>
      <c r="D565" s="16" t="s">
        <v>423</v>
      </c>
      <c r="E565" s="16" t="s">
        <v>57</v>
      </c>
      <c r="F565" s="16" t="n">
        <v>635</v>
      </c>
      <c r="G565" s="17"/>
      <c r="H565" s="17" t="n">
        <v>3004834</v>
      </c>
      <c r="I565" s="14" t="n">
        <f aca="false">I564+G565-H565</f>
        <v>1474199440</v>
      </c>
      <c r="K565" s="22" t="n">
        <v>3004834</v>
      </c>
      <c r="L565" s="3" t="n">
        <v>3004834</v>
      </c>
    </row>
    <row r="566" customFormat="false" ht="12" hidden="false" customHeight="true" outlineLevel="1" collapsed="false">
      <c r="B566" s="15" t="n">
        <v>45044</v>
      </c>
      <c r="C566" s="15" t="n">
        <f aca="false">B566</f>
        <v>45044</v>
      </c>
      <c r="D566" s="16" t="s">
        <v>423</v>
      </c>
      <c r="E566" s="16" t="s">
        <v>57</v>
      </c>
      <c r="F566" s="16" t="n">
        <v>635</v>
      </c>
      <c r="G566" s="17"/>
      <c r="H566" s="17" t="n">
        <v>1252324</v>
      </c>
      <c r="I566" s="14" t="n">
        <f aca="false">I565+G566-H566</f>
        <v>1472947116</v>
      </c>
      <c r="K566" s="22" t="n">
        <v>1252324</v>
      </c>
      <c r="L566" s="3" t="n">
        <v>1252324</v>
      </c>
    </row>
    <row r="567" customFormat="false" ht="12" hidden="false" customHeight="true" outlineLevel="1" collapsed="false">
      <c r="B567" s="15" t="n">
        <v>45044</v>
      </c>
      <c r="C567" s="15" t="n">
        <f aca="false">B567</f>
        <v>45044</v>
      </c>
      <c r="D567" s="16" t="s">
        <v>424</v>
      </c>
      <c r="E567" s="16" t="s">
        <v>23</v>
      </c>
      <c r="F567" s="16" t="s">
        <v>24</v>
      </c>
      <c r="G567" s="17"/>
      <c r="H567" s="17" t="n">
        <v>260669841</v>
      </c>
      <c r="I567" s="14" t="n">
        <f aca="false">I566+G567-H567</f>
        <v>1212277275</v>
      </c>
    </row>
    <row r="568" customFormat="false" ht="12" hidden="false" customHeight="true" outlineLevel="1" collapsed="false">
      <c r="B568" s="15" t="n">
        <v>44679</v>
      </c>
      <c r="C568" s="15" t="n">
        <f aca="false">B568</f>
        <v>44679</v>
      </c>
      <c r="D568" s="16" t="s">
        <v>424</v>
      </c>
      <c r="E568" s="16" t="s">
        <v>23</v>
      </c>
      <c r="F568" s="16" t="s">
        <v>24</v>
      </c>
      <c r="G568" s="17"/>
      <c r="H568" s="17" t="n">
        <v>178554003</v>
      </c>
      <c r="I568" s="14" t="n">
        <f aca="false">I567+G568-H568</f>
        <v>1033723272</v>
      </c>
    </row>
    <row r="569" customFormat="false" ht="12" hidden="false" customHeight="true" outlineLevel="1" collapsed="false">
      <c r="B569" s="15" t="n">
        <v>44679</v>
      </c>
      <c r="C569" s="15" t="n">
        <f aca="false">B569</f>
        <v>44679</v>
      </c>
      <c r="D569" s="16" t="s">
        <v>424</v>
      </c>
      <c r="E569" s="16" t="s">
        <v>23</v>
      </c>
      <c r="F569" s="16" t="s">
        <v>24</v>
      </c>
      <c r="G569" s="17"/>
      <c r="H569" s="17" t="n">
        <v>843776156</v>
      </c>
      <c r="I569" s="14" t="n">
        <f aca="false">I568+G569-H569</f>
        <v>189947116</v>
      </c>
    </row>
    <row r="570" customFormat="false" ht="12" hidden="false" customHeight="true" outlineLevel="1" collapsed="false">
      <c r="B570" s="15" t="n">
        <v>44679</v>
      </c>
      <c r="C570" s="15" t="n">
        <f aca="false">B570</f>
        <v>44679</v>
      </c>
      <c r="D570" s="16" t="s">
        <v>424</v>
      </c>
      <c r="E570" s="16" t="s">
        <v>23</v>
      </c>
      <c r="F570" s="16" t="s">
        <v>24</v>
      </c>
      <c r="G570" s="17"/>
      <c r="H570" s="17" t="n">
        <v>12246192</v>
      </c>
      <c r="I570" s="14" t="n">
        <f aca="false">I569+G570-H570</f>
        <v>177700924</v>
      </c>
    </row>
    <row r="571" customFormat="false" ht="12" hidden="false" customHeight="true" outlineLevel="1" collapsed="false">
      <c r="B571" s="15" t="n">
        <v>44679</v>
      </c>
      <c r="C571" s="15" t="n">
        <f aca="false">B571</f>
        <v>44679</v>
      </c>
      <c r="D571" s="16" t="s">
        <v>424</v>
      </c>
      <c r="E571" s="16" t="s">
        <v>23</v>
      </c>
      <c r="F571" s="16" t="s">
        <v>24</v>
      </c>
      <c r="G571" s="17"/>
      <c r="H571" s="17" t="n">
        <v>167753808</v>
      </c>
      <c r="I571" s="14" t="n">
        <f aca="false">I570+G571-H571</f>
        <v>9947116</v>
      </c>
    </row>
    <row r="572" customFormat="false" ht="12" hidden="false" customHeight="true" outlineLevel="1" collapsed="false">
      <c r="B572" s="15" t="n">
        <v>44679</v>
      </c>
      <c r="C572" s="15" t="n">
        <f aca="false">B572</f>
        <v>44679</v>
      </c>
      <c r="D572" s="16" t="s">
        <v>425</v>
      </c>
      <c r="E572" s="16" t="s">
        <v>23</v>
      </c>
      <c r="F572" s="16" t="s">
        <v>24</v>
      </c>
      <c r="G572" s="17"/>
      <c r="H572" s="17" t="n">
        <v>7995780</v>
      </c>
      <c r="I572" s="14" t="n">
        <f aca="false">I571+G572-H572</f>
        <v>1951336</v>
      </c>
    </row>
    <row r="573" customFormat="false" ht="12" hidden="false" customHeight="true" outlineLevel="1" collapsed="false">
      <c r="B573" s="15" t="n">
        <v>44679</v>
      </c>
      <c r="C573" s="15" t="n">
        <f aca="false">B573</f>
        <v>44679</v>
      </c>
      <c r="D573" s="16" t="s">
        <v>426</v>
      </c>
      <c r="E573" s="16" t="s">
        <v>57</v>
      </c>
      <c r="F573" s="16" t="n">
        <v>635</v>
      </c>
      <c r="G573" s="17"/>
      <c r="H573" s="17" t="n">
        <v>1940336</v>
      </c>
      <c r="I573" s="14" t="n">
        <f aca="false">I572+G573-H573</f>
        <v>11000</v>
      </c>
    </row>
    <row r="574" customFormat="false" ht="12" hidden="false" customHeight="true" outlineLevel="1" collapsed="false">
      <c r="B574" s="15" t="n">
        <v>44680</v>
      </c>
      <c r="C574" s="15" t="n">
        <f aca="false">B574</f>
        <v>44680</v>
      </c>
      <c r="D574" s="16" t="s">
        <v>423</v>
      </c>
      <c r="E574" s="16" t="s">
        <v>57</v>
      </c>
      <c r="F574" s="16" t="n">
        <v>635</v>
      </c>
      <c r="G574" s="17"/>
      <c r="H574" s="17" t="n">
        <v>11000</v>
      </c>
      <c r="I574" s="14" t="n">
        <f aca="false">I573+G574-H574</f>
        <v>0</v>
      </c>
    </row>
    <row r="575" customFormat="false" ht="12" hidden="false" customHeight="true" outlineLevel="1" collapsed="false">
      <c r="B575" s="15" t="n">
        <v>45050</v>
      </c>
      <c r="C575" s="15" t="n">
        <f aca="false">B575</f>
        <v>45050</v>
      </c>
      <c r="D575" s="16" t="s">
        <v>427</v>
      </c>
      <c r="E575" s="16" t="s">
        <v>157</v>
      </c>
      <c r="F575" s="16" t="s">
        <v>15</v>
      </c>
      <c r="G575" s="17" t="n">
        <v>111729000</v>
      </c>
      <c r="H575" s="17"/>
      <c r="I575" s="14" t="n">
        <f aca="false">I574+G575-H575</f>
        <v>111729000</v>
      </c>
    </row>
    <row r="576" customFormat="false" ht="12" hidden="false" customHeight="true" outlineLevel="1" collapsed="false">
      <c r="B576" s="15" t="n">
        <v>45050</v>
      </c>
      <c r="C576" s="15" t="n">
        <f aca="false">B576</f>
        <v>45050</v>
      </c>
      <c r="D576" s="16" t="s">
        <v>428</v>
      </c>
      <c r="E576" s="16" t="s">
        <v>157</v>
      </c>
      <c r="F576" s="16" t="s">
        <v>15</v>
      </c>
      <c r="G576" s="17" t="n">
        <v>28952000</v>
      </c>
      <c r="H576" s="17"/>
      <c r="I576" s="14" t="n">
        <f aca="false">I575+G576-H576</f>
        <v>140681000</v>
      </c>
    </row>
    <row r="577" customFormat="false" ht="12" hidden="false" customHeight="true" outlineLevel="1" collapsed="false">
      <c r="B577" s="15" t="n">
        <v>45050</v>
      </c>
      <c r="C577" s="15" t="n">
        <f aca="false">B577</f>
        <v>45050</v>
      </c>
      <c r="D577" s="16" t="s">
        <v>429</v>
      </c>
      <c r="E577" s="16" t="s">
        <v>57</v>
      </c>
      <c r="F577" s="16" t="n">
        <v>635</v>
      </c>
      <c r="G577" s="17"/>
      <c r="H577" s="17" t="n">
        <v>13016620</v>
      </c>
      <c r="I577" s="14" t="n">
        <f aca="false">I576+G577-H577</f>
        <v>127664380</v>
      </c>
    </row>
    <row r="578" customFormat="false" ht="12" hidden="false" customHeight="true" outlineLevel="1" collapsed="false">
      <c r="B578" s="15" t="n">
        <v>45050</v>
      </c>
      <c r="C578" s="15" t="n">
        <f aca="false">B578</f>
        <v>45050</v>
      </c>
      <c r="D578" s="16" t="s">
        <v>430</v>
      </c>
      <c r="E578" s="16" t="s">
        <v>57</v>
      </c>
      <c r="F578" s="16" t="n">
        <v>635</v>
      </c>
      <c r="G578" s="17"/>
      <c r="H578" s="17" t="n">
        <v>5896626</v>
      </c>
      <c r="I578" s="14" t="n">
        <f aca="false">I577+G578-H578</f>
        <v>121767754</v>
      </c>
    </row>
    <row r="579" customFormat="false" ht="12" hidden="false" customHeight="true" outlineLevel="1" collapsed="false">
      <c r="B579" s="15" t="n">
        <v>45050</v>
      </c>
      <c r="C579" s="15" t="n">
        <f aca="false">B579</f>
        <v>45050</v>
      </c>
      <c r="D579" s="16" t="s">
        <v>431</v>
      </c>
      <c r="E579" s="16" t="s">
        <v>57</v>
      </c>
      <c r="F579" s="16" t="n">
        <v>635</v>
      </c>
      <c r="G579" s="17"/>
      <c r="H579" s="17" t="n">
        <v>4351540</v>
      </c>
      <c r="I579" s="14" t="n">
        <f aca="false">I578+G579-H579</f>
        <v>117416214</v>
      </c>
    </row>
    <row r="580" customFormat="false" ht="12" hidden="false" customHeight="true" outlineLevel="1" collapsed="false">
      <c r="B580" s="15" t="n">
        <v>45050</v>
      </c>
      <c r="C580" s="15" t="n">
        <f aca="false">B580</f>
        <v>45050</v>
      </c>
      <c r="D580" s="16" t="s">
        <v>432</v>
      </c>
      <c r="E580" s="16" t="s">
        <v>57</v>
      </c>
      <c r="F580" s="16" t="n">
        <v>635</v>
      </c>
      <c r="G580" s="17"/>
      <c r="H580" s="17" t="n">
        <v>7315070</v>
      </c>
      <c r="I580" s="14" t="n">
        <f aca="false">I579+G580-H580</f>
        <v>110101144</v>
      </c>
    </row>
    <row r="581" customFormat="false" ht="12" hidden="false" customHeight="true" outlineLevel="1" collapsed="false">
      <c r="B581" s="15" t="n">
        <v>45050</v>
      </c>
      <c r="C581" s="15" t="n">
        <f aca="false">B581</f>
        <v>45050</v>
      </c>
      <c r="D581" s="16" t="s">
        <v>433</v>
      </c>
      <c r="E581" s="16" t="s">
        <v>57</v>
      </c>
      <c r="F581" s="16" t="n">
        <v>635</v>
      </c>
      <c r="G581" s="17"/>
      <c r="H581" s="17" t="n">
        <v>4107982</v>
      </c>
      <c r="I581" s="14" t="n">
        <f aca="false">I580+G581-H581</f>
        <v>105993162</v>
      </c>
    </row>
    <row r="582" customFormat="false" ht="12" hidden="false" customHeight="true" outlineLevel="1" collapsed="false">
      <c r="B582" s="15" t="n">
        <v>45050</v>
      </c>
      <c r="C582" s="15" t="n">
        <f aca="false">B582</f>
        <v>45050</v>
      </c>
      <c r="D582" s="16" t="s">
        <v>434</v>
      </c>
      <c r="E582" s="16" t="s">
        <v>57</v>
      </c>
      <c r="F582" s="16" t="n">
        <v>635</v>
      </c>
      <c r="G582" s="17"/>
      <c r="H582" s="17" t="n">
        <v>804007</v>
      </c>
      <c r="I582" s="14" t="n">
        <f aca="false">I581+G582-H582</f>
        <v>105189155</v>
      </c>
    </row>
    <row r="583" customFormat="false" ht="12" hidden="false" customHeight="true" outlineLevel="1" collapsed="false">
      <c r="B583" s="15" t="n">
        <v>45050</v>
      </c>
      <c r="C583" s="15" t="n">
        <f aca="false">B583</f>
        <v>45050</v>
      </c>
      <c r="D583" s="16" t="s">
        <v>435</v>
      </c>
      <c r="E583" s="16" t="s">
        <v>57</v>
      </c>
      <c r="F583" s="16" t="n">
        <v>635</v>
      </c>
      <c r="G583" s="17"/>
      <c r="H583" s="17" t="n">
        <v>3499040</v>
      </c>
      <c r="I583" s="14" t="n">
        <f aca="false">I582+G583-H583</f>
        <v>101690115</v>
      </c>
    </row>
    <row r="584" customFormat="false" ht="12" hidden="false" customHeight="true" outlineLevel="1" collapsed="false">
      <c r="B584" s="15" t="n">
        <v>45050</v>
      </c>
      <c r="C584" s="15" t="n">
        <f aca="false">B583</f>
        <v>45050</v>
      </c>
      <c r="D584" s="16" t="s">
        <v>436</v>
      </c>
      <c r="E584" s="16" t="s">
        <v>57</v>
      </c>
      <c r="F584" s="16" t="n">
        <v>635</v>
      </c>
      <c r="G584" s="17"/>
      <c r="H584" s="17" t="n">
        <v>9407067</v>
      </c>
      <c r="I584" s="14" t="n">
        <f aca="false">I583+G584-H584</f>
        <v>92283048</v>
      </c>
    </row>
    <row r="585" customFormat="false" ht="12" hidden="false" customHeight="true" outlineLevel="1" collapsed="false">
      <c r="B585" s="15" t="n">
        <v>45050</v>
      </c>
      <c r="C585" s="15" t="n">
        <f aca="false">B585</f>
        <v>45050</v>
      </c>
      <c r="D585" s="16" t="s">
        <v>437</v>
      </c>
      <c r="E585" s="16" t="s">
        <v>57</v>
      </c>
      <c r="F585" s="16" t="n">
        <v>635</v>
      </c>
      <c r="G585" s="17"/>
      <c r="H585" s="17" t="n">
        <v>2675055</v>
      </c>
      <c r="I585" s="14" t="n">
        <f aca="false">I584+G585-H585</f>
        <v>89607993</v>
      </c>
    </row>
    <row r="586" customFormat="false" ht="12" hidden="false" customHeight="true" outlineLevel="1" collapsed="false">
      <c r="B586" s="15" t="n">
        <v>45050</v>
      </c>
      <c r="C586" s="15" t="n">
        <f aca="false">B586</f>
        <v>45050</v>
      </c>
      <c r="D586" s="16" t="s">
        <v>422</v>
      </c>
      <c r="E586" s="16" t="s">
        <v>57</v>
      </c>
      <c r="F586" s="16" t="n">
        <v>635</v>
      </c>
      <c r="G586" s="17"/>
      <c r="H586" s="17" t="n">
        <v>1444069</v>
      </c>
      <c r="I586" s="14" t="n">
        <f aca="false">I585+G586-H586</f>
        <v>88163924</v>
      </c>
    </row>
    <row r="587" customFormat="false" ht="12" hidden="false" customHeight="true" outlineLevel="1" collapsed="false">
      <c r="B587" s="15" t="n">
        <v>45050</v>
      </c>
      <c r="C587" s="15" t="n">
        <f aca="false">B587</f>
        <v>45050</v>
      </c>
      <c r="D587" s="16" t="s">
        <v>438</v>
      </c>
      <c r="E587" s="16" t="s">
        <v>57</v>
      </c>
      <c r="F587" s="16" t="n">
        <v>635</v>
      </c>
      <c r="G587" s="17"/>
      <c r="H587" s="17" t="n">
        <v>1490993</v>
      </c>
      <c r="I587" s="14" t="n">
        <f aca="false">I586+G587-H587</f>
        <v>86672931</v>
      </c>
    </row>
    <row r="588" customFormat="false" ht="12" hidden="false" customHeight="true" outlineLevel="1" collapsed="false">
      <c r="B588" s="15" t="n">
        <v>45050</v>
      </c>
      <c r="C588" s="15" t="n">
        <f aca="false">B588</f>
        <v>45050</v>
      </c>
      <c r="D588" s="16" t="s">
        <v>439</v>
      </c>
      <c r="E588" s="16" t="s">
        <v>57</v>
      </c>
      <c r="F588" s="16" t="n">
        <v>635</v>
      </c>
      <c r="G588" s="17"/>
      <c r="H588" s="17" t="n">
        <v>10348924</v>
      </c>
      <c r="I588" s="14" t="n">
        <f aca="false">I587+G588-H588</f>
        <v>76324007</v>
      </c>
    </row>
    <row r="589" customFormat="false" ht="12" hidden="false" customHeight="true" outlineLevel="1" collapsed="false">
      <c r="B589" s="15" t="n">
        <v>45050</v>
      </c>
      <c r="C589" s="15" t="n">
        <f aca="false">B589</f>
        <v>45050</v>
      </c>
      <c r="D589" s="16" t="s">
        <v>376</v>
      </c>
      <c r="E589" s="16" t="s">
        <v>57</v>
      </c>
      <c r="F589" s="16" t="n">
        <v>635</v>
      </c>
      <c r="G589" s="17"/>
      <c r="H589" s="17" t="n">
        <v>2330584</v>
      </c>
      <c r="I589" s="14" t="n">
        <f aca="false">I588+G589-H589</f>
        <v>73993423</v>
      </c>
    </row>
    <row r="590" customFormat="false" ht="12" hidden="false" customHeight="true" outlineLevel="1" collapsed="false">
      <c r="B590" s="15" t="n">
        <v>45050</v>
      </c>
      <c r="C590" s="15" t="n">
        <f aca="false">B590</f>
        <v>45050</v>
      </c>
      <c r="D590" s="16" t="s">
        <v>376</v>
      </c>
      <c r="E590" s="16" t="s">
        <v>57</v>
      </c>
      <c r="F590" s="16" t="n">
        <v>635</v>
      </c>
      <c r="G590" s="17"/>
      <c r="H590" s="17" t="n">
        <v>3726288</v>
      </c>
      <c r="I590" s="14" t="n">
        <f aca="false">I589+G590-H590</f>
        <v>70267135</v>
      </c>
    </row>
    <row r="591" customFormat="false" ht="12" hidden="false" customHeight="true" outlineLevel="1" collapsed="false">
      <c r="B591" s="15" t="n">
        <v>45050</v>
      </c>
      <c r="C591" s="15" t="n">
        <f aca="false">B591</f>
        <v>45050</v>
      </c>
      <c r="D591" s="16" t="s">
        <v>376</v>
      </c>
      <c r="E591" s="16" t="s">
        <v>57</v>
      </c>
      <c r="F591" s="16" t="n">
        <v>635</v>
      </c>
      <c r="G591" s="17"/>
      <c r="H591" s="17" t="n">
        <v>1063804</v>
      </c>
      <c r="I591" s="14" t="n">
        <f aca="false">I590+G591-H591</f>
        <v>69203331</v>
      </c>
    </row>
    <row r="592" customFormat="false" ht="12" hidden="false" customHeight="true" outlineLevel="1" collapsed="false">
      <c r="B592" s="15" t="n">
        <v>45050</v>
      </c>
      <c r="C592" s="15" t="n">
        <f aca="false">B592</f>
        <v>45050</v>
      </c>
      <c r="D592" s="16" t="s">
        <v>376</v>
      </c>
      <c r="E592" s="16" t="s">
        <v>57</v>
      </c>
      <c r="F592" s="16" t="n">
        <v>635</v>
      </c>
      <c r="G592" s="17"/>
      <c r="H592" s="17" t="n">
        <v>3680244</v>
      </c>
      <c r="I592" s="14" t="n">
        <f aca="false">I591+G592-H592</f>
        <v>65523087</v>
      </c>
    </row>
    <row r="593" customFormat="false" ht="12" hidden="false" customHeight="true" outlineLevel="1" collapsed="false">
      <c r="B593" s="15" t="n">
        <v>45050</v>
      </c>
      <c r="C593" s="15" t="n">
        <f aca="false">B593</f>
        <v>45050</v>
      </c>
      <c r="D593" s="16" t="s">
        <v>376</v>
      </c>
      <c r="E593" s="16" t="s">
        <v>57</v>
      </c>
      <c r="F593" s="16" t="n">
        <v>635</v>
      </c>
      <c r="G593" s="17"/>
      <c r="H593" s="17" t="n">
        <v>5154446</v>
      </c>
      <c r="I593" s="14" t="n">
        <f aca="false">I592+G593-H593</f>
        <v>60368641</v>
      </c>
    </row>
    <row r="594" customFormat="false" ht="12" hidden="false" customHeight="true" outlineLevel="1" collapsed="false">
      <c r="B594" s="15" t="n">
        <v>45050</v>
      </c>
      <c r="C594" s="15" t="n">
        <f aca="false">B594</f>
        <v>45050</v>
      </c>
      <c r="D594" s="16" t="s">
        <v>376</v>
      </c>
      <c r="E594" s="16" t="s">
        <v>57</v>
      </c>
      <c r="F594" s="16" t="n">
        <v>635</v>
      </c>
      <c r="G594" s="17"/>
      <c r="H594" s="17" t="n">
        <v>8354833</v>
      </c>
      <c r="I594" s="14" t="n">
        <f aca="false">I593+G594-H594</f>
        <v>52013808</v>
      </c>
    </row>
    <row r="595" customFormat="false" ht="12" hidden="false" customHeight="true" outlineLevel="1" collapsed="false">
      <c r="B595" s="15" t="n">
        <v>45050</v>
      </c>
      <c r="C595" s="15" t="n">
        <f aca="false">B595</f>
        <v>45050</v>
      </c>
      <c r="D595" s="16" t="s">
        <v>376</v>
      </c>
      <c r="E595" s="16" t="s">
        <v>57</v>
      </c>
      <c r="F595" s="16" t="n">
        <v>635</v>
      </c>
      <c r="G595" s="17"/>
      <c r="H595" s="17" t="n">
        <v>10307904</v>
      </c>
      <c r="I595" s="14" t="n">
        <f aca="false">I594+G595-H595</f>
        <v>41705904</v>
      </c>
    </row>
    <row r="596" customFormat="false" ht="12" hidden="false" customHeight="true" outlineLevel="1" collapsed="false">
      <c r="B596" s="15" t="n">
        <v>45050</v>
      </c>
      <c r="C596" s="15" t="n">
        <f aca="false">B596</f>
        <v>45050</v>
      </c>
      <c r="D596" s="16" t="s">
        <v>376</v>
      </c>
      <c r="E596" s="16" t="s">
        <v>57</v>
      </c>
      <c r="F596" s="16" t="n">
        <v>635</v>
      </c>
      <c r="G596" s="17"/>
      <c r="H596" s="17" t="n">
        <v>2412272</v>
      </c>
      <c r="I596" s="14" t="n">
        <f aca="false">I595+G596-H596</f>
        <v>39293632</v>
      </c>
    </row>
    <row r="597" customFormat="false" ht="12" hidden="false" customHeight="true" outlineLevel="1" collapsed="false">
      <c r="B597" s="15" t="n">
        <v>45050</v>
      </c>
      <c r="C597" s="15" t="n">
        <f aca="false">B597</f>
        <v>45050</v>
      </c>
      <c r="D597" s="16" t="s">
        <v>376</v>
      </c>
      <c r="E597" s="16" t="s">
        <v>57</v>
      </c>
      <c r="F597" s="16" t="n">
        <v>635</v>
      </c>
      <c r="G597" s="17"/>
      <c r="H597" s="17" t="n">
        <v>3457521</v>
      </c>
      <c r="I597" s="14" t="n">
        <f aca="false">I596+G597-H597</f>
        <v>35836111</v>
      </c>
    </row>
    <row r="598" customFormat="false" ht="12" hidden="false" customHeight="true" outlineLevel="1" collapsed="false">
      <c r="B598" s="15" t="n">
        <v>45050</v>
      </c>
      <c r="C598" s="15" t="n">
        <f aca="false">B598</f>
        <v>45050</v>
      </c>
      <c r="D598" s="16" t="s">
        <v>376</v>
      </c>
      <c r="E598" s="16" t="s">
        <v>57</v>
      </c>
      <c r="F598" s="16" t="n">
        <v>635</v>
      </c>
      <c r="G598" s="17"/>
      <c r="H598" s="17" t="n">
        <v>711566</v>
      </c>
      <c r="I598" s="14" t="n">
        <f aca="false">I597+G598-H598</f>
        <v>35124545</v>
      </c>
    </row>
    <row r="599" customFormat="false" ht="12" hidden="false" customHeight="true" outlineLevel="1" collapsed="false">
      <c r="B599" s="15" t="n">
        <v>45050</v>
      </c>
      <c r="C599" s="15" t="n">
        <f aca="false">B599</f>
        <v>45050</v>
      </c>
      <c r="D599" s="16" t="s">
        <v>376</v>
      </c>
      <c r="E599" s="16" t="s">
        <v>57</v>
      </c>
      <c r="F599" s="16" t="n">
        <v>635</v>
      </c>
      <c r="G599" s="17"/>
      <c r="H599" s="17" t="n">
        <v>5827257</v>
      </c>
      <c r="I599" s="14" t="n">
        <f aca="false">I598+G599-H599</f>
        <v>29297288</v>
      </c>
    </row>
    <row r="600" customFormat="false" ht="12" hidden="false" customHeight="true" outlineLevel="1" collapsed="false">
      <c r="B600" s="15" t="n">
        <v>45050</v>
      </c>
      <c r="C600" s="15" t="n">
        <f aca="false">B600</f>
        <v>45050</v>
      </c>
      <c r="D600" s="16" t="s">
        <v>376</v>
      </c>
      <c r="E600" s="16" t="s">
        <v>57</v>
      </c>
      <c r="F600" s="16" t="n">
        <v>635</v>
      </c>
      <c r="G600" s="17"/>
      <c r="H600" s="17" t="n">
        <v>4671057</v>
      </c>
      <c r="I600" s="14" t="n">
        <f aca="false">I599+G600-H600</f>
        <v>24626231</v>
      </c>
    </row>
    <row r="601" customFormat="false" ht="12" hidden="false" customHeight="true" outlineLevel="1" collapsed="false">
      <c r="B601" s="15" t="n">
        <v>45050</v>
      </c>
      <c r="C601" s="15" t="n">
        <f aca="false">B601</f>
        <v>45050</v>
      </c>
      <c r="D601" s="16" t="s">
        <v>376</v>
      </c>
      <c r="E601" s="16" t="s">
        <v>57</v>
      </c>
      <c r="F601" s="16" t="n">
        <v>635</v>
      </c>
      <c r="G601" s="17"/>
      <c r="H601" s="17" t="n">
        <v>1629621</v>
      </c>
      <c r="I601" s="14" t="n">
        <f aca="false">I600+G601-H601</f>
        <v>22996610</v>
      </c>
    </row>
    <row r="602" customFormat="false" ht="12" hidden="false" customHeight="true" outlineLevel="1" collapsed="false">
      <c r="B602" s="15" t="n">
        <v>45050</v>
      </c>
      <c r="C602" s="15" t="n">
        <f aca="false">B602</f>
        <v>45050</v>
      </c>
      <c r="D602" s="16" t="s">
        <v>376</v>
      </c>
      <c r="E602" s="16" t="s">
        <v>57</v>
      </c>
      <c r="F602" s="16" t="n">
        <v>635</v>
      </c>
      <c r="G602" s="17"/>
      <c r="H602" s="17" t="n">
        <v>1059641</v>
      </c>
      <c r="I602" s="14" t="n">
        <f aca="false">I601+G602-H602</f>
        <v>21936969</v>
      </c>
    </row>
    <row r="603" customFormat="false" ht="12" hidden="false" customHeight="true" outlineLevel="1" collapsed="false">
      <c r="B603" s="15" t="n">
        <v>45050</v>
      </c>
      <c r="C603" s="15" t="n">
        <f aca="false">B603</f>
        <v>45050</v>
      </c>
      <c r="D603" s="16" t="s">
        <v>376</v>
      </c>
      <c r="E603" s="16" t="s">
        <v>57</v>
      </c>
      <c r="F603" s="16" t="n">
        <v>635</v>
      </c>
      <c r="G603" s="17"/>
      <c r="H603" s="17" t="n">
        <v>1112421</v>
      </c>
      <c r="I603" s="14" t="n">
        <f aca="false">I602+G603-H603</f>
        <v>20824548</v>
      </c>
    </row>
    <row r="604" customFormat="false" ht="12" hidden="false" customHeight="true" outlineLevel="1" collapsed="false">
      <c r="B604" s="15" t="n">
        <v>45050</v>
      </c>
      <c r="C604" s="15" t="n">
        <f aca="false">B604</f>
        <v>45050</v>
      </c>
      <c r="D604" s="16" t="s">
        <v>376</v>
      </c>
      <c r="E604" s="16" t="s">
        <v>57</v>
      </c>
      <c r="F604" s="16" t="n">
        <v>635</v>
      </c>
      <c r="G604" s="17"/>
      <c r="H604" s="17" t="n">
        <v>15513918</v>
      </c>
      <c r="I604" s="14" t="n">
        <f aca="false">I603+G604-H604</f>
        <v>5310630</v>
      </c>
    </row>
    <row r="605" customFormat="false" ht="12" hidden="false" customHeight="true" outlineLevel="1" collapsed="false">
      <c r="B605" s="15" t="n">
        <v>45050</v>
      </c>
      <c r="C605" s="15" t="n">
        <f aca="false">B605</f>
        <v>45050</v>
      </c>
      <c r="D605" s="16" t="s">
        <v>376</v>
      </c>
      <c r="E605" s="16" t="s">
        <v>57</v>
      </c>
      <c r="F605" s="16" t="n">
        <v>635</v>
      </c>
      <c r="G605" s="17"/>
      <c r="H605" s="17" t="n">
        <v>1253210</v>
      </c>
      <c r="I605" s="14" t="n">
        <f aca="false">I604+G605-H605</f>
        <v>4057420</v>
      </c>
    </row>
    <row r="606" customFormat="false" ht="12" hidden="false" customHeight="true" outlineLevel="1" collapsed="false">
      <c r="B606" s="15" t="n">
        <v>45050</v>
      </c>
      <c r="C606" s="15" t="n">
        <f aca="false">B606</f>
        <v>45050</v>
      </c>
      <c r="D606" s="16" t="s">
        <v>376</v>
      </c>
      <c r="E606" s="16" t="s">
        <v>57</v>
      </c>
      <c r="F606" s="16" t="n">
        <v>635</v>
      </c>
      <c r="G606" s="17"/>
      <c r="H606" s="17" t="n">
        <v>1023901</v>
      </c>
      <c r="I606" s="14" t="n">
        <f aca="false">I605+G606-H606</f>
        <v>3033519</v>
      </c>
    </row>
    <row r="607" customFormat="false" ht="12" hidden="false" customHeight="true" outlineLevel="1" collapsed="false">
      <c r="B607" s="15" t="n">
        <v>45050</v>
      </c>
      <c r="C607" s="15" t="n">
        <f aca="false">B607</f>
        <v>45050</v>
      </c>
      <c r="D607" s="16" t="s">
        <v>376</v>
      </c>
      <c r="E607" s="16" t="s">
        <v>57</v>
      </c>
      <c r="F607" s="16" t="n">
        <v>635</v>
      </c>
      <c r="G607" s="17"/>
      <c r="H607" s="17" t="n">
        <v>351502</v>
      </c>
      <c r="I607" s="14" t="n">
        <f aca="false">I606+G607-H607</f>
        <v>2682017</v>
      </c>
    </row>
    <row r="608" customFormat="false" ht="12" hidden="false" customHeight="true" outlineLevel="1" collapsed="false">
      <c r="B608" s="15" t="n">
        <v>45051</v>
      </c>
      <c r="C608" s="15" t="n">
        <f aca="false">B608</f>
        <v>45051</v>
      </c>
      <c r="D608" s="16" t="s">
        <v>376</v>
      </c>
      <c r="E608" s="16" t="s">
        <v>57</v>
      </c>
      <c r="F608" s="16" t="n">
        <v>635</v>
      </c>
      <c r="G608" s="17"/>
      <c r="H608" s="17" t="n">
        <v>61120</v>
      </c>
      <c r="I608" s="14" t="n">
        <f aca="false">I607+G608-H608</f>
        <v>2620897</v>
      </c>
    </row>
    <row r="609" customFormat="false" ht="12" hidden="false" customHeight="true" outlineLevel="1" collapsed="false">
      <c r="B609" s="15" t="n">
        <v>45051</v>
      </c>
      <c r="C609" s="15" t="n">
        <f aca="false">B609</f>
        <v>45051</v>
      </c>
      <c r="D609" s="16" t="s">
        <v>375</v>
      </c>
      <c r="E609" s="16" t="s">
        <v>157</v>
      </c>
      <c r="F609" s="16" t="s">
        <v>15</v>
      </c>
      <c r="G609" s="17" t="n">
        <v>132000000</v>
      </c>
      <c r="H609" s="17"/>
      <c r="I609" s="14" t="n">
        <f aca="false">I608+G609-H609</f>
        <v>134620897</v>
      </c>
    </row>
    <row r="610" customFormat="false" ht="12" hidden="false" customHeight="true" outlineLevel="1" collapsed="false">
      <c r="B610" s="15" t="n">
        <v>45051</v>
      </c>
      <c r="C610" s="15" t="n">
        <f aca="false">B610</f>
        <v>45051</v>
      </c>
      <c r="D610" s="16" t="s">
        <v>375</v>
      </c>
      <c r="E610" s="16" t="s">
        <v>157</v>
      </c>
      <c r="F610" s="16" t="s">
        <v>15</v>
      </c>
      <c r="G610" s="17" t="n">
        <v>84000000</v>
      </c>
      <c r="H610" s="17"/>
      <c r="I610" s="14" t="n">
        <f aca="false">I609+G610-H610</f>
        <v>218620897</v>
      </c>
    </row>
    <row r="611" customFormat="false" ht="12" hidden="false" customHeight="true" outlineLevel="1" collapsed="false">
      <c r="B611" s="15" t="n">
        <v>45051</v>
      </c>
      <c r="C611" s="15" t="n">
        <f aca="false">B611</f>
        <v>45051</v>
      </c>
      <c r="D611" s="16" t="s">
        <v>375</v>
      </c>
      <c r="E611" s="16" t="s">
        <v>157</v>
      </c>
      <c r="F611" s="16" t="s">
        <v>15</v>
      </c>
      <c r="G611" s="17" t="n">
        <v>221792000</v>
      </c>
      <c r="H611" s="17"/>
      <c r="I611" s="14" t="n">
        <f aca="false">I610+G611-H611</f>
        <v>440412897</v>
      </c>
    </row>
    <row r="612" customFormat="false" ht="12" hidden="false" customHeight="true" outlineLevel="1" collapsed="false">
      <c r="B612" s="15" t="n">
        <v>45051</v>
      </c>
      <c r="C612" s="15" t="n">
        <f aca="false">B612</f>
        <v>45051</v>
      </c>
      <c r="D612" s="16" t="s">
        <v>375</v>
      </c>
      <c r="E612" s="16" t="s">
        <v>157</v>
      </c>
      <c r="F612" s="16" t="s">
        <v>15</v>
      </c>
      <c r="G612" s="17" t="n">
        <v>55930000</v>
      </c>
      <c r="H612" s="17"/>
      <c r="I612" s="14" t="n">
        <f aca="false">I611+G612-H612</f>
        <v>496342897</v>
      </c>
    </row>
    <row r="613" customFormat="false" ht="12" hidden="false" customHeight="true" outlineLevel="1" collapsed="false">
      <c r="B613" s="15" t="n">
        <v>45051</v>
      </c>
      <c r="C613" s="15" t="n">
        <f aca="false">B613</f>
        <v>45051</v>
      </c>
      <c r="D613" s="16" t="s">
        <v>375</v>
      </c>
      <c r="E613" s="16" t="s">
        <v>157</v>
      </c>
      <c r="F613" s="16" t="s">
        <v>15</v>
      </c>
      <c r="G613" s="17" t="n">
        <v>31702000</v>
      </c>
      <c r="H613" s="17"/>
      <c r="I613" s="14" t="n">
        <f aca="false">I612+G613-H613</f>
        <v>528044897</v>
      </c>
    </row>
    <row r="614" customFormat="false" ht="12" hidden="false" customHeight="true" outlineLevel="1" collapsed="false">
      <c r="B614" s="15" t="n">
        <v>45051</v>
      </c>
      <c r="C614" s="15" t="n">
        <f aca="false">B614</f>
        <v>45051</v>
      </c>
      <c r="D614" s="16" t="s">
        <v>375</v>
      </c>
      <c r="E614" s="16" t="s">
        <v>157</v>
      </c>
      <c r="F614" s="16" t="s">
        <v>15</v>
      </c>
      <c r="G614" s="17" t="n">
        <v>19000000</v>
      </c>
      <c r="H614" s="17"/>
      <c r="I614" s="14" t="n">
        <f aca="false">I613+G614-H614</f>
        <v>547044897</v>
      </c>
    </row>
    <row r="615" customFormat="false" ht="12" hidden="false" customHeight="true" outlineLevel="1" collapsed="false">
      <c r="B615" s="15" t="n">
        <v>45051</v>
      </c>
      <c r="C615" s="15" t="n">
        <f aca="false">B615</f>
        <v>45051</v>
      </c>
      <c r="D615" s="16" t="s">
        <v>376</v>
      </c>
      <c r="E615" s="16" t="s">
        <v>294</v>
      </c>
      <c r="F615" s="16" t="s">
        <v>179</v>
      </c>
      <c r="G615" s="17"/>
      <c r="H615" s="17" t="n">
        <v>205777699</v>
      </c>
      <c r="I615" s="14" t="n">
        <f aca="false">I614+G615-H615</f>
        <v>341267198</v>
      </c>
    </row>
    <row r="616" customFormat="false" ht="12" hidden="false" customHeight="true" outlineLevel="1" collapsed="false">
      <c r="B616" s="15" t="n">
        <v>45051</v>
      </c>
      <c r="C616" s="15" t="n">
        <f aca="false">B616</f>
        <v>45051</v>
      </c>
      <c r="D616" s="16" t="s">
        <v>376</v>
      </c>
      <c r="E616" s="16" t="s">
        <v>294</v>
      </c>
      <c r="F616" s="16" t="s">
        <v>179</v>
      </c>
      <c r="G616" s="17"/>
      <c r="H616" s="17" t="n">
        <v>339080891</v>
      </c>
      <c r="I616" s="14" t="n">
        <f aca="false">I615+G616-H616</f>
        <v>2186307</v>
      </c>
    </row>
    <row r="617" customFormat="false" ht="12" hidden="false" customHeight="true" outlineLevel="1" collapsed="false">
      <c r="B617" s="15" t="n">
        <v>45052</v>
      </c>
      <c r="C617" s="15" t="n">
        <f aca="false">B617</f>
        <v>45052</v>
      </c>
      <c r="D617" s="16" t="s">
        <v>376</v>
      </c>
      <c r="E617" s="16" t="s">
        <v>36</v>
      </c>
      <c r="F617" s="16" t="n">
        <v>635</v>
      </c>
      <c r="G617" s="17"/>
      <c r="H617" s="17" t="n">
        <v>55000</v>
      </c>
      <c r="I617" s="14" t="n">
        <f aca="false">I616+G617-H617</f>
        <v>2131307</v>
      </c>
    </row>
    <row r="618" customFormat="false" ht="12" hidden="false" customHeight="true" outlineLevel="1" collapsed="false">
      <c r="B618" s="15" t="n">
        <v>45054</v>
      </c>
      <c r="C618" s="15" t="n">
        <f aca="false">B618</f>
        <v>45054</v>
      </c>
      <c r="D618" s="16" t="s">
        <v>375</v>
      </c>
      <c r="E618" s="16" t="s">
        <v>157</v>
      </c>
      <c r="F618" s="16" t="s">
        <v>15</v>
      </c>
      <c r="G618" s="17" t="n">
        <v>51612000</v>
      </c>
      <c r="H618" s="17"/>
      <c r="I618" s="14" t="n">
        <f aca="false">I617+G618-H618</f>
        <v>53743307</v>
      </c>
    </row>
    <row r="619" customFormat="false" ht="12" hidden="false" customHeight="true" outlineLevel="1" collapsed="false">
      <c r="B619" s="15" t="n">
        <v>45054</v>
      </c>
      <c r="C619" s="15" t="n">
        <f aca="false">B619</f>
        <v>45054</v>
      </c>
      <c r="D619" s="16" t="s">
        <v>375</v>
      </c>
      <c r="E619" s="16" t="s">
        <v>157</v>
      </c>
      <c r="F619" s="16" t="s">
        <v>15</v>
      </c>
      <c r="G619" s="17" t="n">
        <v>102829000</v>
      </c>
      <c r="H619" s="17"/>
      <c r="I619" s="14" t="n">
        <f aca="false">I618+G619-H619</f>
        <v>156572307</v>
      </c>
    </row>
    <row r="620" customFormat="false" ht="12" hidden="false" customHeight="true" outlineLevel="1" collapsed="false">
      <c r="B620" s="15" t="n">
        <v>45054</v>
      </c>
      <c r="C620" s="15" t="n">
        <f aca="false">B620</f>
        <v>45054</v>
      </c>
      <c r="D620" s="16" t="s">
        <v>375</v>
      </c>
      <c r="E620" s="16" t="s">
        <v>157</v>
      </c>
      <c r="F620" s="16" t="s">
        <v>15</v>
      </c>
      <c r="G620" s="17" t="n">
        <v>39805000</v>
      </c>
      <c r="H620" s="17"/>
      <c r="I620" s="14" t="n">
        <f aca="false">I619+G620-H620</f>
        <v>196377307</v>
      </c>
    </row>
    <row r="621" customFormat="false" ht="12" hidden="false" customHeight="true" outlineLevel="1" collapsed="false">
      <c r="B621" s="15" t="n">
        <v>45054</v>
      </c>
      <c r="C621" s="15" t="n">
        <f aca="false">B621</f>
        <v>45054</v>
      </c>
      <c r="D621" s="16" t="s">
        <v>375</v>
      </c>
      <c r="E621" s="16" t="s">
        <v>157</v>
      </c>
      <c r="F621" s="16" t="s">
        <v>15</v>
      </c>
      <c r="G621" s="17" t="n">
        <v>44011000</v>
      </c>
      <c r="H621" s="17"/>
      <c r="I621" s="14" t="n">
        <f aca="false">I620+G621-H621</f>
        <v>240388307</v>
      </c>
    </row>
    <row r="622" customFormat="false" ht="12" hidden="false" customHeight="true" outlineLevel="1" collapsed="false">
      <c r="B622" s="15" t="n">
        <v>45054</v>
      </c>
      <c r="C622" s="15" t="n">
        <f aca="false">B622</f>
        <v>45054</v>
      </c>
      <c r="D622" s="16" t="s">
        <v>375</v>
      </c>
      <c r="E622" s="16" t="s">
        <v>157</v>
      </c>
      <c r="F622" s="16" t="s">
        <v>15</v>
      </c>
      <c r="G622" s="17" t="n">
        <v>72629000</v>
      </c>
      <c r="H622" s="17"/>
      <c r="I622" s="14" t="n">
        <f aca="false">I621+G622-H622</f>
        <v>313017307</v>
      </c>
    </row>
    <row r="623" customFormat="false" ht="12" hidden="false" customHeight="true" outlineLevel="1" collapsed="false">
      <c r="B623" s="15" t="n">
        <v>45054</v>
      </c>
      <c r="C623" s="15" t="n">
        <f aca="false">B623</f>
        <v>45054</v>
      </c>
      <c r="D623" s="16" t="s">
        <v>375</v>
      </c>
      <c r="E623" s="16" t="s">
        <v>157</v>
      </c>
      <c r="F623" s="16" t="s">
        <v>15</v>
      </c>
      <c r="G623" s="17" t="n">
        <v>196100000</v>
      </c>
      <c r="H623" s="17"/>
      <c r="I623" s="14" t="n">
        <f aca="false">I622+G623-H623</f>
        <v>509117307</v>
      </c>
    </row>
    <row r="624" customFormat="false" ht="12" hidden="false" customHeight="true" outlineLevel="1" collapsed="false">
      <c r="B624" s="15" t="n">
        <v>45054</v>
      </c>
      <c r="C624" s="15" t="n">
        <f aca="false">B624</f>
        <v>45054</v>
      </c>
      <c r="D624" s="16" t="s">
        <v>376</v>
      </c>
      <c r="E624" s="16" t="s">
        <v>294</v>
      </c>
      <c r="F624" s="16" t="s">
        <v>179</v>
      </c>
      <c r="G624" s="17"/>
      <c r="H624" s="17" t="n">
        <v>239604310</v>
      </c>
      <c r="I624" s="14" t="n">
        <f aca="false">I623+G624-H624</f>
        <v>269512997</v>
      </c>
    </row>
    <row r="625" customFormat="false" ht="12" hidden="false" customHeight="true" outlineLevel="1" collapsed="false">
      <c r="B625" s="15" t="n">
        <v>45054</v>
      </c>
      <c r="C625" s="15" t="n">
        <f aca="false">B625</f>
        <v>45054</v>
      </c>
      <c r="D625" s="16" t="s">
        <v>376</v>
      </c>
      <c r="E625" s="16" t="s">
        <v>23</v>
      </c>
      <c r="F625" s="16" t="s">
        <v>24</v>
      </c>
      <c r="G625" s="17"/>
      <c r="H625" s="17" t="n">
        <v>260000000</v>
      </c>
      <c r="I625" s="14" t="n">
        <f aca="false">I624+G625-H625</f>
        <v>9512997</v>
      </c>
    </row>
    <row r="626" customFormat="false" ht="12" hidden="false" customHeight="true" outlineLevel="1" collapsed="false">
      <c r="B626" s="15" t="n">
        <v>45055</v>
      </c>
      <c r="C626" s="15" t="n">
        <f aca="false">B626</f>
        <v>45055</v>
      </c>
      <c r="D626" s="16" t="s">
        <v>375</v>
      </c>
      <c r="E626" s="16" t="s">
        <v>157</v>
      </c>
      <c r="F626" s="16" t="s">
        <v>15</v>
      </c>
      <c r="G626" s="17" t="n">
        <v>195850000</v>
      </c>
      <c r="H626" s="17"/>
      <c r="I626" s="14" t="n">
        <f aca="false">I625+G626-H626</f>
        <v>205362997</v>
      </c>
    </row>
    <row r="627" customFormat="false" ht="12" hidden="false" customHeight="true" outlineLevel="1" collapsed="false">
      <c r="B627" s="15" t="n">
        <v>45055</v>
      </c>
      <c r="C627" s="15" t="n">
        <f aca="false">B627</f>
        <v>45055</v>
      </c>
      <c r="D627" s="16" t="s">
        <v>375</v>
      </c>
      <c r="E627" s="16" t="s">
        <v>157</v>
      </c>
      <c r="F627" s="16" t="s">
        <v>15</v>
      </c>
      <c r="G627" s="17" t="n">
        <v>55598000</v>
      </c>
      <c r="H627" s="17"/>
      <c r="I627" s="14" t="n">
        <f aca="false">I626+G627-H627</f>
        <v>260960997</v>
      </c>
    </row>
    <row r="628" customFormat="false" ht="12" hidden="false" customHeight="true" outlineLevel="1" collapsed="false">
      <c r="B628" s="15" t="n">
        <v>45055</v>
      </c>
      <c r="C628" s="15" t="n">
        <f aca="false">B628</f>
        <v>45055</v>
      </c>
      <c r="D628" s="16" t="s">
        <v>375</v>
      </c>
      <c r="E628" s="16" t="s">
        <v>157</v>
      </c>
      <c r="F628" s="16" t="s">
        <v>15</v>
      </c>
      <c r="G628" s="17" t="n">
        <v>70801000</v>
      </c>
      <c r="H628" s="17"/>
      <c r="I628" s="14" t="n">
        <f aca="false">I627+G628-H628</f>
        <v>331761997</v>
      </c>
    </row>
    <row r="629" customFormat="false" ht="12" hidden="false" customHeight="true" outlineLevel="1" collapsed="false">
      <c r="B629" s="15" t="n">
        <v>45055</v>
      </c>
      <c r="C629" s="15" t="n">
        <f aca="false">B629</f>
        <v>45055</v>
      </c>
      <c r="D629" s="16" t="s">
        <v>376</v>
      </c>
      <c r="E629" s="16" t="s">
        <v>23</v>
      </c>
      <c r="F629" s="16" t="s">
        <v>24</v>
      </c>
      <c r="G629" s="17"/>
      <c r="H629" s="17" t="n">
        <v>325000000</v>
      </c>
      <c r="I629" s="14" t="n">
        <f aca="false">I628+G629-H629</f>
        <v>6761997</v>
      </c>
    </row>
    <row r="630" customFormat="false" ht="12" hidden="false" customHeight="true" outlineLevel="1" collapsed="false">
      <c r="B630" s="15" t="n">
        <v>45056</v>
      </c>
      <c r="C630" s="15" t="n">
        <f aca="false">B630</f>
        <v>45056</v>
      </c>
      <c r="D630" s="16" t="s">
        <v>375</v>
      </c>
      <c r="E630" s="16" t="s">
        <v>157</v>
      </c>
      <c r="F630" s="16" t="s">
        <v>15</v>
      </c>
      <c r="G630" s="17" t="n">
        <v>301156000</v>
      </c>
      <c r="H630" s="17"/>
      <c r="I630" s="14" t="n">
        <f aca="false">I629+G630-H630</f>
        <v>307917997</v>
      </c>
    </row>
    <row r="631" customFormat="false" ht="12" hidden="false" customHeight="true" outlineLevel="1" collapsed="false">
      <c r="B631" s="15" t="n">
        <v>45056</v>
      </c>
      <c r="C631" s="15" t="n">
        <f aca="false">B631</f>
        <v>45056</v>
      </c>
      <c r="D631" s="16" t="s">
        <v>376</v>
      </c>
      <c r="E631" s="16" t="s">
        <v>294</v>
      </c>
      <c r="F631" s="16" t="s">
        <v>179</v>
      </c>
      <c r="G631" s="17"/>
      <c r="H631" s="17" t="n">
        <v>270478549</v>
      </c>
      <c r="I631" s="14" t="n">
        <f aca="false">I630+G631-H631</f>
        <v>37439448</v>
      </c>
    </row>
    <row r="632" customFormat="false" ht="12" hidden="false" customHeight="true" outlineLevel="1" collapsed="false">
      <c r="B632" s="15" t="n">
        <v>45057</v>
      </c>
      <c r="C632" s="15" t="n">
        <f aca="false">B632</f>
        <v>45057</v>
      </c>
      <c r="D632" s="16" t="s">
        <v>375</v>
      </c>
      <c r="E632" s="16" t="s">
        <v>157</v>
      </c>
      <c r="F632" s="16" t="s">
        <v>15</v>
      </c>
      <c r="G632" s="17" t="n">
        <v>160748000</v>
      </c>
      <c r="H632" s="17"/>
      <c r="I632" s="14" t="n">
        <f aca="false">I631+G632-H632</f>
        <v>198187448</v>
      </c>
    </row>
    <row r="633" customFormat="false" ht="12" hidden="false" customHeight="true" outlineLevel="1" collapsed="false">
      <c r="B633" s="15" t="n">
        <v>45057</v>
      </c>
      <c r="C633" s="15" t="n">
        <f aca="false">B633</f>
        <v>45057</v>
      </c>
      <c r="D633" s="16" t="s">
        <v>375</v>
      </c>
      <c r="E633" s="16" t="s">
        <v>157</v>
      </c>
      <c r="F633" s="16" t="s">
        <v>15</v>
      </c>
      <c r="G633" s="17" t="n">
        <v>168248000</v>
      </c>
      <c r="H633" s="17"/>
      <c r="I633" s="14" t="n">
        <f aca="false">I632+G633-H633</f>
        <v>366435448</v>
      </c>
    </row>
    <row r="634" customFormat="false" ht="12" hidden="false" customHeight="true" outlineLevel="1" collapsed="false">
      <c r="B634" s="15" t="n">
        <v>45057</v>
      </c>
      <c r="C634" s="15" t="n">
        <f aca="false">B634</f>
        <v>45057</v>
      </c>
      <c r="D634" s="16" t="s">
        <v>375</v>
      </c>
      <c r="E634" s="16" t="s">
        <v>157</v>
      </c>
      <c r="F634" s="16" t="s">
        <v>15</v>
      </c>
      <c r="G634" s="17" t="n">
        <v>112224000</v>
      </c>
      <c r="H634" s="17"/>
      <c r="I634" s="14" t="n">
        <f aca="false">I633+G634-H634</f>
        <v>478659448</v>
      </c>
    </row>
    <row r="635" customFormat="false" ht="12" hidden="false" customHeight="true" outlineLevel="1" collapsed="false">
      <c r="B635" s="15" t="n">
        <v>45057</v>
      </c>
      <c r="C635" s="15" t="n">
        <f aca="false">B635</f>
        <v>45057</v>
      </c>
      <c r="D635" s="16" t="s">
        <v>375</v>
      </c>
      <c r="E635" s="16" t="s">
        <v>157</v>
      </c>
      <c r="F635" s="16" t="s">
        <v>15</v>
      </c>
      <c r="G635" s="17" t="n">
        <v>300000000</v>
      </c>
      <c r="H635" s="17"/>
      <c r="I635" s="14" t="n">
        <f aca="false">I634+G635-H635</f>
        <v>778659448</v>
      </c>
    </row>
    <row r="636" customFormat="false" ht="12" hidden="false" customHeight="true" outlineLevel="1" collapsed="false">
      <c r="B636" s="15" t="n">
        <v>45057</v>
      </c>
      <c r="C636" s="15" t="n">
        <f aca="false">B636</f>
        <v>45057</v>
      </c>
      <c r="D636" s="16" t="s">
        <v>376</v>
      </c>
      <c r="E636" s="16" t="s">
        <v>23</v>
      </c>
      <c r="F636" s="16" t="s">
        <v>24</v>
      </c>
      <c r="G636" s="17"/>
      <c r="H636" s="17" t="n">
        <v>770000000</v>
      </c>
      <c r="I636" s="14" t="n">
        <f aca="false">I635+G636-H636</f>
        <v>8659448</v>
      </c>
    </row>
    <row r="637" customFormat="false" ht="12" hidden="false" customHeight="true" outlineLevel="1" collapsed="false">
      <c r="B637" s="15" t="n">
        <v>45058</v>
      </c>
      <c r="C637" s="15" t="n">
        <f aca="false">B637</f>
        <v>45058</v>
      </c>
      <c r="D637" s="16" t="s">
        <v>375</v>
      </c>
      <c r="E637" s="16" t="s">
        <v>157</v>
      </c>
      <c r="F637" s="16" t="s">
        <v>15</v>
      </c>
      <c r="G637" s="17" t="n">
        <v>97828000</v>
      </c>
      <c r="H637" s="17"/>
      <c r="I637" s="14" t="n">
        <f aca="false">I636+G637-H637</f>
        <v>106487448</v>
      </c>
    </row>
    <row r="638" customFormat="false" ht="12" hidden="false" customHeight="true" outlineLevel="1" collapsed="false">
      <c r="B638" s="15" t="n">
        <v>45058</v>
      </c>
      <c r="C638" s="15" t="n">
        <f aca="false">B638</f>
        <v>45058</v>
      </c>
      <c r="D638" s="16" t="s">
        <v>375</v>
      </c>
      <c r="E638" s="16" t="s">
        <v>157</v>
      </c>
      <c r="F638" s="16" t="s">
        <v>15</v>
      </c>
      <c r="G638" s="17" t="n">
        <v>75761000</v>
      </c>
      <c r="H638" s="17"/>
      <c r="I638" s="14" t="n">
        <f aca="false">I637+G638-H638</f>
        <v>182248448</v>
      </c>
    </row>
    <row r="639" customFormat="false" ht="12" hidden="false" customHeight="true" outlineLevel="1" collapsed="false">
      <c r="B639" s="15" t="n">
        <v>45058</v>
      </c>
      <c r="C639" s="15" t="n">
        <f aca="false">B639</f>
        <v>45058</v>
      </c>
      <c r="D639" s="16" t="s">
        <v>375</v>
      </c>
      <c r="E639" s="16" t="s">
        <v>157</v>
      </c>
      <c r="F639" s="16" t="s">
        <v>15</v>
      </c>
      <c r="G639" s="17" t="n">
        <v>55156000</v>
      </c>
      <c r="H639" s="17"/>
      <c r="I639" s="14" t="n">
        <f aca="false">I638+G639-H639</f>
        <v>237404448</v>
      </c>
    </row>
    <row r="640" customFormat="false" ht="12" hidden="false" customHeight="true" outlineLevel="1" collapsed="false">
      <c r="B640" s="15" t="n">
        <v>45058</v>
      </c>
      <c r="C640" s="15" t="n">
        <f aca="false">B640</f>
        <v>45058</v>
      </c>
      <c r="D640" s="16" t="s">
        <v>376</v>
      </c>
      <c r="E640" s="16" t="s">
        <v>23</v>
      </c>
      <c r="F640" s="16" t="s">
        <v>24</v>
      </c>
      <c r="G640" s="17"/>
      <c r="H640" s="17" t="n">
        <v>224072359</v>
      </c>
      <c r="I640" s="14" t="n">
        <f aca="false">I639+G640-H640</f>
        <v>13332089</v>
      </c>
    </row>
    <row r="641" customFormat="false" ht="12" hidden="false" customHeight="true" outlineLevel="1" collapsed="false">
      <c r="B641" s="15" t="n">
        <v>45058</v>
      </c>
      <c r="C641" s="15" t="n">
        <f aca="false">B641</f>
        <v>45058</v>
      </c>
      <c r="D641" s="16" t="s">
        <v>376</v>
      </c>
      <c r="E641" s="16" t="s">
        <v>36</v>
      </c>
      <c r="F641" s="16" t="n">
        <v>635</v>
      </c>
      <c r="G641" s="17"/>
      <c r="H641" s="17" t="n">
        <v>4777511</v>
      </c>
      <c r="I641" s="14" t="n">
        <f aca="false">I640+G641-H641</f>
        <v>8554578</v>
      </c>
    </row>
    <row r="642" customFormat="false" ht="12" hidden="false" customHeight="true" outlineLevel="1" collapsed="false">
      <c r="B642" s="15" t="n">
        <v>45058</v>
      </c>
      <c r="C642" s="15" t="n">
        <f aca="false">B642</f>
        <v>45058</v>
      </c>
      <c r="D642" s="16" t="s">
        <v>375</v>
      </c>
      <c r="E642" s="16" t="s">
        <v>157</v>
      </c>
      <c r="F642" s="16" t="s">
        <v>15</v>
      </c>
      <c r="G642" s="17" t="n">
        <v>70000000</v>
      </c>
      <c r="H642" s="17"/>
      <c r="I642" s="14" t="n">
        <f aca="false">I641+G642-H642</f>
        <v>78554578</v>
      </c>
    </row>
    <row r="643" customFormat="false" ht="12" hidden="false" customHeight="true" outlineLevel="1" collapsed="false">
      <c r="B643" s="15" t="n">
        <v>45058</v>
      </c>
      <c r="C643" s="15" t="n">
        <f aca="false">B643</f>
        <v>45058</v>
      </c>
      <c r="D643" s="16" t="s">
        <v>376</v>
      </c>
      <c r="E643" s="16" t="s">
        <v>23</v>
      </c>
      <c r="F643" s="16" t="s">
        <v>24</v>
      </c>
      <c r="G643" s="17"/>
      <c r="H643" s="17" t="n">
        <v>75927641</v>
      </c>
      <c r="I643" s="14" t="n">
        <f aca="false">I642+G643-H643</f>
        <v>2626937</v>
      </c>
    </row>
    <row r="644" customFormat="false" ht="12" hidden="false" customHeight="true" outlineLevel="1" collapsed="false">
      <c r="B644" s="15" t="n">
        <v>45058</v>
      </c>
      <c r="C644" s="15" t="n">
        <f aca="false">B644</f>
        <v>45058</v>
      </c>
      <c r="D644" s="16" t="s">
        <v>376</v>
      </c>
      <c r="E644" s="16" t="s">
        <v>36</v>
      </c>
      <c r="F644" s="16" t="n">
        <v>635</v>
      </c>
      <c r="G644" s="17"/>
      <c r="H644" s="17" t="n">
        <v>11000</v>
      </c>
      <c r="I644" s="14" t="n">
        <f aca="false">I643+G644-H644</f>
        <v>2615937</v>
      </c>
    </row>
    <row r="645" customFormat="false" ht="12" hidden="false" customHeight="true" outlineLevel="1" collapsed="false">
      <c r="B645" s="15" t="n">
        <v>45061</v>
      </c>
      <c r="C645" s="15" t="n">
        <f aca="false">B645</f>
        <v>45061</v>
      </c>
      <c r="D645" s="16" t="s">
        <v>375</v>
      </c>
      <c r="E645" s="16" t="s">
        <v>157</v>
      </c>
      <c r="F645" s="16" t="s">
        <v>15</v>
      </c>
      <c r="G645" s="17" t="n">
        <v>72588000</v>
      </c>
      <c r="H645" s="17"/>
      <c r="I645" s="14" t="n">
        <f aca="false">I644+G645-H645</f>
        <v>75203937</v>
      </c>
    </row>
    <row r="646" customFormat="false" ht="12" hidden="false" customHeight="true" outlineLevel="1" collapsed="false">
      <c r="B646" s="15" t="n">
        <v>45061</v>
      </c>
      <c r="C646" s="15" t="n">
        <f aca="false">B646</f>
        <v>45061</v>
      </c>
      <c r="D646" s="16" t="s">
        <v>375</v>
      </c>
      <c r="E646" s="16" t="s">
        <v>157</v>
      </c>
      <c r="F646" s="16" t="s">
        <v>15</v>
      </c>
      <c r="G646" s="17" t="n">
        <v>46962000</v>
      </c>
      <c r="H646" s="17"/>
      <c r="I646" s="14" t="n">
        <f aca="false">I645+G646-H646</f>
        <v>122165937</v>
      </c>
    </row>
    <row r="647" customFormat="false" ht="12" hidden="false" customHeight="true" outlineLevel="1" collapsed="false">
      <c r="B647" s="15" t="n">
        <v>45061</v>
      </c>
      <c r="C647" s="15" t="n">
        <f aca="false">B647</f>
        <v>45061</v>
      </c>
      <c r="D647" s="16" t="s">
        <v>375</v>
      </c>
      <c r="E647" s="16" t="s">
        <v>157</v>
      </c>
      <c r="F647" s="16" t="s">
        <v>15</v>
      </c>
      <c r="G647" s="17" t="n">
        <v>135488000</v>
      </c>
      <c r="H647" s="17"/>
      <c r="I647" s="14" t="n">
        <f aca="false">I646+G647-H647</f>
        <v>257653937</v>
      </c>
    </row>
    <row r="648" customFormat="false" ht="12" hidden="false" customHeight="true" outlineLevel="1" collapsed="false">
      <c r="B648" s="15" t="n">
        <v>45061</v>
      </c>
      <c r="C648" s="15" t="n">
        <f aca="false">B648</f>
        <v>45061</v>
      </c>
      <c r="D648" s="16" t="s">
        <v>376</v>
      </c>
      <c r="E648" s="16" t="s">
        <v>294</v>
      </c>
      <c r="F648" s="16" t="s">
        <v>179</v>
      </c>
      <c r="G648" s="17"/>
      <c r="H648" s="17" t="n">
        <v>199450318</v>
      </c>
      <c r="I648" s="14" t="n">
        <f aca="false">I647+G648-H648</f>
        <v>58203619</v>
      </c>
    </row>
    <row r="649" customFormat="false" ht="12" hidden="false" customHeight="true" outlineLevel="1" collapsed="false">
      <c r="B649" s="15" t="n">
        <v>45061</v>
      </c>
      <c r="C649" s="15" t="n">
        <f aca="false">B649</f>
        <v>45061</v>
      </c>
      <c r="D649" s="16" t="s">
        <v>375</v>
      </c>
      <c r="E649" s="16" t="s">
        <v>157</v>
      </c>
      <c r="F649" s="16" t="s">
        <v>15</v>
      </c>
      <c r="G649" s="17" t="n">
        <v>42836000</v>
      </c>
      <c r="H649" s="17"/>
      <c r="I649" s="14" t="n">
        <f aca="false">I648+G649-H649</f>
        <v>101039619</v>
      </c>
    </row>
    <row r="650" customFormat="false" ht="12" hidden="false" customHeight="true" outlineLevel="1" collapsed="false">
      <c r="B650" s="15" t="n">
        <v>45061</v>
      </c>
      <c r="C650" s="15" t="n">
        <f aca="false">B650</f>
        <v>45061</v>
      </c>
      <c r="D650" s="16" t="s">
        <v>375</v>
      </c>
      <c r="E650" s="16" t="s">
        <v>157</v>
      </c>
      <c r="F650" s="16" t="s">
        <v>15</v>
      </c>
      <c r="G650" s="17" t="n">
        <v>88738000</v>
      </c>
      <c r="H650" s="17"/>
      <c r="I650" s="14" t="n">
        <f aca="false">I649+G650-H650</f>
        <v>189777619</v>
      </c>
    </row>
    <row r="651" customFormat="false" ht="12" hidden="false" customHeight="true" outlineLevel="1" collapsed="false">
      <c r="B651" s="15" t="n">
        <v>45061</v>
      </c>
      <c r="C651" s="15" t="n">
        <f aca="false">B651</f>
        <v>45061</v>
      </c>
      <c r="D651" s="16" t="s">
        <v>375</v>
      </c>
      <c r="E651" s="16" t="s">
        <v>157</v>
      </c>
      <c r="F651" s="16" t="s">
        <v>15</v>
      </c>
      <c r="G651" s="17" t="n">
        <v>66656000</v>
      </c>
      <c r="H651" s="17"/>
      <c r="I651" s="14" t="n">
        <f aca="false">I650+G651-H651</f>
        <v>256433619</v>
      </c>
    </row>
    <row r="652" customFormat="false" ht="12" hidden="false" customHeight="true" outlineLevel="1" collapsed="false">
      <c r="B652" s="15" t="n">
        <v>45061</v>
      </c>
      <c r="C652" s="15" t="n">
        <f aca="false">B652</f>
        <v>45061</v>
      </c>
      <c r="D652" s="16" t="s">
        <v>376</v>
      </c>
      <c r="E652" s="16" t="s">
        <v>23</v>
      </c>
      <c r="F652" s="16" t="s">
        <v>24</v>
      </c>
      <c r="G652" s="17"/>
      <c r="H652" s="17" t="n">
        <v>250000000</v>
      </c>
      <c r="I652" s="14" t="n">
        <f aca="false">I651+G652-H652</f>
        <v>6433619</v>
      </c>
    </row>
    <row r="653" customFormat="false" ht="12" hidden="false" customHeight="true" outlineLevel="1" collapsed="false">
      <c r="B653" s="15" t="n">
        <v>45062</v>
      </c>
      <c r="C653" s="15" t="n">
        <f aca="false">B653</f>
        <v>45062</v>
      </c>
      <c r="D653" s="16" t="s">
        <v>376</v>
      </c>
      <c r="E653" s="16" t="s">
        <v>294</v>
      </c>
      <c r="F653" s="16" t="s">
        <v>179</v>
      </c>
      <c r="G653" s="17"/>
      <c r="H653" s="17" t="n">
        <v>968000</v>
      </c>
      <c r="I653" s="14" t="n">
        <f aca="false">I652+G653-H653</f>
        <v>5465619</v>
      </c>
    </row>
    <row r="654" customFormat="false" ht="12" hidden="false" customHeight="true" outlineLevel="1" collapsed="false">
      <c r="B654" s="15" t="n">
        <v>45062</v>
      </c>
      <c r="C654" s="15" t="n">
        <f aca="false">B654</f>
        <v>45062</v>
      </c>
      <c r="D654" s="16" t="s">
        <v>375</v>
      </c>
      <c r="E654" s="16" t="s">
        <v>157</v>
      </c>
      <c r="F654" s="16" t="s">
        <v>15</v>
      </c>
      <c r="G654" s="17" t="n">
        <v>75034000</v>
      </c>
      <c r="H654" s="17"/>
      <c r="I654" s="14" t="n">
        <f aca="false">I653+G654-H654</f>
        <v>80499619</v>
      </c>
    </row>
    <row r="655" customFormat="false" ht="12" hidden="false" customHeight="true" outlineLevel="1" collapsed="false">
      <c r="B655" s="15" t="n">
        <v>45062</v>
      </c>
      <c r="C655" s="15" t="n">
        <f aca="false">B655</f>
        <v>45062</v>
      </c>
      <c r="D655" s="16" t="s">
        <v>375</v>
      </c>
      <c r="E655" s="16" t="s">
        <v>157</v>
      </c>
      <c r="F655" s="16" t="s">
        <v>15</v>
      </c>
      <c r="G655" s="17" t="n">
        <v>50408000</v>
      </c>
      <c r="H655" s="17"/>
      <c r="I655" s="14" t="n">
        <f aca="false">I654+G655-H655</f>
        <v>130907619</v>
      </c>
    </row>
    <row r="656" customFormat="false" ht="12" hidden="false" customHeight="true" outlineLevel="1" collapsed="false">
      <c r="B656" s="15" t="n">
        <v>45062</v>
      </c>
      <c r="C656" s="15" t="n">
        <f aca="false">B656</f>
        <v>45062</v>
      </c>
      <c r="D656" s="16" t="s">
        <v>375</v>
      </c>
      <c r="E656" s="16" t="s">
        <v>157</v>
      </c>
      <c r="F656" s="16" t="s">
        <v>15</v>
      </c>
      <c r="G656" s="17" t="n">
        <v>170752000</v>
      </c>
      <c r="H656" s="17"/>
      <c r="I656" s="14" t="n">
        <f aca="false">I655+G656-H656</f>
        <v>301659619</v>
      </c>
    </row>
    <row r="657" customFormat="false" ht="12" hidden="false" customHeight="true" outlineLevel="1" collapsed="false">
      <c r="B657" s="15" t="n">
        <v>45062</v>
      </c>
      <c r="C657" s="15" t="n">
        <f aca="false">B657</f>
        <v>45062</v>
      </c>
      <c r="D657" s="16" t="s">
        <v>375</v>
      </c>
      <c r="E657" s="16" t="s">
        <v>157</v>
      </c>
      <c r="F657" s="16" t="s">
        <v>15</v>
      </c>
      <c r="G657" s="17" t="n">
        <v>100000000</v>
      </c>
      <c r="H657" s="17"/>
      <c r="I657" s="14" t="n">
        <f aca="false">I656+G657-H657</f>
        <v>401659619</v>
      </c>
    </row>
    <row r="658" customFormat="false" ht="12" hidden="false" customHeight="true" outlineLevel="1" collapsed="false">
      <c r="B658" s="15" t="n">
        <v>45062</v>
      </c>
      <c r="C658" s="15" t="n">
        <f aca="false">B658</f>
        <v>45062</v>
      </c>
      <c r="D658" s="16" t="s">
        <v>376</v>
      </c>
      <c r="E658" s="16" t="s">
        <v>23</v>
      </c>
      <c r="F658" s="16" t="s">
        <v>24</v>
      </c>
      <c r="G658" s="17"/>
      <c r="H658" s="17" t="n">
        <v>369954492</v>
      </c>
      <c r="I658" s="14" t="n">
        <f aca="false">I657+G658-H658</f>
        <v>31705127</v>
      </c>
    </row>
    <row r="659" customFormat="false" ht="12" hidden="false" customHeight="true" outlineLevel="1" collapsed="false">
      <c r="B659" s="15" t="n">
        <v>45062</v>
      </c>
      <c r="C659" s="15" t="n">
        <f aca="false">B659</f>
        <v>45062</v>
      </c>
      <c r="D659" s="16" t="s">
        <v>376</v>
      </c>
      <c r="E659" s="16" t="s">
        <v>23</v>
      </c>
      <c r="F659" s="16" t="s">
        <v>24</v>
      </c>
      <c r="G659" s="17"/>
      <c r="H659" s="17" t="n">
        <v>25045508</v>
      </c>
      <c r="I659" s="14" t="n">
        <f aca="false">I658+G659-H659</f>
        <v>6659619</v>
      </c>
    </row>
    <row r="660" customFormat="false" ht="12" hidden="false" customHeight="true" outlineLevel="1" collapsed="false">
      <c r="B660" s="15" t="n">
        <v>45062</v>
      </c>
      <c r="C660" s="15" t="n">
        <f aca="false">B660</f>
        <v>45062</v>
      </c>
      <c r="D660" s="16" t="s">
        <v>376</v>
      </c>
      <c r="E660" s="16" t="s">
        <v>57</v>
      </c>
      <c r="F660" s="16" t="n">
        <v>635</v>
      </c>
      <c r="G660" s="17"/>
      <c r="H660" s="17" t="n">
        <v>3664140</v>
      </c>
      <c r="I660" s="14" t="n">
        <f aca="false">I659+G660-H660</f>
        <v>2995479</v>
      </c>
    </row>
    <row r="661" customFormat="false" ht="12" hidden="false" customHeight="true" outlineLevel="1" collapsed="false">
      <c r="B661" s="15" t="n">
        <v>45062</v>
      </c>
      <c r="C661" s="15" t="n">
        <f aca="false">B661</f>
        <v>45062</v>
      </c>
      <c r="D661" s="16" t="s">
        <v>376</v>
      </c>
      <c r="E661" s="16" t="s">
        <v>57</v>
      </c>
      <c r="F661" s="16" t="n">
        <v>635</v>
      </c>
      <c r="G661" s="17"/>
      <c r="H661" s="17" t="n">
        <v>11000</v>
      </c>
      <c r="I661" s="14" t="n">
        <f aca="false">I660+G661-H661</f>
        <v>2984479</v>
      </c>
    </row>
    <row r="662" customFormat="false" ht="12" hidden="false" customHeight="true" outlineLevel="1" collapsed="false">
      <c r="B662" s="15" t="n">
        <v>45063</v>
      </c>
      <c r="C662" s="15" t="n">
        <f aca="false">B662</f>
        <v>45063</v>
      </c>
      <c r="D662" s="16" t="s">
        <v>375</v>
      </c>
      <c r="E662" s="16" t="s">
        <v>157</v>
      </c>
      <c r="F662" s="16" t="s">
        <v>15</v>
      </c>
      <c r="G662" s="17" t="n">
        <v>57625000</v>
      </c>
      <c r="H662" s="17"/>
      <c r="I662" s="14" t="n">
        <f aca="false">I661+G662-H662</f>
        <v>60609479</v>
      </c>
    </row>
    <row r="663" customFormat="false" ht="12" hidden="false" customHeight="true" outlineLevel="1" collapsed="false">
      <c r="B663" s="15" t="n">
        <v>45063</v>
      </c>
      <c r="C663" s="15" t="n">
        <f aca="false">B663</f>
        <v>45063</v>
      </c>
      <c r="D663" s="16" t="s">
        <v>375</v>
      </c>
      <c r="E663" s="16" t="s">
        <v>157</v>
      </c>
      <c r="F663" s="16" t="s">
        <v>15</v>
      </c>
      <c r="G663" s="17" t="n">
        <v>82929000</v>
      </c>
      <c r="H663" s="17"/>
      <c r="I663" s="14" t="n">
        <f aca="false">I662+G663-H663</f>
        <v>143538479</v>
      </c>
    </row>
    <row r="664" customFormat="false" ht="12" hidden="false" customHeight="true" outlineLevel="1" collapsed="false">
      <c r="B664" s="15" t="n">
        <v>45063</v>
      </c>
      <c r="C664" s="15" t="n">
        <f aca="false">B664</f>
        <v>45063</v>
      </c>
      <c r="D664" s="16" t="s">
        <v>375</v>
      </c>
      <c r="E664" s="16" t="s">
        <v>157</v>
      </c>
      <c r="F664" s="16" t="s">
        <v>15</v>
      </c>
      <c r="G664" s="17" t="n">
        <v>280885000</v>
      </c>
      <c r="H664" s="17"/>
      <c r="I664" s="14" t="n">
        <f aca="false">I663+G664-H664</f>
        <v>424423479</v>
      </c>
    </row>
    <row r="665" customFormat="false" ht="12" hidden="false" customHeight="true" outlineLevel="1" collapsed="false">
      <c r="B665" s="15" t="n">
        <v>45063</v>
      </c>
      <c r="C665" s="15" t="n">
        <f aca="false">B665</f>
        <v>45063</v>
      </c>
      <c r="D665" s="16" t="s">
        <v>376</v>
      </c>
      <c r="E665" s="16" t="s">
        <v>23</v>
      </c>
      <c r="F665" s="16" t="s">
        <v>24</v>
      </c>
      <c r="G665" s="17"/>
      <c r="H665" s="17" t="n">
        <v>420000000</v>
      </c>
      <c r="I665" s="14" t="n">
        <f aca="false">I664+G665-H665</f>
        <v>4423479</v>
      </c>
    </row>
    <row r="666" customFormat="false" ht="12" hidden="false" customHeight="true" outlineLevel="1" collapsed="false">
      <c r="B666" s="15" t="n">
        <v>45064</v>
      </c>
      <c r="C666" s="15" t="n">
        <f aca="false">B666</f>
        <v>45064</v>
      </c>
      <c r="D666" s="16" t="s">
        <v>375</v>
      </c>
      <c r="E666" s="16" t="s">
        <v>157</v>
      </c>
      <c r="F666" s="16" t="s">
        <v>15</v>
      </c>
      <c r="G666" s="17" t="n">
        <v>150000000</v>
      </c>
      <c r="H666" s="17"/>
      <c r="I666" s="14" t="n">
        <f aca="false">I665+G666-H666</f>
        <v>154423479</v>
      </c>
    </row>
    <row r="667" customFormat="false" ht="12" hidden="false" customHeight="true" outlineLevel="1" collapsed="false">
      <c r="B667" s="15" t="n">
        <v>45064</v>
      </c>
      <c r="C667" s="15" t="n">
        <f aca="false">B667</f>
        <v>45064</v>
      </c>
      <c r="D667" s="16" t="s">
        <v>375</v>
      </c>
      <c r="E667" s="16" t="s">
        <v>157</v>
      </c>
      <c r="F667" s="16" t="s">
        <v>15</v>
      </c>
      <c r="G667" s="17" t="n">
        <v>85407000</v>
      </c>
      <c r="H667" s="17"/>
      <c r="I667" s="14" t="n">
        <f aca="false">I666+G667-H667</f>
        <v>239830479</v>
      </c>
    </row>
    <row r="668" customFormat="false" ht="12" hidden="false" customHeight="true" outlineLevel="1" collapsed="false">
      <c r="B668" s="15" t="n">
        <v>45064</v>
      </c>
      <c r="C668" s="15" t="n">
        <f aca="false">B668</f>
        <v>45064</v>
      </c>
      <c r="D668" s="16" t="s">
        <v>375</v>
      </c>
      <c r="E668" s="16" t="s">
        <v>157</v>
      </c>
      <c r="F668" s="16" t="s">
        <v>15</v>
      </c>
      <c r="G668" s="17" t="n">
        <v>95859000</v>
      </c>
      <c r="H668" s="17"/>
      <c r="I668" s="14" t="n">
        <f aca="false">I667+G668-H668</f>
        <v>335689479</v>
      </c>
    </row>
    <row r="669" customFormat="false" ht="12" hidden="false" customHeight="true" outlineLevel="1" collapsed="false">
      <c r="B669" s="15" t="n">
        <v>45064</v>
      </c>
      <c r="C669" s="15" t="n">
        <f aca="false">B669</f>
        <v>45064</v>
      </c>
      <c r="D669" s="16" t="s">
        <v>375</v>
      </c>
      <c r="E669" s="16" t="s">
        <v>157</v>
      </c>
      <c r="F669" s="16" t="s">
        <v>15</v>
      </c>
      <c r="G669" s="17" t="n">
        <v>107424000</v>
      </c>
      <c r="H669" s="17"/>
      <c r="I669" s="14" t="n">
        <f aca="false">I668+G669-H669</f>
        <v>443113479</v>
      </c>
    </row>
    <row r="670" customFormat="false" ht="12" hidden="false" customHeight="true" outlineLevel="1" collapsed="false">
      <c r="B670" s="15" t="n">
        <v>45064</v>
      </c>
      <c r="C670" s="15" t="n">
        <f aca="false">B670</f>
        <v>45064</v>
      </c>
      <c r="D670" s="16" t="s">
        <v>376</v>
      </c>
      <c r="E670" s="16" t="s">
        <v>23</v>
      </c>
      <c r="F670" s="16" t="s">
        <v>24</v>
      </c>
      <c r="G670" s="17"/>
      <c r="H670" s="17" t="n">
        <v>177821992</v>
      </c>
      <c r="I670" s="14" t="n">
        <f aca="false">I669+G670-H670</f>
        <v>265291487</v>
      </c>
    </row>
    <row r="671" customFormat="false" ht="12" hidden="false" customHeight="true" outlineLevel="1" collapsed="false">
      <c r="B671" s="15" t="n">
        <v>45064</v>
      </c>
      <c r="C671" s="15" t="n">
        <f aca="false">B671</f>
        <v>45064</v>
      </c>
      <c r="D671" s="16" t="s">
        <v>376</v>
      </c>
      <c r="E671" s="16" t="s">
        <v>23</v>
      </c>
      <c r="F671" s="16" t="s">
        <v>24</v>
      </c>
      <c r="G671" s="17"/>
      <c r="H671" s="17" t="n">
        <v>257178008</v>
      </c>
      <c r="I671" s="14" t="n">
        <f aca="false">I670+G671-H671</f>
        <v>8113479</v>
      </c>
    </row>
    <row r="672" customFormat="false" ht="12" hidden="false" customHeight="true" outlineLevel="1" collapsed="false">
      <c r="B672" s="15" t="n">
        <v>45064</v>
      </c>
      <c r="C672" s="15" t="n">
        <f aca="false">B672</f>
        <v>45064</v>
      </c>
      <c r="D672" s="16" t="s">
        <v>376</v>
      </c>
      <c r="E672" s="16" t="s">
        <v>57</v>
      </c>
      <c r="F672" s="16" t="n">
        <v>635</v>
      </c>
      <c r="G672" s="17"/>
      <c r="H672" s="17" t="n">
        <v>3081656</v>
      </c>
      <c r="I672" s="14" t="n">
        <f aca="false">I671+G672-H672</f>
        <v>5031823</v>
      </c>
    </row>
    <row r="673" customFormat="false" ht="12" hidden="false" customHeight="true" outlineLevel="1" collapsed="false">
      <c r="B673" s="15" t="n">
        <v>45065</v>
      </c>
      <c r="C673" s="15" t="n">
        <f aca="false">B673</f>
        <v>45065</v>
      </c>
      <c r="D673" s="16" t="s">
        <v>375</v>
      </c>
      <c r="E673" s="16" t="s">
        <v>157</v>
      </c>
      <c r="F673" s="16" t="s">
        <v>15</v>
      </c>
      <c r="G673" s="17" t="n">
        <v>88517000</v>
      </c>
      <c r="H673" s="17"/>
      <c r="I673" s="14" t="n">
        <f aca="false">I672+G673-H673</f>
        <v>93548823</v>
      </c>
    </row>
    <row r="674" customFormat="false" ht="12" hidden="false" customHeight="true" outlineLevel="1" collapsed="false">
      <c r="B674" s="15" t="n">
        <v>45065</v>
      </c>
      <c r="C674" s="15" t="n">
        <f aca="false">B674</f>
        <v>45065</v>
      </c>
      <c r="D674" s="16" t="s">
        <v>375</v>
      </c>
      <c r="E674" s="16" t="s">
        <v>157</v>
      </c>
      <c r="F674" s="16" t="s">
        <v>15</v>
      </c>
      <c r="G674" s="17" t="n">
        <v>83044000</v>
      </c>
      <c r="H674" s="17"/>
      <c r="I674" s="14" t="n">
        <f aca="false">I673+G674-H674</f>
        <v>176592823</v>
      </c>
    </row>
    <row r="675" customFormat="false" ht="12" hidden="false" customHeight="true" outlineLevel="1" collapsed="false">
      <c r="B675" s="15" t="n">
        <v>45065</v>
      </c>
      <c r="C675" s="15" t="n">
        <f aca="false">B675</f>
        <v>45065</v>
      </c>
      <c r="D675" s="16" t="s">
        <v>375</v>
      </c>
      <c r="E675" s="16" t="s">
        <v>157</v>
      </c>
      <c r="F675" s="16" t="s">
        <v>15</v>
      </c>
      <c r="G675" s="17" t="n">
        <v>114916000</v>
      </c>
      <c r="H675" s="17"/>
      <c r="I675" s="14" t="n">
        <f aca="false">I674+G675-H675</f>
        <v>291508823</v>
      </c>
    </row>
    <row r="676" customFormat="false" ht="12" hidden="false" customHeight="true" outlineLevel="1" collapsed="false">
      <c r="B676" s="15" t="n">
        <v>45065</v>
      </c>
      <c r="C676" s="15" t="n">
        <f aca="false">B676</f>
        <v>45065</v>
      </c>
      <c r="D676" s="16" t="s">
        <v>376</v>
      </c>
      <c r="E676" s="16" t="s">
        <v>276</v>
      </c>
      <c r="F676" s="16" t="s">
        <v>179</v>
      </c>
      <c r="G676" s="17"/>
      <c r="H676" s="17" t="n">
        <v>77225757</v>
      </c>
      <c r="I676" s="14" t="n">
        <f aca="false">I675+G676-H676</f>
        <v>214283066</v>
      </c>
    </row>
    <row r="677" customFormat="false" ht="12" hidden="false" customHeight="true" outlineLevel="1" collapsed="false">
      <c r="B677" s="15" t="n">
        <v>45065</v>
      </c>
      <c r="C677" s="15" t="n">
        <f aca="false">B677</f>
        <v>45065</v>
      </c>
      <c r="D677" s="16" t="s">
        <v>376</v>
      </c>
      <c r="E677" s="16" t="s">
        <v>23</v>
      </c>
      <c r="F677" s="16" t="s">
        <v>24</v>
      </c>
      <c r="G677" s="17"/>
      <c r="H677" s="17" t="n">
        <v>60000000</v>
      </c>
      <c r="I677" s="14" t="n">
        <f aca="false">I676+G677-H677</f>
        <v>154283066</v>
      </c>
    </row>
    <row r="678" customFormat="false" ht="12" hidden="false" customHeight="true" outlineLevel="1" collapsed="false">
      <c r="B678" s="15" t="n">
        <v>45065</v>
      </c>
      <c r="C678" s="15" t="n">
        <f aca="false">B678</f>
        <v>45065</v>
      </c>
      <c r="D678" s="16" t="s">
        <v>376</v>
      </c>
      <c r="E678" s="16" t="s">
        <v>440</v>
      </c>
      <c r="F678" s="16" t="s">
        <v>179</v>
      </c>
      <c r="G678" s="17"/>
      <c r="H678" s="17" t="n">
        <v>151824594</v>
      </c>
      <c r="I678" s="14" t="n">
        <f aca="false">I677+G678-H678</f>
        <v>2458472</v>
      </c>
    </row>
    <row r="679" customFormat="false" ht="12" hidden="false" customHeight="true" outlineLevel="1" collapsed="false">
      <c r="B679" s="15" t="n">
        <v>45068</v>
      </c>
      <c r="C679" s="15" t="n">
        <f aca="false">B679</f>
        <v>45068</v>
      </c>
      <c r="D679" s="16" t="s">
        <v>375</v>
      </c>
      <c r="E679" s="16" t="s">
        <v>157</v>
      </c>
      <c r="F679" s="16" t="s">
        <v>15</v>
      </c>
      <c r="G679" s="17" t="n">
        <v>76006000</v>
      </c>
      <c r="H679" s="17"/>
      <c r="I679" s="14" t="n">
        <f aca="false">I678+G679-H679</f>
        <v>78464472</v>
      </c>
    </row>
    <row r="680" customFormat="false" ht="12" hidden="false" customHeight="true" outlineLevel="1" collapsed="false">
      <c r="B680" s="15" t="n">
        <v>45068</v>
      </c>
      <c r="C680" s="15" t="n">
        <f aca="false">B680</f>
        <v>45068</v>
      </c>
      <c r="D680" s="16" t="s">
        <v>375</v>
      </c>
      <c r="E680" s="16" t="s">
        <v>157</v>
      </c>
      <c r="F680" s="16" t="s">
        <v>15</v>
      </c>
      <c r="G680" s="17" t="n">
        <v>91369000</v>
      </c>
      <c r="H680" s="17"/>
      <c r="I680" s="14" t="n">
        <f aca="false">I679+G680-H680</f>
        <v>169833472</v>
      </c>
    </row>
    <row r="681" customFormat="false" ht="12" hidden="false" customHeight="true" outlineLevel="1" collapsed="false">
      <c r="B681" s="15" t="n">
        <v>45068</v>
      </c>
      <c r="C681" s="15" t="n">
        <f aca="false">B681</f>
        <v>45068</v>
      </c>
      <c r="D681" s="16" t="s">
        <v>375</v>
      </c>
      <c r="E681" s="16" t="s">
        <v>157</v>
      </c>
      <c r="F681" s="16" t="s">
        <v>15</v>
      </c>
      <c r="G681" s="17" t="n">
        <v>190018000</v>
      </c>
      <c r="H681" s="17"/>
      <c r="I681" s="14" t="n">
        <f aca="false">I680+G681-H681</f>
        <v>359851472</v>
      </c>
    </row>
    <row r="682" customFormat="false" ht="12" hidden="false" customHeight="true" outlineLevel="1" collapsed="false">
      <c r="B682" s="15" t="n">
        <v>45068</v>
      </c>
      <c r="C682" s="15" t="n">
        <f aca="false">B682</f>
        <v>45068</v>
      </c>
      <c r="D682" s="16" t="s">
        <v>375</v>
      </c>
      <c r="E682" s="16" t="s">
        <v>157</v>
      </c>
      <c r="F682" s="16" t="s">
        <v>15</v>
      </c>
      <c r="G682" s="17" t="n">
        <v>39025000</v>
      </c>
      <c r="H682" s="17"/>
      <c r="I682" s="14" t="n">
        <f aca="false">I681+G682-H682</f>
        <v>398876472</v>
      </c>
    </row>
    <row r="683" customFormat="false" ht="12" hidden="false" customHeight="true" outlineLevel="1" collapsed="false">
      <c r="B683" s="15" t="n">
        <v>45068</v>
      </c>
      <c r="C683" s="15" t="n">
        <f aca="false">B683</f>
        <v>45068</v>
      </c>
      <c r="D683" s="16" t="s">
        <v>375</v>
      </c>
      <c r="E683" s="16" t="s">
        <v>157</v>
      </c>
      <c r="F683" s="16" t="s">
        <v>15</v>
      </c>
      <c r="G683" s="17" t="n">
        <v>47912000</v>
      </c>
      <c r="H683" s="17"/>
      <c r="I683" s="14" t="n">
        <f aca="false">I682+G683-H683</f>
        <v>446788472</v>
      </c>
    </row>
    <row r="684" customFormat="false" ht="12" hidden="false" customHeight="true" outlineLevel="1" collapsed="false">
      <c r="B684" s="15" t="n">
        <v>45068</v>
      </c>
      <c r="C684" s="15" t="n">
        <f aca="false">B684</f>
        <v>45068</v>
      </c>
      <c r="D684" s="16" t="s">
        <v>375</v>
      </c>
      <c r="E684" s="16" t="s">
        <v>157</v>
      </c>
      <c r="F684" s="16" t="s">
        <v>15</v>
      </c>
      <c r="G684" s="17" t="n">
        <v>140357000</v>
      </c>
      <c r="H684" s="17"/>
      <c r="I684" s="14" t="n">
        <f aca="false">I683+G684-H684</f>
        <v>587145472</v>
      </c>
    </row>
    <row r="685" customFormat="false" ht="12" hidden="false" customHeight="true" outlineLevel="1" collapsed="false">
      <c r="B685" s="15" t="n">
        <v>45068</v>
      </c>
      <c r="C685" s="15" t="n">
        <f aca="false">B685</f>
        <v>45068</v>
      </c>
      <c r="D685" s="16" t="s">
        <v>376</v>
      </c>
      <c r="E685" s="16" t="s">
        <v>23</v>
      </c>
      <c r="F685" s="16" t="s">
        <v>24</v>
      </c>
      <c r="G685" s="17"/>
      <c r="H685" s="17" t="n">
        <v>580000000</v>
      </c>
      <c r="I685" s="14" t="n">
        <f aca="false">I684+G685-H685</f>
        <v>7145472</v>
      </c>
    </row>
    <row r="686" customFormat="false" ht="12" hidden="false" customHeight="true" outlineLevel="1" collapsed="false">
      <c r="B686" s="15" t="n">
        <v>45069</v>
      </c>
      <c r="C686" s="15" t="n">
        <f aca="false">B686</f>
        <v>45069</v>
      </c>
      <c r="D686" s="16" t="s">
        <v>375</v>
      </c>
      <c r="E686" s="16" t="s">
        <v>157</v>
      </c>
      <c r="F686" s="16" t="s">
        <v>15</v>
      </c>
      <c r="G686" s="17" t="n">
        <v>100000000</v>
      </c>
      <c r="H686" s="17"/>
      <c r="I686" s="14" t="n">
        <f aca="false">I685+G686-H686</f>
        <v>107145472</v>
      </c>
    </row>
    <row r="687" customFormat="false" ht="12" hidden="false" customHeight="true" outlineLevel="1" collapsed="false">
      <c r="B687" s="15" t="n">
        <v>45069</v>
      </c>
      <c r="C687" s="15" t="n">
        <f aca="false">B687</f>
        <v>45069</v>
      </c>
      <c r="D687" s="16" t="s">
        <v>375</v>
      </c>
      <c r="E687" s="16" t="s">
        <v>157</v>
      </c>
      <c r="F687" s="16" t="s">
        <v>15</v>
      </c>
      <c r="G687" s="17" t="n">
        <v>54229000</v>
      </c>
      <c r="H687" s="17"/>
      <c r="I687" s="14" t="n">
        <f aca="false">I686+G687-H687</f>
        <v>161374472</v>
      </c>
    </row>
    <row r="688" customFormat="false" ht="12" hidden="false" customHeight="true" outlineLevel="1" collapsed="false">
      <c r="B688" s="15" t="n">
        <v>45069</v>
      </c>
      <c r="C688" s="15" t="n">
        <f aca="false">B688</f>
        <v>45069</v>
      </c>
      <c r="D688" s="16" t="s">
        <v>375</v>
      </c>
      <c r="E688" s="16" t="s">
        <v>157</v>
      </c>
      <c r="F688" s="16" t="s">
        <v>15</v>
      </c>
      <c r="G688" s="17" t="n">
        <v>43588000</v>
      </c>
      <c r="H688" s="17"/>
      <c r="I688" s="14" t="n">
        <f aca="false">I687+G688-H688</f>
        <v>204962472</v>
      </c>
    </row>
    <row r="689" customFormat="false" ht="12" hidden="false" customHeight="true" outlineLevel="1" collapsed="false">
      <c r="B689" s="15" t="n">
        <v>45069</v>
      </c>
      <c r="C689" s="15" t="n">
        <f aca="false">B689</f>
        <v>45069</v>
      </c>
      <c r="D689" s="16" t="s">
        <v>375</v>
      </c>
      <c r="E689" s="16" t="s">
        <v>157</v>
      </c>
      <c r="F689" s="16" t="s">
        <v>15</v>
      </c>
      <c r="G689" s="17" t="n">
        <v>208338000</v>
      </c>
      <c r="H689" s="17"/>
      <c r="I689" s="14" t="n">
        <f aca="false">I688+G689-H689</f>
        <v>413300472</v>
      </c>
    </row>
    <row r="690" customFormat="false" ht="12" hidden="false" customHeight="true" outlineLevel="1" collapsed="false">
      <c r="B690" s="15" t="n">
        <v>45069</v>
      </c>
      <c r="C690" s="15" t="n">
        <f aca="false">B690</f>
        <v>45069</v>
      </c>
      <c r="D690" s="16" t="s">
        <v>376</v>
      </c>
      <c r="E690" s="16" t="s">
        <v>23</v>
      </c>
      <c r="F690" s="16" t="s">
        <v>24</v>
      </c>
      <c r="G690" s="17"/>
      <c r="H690" s="17" t="n">
        <v>149881018</v>
      </c>
      <c r="I690" s="14" t="n">
        <f aca="false">I689+G690-H690</f>
        <v>263419454</v>
      </c>
    </row>
    <row r="691" customFormat="false" ht="12" hidden="false" customHeight="true" outlineLevel="1" collapsed="false">
      <c r="B691" s="15" t="n">
        <v>45069</v>
      </c>
      <c r="C691" s="15" t="n">
        <f aca="false">B691</f>
        <v>45069</v>
      </c>
      <c r="D691" s="16" t="s">
        <v>376</v>
      </c>
      <c r="E691" s="16" t="s">
        <v>23</v>
      </c>
      <c r="F691" s="16" t="s">
        <v>24</v>
      </c>
      <c r="G691" s="17"/>
      <c r="H691" s="17" t="n">
        <v>255118982</v>
      </c>
      <c r="I691" s="14" t="n">
        <f aca="false">I690+G691-H691</f>
        <v>8300472</v>
      </c>
    </row>
    <row r="692" customFormat="false" ht="12" hidden="false" customHeight="true" outlineLevel="1" collapsed="false">
      <c r="B692" s="15" t="n">
        <v>45069</v>
      </c>
      <c r="C692" s="15" t="n">
        <f aca="false">B692</f>
        <v>45069</v>
      </c>
      <c r="D692" s="16" t="s">
        <v>376</v>
      </c>
      <c r="E692" s="16" t="s">
        <v>36</v>
      </c>
      <c r="F692" s="16" t="n">
        <v>635</v>
      </c>
      <c r="G692" s="17"/>
      <c r="H692" s="17" t="n">
        <v>6379854</v>
      </c>
      <c r="I692" s="14" t="n">
        <f aca="false">I691+G692-H692</f>
        <v>1920618</v>
      </c>
    </row>
    <row r="693" customFormat="false" ht="12" hidden="false" customHeight="true" outlineLevel="1" collapsed="false">
      <c r="B693" s="15" t="n">
        <v>45070</v>
      </c>
      <c r="C693" s="15" t="n">
        <f aca="false">B693</f>
        <v>45070</v>
      </c>
      <c r="D693" s="16" t="s">
        <v>376</v>
      </c>
      <c r="E693" s="16" t="s">
        <v>36</v>
      </c>
      <c r="F693" s="16" t="n">
        <v>635</v>
      </c>
      <c r="G693" s="17"/>
      <c r="H693" s="17" t="n">
        <v>11000</v>
      </c>
      <c r="I693" s="14" t="n">
        <f aca="false">I692+G693-H693</f>
        <v>1909618</v>
      </c>
    </row>
    <row r="694" customFormat="false" ht="12" hidden="false" customHeight="true" outlineLevel="1" collapsed="false">
      <c r="B694" s="15" t="n">
        <v>45071</v>
      </c>
      <c r="C694" s="15" t="n">
        <f aca="false">B694</f>
        <v>45071</v>
      </c>
      <c r="D694" s="16" t="s">
        <v>375</v>
      </c>
      <c r="E694" s="16" t="s">
        <v>157</v>
      </c>
      <c r="F694" s="16" t="s">
        <v>15</v>
      </c>
      <c r="G694" s="17" t="n">
        <v>68954000</v>
      </c>
      <c r="H694" s="17"/>
      <c r="I694" s="14" t="n">
        <f aca="false">I693+G694-H694</f>
        <v>70863618</v>
      </c>
    </row>
    <row r="695" customFormat="false" ht="12" hidden="false" customHeight="true" outlineLevel="1" collapsed="false">
      <c r="B695" s="15" t="n">
        <v>45071</v>
      </c>
      <c r="C695" s="15" t="n">
        <f aca="false">B695</f>
        <v>45071</v>
      </c>
      <c r="D695" s="16" t="s">
        <v>375</v>
      </c>
      <c r="E695" s="16" t="s">
        <v>157</v>
      </c>
      <c r="F695" s="16" t="s">
        <v>15</v>
      </c>
      <c r="G695" s="17" t="n">
        <v>86072000</v>
      </c>
      <c r="H695" s="17"/>
      <c r="I695" s="14" t="n">
        <f aca="false">I694+G695-H695</f>
        <v>156935618</v>
      </c>
    </row>
    <row r="696" customFormat="false" ht="12" hidden="false" customHeight="true" outlineLevel="1" collapsed="false">
      <c r="B696" s="15" t="n">
        <v>45071</v>
      </c>
      <c r="C696" s="15" t="n">
        <f aca="false">B696</f>
        <v>45071</v>
      </c>
      <c r="D696" s="16" t="s">
        <v>375</v>
      </c>
      <c r="E696" s="16" t="s">
        <v>157</v>
      </c>
      <c r="F696" s="16" t="s">
        <v>15</v>
      </c>
      <c r="G696" s="17" t="n">
        <v>182471000</v>
      </c>
      <c r="H696" s="17"/>
      <c r="I696" s="14" t="n">
        <f aca="false">I695+G696-H696</f>
        <v>339406618</v>
      </c>
    </row>
    <row r="697" customFormat="false" ht="12" hidden="false" customHeight="true" outlineLevel="1" collapsed="false">
      <c r="B697" s="15" t="n">
        <v>45071</v>
      </c>
      <c r="C697" s="15" t="n">
        <f aca="false">B697</f>
        <v>45071</v>
      </c>
      <c r="D697" s="16" t="s">
        <v>376</v>
      </c>
      <c r="E697" s="16" t="s">
        <v>23</v>
      </c>
      <c r="F697" s="16" t="s">
        <v>24</v>
      </c>
      <c r="G697" s="17"/>
      <c r="H697" s="17" t="n">
        <v>330000000</v>
      </c>
      <c r="I697" s="14" t="n">
        <f aca="false">I696+G697-H697</f>
        <v>9406618</v>
      </c>
    </row>
    <row r="698" customFormat="false" ht="12" hidden="false" customHeight="true" outlineLevel="1" collapsed="false">
      <c r="B698" s="15" t="n">
        <v>45071</v>
      </c>
      <c r="C698" s="15" t="n">
        <f aca="false">B698</f>
        <v>45071</v>
      </c>
      <c r="D698" s="16" t="s">
        <v>441</v>
      </c>
      <c r="E698" s="16" t="s">
        <v>442</v>
      </c>
      <c r="F698" s="16" t="n">
        <v>515</v>
      </c>
      <c r="G698" s="17" t="n">
        <v>678</v>
      </c>
      <c r="H698" s="17"/>
      <c r="I698" s="14" t="n">
        <f aca="false">I697+G698-H698</f>
        <v>9407296</v>
      </c>
    </row>
    <row r="699" customFormat="false" ht="12" hidden="false" customHeight="true" outlineLevel="1" collapsed="false">
      <c r="B699" s="15" t="n">
        <v>45072</v>
      </c>
      <c r="C699" s="15" t="n">
        <f aca="false">B699</f>
        <v>45072</v>
      </c>
      <c r="D699" s="16" t="s">
        <v>375</v>
      </c>
      <c r="E699" s="16" t="s">
        <v>157</v>
      </c>
      <c r="F699" s="16" t="s">
        <v>15</v>
      </c>
      <c r="G699" s="17" t="n">
        <v>155659000</v>
      </c>
      <c r="H699" s="17"/>
      <c r="I699" s="14" t="n">
        <f aca="false">I698+G699-H699</f>
        <v>165066296</v>
      </c>
    </row>
    <row r="700" customFormat="false" ht="12" hidden="false" customHeight="true" outlineLevel="1" collapsed="false">
      <c r="B700" s="15" t="n">
        <v>45072</v>
      </c>
      <c r="C700" s="15" t="n">
        <f aca="false">B700</f>
        <v>45072</v>
      </c>
      <c r="D700" s="16" t="s">
        <v>376</v>
      </c>
      <c r="E700" s="16" t="s">
        <v>36</v>
      </c>
      <c r="F700" s="16" t="n">
        <v>635</v>
      </c>
      <c r="G700" s="17"/>
      <c r="H700" s="17" t="n">
        <v>11000</v>
      </c>
      <c r="I700" s="14" t="n">
        <f aca="false">I699+G700-H700</f>
        <v>165055296</v>
      </c>
    </row>
    <row r="701" customFormat="false" ht="12" hidden="false" customHeight="true" outlineLevel="1" collapsed="false">
      <c r="B701" s="15" t="n">
        <v>45072</v>
      </c>
      <c r="C701" s="15" t="n">
        <f aca="false">B701</f>
        <v>45072</v>
      </c>
      <c r="D701" s="16" t="s">
        <v>376</v>
      </c>
      <c r="E701" s="16" t="s">
        <v>57</v>
      </c>
      <c r="F701" s="16" t="n">
        <v>635</v>
      </c>
      <c r="G701" s="17"/>
      <c r="H701" s="17" t="n">
        <v>2886284</v>
      </c>
      <c r="I701" s="14" t="n">
        <f aca="false">I700+G701-H701</f>
        <v>162169012</v>
      </c>
    </row>
    <row r="702" customFormat="false" ht="12" hidden="false" customHeight="true" outlineLevel="1" collapsed="false">
      <c r="B702" s="15" t="n">
        <v>45072</v>
      </c>
      <c r="C702" s="15" t="n">
        <f aca="false">B702</f>
        <v>45072</v>
      </c>
      <c r="D702" s="16" t="s">
        <v>376</v>
      </c>
      <c r="E702" s="16" t="s">
        <v>23</v>
      </c>
      <c r="F702" s="16" t="s">
        <v>24</v>
      </c>
      <c r="G702" s="17"/>
      <c r="H702" s="17" t="n">
        <v>147113716</v>
      </c>
      <c r="I702" s="14" t="n">
        <f aca="false">I701+G702-H702</f>
        <v>15055296</v>
      </c>
    </row>
    <row r="703" customFormat="false" ht="12" hidden="false" customHeight="true" outlineLevel="1" collapsed="false">
      <c r="B703" s="15" t="n">
        <v>45072</v>
      </c>
      <c r="C703" s="15" t="n">
        <f aca="false">B703</f>
        <v>45072</v>
      </c>
      <c r="D703" s="16" t="s">
        <v>376</v>
      </c>
      <c r="E703" s="16" t="s">
        <v>23</v>
      </c>
      <c r="F703" s="16" t="s">
        <v>24</v>
      </c>
      <c r="G703" s="17"/>
      <c r="H703" s="17" t="n">
        <v>3852898</v>
      </c>
      <c r="I703" s="14" t="n">
        <f aca="false">I702+G703-H703</f>
        <v>11202398</v>
      </c>
    </row>
    <row r="704" customFormat="false" ht="12" hidden="false" customHeight="true" outlineLevel="1" collapsed="false">
      <c r="B704" s="15" t="n">
        <v>45072</v>
      </c>
      <c r="C704" s="15" t="n">
        <f aca="false">B704</f>
        <v>45072</v>
      </c>
      <c r="D704" s="16" t="s">
        <v>376</v>
      </c>
      <c r="E704" s="16" t="s">
        <v>23</v>
      </c>
      <c r="F704" s="16" t="s">
        <v>24</v>
      </c>
      <c r="G704" s="17"/>
      <c r="H704" s="17" t="n">
        <v>3457521</v>
      </c>
      <c r="I704" s="14" t="n">
        <f aca="false">I703+G704-H704</f>
        <v>7744877</v>
      </c>
    </row>
    <row r="705" customFormat="false" ht="12" hidden="false" customHeight="true" outlineLevel="1" collapsed="false">
      <c r="B705" s="15" t="n">
        <v>45072</v>
      </c>
      <c r="C705" s="15" t="n">
        <f aca="false">B705</f>
        <v>45072</v>
      </c>
      <c r="D705" s="16" t="s">
        <v>376</v>
      </c>
      <c r="E705" s="16" t="s">
        <v>23</v>
      </c>
      <c r="F705" s="16" t="s">
        <v>24</v>
      </c>
      <c r="G705" s="17"/>
      <c r="H705" s="17" t="n">
        <v>7744877</v>
      </c>
      <c r="I705" s="14" t="n">
        <f aca="false">I704+G705-H705</f>
        <v>0</v>
      </c>
    </row>
    <row r="706" customFormat="false" ht="12" hidden="false" customHeight="true" outlineLevel="1" collapsed="false">
      <c r="B706" s="15" t="n">
        <v>45075</v>
      </c>
      <c r="C706" s="15" t="n">
        <f aca="false">B706</f>
        <v>45075</v>
      </c>
      <c r="D706" s="16" t="s">
        <v>375</v>
      </c>
      <c r="E706" s="16" t="s">
        <v>157</v>
      </c>
      <c r="F706" s="16" t="s">
        <v>15</v>
      </c>
      <c r="G706" s="17" t="n">
        <v>186734000</v>
      </c>
      <c r="H706" s="17"/>
      <c r="I706" s="14" t="n">
        <f aca="false">I705+G706-H706</f>
        <v>186734000</v>
      </c>
    </row>
    <row r="707" customFormat="false" ht="12" hidden="false" customHeight="true" outlineLevel="1" collapsed="false">
      <c r="B707" s="15" t="n">
        <v>45075</v>
      </c>
      <c r="C707" s="15" t="n">
        <f aca="false">B707</f>
        <v>45075</v>
      </c>
      <c r="D707" s="16" t="s">
        <v>375</v>
      </c>
      <c r="E707" s="16" t="s">
        <v>157</v>
      </c>
      <c r="F707" s="16" t="s">
        <v>15</v>
      </c>
      <c r="G707" s="17" t="n">
        <v>223351000</v>
      </c>
      <c r="H707" s="17"/>
      <c r="I707" s="14" t="n">
        <f aca="false">I706+G707-H707</f>
        <v>410085000</v>
      </c>
    </row>
    <row r="708" customFormat="false" ht="12" hidden="false" customHeight="true" outlineLevel="1" collapsed="false">
      <c r="B708" s="15" t="n">
        <v>45075</v>
      </c>
      <c r="C708" s="15" t="n">
        <f aca="false">B708</f>
        <v>45075</v>
      </c>
      <c r="D708" s="16" t="s">
        <v>375</v>
      </c>
      <c r="E708" s="16" t="s">
        <v>157</v>
      </c>
      <c r="F708" s="16" t="s">
        <v>15</v>
      </c>
      <c r="G708" s="17" t="n">
        <v>90432000</v>
      </c>
      <c r="H708" s="17"/>
      <c r="I708" s="14" t="n">
        <f aca="false">I707+G708-H708</f>
        <v>500517000</v>
      </c>
    </row>
    <row r="709" customFormat="false" ht="12" hidden="false" customHeight="true" outlineLevel="1" collapsed="false">
      <c r="B709" s="15" t="n">
        <v>45075</v>
      </c>
      <c r="C709" s="15" t="n">
        <f aca="false">B709</f>
        <v>45075</v>
      </c>
      <c r="D709" s="16" t="s">
        <v>375</v>
      </c>
      <c r="E709" s="16" t="s">
        <v>157</v>
      </c>
      <c r="F709" s="16" t="s">
        <v>15</v>
      </c>
      <c r="G709" s="17" t="n">
        <v>71569000</v>
      </c>
      <c r="H709" s="17"/>
      <c r="I709" s="14" t="n">
        <f aca="false">I708+G709-H709</f>
        <v>572086000</v>
      </c>
    </row>
    <row r="710" customFormat="false" ht="12" hidden="false" customHeight="true" outlineLevel="1" collapsed="false">
      <c r="B710" s="15" t="n">
        <v>45075</v>
      </c>
      <c r="C710" s="15" t="n">
        <f aca="false">B710</f>
        <v>45075</v>
      </c>
      <c r="D710" s="16" t="s">
        <v>375</v>
      </c>
      <c r="E710" s="16" t="s">
        <v>157</v>
      </c>
      <c r="F710" s="16" t="s">
        <v>15</v>
      </c>
      <c r="G710" s="17" t="n">
        <v>58575000</v>
      </c>
      <c r="H710" s="17"/>
      <c r="I710" s="14" t="n">
        <f aca="false">I709+G710-H710</f>
        <v>630661000</v>
      </c>
    </row>
    <row r="711" customFormat="false" ht="12" hidden="false" customHeight="true" outlineLevel="1" collapsed="false">
      <c r="B711" s="15" t="n">
        <v>45075</v>
      </c>
      <c r="C711" s="15" t="n">
        <f aca="false">B711</f>
        <v>45075</v>
      </c>
      <c r="D711" s="16" t="s">
        <v>375</v>
      </c>
      <c r="E711" s="16" t="s">
        <v>157</v>
      </c>
      <c r="F711" s="16" t="s">
        <v>15</v>
      </c>
      <c r="G711" s="17" t="n">
        <v>96438000</v>
      </c>
      <c r="H711" s="17"/>
      <c r="I711" s="14" t="n">
        <f aca="false">I710+G711-H711</f>
        <v>727099000</v>
      </c>
    </row>
    <row r="712" customFormat="false" ht="12" hidden="false" customHeight="true" outlineLevel="1" collapsed="false">
      <c r="B712" s="15" t="n">
        <v>45075</v>
      </c>
      <c r="C712" s="15" t="n">
        <f aca="false">B712</f>
        <v>45075</v>
      </c>
      <c r="D712" s="16" t="s">
        <v>375</v>
      </c>
      <c r="E712" s="16" t="s">
        <v>157</v>
      </c>
      <c r="F712" s="16" t="s">
        <v>15</v>
      </c>
      <c r="G712" s="17" t="n">
        <v>150000000</v>
      </c>
      <c r="H712" s="17"/>
      <c r="I712" s="14" t="n">
        <f aca="false">I711+G712-H712</f>
        <v>877099000</v>
      </c>
    </row>
    <row r="713" customFormat="false" ht="12" hidden="false" customHeight="true" outlineLevel="1" collapsed="false">
      <c r="B713" s="15" t="n">
        <v>45075</v>
      </c>
      <c r="C713" s="15" t="n">
        <f aca="false">B713</f>
        <v>45075</v>
      </c>
      <c r="D713" s="16" t="s">
        <v>376</v>
      </c>
      <c r="E713" s="16" t="s">
        <v>23</v>
      </c>
      <c r="F713" s="16" t="s">
        <v>24</v>
      </c>
      <c r="G713" s="23"/>
      <c r="H713" s="17" t="n">
        <v>530000000</v>
      </c>
      <c r="I713" s="14" t="n">
        <f aca="false">I712+G713-H713</f>
        <v>347099000</v>
      </c>
    </row>
    <row r="714" customFormat="false" ht="12" hidden="false" customHeight="true" outlineLevel="1" collapsed="false">
      <c r="B714" s="15" t="n">
        <v>45075</v>
      </c>
      <c r="C714" s="15" t="n">
        <f aca="false">B714</f>
        <v>45075</v>
      </c>
      <c r="D714" s="16" t="s">
        <v>376</v>
      </c>
      <c r="E714" s="16" t="s">
        <v>440</v>
      </c>
      <c r="F714" s="16" t="s">
        <v>179</v>
      </c>
      <c r="G714" s="17"/>
      <c r="H714" s="17" t="n">
        <v>318913352</v>
      </c>
      <c r="I714" s="14" t="n">
        <f aca="false">I713+G714-H714</f>
        <v>28185648</v>
      </c>
    </row>
    <row r="715" customFormat="false" ht="12" hidden="false" customHeight="true" outlineLevel="1" collapsed="false">
      <c r="B715" s="15" t="n">
        <v>45075</v>
      </c>
      <c r="C715" s="15" t="n">
        <f aca="false">B715</f>
        <v>45075</v>
      </c>
      <c r="D715" s="16" t="s">
        <v>376</v>
      </c>
      <c r="E715" s="16" t="s">
        <v>36</v>
      </c>
      <c r="F715" s="16" t="n">
        <v>635</v>
      </c>
      <c r="G715" s="17"/>
      <c r="H715" s="17" t="n">
        <v>11000</v>
      </c>
      <c r="I715" s="14" t="n">
        <f aca="false">I714+G715-H715</f>
        <v>28174648</v>
      </c>
    </row>
    <row r="716" customFormat="false" ht="12" hidden="false" customHeight="true" outlineLevel="1" collapsed="false">
      <c r="B716" s="15" t="n">
        <v>45075</v>
      </c>
      <c r="C716" s="15" t="n">
        <f aca="false">B716</f>
        <v>45075</v>
      </c>
      <c r="D716" s="16" t="s">
        <v>376</v>
      </c>
      <c r="E716" s="16" t="s">
        <v>23</v>
      </c>
      <c r="F716" s="16" t="s">
        <v>24</v>
      </c>
      <c r="G716" s="17"/>
      <c r="H716" s="17" t="n">
        <v>9306000</v>
      </c>
      <c r="I716" s="14" t="n">
        <f aca="false">I715+G716-H716</f>
        <v>18868648</v>
      </c>
    </row>
    <row r="717" customFormat="false" ht="12" hidden="false" customHeight="true" outlineLevel="1" collapsed="false">
      <c r="B717" s="15" t="n">
        <v>45075</v>
      </c>
      <c r="C717" s="15" t="n">
        <f aca="false">B717</f>
        <v>45075</v>
      </c>
      <c r="D717" s="16" t="s">
        <v>376</v>
      </c>
      <c r="E717" s="16" t="s">
        <v>23</v>
      </c>
      <c r="F717" s="16" t="s">
        <v>24</v>
      </c>
      <c r="G717" s="17"/>
      <c r="H717" s="17" t="n">
        <v>3499040</v>
      </c>
      <c r="I717" s="14" t="n">
        <f aca="false">I716+G717-H717</f>
        <v>15369608</v>
      </c>
    </row>
    <row r="718" customFormat="false" ht="12" hidden="false" customHeight="true" outlineLevel="1" collapsed="false">
      <c r="B718" s="15" t="n">
        <v>45075</v>
      </c>
      <c r="C718" s="15" t="n">
        <f aca="false">B718</f>
        <v>45075</v>
      </c>
      <c r="D718" s="16" t="s">
        <v>376</v>
      </c>
      <c r="E718" s="16" t="s">
        <v>23</v>
      </c>
      <c r="F718" s="16" t="s">
        <v>24</v>
      </c>
      <c r="G718" s="17"/>
      <c r="H718" s="17" t="n">
        <v>9407066</v>
      </c>
      <c r="I718" s="14" t="n">
        <f aca="false">I717+G718-H718</f>
        <v>5962542</v>
      </c>
    </row>
    <row r="719" customFormat="false" ht="12" hidden="false" customHeight="true" outlineLevel="1" collapsed="false">
      <c r="B719" s="15" t="n">
        <v>45075</v>
      </c>
      <c r="C719" s="15" t="n">
        <f aca="false">B719</f>
        <v>45075</v>
      </c>
      <c r="D719" s="16" t="s">
        <v>376</v>
      </c>
      <c r="E719" s="16" t="s">
        <v>23</v>
      </c>
      <c r="F719" s="16" t="s">
        <v>24</v>
      </c>
      <c r="G719" s="17"/>
      <c r="H719" s="17" t="n">
        <v>2675056</v>
      </c>
      <c r="I719" s="14" t="n">
        <f aca="false">I718+G719-H719</f>
        <v>3287486</v>
      </c>
    </row>
    <row r="720" customFormat="false" ht="12" hidden="false" customHeight="true" outlineLevel="1" collapsed="false">
      <c r="B720" s="15" t="n">
        <v>45075</v>
      </c>
      <c r="C720" s="15" t="n">
        <f aca="false">B720</f>
        <v>45075</v>
      </c>
      <c r="D720" s="16" t="s">
        <v>376</v>
      </c>
      <c r="E720" s="16" t="s">
        <v>57</v>
      </c>
      <c r="F720" s="16" t="n">
        <v>635</v>
      </c>
      <c r="G720" s="17"/>
      <c r="H720" s="17" t="n">
        <v>1444070</v>
      </c>
      <c r="I720" s="14" t="n">
        <f aca="false">I719+G720-H720</f>
        <v>1843416</v>
      </c>
    </row>
    <row r="721" customFormat="false" ht="12" hidden="false" customHeight="true" outlineLevel="1" collapsed="false">
      <c r="B721" s="15" t="n">
        <v>45075</v>
      </c>
      <c r="C721" s="15" t="n">
        <f aca="false">B721</f>
        <v>45075</v>
      </c>
      <c r="D721" s="16" t="s">
        <v>376</v>
      </c>
      <c r="E721" s="16" t="s">
        <v>57</v>
      </c>
      <c r="F721" s="16" t="n">
        <v>635</v>
      </c>
      <c r="G721" s="17"/>
      <c r="H721" s="17" t="n">
        <v>1490993</v>
      </c>
      <c r="I721" s="14" t="n">
        <f aca="false">I720+G721-H721</f>
        <v>352423</v>
      </c>
    </row>
    <row r="722" customFormat="false" ht="12" hidden="false" customHeight="true" outlineLevel="1" collapsed="false">
      <c r="B722" s="15" t="n">
        <v>45075</v>
      </c>
      <c r="C722" s="15" t="n">
        <f aca="false">B722</f>
        <v>45075</v>
      </c>
      <c r="D722" s="16" t="s">
        <v>376</v>
      </c>
      <c r="E722" s="16" t="s">
        <v>57</v>
      </c>
      <c r="F722" s="16" t="n">
        <v>635</v>
      </c>
      <c r="G722" s="17"/>
      <c r="H722" s="17" t="n">
        <v>352423</v>
      </c>
      <c r="I722" s="14" t="n">
        <f aca="false">I721+G722-H722</f>
        <v>0</v>
      </c>
    </row>
    <row r="723" customFormat="false" ht="12" hidden="false" customHeight="true" outlineLevel="1" collapsed="false">
      <c r="B723" s="15" t="n">
        <v>410318</v>
      </c>
      <c r="C723" s="15" t="n">
        <f aca="false">B723</f>
        <v>410318</v>
      </c>
      <c r="D723" s="16" t="s">
        <v>375</v>
      </c>
      <c r="E723" s="16" t="s">
        <v>157</v>
      </c>
      <c r="F723" s="16" t="s">
        <v>15</v>
      </c>
      <c r="G723" s="17" t="n">
        <v>95182000</v>
      </c>
      <c r="H723" s="17"/>
      <c r="I723" s="14" t="n">
        <f aca="false">I722+G723-H723</f>
        <v>95182000</v>
      </c>
    </row>
    <row r="724" customFormat="false" ht="12" hidden="false" customHeight="true" outlineLevel="1" collapsed="false">
      <c r="B724" s="15" t="n">
        <v>410318</v>
      </c>
      <c r="C724" s="15" t="n">
        <f aca="false">B724</f>
        <v>410318</v>
      </c>
      <c r="D724" s="16" t="s">
        <v>375</v>
      </c>
      <c r="E724" s="16" t="s">
        <v>157</v>
      </c>
      <c r="F724" s="16" t="s">
        <v>15</v>
      </c>
      <c r="G724" s="17" t="n">
        <v>38907000</v>
      </c>
      <c r="H724" s="17"/>
      <c r="I724" s="14" t="n">
        <f aca="false">I723+G724-H724</f>
        <v>134089000</v>
      </c>
    </row>
    <row r="725" customFormat="false" ht="12" hidden="false" customHeight="true" outlineLevel="1" collapsed="false">
      <c r="B725" s="15" t="n">
        <v>410318</v>
      </c>
      <c r="C725" s="15" t="n">
        <f aca="false">B725</f>
        <v>410318</v>
      </c>
      <c r="D725" s="16" t="s">
        <v>375</v>
      </c>
      <c r="E725" s="16" t="s">
        <v>157</v>
      </c>
      <c r="F725" s="16" t="s">
        <v>15</v>
      </c>
      <c r="G725" s="17" t="n">
        <v>157820000</v>
      </c>
      <c r="H725" s="17"/>
      <c r="I725" s="14" t="n">
        <f aca="false">I724+G725-H725</f>
        <v>291909000</v>
      </c>
    </row>
    <row r="726" customFormat="false" ht="12" hidden="false" customHeight="true" outlineLevel="1" collapsed="false">
      <c r="B726" s="15" t="n">
        <v>410318</v>
      </c>
      <c r="C726" s="15" t="n">
        <f aca="false">B726</f>
        <v>410318</v>
      </c>
      <c r="D726" s="16" t="s">
        <v>376</v>
      </c>
      <c r="E726" s="16" t="s">
        <v>440</v>
      </c>
      <c r="F726" s="16" t="s">
        <v>179</v>
      </c>
      <c r="G726" s="23"/>
      <c r="H726" s="17" t="n">
        <v>23936000</v>
      </c>
      <c r="I726" s="14" t="n">
        <f aca="false">I725+G726-H726</f>
        <v>267973000</v>
      </c>
    </row>
    <row r="727" customFormat="false" ht="12" hidden="false" customHeight="true" outlineLevel="1" collapsed="false">
      <c r="B727" s="15" t="n">
        <v>410318</v>
      </c>
      <c r="C727" s="15" t="n">
        <f aca="false">B727</f>
        <v>410318</v>
      </c>
      <c r="D727" s="16" t="s">
        <v>376</v>
      </c>
      <c r="E727" s="16" t="s">
        <v>440</v>
      </c>
      <c r="F727" s="16" t="s">
        <v>179</v>
      </c>
      <c r="G727" s="17"/>
      <c r="H727" s="17" t="n">
        <v>5771766</v>
      </c>
      <c r="I727" s="14" t="n">
        <f aca="false">I726+G727-H727</f>
        <v>262201234</v>
      </c>
    </row>
    <row r="728" customFormat="false" ht="12" hidden="false" customHeight="true" outlineLevel="1" collapsed="false">
      <c r="B728" s="15" t="n">
        <v>410318</v>
      </c>
      <c r="C728" s="15" t="n">
        <f aca="false">B728</f>
        <v>410318</v>
      </c>
      <c r="D728" s="16" t="s">
        <v>376</v>
      </c>
      <c r="E728" s="16" t="s">
        <v>23</v>
      </c>
      <c r="F728" s="16" t="s">
        <v>24</v>
      </c>
      <c r="G728" s="17"/>
      <c r="H728" s="17" t="n">
        <v>150000000</v>
      </c>
      <c r="I728" s="14" t="n">
        <f aca="false">I727+G728-H728</f>
        <v>112201234</v>
      </c>
    </row>
    <row r="729" customFormat="false" ht="12" hidden="false" customHeight="true" outlineLevel="1" collapsed="false">
      <c r="B729" s="15" t="n">
        <v>410318</v>
      </c>
      <c r="C729" s="15" t="n">
        <f aca="false">B729</f>
        <v>410318</v>
      </c>
      <c r="D729" s="16" t="s">
        <v>376</v>
      </c>
      <c r="E729" s="16" t="s">
        <v>23</v>
      </c>
      <c r="F729" s="16" t="s">
        <v>24</v>
      </c>
      <c r="G729" s="17"/>
      <c r="H729" s="17" t="n">
        <v>9996500</v>
      </c>
      <c r="I729" s="14" t="n">
        <f aca="false">I728+G729-H729</f>
        <v>102204734</v>
      </c>
    </row>
    <row r="730" customFormat="false" ht="12" hidden="false" customHeight="true" outlineLevel="1" collapsed="false">
      <c r="B730" s="15" t="n">
        <v>410318</v>
      </c>
      <c r="C730" s="15" t="n">
        <f aca="false">B730</f>
        <v>410318</v>
      </c>
      <c r="D730" s="16" t="s">
        <v>376</v>
      </c>
      <c r="E730" s="16" t="s">
        <v>57</v>
      </c>
      <c r="F730" s="16" t="n">
        <v>635</v>
      </c>
      <c r="G730" s="17"/>
      <c r="H730" s="17" t="n">
        <v>2330583</v>
      </c>
      <c r="I730" s="14" t="n">
        <f aca="false">I729+G730-H730</f>
        <v>99874151</v>
      </c>
    </row>
    <row r="731" customFormat="false" ht="12" hidden="false" customHeight="true" outlineLevel="1" collapsed="false">
      <c r="B731" s="15" t="n">
        <v>410318</v>
      </c>
      <c r="C731" s="15" t="n">
        <f aca="false">B731</f>
        <v>410318</v>
      </c>
      <c r="D731" s="16" t="s">
        <v>376</v>
      </c>
      <c r="E731" s="16" t="s">
        <v>57</v>
      </c>
      <c r="F731" s="16" t="n">
        <v>635</v>
      </c>
      <c r="G731" s="17"/>
      <c r="H731" s="17" t="n">
        <v>3726288</v>
      </c>
      <c r="I731" s="14" t="n">
        <f aca="false">I730+G731-H731</f>
        <v>96147863</v>
      </c>
    </row>
    <row r="732" customFormat="false" ht="12" hidden="false" customHeight="true" outlineLevel="1" collapsed="false">
      <c r="B732" s="15" t="n">
        <v>410318</v>
      </c>
      <c r="C732" s="15" t="n">
        <f aca="false">B732</f>
        <v>410318</v>
      </c>
      <c r="D732" s="16" t="s">
        <v>376</v>
      </c>
      <c r="E732" s="16" t="s">
        <v>57</v>
      </c>
      <c r="F732" s="16" t="n">
        <v>635</v>
      </c>
      <c r="G732" s="17"/>
      <c r="H732" s="17" t="n">
        <v>1063804</v>
      </c>
      <c r="I732" s="14" t="n">
        <f aca="false">I731+G732-H732</f>
        <v>95084059</v>
      </c>
    </row>
    <row r="733" customFormat="false" ht="12" hidden="false" customHeight="true" outlineLevel="1" collapsed="false">
      <c r="B733" s="15" t="n">
        <v>410318</v>
      </c>
      <c r="C733" s="15" t="n">
        <f aca="false">B733</f>
        <v>410318</v>
      </c>
      <c r="D733" s="16" t="s">
        <v>376</v>
      </c>
      <c r="E733" s="16" t="s">
        <v>57</v>
      </c>
      <c r="F733" s="16" t="n">
        <v>635</v>
      </c>
      <c r="G733" s="17"/>
      <c r="H733" s="17" t="n">
        <v>3680244</v>
      </c>
      <c r="I733" s="14" t="n">
        <f aca="false">I732+G733-H733</f>
        <v>91403815</v>
      </c>
    </row>
    <row r="734" customFormat="false" ht="12" hidden="false" customHeight="true" outlineLevel="1" collapsed="false">
      <c r="B734" s="15" t="n">
        <v>410318</v>
      </c>
      <c r="C734" s="15" t="n">
        <f aca="false">B734</f>
        <v>410318</v>
      </c>
      <c r="D734" s="16" t="s">
        <v>376</v>
      </c>
      <c r="E734" s="16" t="s">
        <v>57</v>
      </c>
      <c r="F734" s="16" t="n">
        <v>635</v>
      </c>
      <c r="G734" s="17"/>
      <c r="H734" s="17" t="n">
        <v>5154445</v>
      </c>
      <c r="I734" s="14" t="n">
        <f aca="false">I733+G734-H734</f>
        <v>86249370</v>
      </c>
    </row>
    <row r="735" customFormat="false" ht="12" hidden="false" customHeight="true" outlineLevel="1" collapsed="false">
      <c r="B735" s="15" t="n">
        <v>410318</v>
      </c>
      <c r="C735" s="15" t="n">
        <f aca="false">B735</f>
        <v>410318</v>
      </c>
      <c r="D735" s="16" t="s">
        <v>376</v>
      </c>
      <c r="E735" s="16" t="s">
        <v>57</v>
      </c>
      <c r="F735" s="16" t="n">
        <v>635</v>
      </c>
      <c r="G735" s="17"/>
      <c r="H735" s="17" t="n">
        <v>8354834</v>
      </c>
      <c r="I735" s="14" t="n">
        <f aca="false">I734+G735-H735</f>
        <v>77894536</v>
      </c>
    </row>
    <row r="736" customFormat="false" ht="12" hidden="false" customHeight="true" outlineLevel="1" collapsed="false">
      <c r="B736" s="15" t="n">
        <v>410318</v>
      </c>
      <c r="C736" s="15" t="n">
        <f aca="false">B736</f>
        <v>410318</v>
      </c>
      <c r="D736" s="16" t="s">
        <v>376</v>
      </c>
      <c r="E736" s="16" t="s">
        <v>57</v>
      </c>
      <c r="F736" s="16" t="n">
        <v>635</v>
      </c>
      <c r="G736" s="17"/>
      <c r="H736" s="17" t="n">
        <v>10307903</v>
      </c>
      <c r="I736" s="14" t="n">
        <f aca="false">I735+G736-H736</f>
        <v>67586633</v>
      </c>
    </row>
    <row r="737" customFormat="false" ht="12" hidden="false" customHeight="true" outlineLevel="1" collapsed="false">
      <c r="B737" s="15" t="n">
        <v>410318</v>
      </c>
      <c r="C737" s="15" t="n">
        <f aca="false">B737</f>
        <v>410318</v>
      </c>
      <c r="D737" s="16" t="s">
        <v>376</v>
      </c>
      <c r="E737" s="16" t="s">
        <v>57</v>
      </c>
      <c r="F737" s="16" t="n">
        <v>635</v>
      </c>
      <c r="G737" s="17"/>
      <c r="H737" s="17" t="n">
        <v>2412272</v>
      </c>
      <c r="I737" s="14" t="n">
        <f aca="false">I736+G737-H737</f>
        <v>65174361</v>
      </c>
    </row>
    <row r="738" customFormat="false" ht="12" hidden="false" customHeight="true" outlineLevel="1" collapsed="false">
      <c r="B738" s="15" t="n">
        <v>410318</v>
      </c>
      <c r="C738" s="15" t="n">
        <f aca="false">B738</f>
        <v>410318</v>
      </c>
      <c r="D738" s="16" t="s">
        <v>376</v>
      </c>
      <c r="E738" s="16" t="s">
        <v>57</v>
      </c>
      <c r="F738" s="16" t="n">
        <v>635</v>
      </c>
      <c r="G738" s="17"/>
      <c r="H738" s="17" t="n">
        <v>711566</v>
      </c>
      <c r="I738" s="14" t="n">
        <f aca="false">I737+G738-H738</f>
        <v>64462795</v>
      </c>
    </row>
    <row r="739" customFormat="false" ht="12" hidden="false" customHeight="true" outlineLevel="1" collapsed="false">
      <c r="B739" s="15" t="n">
        <v>410318</v>
      </c>
      <c r="C739" s="15" t="n">
        <f aca="false">B739</f>
        <v>410318</v>
      </c>
      <c r="D739" s="16" t="s">
        <v>376</v>
      </c>
      <c r="E739" s="16" t="s">
        <v>57</v>
      </c>
      <c r="F739" s="16" t="n">
        <v>635</v>
      </c>
      <c r="G739" s="17"/>
      <c r="H739" s="17" t="n">
        <v>5827258</v>
      </c>
      <c r="I739" s="14" t="n">
        <f aca="false">I738+G739-H739</f>
        <v>58635537</v>
      </c>
    </row>
    <row r="740" customFormat="false" ht="12" hidden="false" customHeight="true" outlineLevel="1" collapsed="false">
      <c r="B740" s="15" t="n">
        <v>410318</v>
      </c>
      <c r="C740" s="15" t="n">
        <f aca="false">B740</f>
        <v>410318</v>
      </c>
      <c r="D740" s="16" t="s">
        <v>376</v>
      </c>
      <c r="E740" s="16" t="s">
        <v>57</v>
      </c>
      <c r="F740" s="16" t="n">
        <v>635</v>
      </c>
      <c r="G740" s="17"/>
      <c r="H740" s="17" t="n">
        <v>4671058</v>
      </c>
      <c r="I740" s="14" t="n">
        <f aca="false">I739+G740-H740</f>
        <v>53964479</v>
      </c>
    </row>
    <row r="741" customFormat="false" ht="12" hidden="false" customHeight="true" outlineLevel="1" collapsed="false">
      <c r="B741" s="15" t="n">
        <v>410318</v>
      </c>
      <c r="C741" s="15" t="n">
        <f aca="false">B741</f>
        <v>410318</v>
      </c>
      <c r="D741" s="16" t="s">
        <v>376</v>
      </c>
      <c r="E741" s="16" t="s">
        <v>57</v>
      </c>
      <c r="F741" s="16" t="n">
        <v>635</v>
      </c>
      <c r="G741" s="17"/>
      <c r="H741" s="17" t="n">
        <v>1629621</v>
      </c>
      <c r="I741" s="14" t="n">
        <f aca="false">I740+G741-H741</f>
        <v>52334858</v>
      </c>
    </row>
    <row r="742" customFormat="false" ht="12" hidden="false" customHeight="true" outlineLevel="1" collapsed="false">
      <c r="B742" s="15" t="n">
        <v>410318</v>
      </c>
      <c r="C742" s="15" t="n">
        <f aca="false">B742</f>
        <v>410318</v>
      </c>
      <c r="D742" s="16" t="s">
        <v>376</v>
      </c>
      <c r="E742" s="16" t="s">
        <v>57</v>
      </c>
      <c r="F742" s="16" t="n">
        <v>635</v>
      </c>
      <c r="G742" s="17"/>
      <c r="H742" s="17" t="n">
        <v>1059641</v>
      </c>
      <c r="I742" s="14" t="n">
        <f aca="false">I741+G742-H742</f>
        <v>51275217</v>
      </c>
    </row>
    <row r="743" customFormat="false" ht="12" hidden="false" customHeight="true" outlineLevel="1" collapsed="false">
      <c r="B743" s="15" t="n">
        <v>410318</v>
      </c>
      <c r="C743" s="15" t="n">
        <f aca="false">B743</f>
        <v>410318</v>
      </c>
      <c r="D743" s="16" t="s">
        <v>376</v>
      </c>
      <c r="E743" s="16" t="s">
        <v>57</v>
      </c>
      <c r="F743" s="16" t="n">
        <v>635</v>
      </c>
      <c r="G743" s="17"/>
      <c r="H743" s="17" t="n">
        <v>1191879</v>
      </c>
      <c r="I743" s="14" t="n">
        <f aca="false">I742+G743-H743</f>
        <v>50083338</v>
      </c>
    </row>
    <row r="744" customFormat="false" ht="12" hidden="false" customHeight="true" outlineLevel="1" collapsed="false">
      <c r="B744" s="15" t="n">
        <v>410318</v>
      </c>
      <c r="C744" s="15" t="n">
        <f aca="false">B744</f>
        <v>410318</v>
      </c>
      <c r="D744" s="16" t="s">
        <v>376</v>
      </c>
      <c r="E744" s="16" t="s">
        <v>57</v>
      </c>
      <c r="F744" s="16" t="n">
        <v>635</v>
      </c>
      <c r="G744" s="17"/>
      <c r="H744" s="17" t="n">
        <v>9492810</v>
      </c>
      <c r="I744" s="14" t="n">
        <f aca="false">I743+G744-H744</f>
        <v>40590528</v>
      </c>
    </row>
    <row r="745" customFormat="false" ht="12" hidden="false" customHeight="true" outlineLevel="1" collapsed="false">
      <c r="B745" s="15" t="n">
        <v>410318</v>
      </c>
      <c r="C745" s="15" t="n">
        <f aca="false">B745</f>
        <v>410318</v>
      </c>
      <c r="D745" s="16" t="s">
        <v>376</v>
      </c>
      <c r="E745" s="16" t="s">
        <v>57</v>
      </c>
      <c r="F745" s="16" t="n">
        <v>635</v>
      </c>
      <c r="G745" s="17"/>
      <c r="H745" s="17" t="n">
        <v>1978753</v>
      </c>
      <c r="I745" s="14" t="n">
        <f aca="false">I744+G745-H745</f>
        <v>38611775</v>
      </c>
    </row>
    <row r="746" customFormat="false" ht="12" hidden="false" customHeight="true" outlineLevel="1" collapsed="false">
      <c r="B746" s="15" t="n">
        <v>410318</v>
      </c>
      <c r="C746" s="15" t="n">
        <f aca="false">B746</f>
        <v>410318</v>
      </c>
      <c r="D746" s="16" t="s">
        <v>376</v>
      </c>
      <c r="E746" s="16" t="s">
        <v>57</v>
      </c>
      <c r="F746" s="16" t="n">
        <v>635</v>
      </c>
      <c r="G746" s="17"/>
      <c r="H746" s="17" t="n">
        <v>3839629</v>
      </c>
      <c r="I746" s="14" t="n">
        <f aca="false">I745+G746-H746</f>
        <v>34772146</v>
      </c>
    </row>
    <row r="747" customFormat="false" ht="12" hidden="false" customHeight="true" outlineLevel="1" collapsed="false">
      <c r="B747" s="15" t="n">
        <v>410318</v>
      </c>
      <c r="C747" s="15" t="n">
        <f aca="false">B747</f>
        <v>410318</v>
      </c>
      <c r="D747" s="16" t="s">
        <v>376</v>
      </c>
      <c r="E747" s="16" t="s">
        <v>57</v>
      </c>
      <c r="F747" s="16" t="n">
        <v>635</v>
      </c>
      <c r="G747" s="17"/>
      <c r="H747" s="17" t="n">
        <v>2109013</v>
      </c>
      <c r="I747" s="14" t="n">
        <f aca="false">I746+G747-H747</f>
        <v>32663133</v>
      </c>
    </row>
    <row r="748" customFormat="false" ht="12" hidden="false" customHeight="true" outlineLevel="1" collapsed="false">
      <c r="B748" s="15" t="n">
        <v>410318</v>
      </c>
      <c r="C748" s="15" t="n">
        <f aca="false">B748</f>
        <v>410318</v>
      </c>
      <c r="D748" s="16" t="s">
        <v>376</v>
      </c>
      <c r="E748" s="16" t="s">
        <v>57</v>
      </c>
      <c r="F748" s="16" t="n">
        <v>635</v>
      </c>
      <c r="G748" s="17"/>
      <c r="H748" s="17" t="n">
        <v>916795</v>
      </c>
      <c r="I748" s="14" t="n">
        <f aca="false">I747+G748-H748</f>
        <v>31746338</v>
      </c>
    </row>
    <row r="749" customFormat="false" ht="12" hidden="false" customHeight="true" outlineLevel="1" collapsed="false">
      <c r="B749" s="15" t="n">
        <v>410318</v>
      </c>
      <c r="C749" s="15" t="n">
        <f aca="false">B749</f>
        <v>410318</v>
      </c>
      <c r="D749" s="16" t="s">
        <v>376</v>
      </c>
      <c r="E749" s="16" t="s">
        <v>57</v>
      </c>
      <c r="F749" s="16" t="n">
        <v>635</v>
      </c>
      <c r="G749" s="17"/>
      <c r="H749" s="17" t="n">
        <v>8927766</v>
      </c>
      <c r="I749" s="14" t="n">
        <f aca="false">I748+G749-H749</f>
        <v>22818572</v>
      </c>
    </row>
    <row r="750" customFormat="false" ht="12" hidden="false" customHeight="true" outlineLevel="1" collapsed="false">
      <c r="B750" s="15" t="n">
        <v>410318</v>
      </c>
      <c r="C750" s="15" t="n">
        <f aca="false">B750</f>
        <v>410318</v>
      </c>
      <c r="D750" s="16" t="s">
        <v>376</v>
      </c>
      <c r="E750" s="16" t="s">
        <v>57</v>
      </c>
      <c r="F750" s="16" t="n">
        <v>635</v>
      </c>
      <c r="G750" s="17"/>
      <c r="H750" s="17" t="n">
        <v>13269109</v>
      </c>
      <c r="I750" s="14" t="n">
        <f aca="false">I749+G750-H750</f>
        <v>9549463</v>
      </c>
    </row>
    <row r="751" customFormat="false" ht="12" hidden="false" customHeight="true" outlineLevel="1" collapsed="false">
      <c r="B751" s="15" t="n">
        <v>410318</v>
      </c>
      <c r="C751" s="15" t="n">
        <f aca="false">B751</f>
        <v>410318</v>
      </c>
      <c r="D751" s="16" t="s">
        <v>376</v>
      </c>
      <c r="E751" s="16" t="s">
        <v>57</v>
      </c>
      <c r="F751" s="16" t="n">
        <v>635</v>
      </c>
      <c r="G751" s="17"/>
      <c r="H751" s="17" t="n">
        <v>653027</v>
      </c>
      <c r="I751" s="14" t="n">
        <f aca="false">I750+G751-H751</f>
        <v>8896436</v>
      </c>
    </row>
    <row r="752" customFormat="false" ht="12" hidden="false" customHeight="true" outlineLevel="1" collapsed="false">
      <c r="B752" s="15" t="n">
        <v>410318</v>
      </c>
      <c r="C752" s="15" t="n">
        <f aca="false">B752</f>
        <v>410318</v>
      </c>
      <c r="D752" s="16" t="s">
        <v>376</v>
      </c>
      <c r="E752" s="16" t="s">
        <v>57</v>
      </c>
      <c r="F752" s="16" t="n">
        <v>635</v>
      </c>
      <c r="G752" s="17"/>
      <c r="H752" s="17" t="n">
        <v>1927472</v>
      </c>
      <c r="I752" s="14" t="n">
        <f aca="false">I751+G752-H752</f>
        <v>6968964</v>
      </c>
    </row>
    <row r="753" customFormat="false" ht="12" hidden="false" customHeight="true" outlineLevel="1" collapsed="false">
      <c r="B753" s="15" t="n">
        <v>410318</v>
      </c>
      <c r="C753" s="15" t="n">
        <f aca="false">B753</f>
        <v>410318</v>
      </c>
      <c r="D753" s="16" t="s">
        <v>376</v>
      </c>
      <c r="E753" s="16" t="s">
        <v>57</v>
      </c>
      <c r="F753" s="16" t="n">
        <v>635</v>
      </c>
      <c r="G753" s="17"/>
      <c r="H753" s="17" t="n">
        <v>487984</v>
      </c>
      <c r="I753" s="14" t="n">
        <f aca="false">I752+G753-H753</f>
        <v>6480980</v>
      </c>
    </row>
    <row r="754" customFormat="false" ht="12" hidden="false" customHeight="true" outlineLevel="1" collapsed="false">
      <c r="B754" s="15" t="n">
        <v>45077</v>
      </c>
      <c r="C754" s="15" t="n">
        <f aca="false">B754</f>
        <v>45077</v>
      </c>
      <c r="D754" s="16" t="s">
        <v>375</v>
      </c>
      <c r="E754" s="16" t="s">
        <v>157</v>
      </c>
      <c r="F754" s="16" t="s">
        <v>15</v>
      </c>
      <c r="G754" s="17" t="n">
        <v>62299000</v>
      </c>
      <c r="H754" s="17"/>
      <c r="I754" s="14" t="n">
        <f aca="false">I753+G754-H754</f>
        <v>68779980</v>
      </c>
    </row>
    <row r="755" customFormat="false" ht="12" hidden="false" customHeight="true" outlineLevel="1" collapsed="false">
      <c r="B755" s="15" t="n">
        <v>45077</v>
      </c>
      <c r="C755" s="15" t="n">
        <f aca="false">B755</f>
        <v>45077</v>
      </c>
      <c r="D755" s="16" t="s">
        <v>375</v>
      </c>
      <c r="E755" s="16" t="s">
        <v>157</v>
      </c>
      <c r="F755" s="16" t="s">
        <v>15</v>
      </c>
      <c r="G755" s="17" t="n">
        <v>68947000</v>
      </c>
      <c r="H755" s="17"/>
      <c r="I755" s="14" t="n">
        <f aca="false">I754+G755-H755</f>
        <v>137726980</v>
      </c>
    </row>
    <row r="756" customFormat="false" ht="12" hidden="false" customHeight="true" outlineLevel="1" collapsed="false">
      <c r="B756" s="15" t="n">
        <v>45077</v>
      </c>
      <c r="C756" s="15" t="n">
        <f aca="false">B756</f>
        <v>45077</v>
      </c>
      <c r="D756" s="16" t="s">
        <v>375</v>
      </c>
      <c r="E756" s="16" t="s">
        <v>157</v>
      </c>
      <c r="F756" s="16" t="s">
        <v>15</v>
      </c>
      <c r="G756" s="17" t="n">
        <v>248149000</v>
      </c>
      <c r="H756" s="17"/>
      <c r="I756" s="14" t="n">
        <f aca="false">I755+G756-H756</f>
        <v>385875980</v>
      </c>
    </row>
    <row r="757" customFormat="false" ht="12" hidden="false" customHeight="true" outlineLevel="1" collapsed="false">
      <c r="B757" s="15" t="n">
        <v>45077</v>
      </c>
      <c r="C757" s="15" t="n">
        <f aca="false">B757</f>
        <v>45077</v>
      </c>
      <c r="D757" s="16" t="s">
        <v>375</v>
      </c>
      <c r="E757" s="16" t="s">
        <v>157</v>
      </c>
      <c r="F757" s="16" t="s">
        <v>15</v>
      </c>
      <c r="G757" s="17" t="n">
        <v>104000000</v>
      </c>
      <c r="H757" s="17"/>
      <c r="I757" s="14" t="n">
        <f aca="false">I756+G757-H757</f>
        <v>489875980</v>
      </c>
    </row>
    <row r="758" customFormat="false" ht="12" hidden="false" customHeight="true" outlineLevel="1" collapsed="false">
      <c r="B758" s="15" t="n">
        <v>45077</v>
      </c>
      <c r="C758" s="15" t="n">
        <f aca="false">B758</f>
        <v>45077</v>
      </c>
      <c r="D758" s="16" t="s">
        <v>376</v>
      </c>
      <c r="E758" s="16" t="s">
        <v>23</v>
      </c>
      <c r="F758" s="16" t="s">
        <v>24</v>
      </c>
      <c r="G758" s="17"/>
      <c r="H758" s="17" t="n">
        <v>480000000</v>
      </c>
      <c r="I758" s="14" t="n">
        <f aca="false">I757+G758-H758</f>
        <v>9875980</v>
      </c>
    </row>
    <row r="759" customFormat="false" ht="12" hidden="false" customHeight="true" outlineLevel="1" collapsed="false">
      <c r="B759" s="15" t="n">
        <v>45077</v>
      </c>
      <c r="C759" s="15" t="n">
        <f aca="false">B759</f>
        <v>45077</v>
      </c>
      <c r="D759" s="16" t="s">
        <v>376</v>
      </c>
      <c r="E759" s="16" t="s">
        <v>440</v>
      </c>
      <c r="F759" s="16" t="s">
        <v>179</v>
      </c>
      <c r="G759" s="17"/>
      <c r="H759" s="17" t="n">
        <v>2202200</v>
      </c>
      <c r="I759" s="14" t="n">
        <f aca="false">I758+G759-H759</f>
        <v>7673780</v>
      </c>
    </row>
    <row r="760" customFormat="false" ht="12" hidden="false" customHeight="true" outlineLevel="1" collapsed="false">
      <c r="B760" s="15" t="n">
        <v>45078</v>
      </c>
      <c r="C760" s="15" t="n">
        <f aca="false">B760</f>
        <v>45078</v>
      </c>
      <c r="D760" s="16" t="s">
        <v>375</v>
      </c>
      <c r="E760" s="16" t="s">
        <v>157</v>
      </c>
      <c r="F760" s="16" t="s">
        <v>15</v>
      </c>
      <c r="G760" s="17" t="n">
        <v>222795000</v>
      </c>
      <c r="H760" s="17"/>
      <c r="I760" s="14" t="n">
        <f aca="false">I759+G760-H760</f>
        <v>230468780</v>
      </c>
    </row>
    <row r="761" customFormat="false" ht="12" hidden="false" customHeight="true" outlineLevel="1" collapsed="false">
      <c r="B761" s="15" t="n">
        <v>45078</v>
      </c>
      <c r="C761" s="15" t="n">
        <f aca="false">B761</f>
        <v>45078</v>
      </c>
      <c r="D761" s="16" t="s">
        <v>375</v>
      </c>
      <c r="E761" s="16" t="s">
        <v>157</v>
      </c>
      <c r="F761" s="16" t="s">
        <v>15</v>
      </c>
      <c r="G761" s="17" t="n">
        <v>79682000</v>
      </c>
      <c r="H761" s="17"/>
      <c r="I761" s="14" t="n">
        <f aca="false">I760+G761-H761</f>
        <v>310150780</v>
      </c>
    </row>
    <row r="762" customFormat="false" ht="12" hidden="false" customHeight="true" outlineLevel="1" collapsed="false">
      <c r="B762" s="15" t="n">
        <v>45078</v>
      </c>
      <c r="C762" s="15" t="n">
        <f aca="false">B762</f>
        <v>45078</v>
      </c>
      <c r="D762" s="16" t="s">
        <v>375</v>
      </c>
      <c r="E762" s="16" t="s">
        <v>157</v>
      </c>
      <c r="F762" s="16" t="s">
        <v>15</v>
      </c>
      <c r="G762" s="17" t="n">
        <v>116565000</v>
      </c>
      <c r="H762" s="17"/>
      <c r="I762" s="14" t="n">
        <f aca="false">I761+G762-H762</f>
        <v>426715780</v>
      </c>
    </row>
    <row r="763" customFormat="false" ht="12" hidden="false" customHeight="true" outlineLevel="1" collapsed="false">
      <c r="B763" s="15" t="n">
        <v>45078</v>
      </c>
      <c r="C763" s="15" t="n">
        <f aca="false">B763</f>
        <v>45078</v>
      </c>
      <c r="D763" s="16" t="s">
        <v>376</v>
      </c>
      <c r="E763" s="16" t="s">
        <v>23</v>
      </c>
      <c r="F763" s="16" t="s">
        <v>24</v>
      </c>
      <c r="G763" s="17"/>
      <c r="H763" s="17" t="n">
        <v>24921564</v>
      </c>
      <c r="I763" s="14" t="n">
        <f aca="false">I762+G763-H763</f>
        <v>401794216</v>
      </c>
    </row>
    <row r="764" customFormat="false" ht="12" hidden="false" customHeight="true" outlineLevel="1" collapsed="false">
      <c r="B764" s="15" t="n">
        <v>45078</v>
      </c>
      <c r="C764" s="15" t="n">
        <f aca="false">B764</f>
        <v>45078</v>
      </c>
      <c r="D764" s="16" t="s">
        <v>376</v>
      </c>
      <c r="E764" s="16" t="s">
        <v>23</v>
      </c>
      <c r="F764" s="16" t="s">
        <v>24</v>
      </c>
      <c r="G764" s="17"/>
      <c r="H764" s="17" t="n">
        <v>393078436</v>
      </c>
      <c r="I764" s="14" t="n">
        <f aca="false">I763+G764-H764</f>
        <v>8715780</v>
      </c>
    </row>
    <row r="765" customFormat="false" ht="12" hidden="false" customHeight="true" outlineLevel="1" collapsed="false">
      <c r="B765" s="15" t="n">
        <v>45078</v>
      </c>
      <c r="C765" s="15" t="n">
        <f aca="false">B765</f>
        <v>45078</v>
      </c>
      <c r="D765" s="16" t="s">
        <v>376</v>
      </c>
      <c r="E765" s="16" t="s">
        <v>36</v>
      </c>
      <c r="F765" s="16" t="n">
        <v>635</v>
      </c>
      <c r="G765" s="17"/>
      <c r="H765" s="17" t="n">
        <v>1103726</v>
      </c>
      <c r="I765" s="14" t="n">
        <f aca="false">I764+G765-H765</f>
        <v>7612054</v>
      </c>
    </row>
    <row r="766" customFormat="false" ht="12" hidden="false" customHeight="true" outlineLevel="1" collapsed="false">
      <c r="B766" s="15" t="n">
        <v>45079</v>
      </c>
      <c r="C766" s="15" t="n">
        <f aca="false">B766</f>
        <v>45079</v>
      </c>
      <c r="D766" s="16" t="s">
        <v>375</v>
      </c>
      <c r="E766" s="16" t="s">
        <v>157</v>
      </c>
      <c r="F766" s="16" t="s">
        <v>15</v>
      </c>
      <c r="G766" s="17" t="n">
        <v>188560000</v>
      </c>
      <c r="H766" s="17"/>
      <c r="I766" s="14" t="n">
        <f aca="false">I765+G766-H766</f>
        <v>196172054</v>
      </c>
    </row>
    <row r="767" customFormat="false" ht="12" hidden="false" customHeight="true" outlineLevel="1" collapsed="false">
      <c r="B767" s="15" t="n">
        <v>45079</v>
      </c>
      <c r="C767" s="15" t="n">
        <f aca="false">B767</f>
        <v>45079</v>
      </c>
      <c r="D767" s="16" t="s">
        <v>375</v>
      </c>
      <c r="E767" s="16" t="s">
        <v>157</v>
      </c>
      <c r="F767" s="16" t="s">
        <v>15</v>
      </c>
      <c r="G767" s="17" t="n">
        <v>74554000</v>
      </c>
      <c r="H767" s="17"/>
      <c r="I767" s="14" t="n">
        <f aca="false">I766+G767-H767</f>
        <v>270726054</v>
      </c>
    </row>
    <row r="768" customFormat="false" ht="12" hidden="false" customHeight="true" outlineLevel="1" collapsed="false">
      <c r="B768" s="15" t="n">
        <v>45079</v>
      </c>
      <c r="C768" s="15" t="n">
        <f aca="false">B768</f>
        <v>45079</v>
      </c>
      <c r="D768" s="16" t="s">
        <v>375</v>
      </c>
      <c r="E768" s="16" t="s">
        <v>157</v>
      </c>
      <c r="F768" s="16" t="s">
        <v>15</v>
      </c>
      <c r="G768" s="17" t="n">
        <v>41896000</v>
      </c>
      <c r="H768" s="17"/>
      <c r="I768" s="14" t="n">
        <f aca="false">I767+G768-H768</f>
        <v>312622054</v>
      </c>
    </row>
    <row r="769" customFormat="false" ht="12" hidden="false" customHeight="true" outlineLevel="1" collapsed="false">
      <c r="B769" s="15" t="n">
        <v>45079</v>
      </c>
      <c r="C769" s="15" t="n">
        <f aca="false">B769</f>
        <v>45079</v>
      </c>
      <c r="D769" s="16" t="s">
        <v>375</v>
      </c>
      <c r="E769" s="16" t="s">
        <v>157</v>
      </c>
      <c r="F769" s="16" t="s">
        <v>15</v>
      </c>
      <c r="G769" s="17" t="n">
        <v>100000000</v>
      </c>
      <c r="H769" s="17"/>
      <c r="I769" s="14" t="n">
        <f aca="false">I768+G769-H769</f>
        <v>412622054</v>
      </c>
    </row>
    <row r="770" customFormat="false" ht="12" hidden="false" customHeight="true" outlineLevel="1" collapsed="false">
      <c r="B770" s="15" t="n">
        <v>45079</v>
      </c>
      <c r="C770" s="15" t="n">
        <f aca="false">B770</f>
        <v>45079</v>
      </c>
      <c r="D770" s="16" t="s">
        <v>376</v>
      </c>
      <c r="E770" s="16" t="s">
        <v>23</v>
      </c>
      <c r="F770" s="16" t="s">
        <v>24</v>
      </c>
      <c r="G770" s="17"/>
      <c r="H770" s="17" t="n">
        <v>108489432</v>
      </c>
      <c r="I770" s="14" t="n">
        <f aca="false">I769+G770-H770</f>
        <v>304132622</v>
      </c>
    </row>
    <row r="771" customFormat="false" ht="12" hidden="false" customHeight="true" outlineLevel="1" collapsed="false">
      <c r="B771" s="15" t="n">
        <v>45079</v>
      </c>
      <c r="C771" s="15" t="n">
        <f aca="false">B771</f>
        <v>45079</v>
      </c>
      <c r="D771" s="16" t="s">
        <v>376</v>
      </c>
      <c r="E771" s="16" t="s">
        <v>23</v>
      </c>
      <c r="F771" s="16" t="s">
        <v>24</v>
      </c>
      <c r="G771" s="17"/>
      <c r="H771" s="17" t="n">
        <v>297235472</v>
      </c>
      <c r="I771" s="14" t="n">
        <f aca="false">I770+G771-H771</f>
        <v>6897150</v>
      </c>
    </row>
    <row r="772" customFormat="false" ht="12" hidden="false" customHeight="true" outlineLevel="1" collapsed="false">
      <c r="B772" s="15" t="n">
        <v>45082</v>
      </c>
      <c r="C772" s="15" t="n">
        <f aca="false">B772</f>
        <v>45082</v>
      </c>
      <c r="D772" s="16" t="s">
        <v>375</v>
      </c>
      <c r="E772" s="16" t="s">
        <v>157</v>
      </c>
      <c r="F772" s="16" t="s">
        <v>15</v>
      </c>
      <c r="G772" s="17" t="n">
        <v>48174000</v>
      </c>
      <c r="H772" s="17"/>
      <c r="I772" s="14" t="n">
        <f aca="false">I771+G772-H772</f>
        <v>55071150</v>
      </c>
    </row>
    <row r="773" customFormat="false" ht="12" hidden="false" customHeight="true" outlineLevel="1" collapsed="false">
      <c r="B773" s="15" t="n">
        <v>45082</v>
      </c>
      <c r="C773" s="15" t="n">
        <f aca="false">B773</f>
        <v>45082</v>
      </c>
      <c r="D773" s="16" t="s">
        <v>375</v>
      </c>
      <c r="E773" s="16" t="s">
        <v>157</v>
      </c>
      <c r="F773" s="16" t="s">
        <v>15</v>
      </c>
      <c r="G773" s="17" t="n">
        <v>61713000</v>
      </c>
      <c r="H773" s="17"/>
      <c r="I773" s="14" t="n">
        <f aca="false">I772+G773-H773</f>
        <v>116784150</v>
      </c>
    </row>
    <row r="774" customFormat="false" ht="12" hidden="false" customHeight="true" outlineLevel="1" collapsed="false">
      <c r="B774" s="15" t="n">
        <v>45082</v>
      </c>
      <c r="C774" s="15" t="n">
        <f aca="false">B774</f>
        <v>45082</v>
      </c>
      <c r="D774" s="16" t="s">
        <v>375</v>
      </c>
      <c r="E774" s="16" t="s">
        <v>157</v>
      </c>
      <c r="F774" s="16" t="s">
        <v>15</v>
      </c>
      <c r="G774" s="17" t="n">
        <v>103081000</v>
      </c>
      <c r="H774" s="17"/>
      <c r="I774" s="14" t="n">
        <f aca="false">I773+G774-H774</f>
        <v>219865150</v>
      </c>
    </row>
    <row r="775" customFormat="false" ht="12" hidden="false" customHeight="true" outlineLevel="1" collapsed="false">
      <c r="B775" s="15" t="n">
        <v>45082</v>
      </c>
      <c r="C775" s="15" t="n">
        <f aca="false">B775</f>
        <v>45082</v>
      </c>
      <c r="D775" s="16" t="s">
        <v>375</v>
      </c>
      <c r="E775" s="16" t="s">
        <v>157</v>
      </c>
      <c r="F775" s="16" t="s">
        <v>15</v>
      </c>
      <c r="G775" s="17" t="n">
        <v>40368000</v>
      </c>
      <c r="H775" s="17"/>
      <c r="I775" s="14" t="n">
        <f aca="false">I774+G775-H775</f>
        <v>260233150</v>
      </c>
    </row>
    <row r="776" customFormat="false" ht="12" hidden="false" customHeight="true" outlineLevel="1" collapsed="false">
      <c r="B776" s="15" t="n">
        <v>45082</v>
      </c>
      <c r="C776" s="15" t="n">
        <f aca="false">B776</f>
        <v>45082</v>
      </c>
      <c r="D776" s="16" t="s">
        <v>375</v>
      </c>
      <c r="E776" s="16" t="s">
        <v>157</v>
      </c>
      <c r="F776" s="16" t="s">
        <v>15</v>
      </c>
      <c r="G776" s="17" t="n">
        <v>120866000</v>
      </c>
      <c r="H776" s="17"/>
      <c r="I776" s="14" t="n">
        <f aca="false">I775+G776-H776</f>
        <v>381099150</v>
      </c>
    </row>
    <row r="777" customFormat="false" ht="12" hidden="false" customHeight="true" outlineLevel="1" collapsed="false">
      <c r="B777" s="15" t="n">
        <v>45082</v>
      </c>
      <c r="C777" s="15" t="n">
        <f aca="false">B777</f>
        <v>45082</v>
      </c>
      <c r="D777" s="16" t="s">
        <v>375</v>
      </c>
      <c r="E777" s="16" t="s">
        <v>157</v>
      </c>
      <c r="F777" s="16" t="s">
        <v>15</v>
      </c>
      <c r="G777" s="17" t="n">
        <v>100000000</v>
      </c>
      <c r="H777" s="17"/>
      <c r="I777" s="14" t="n">
        <f aca="false">I776+G777-H777</f>
        <v>481099150</v>
      </c>
    </row>
    <row r="778" customFormat="false" ht="12" hidden="false" customHeight="true" outlineLevel="1" collapsed="false">
      <c r="B778" s="15" t="n">
        <v>45082</v>
      </c>
      <c r="C778" s="15" t="n">
        <f aca="false">B778</f>
        <v>45082</v>
      </c>
      <c r="D778" s="16" t="s">
        <v>376</v>
      </c>
      <c r="E778" s="16" t="s">
        <v>23</v>
      </c>
      <c r="F778" s="16" t="s">
        <v>24</v>
      </c>
      <c r="G778" s="17"/>
      <c r="H778" s="17" t="n">
        <v>475000000</v>
      </c>
      <c r="I778" s="14" t="n">
        <f aca="false">I777+G778-H778</f>
        <v>6099150</v>
      </c>
    </row>
    <row r="779" customFormat="false" ht="12" hidden="false" customHeight="true" outlineLevel="1" collapsed="false">
      <c r="B779" s="15" t="n">
        <v>45083</v>
      </c>
      <c r="C779" s="15" t="n">
        <f aca="false">B779</f>
        <v>45083</v>
      </c>
      <c r="D779" s="16" t="s">
        <v>375</v>
      </c>
      <c r="E779" s="16" t="s">
        <v>157</v>
      </c>
      <c r="F779" s="16" t="s">
        <v>15</v>
      </c>
      <c r="G779" s="17" t="n">
        <v>196540000</v>
      </c>
      <c r="H779" s="17"/>
      <c r="I779" s="14" t="n">
        <f aca="false">I778+G779-H779</f>
        <v>202639150</v>
      </c>
    </row>
    <row r="780" customFormat="false" ht="12" hidden="false" customHeight="true" outlineLevel="1" collapsed="false">
      <c r="B780" s="15" t="n">
        <v>45083</v>
      </c>
      <c r="C780" s="15" t="n">
        <f aca="false">B780</f>
        <v>45083</v>
      </c>
      <c r="D780" s="16" t="s">
        <v>375</v>
      </c>
      <c r="E780" s="16" t="s">
        <v>157</v>
      </c>
      <c r="F780" s="16" t="s">
        <v>15</v>
      </c>
      <c r="G780" s="17" t="n">
        <v>42361000</v>
      </c>
      <c r="H780" s="17"/>
      <c r="I780" s="14" t="n">
        <f aca="false">I779+G780-H780</f>
        <v>245000150</v>
      </c>
    </row>
    <row r="781" customFormat="false" ht="12" hidden="false" customHeight="true" outlineLevel="1" collapsed="false">
      <c r="B781" s="15" t="n">
        <v>45083</v>
      </c>
      <c r="C781" s="15" t="n">
        <f aca="false">B781</f>
        <v>45083</v>
      </c>
      <c r="D781" s="16" t="s">
        <v>375</v>
      </c>
      <c r="E781" s="16" t="s">
        <v>157</v>
      </c>
      <c r="F781" s="16" t="s">
        <v>15</v>
      </c>
      <c r="G781" s="17" t="n">
        <v>16945000</v>
      </c>
      <c r="H781" s="17"/>
      <c r="I781" s="14" t="n">
        <f aca="false">I780+G781-H781</f>
        <v>261945150</v>
      </c>
    </row>
    <row r="782" customFormat="false" ht="12" hidden="false" customHeight="true" outlineLevel="1" collapsed="false">
      <c r="B782" s="15" t="n">
        <v>45083</v>
      </c>
      <c r="C782" s="15" t="n">
        <f aca="false">B782</f>
        <v>45083</v>
      </c>
      <c r="D782" s="16" t="s">
        <v>376</v>
      </c>
      <c r="E782" s="16" t="s">
        <v>23</v>
      </c>
      <c r="F782" s="16" t="s">
        <v>24</v>
      </c>
      <c r="G782" s="17"/>
      <c r="H782" s="17" t="n">
        <v>250000000</v>
      </c>
      <c r="I782" s="14" t="n">
        <f aca="false">I781+G782-H782</f>
        <v>11945150</v>
      </c>
    </row>
    <row r="783" customFormat="false" ht="12" hidden="false" customHeight="true" outlineLevel="1" collapsed="false">
      <c r="B783" s="15" t="n">
        <v>45084</v>
      </c>
      <c r="C783" s="15" t="n">
        <f aca="false">B783</f>
        <v>45084</v>
      </c>
      <c r="D783" s="16" t="s">
        <v>375</v>
      </c>
      <c r="E783" s="16" t="s">
        <v>157</v>
      </c>
      <c r="F783" s="16" t="s">
        <v>15</v>
      </c>
      <c r="G783" s="17" t="n">
        <v>102285000</v>
      </c>
      <c r="H783" s="17"/>
      <c r="I783" s="14" t="n">
        <f aca="false">I782+G783-H783</f>
        <v>114230150</v>
      </c>
    </row>
    <row r="784" customFormat="false" ht="12" hidden="false" customHeight="true" outlineLevel="1" collapsed="false">
      <c r="B784" s="15" t="n">
        <v>45084</v>
      </c>
      <c r="C784" s="15" t="n">
        <f aca="false">B784</f>
        <v>45084</v>
      </c>
      <c r="D784" s="16" t="s">
        <v>375</v>
      </c>
      <c r="E784" s="16" t="s">
        <v>157</v>
      </c>
      <c r="F784" s="16" t="s">
        <v>15</v>
      </c>
      <c r="G784" s="17" t="n">
        <v>27522000</v>
      </c>
      <c r="H784" s="17"/>
      <c r="I784" s="14" t="n">
        <f aca="false">I783+G784-H784</f>
        <v>141752150</v>
      </c>
    </row>
    <row r="785" customFormat="false" ht="12" hidden="false" customHeight="true" outlineLevel="1" collapsed="false">
      <c r="B785" s="15" t="n">
        <v>45084</v>
      </c>
      <c r="C785" s="15" t="n">
        <f aca="false">B785</f>
        <v>45084</v>
      </c>
      <c r="D785" s="16" t="s">
        <v>376</v>
      </c>
      <c r="E785" s="16" t="s">
        <v>23</v>
      </c>
      <c r="F785" s="16" t="s">
        <v>24</v>
      </c>
      <c r="G785" s="17"/>
      <c r="H785" s="17" t="n">
        <v>130000000</v>
      </c>
      <c r="I785" s="14" t="n">
        <f aca="false">I784+G785-H785</f>
        <v>11752150</v>
      </c>
    </row>
    <row r="786" customFormat="false" ht="12" hidden="false" customHeight="true" outlineLevel="1" collapsed="false">
      <c r="B786" s="15" t="n">
        <v>45085</v>
      </c>
      <c r="C786" s="15" t="n">
        <f aca="false">B786</f>
        <v>45085</v>
      </c>
      <c r="D786" s="16" t="s">
        <v>375</v>
      </c>
      <c r="E786" s="16" t="s">
        <v>157</v>
      </c>
      <c r="F786" s="16" t="s">
        <v>15</v>
      </c>
      <c r="G786" s="17" t="n">
        <v>100000000</v>
      </c>
      <c r="H786" s="17"/>
      <c r="I786" s="14" t="n">
        <f aca="false">I785+G786-H786</f>
        <v>111752150</v>
      </c>
    </row>
    <row r="787" customFormat="false" ht="12" hidden="false" customHeight="true" outlineLevel="1" collapsed="false">
      <c r="B787" s="15" t="n">
        <v>45085</v>
      </c>
      <c r="C787" s="15" t="n">
        <f aca="false">B787</f>
        <v>45085</v>
      </c>
      <c r="D787" s="16" t="s">
        <v>375</v>
      </c>
      <c r="E787" s="16" t="s">
        <v>157</v>
      </c>
      <c r="F787" s="16" t="s">
        <v>15</v>
      </c>
      <c r="G787" s="17" t="n">
        <v>47676000</v>
      </c>
      <c r="H787" s="17"/>
      <c r="I787" s="14" t="n">
        <f aca="false">I786+G787-H787</f>
        <v>159428150</v>
      </c>
    </row>
    <row r="788" customFormat="false" ht="12" hidden="false" customHeight="true" outlineLevel="1" collapsed="false">
      <c r="B788" s="15" t="n">
        <v>45085</v>
      </c>
      <c r="C788" s="15" t="n">
        <f aca="false">B788</f>
        <v>45085</v>
      </c>
      <c r="D788" s="16" t="s">
        <v>375</v>
      </c>
      <c r="E788" s="16" t="s">
        <v>157</v>
      </c>
      <c r="F788" s="16" t="s">
        <v>15</v>
      </c>
      <c r="G788" s="17" t="n">
        <v>55304000</v>
      </c>
      <c r="H788" s="17"/>
      <c r="I788" s="14" t="n">
        <f aca="false">I787+G788-H788</f>
        <v>214732150</v>
      </c>
    </row>
    <row r="789" customFormat="false" ht="12" hidden="false" customHeight="true" outlineLevel="1" collapsed="false">
      <c r="B789" s="15" t="n">
        <v>45085</v>
      </c>
      <c r="C789" s="15" t="n">
        <f aca="false">B789</f>
        <v>45085</v>
      </c>
      <c r="D789" s="16" t="s">
        <v>375</v>
      </c>
      <c r="E789" s="16" t="s">
        <v>157</v>
      </c>
      <c r="F789" s="16" t="s">
        <v>15</v>
      </c>
      <c r="G789" s="17" t="n">
        <v>98325000</v>
      </c>
      <c r="H789" s="17"/>
      <c r="I789" s="14" t="n">
        <f aca="false">I788+G789-H789</f>
        <v>313057150</v>
      </c>
    </row>
    <row r="790" customFormat="false" ht="12" hidden="false" customHeight="true" outlineLevel="1" collapsed="false">
      <c r="B790" s="15" t="n">
        <v>45085</v>
      </c>
      <c r="C790" s="15" t="n">
        <f aca="false">B790</f>
        <v>45085</v>
      </c>
      <c r="D790" s="16" t="s">
        <v>376</v>
      </c>
      <c r="E790" s="16" t="s">
        <v>23</v>
      </c>
      <c r="F790" s="16" t="s">
        <v>24</v>
      </c>
      <c r="G790" s="17"/>
      <c r="H790" s="17" t="n">
        <v>194266237</v>
      </c>
      <c r="I790" s="14" t="n">
        <f aca="false">I789+G790-H790</f>
        <v>118790913</v>
      </c>
    </row>
    <row r="791" customFormat="false" ht="12" hidden="false" customHeight="true" outlineLevel="1" collapsed="false">
      <c r="B791" s="15" t="n">
        <v>45085</v>
      </c>
      <c r="C791" s="15" t="n">
        <f aca="false">B791</f>
        <v>45085</v>
      </c>
      <c r="D791" s="16" t="s">
        <v>376</v>
      </c>
      <c r="E791" s="16" t="s">
        <v>23</v>
      </c>
      <c r="F791" s="16" t="s">
        <v>24</v>
      </c>
      <c r="G791" s="23"/>
      <c r="H791" s="23" t="n">
        <v>110733763</v>
      </c>
      <c r="I791" s="14" t="n">
        <f aca="false">I790+G791-H791</f>
        <v>8057150</v>
      </c>
    </row>
    <row r="792" customFormat="false" ht="12" hidden="false" customHeight="true" outlineLevel="1" collapsed="false">
      <c r="B792" s="15" t="n">
        <v>45085</v>
      </c>
      <c r="C792" s="15" t="n">
        <f aca="false">B792</f>
        <v>45085</v>
      </c>
      <c r="D792" s="16" t="s">
        <v>376</v>
      </c>
      <c r="E792" s="16" t="s">
        <v>57</v>
      </c>
      <c r="F792" s="16" t="n">
        <v>635</v>
      </c>
      <c r="G792" s="17"/>
      <c r="H792" s="17" t="n">
        <v>3182519</v>
      </c>
      <c r="I792" s="14" t="n">
        <f aca="false">I791+G792-H792</f>
        <v>4874631</v>
      </c>
    </row>
    <row r="793" customFormat="false" ht="12" hidden="false" customHeight="true" outlineLevel="1" collapsed="false">
      <c r="B793" s="15" t="n">
        <v>45086</v>
      </c>
      <c r="C793" s="15" t="n">
        <f aca="false">B793</f>
        <v>45086</v>
      </c>
      <c r="D793" s="16" t="s">
        <v>375</v>
      </c>
      <c r="E793" s="16" t="s">
        <v>157</v>
      </c>
      <c r="F793" s="16" t="s">
        <v>15</v>
      </c>
      <c r="G793" s="17" t="n">
        <v>52618000</v>
      </c>
      <c r="H793" s="17"/>
      <c r="I793" s="14" t="n">
        <f aca="false">I792+G793-H793</f>
        <v>57492631</v>
      </c>
    </row>
    <row r="794" customFormat="false" ht="12" hidden="false" customHeight="true" outlineLevel="1" collapsed="false">
      <c r="B794" s="15" t="n">
        <v>45086</v>
      </c>
      <c r="C794" s="15" t="n">
        <f aca="false">B794</f>
        <v>45086</v>
      </c>
      <c r="D794" s="16" t="s">
        <v>375</v>
      </c>
      <c r="E794" s="16" t="s">
        <v>157</v>
      </c>
      <c r="F794" s="16" t="s">
        <v>15</v>
      </c>
      <c r="G794" s="17" t="n">
        <v>75127000</v>
      </c>
      <c r="H794" s="17"/>
      <c r="I794" s="14" t="n">
        <f aca="false">I793+G794-H794</f>
        <v>132619631</v>
      </c>
    </row>
    <row r="795" customFormat="false" ht="12" hidden="false" customHeight="true" outlineLevel="1" collapsed="false">
      <c r="B795" s="15" t="n">
        <v>45086</v>
      </c>
      <c r="C795" s="15" t="n">
        <f aca="false">B795</f>
        <v>45086</v>
      </c>
      <c r="D795" s="16" t="s">
        <v>375</v>
      </c>
      <c r="E795" s="16" t="s">
        <v>157</v>
      </c>
      <c r="F795" s="16" t="s">
        <v>15</v>
      </c>
      <c r="G795" s="17" t="n">
        <v>37377000</v>
      </c>
      <c r="H795" s="17"/>
      <c r="I795" s="14" t="n">
        <f aca="false">I794+G795-H795</f>
        <v>169996631</v>
      </c>
    </row>
    <row r="796" customFormat="false" ht="12" hidden="false" customHeight="true" outlineLevel="1" collapsed="false">
      <c r="B796" s="15" t="n">
        <v>45086</v>
      </c>
      <c r="C796" s="15" t="n">
        <f aca="false">B796</f>
        <v>45086</v>
      </c>
      <c r="D796" s="16" t="s">
        <v>376</v>
      </c>
      <c r="E796" s="16" t="s">
        <v>23</v>
      </c>
      <c r="F796" s="16" t="s">
        <v>24</v>
      </c>
      <c r="G796" s="17"/>
      <c r="H796" s="17" t="n">
        <v>165000000</v>
      </c>
      <c r="I796" s="14" t="n">
        <f aca="false">I795+G796-H796</f>
        <v>4996631</v>
      </c>
    </row>
    <row r="797" customFormat="false" ht="12" hidden="false" customHeight="true" outlineLevel="1" collapsed="false">
      <c r="B797" s="15" t="n">
        <v>45087</v>
      </c>
      <c r="C797" s="15" t="n">
        <f aca="false">B797</f>
        <v>45087</v>
      </c>
      <c r="D797" s="16" t="s">
        <v>376</v>
      </c>
      <c r="E797" s="16" t="s">
        <v>36</v>
      </c>
      <c r="F797" s="16" t="n">
        <v>635</v>
      </c>
      <c r="G797" s="17"/>
      <c r="H797" s="17" t="n">
        <v>55000</v>
      </c>
      <c r="I797" s="14" t="n">
        <f aca="false">I796+G797-H797</f>
        <v>4941631</v>
      </c>
    </row>
    <row r="798" customFormat="false" ht="12" hidden="false" customHeight="true" outlineLevel="1" collapsed="false">
      <c r="B798" s="15" t="n">
        <v>45089</v>
      </c>
      <c r="C798" s="15" t="n">
        <f aca="false">B798</f>
        <v>45089</v>
      </c>
      <c r="D798" s="16" t="s">
        <v>375</v>
      </c>
      <c r="E798" s="16" t="s">
        <v>157</v>
      </c>
      <c r="F798" s="16" t="s">
        <v>15</v>
      </c>
      <c r="G798" s="17" t="n">
        <v>52891000</v>
      </c>
      <c r="H798" s="17"/>
      <c r="I798" s="14" t="n">
        <f aca="false">I797+G798-H798</f>
        <v>57832631</v>
      </c>
    </row>
    <row r="799" customFormat="false" ht="12" hidden="false" customHeight="true" outlineLevel="1" collapsed="false">
      <c r="B799" s="15" t="n">
        <v>45089</v>
      </c>
      <c r="C799" s="15" t="n">
        <f aca="false">B799</f>
        <v>45089</v>
      </c>
      <c r="D799" s="16" t="s">
        <v>375</v>
      </c>
      <c r="E799" s="16" t="s">
        <v>157</v>
      </c>
      <c r="F799" s="16" t="s">
        <v>15</v>
      </c>
      <c r="G799" s="17" t="n">
        <v>93802000</v>
      </c>
      <c r="H799" s="17"/>
      <c r="I799" s="14" t="n">
        <f aca="false">I798+G799-H799</f>
        <v>151634631</v>
      </c>
    </row>
    <row r="800" customFormat="false" ht="12" hidden="false" customHeight="true" outlineLevel="1" collapsed="false">
      <c r="B800" s="15" t="n">
        <v>45089</v>
      </c>
      <c r="C800" s="15" t="n">
        <f aca="false">B800</f>
        <v>45089</v>
      </c>
      <c r="D800" s="16" t="s">
        <v>375</v>
      </c>
      <c r="E800" s="16" t="s">
        <v>157</v>
      </c>
      <c r="F800" s="16" t="s">
        <v>15</v>
      </c>
      <c r="G800" s="17" t="n">
        <v>163887000</v>
      </c>
      <c r="H800" s="17"/>
      <c r="I800" s="14" t="n">
        <f aca="false">I799+G800-H800</f>
        <v>315521631</v>
      </c>
    </row>
    <row r="801" customFormat="false" ht="12" hidden="false" customHeight="true" outlineLevel="1" collapsed="false">
      <c r="B801" s="15" t="n">
        <v>45089</v>
      </c>
      <c r="C801" s="15" t="n">
        <f aca="false">B801</f>
        <v>45089</v>
      </c>
      <c r="D801" s="16" t="s">
        <v>375</v>
      </c>
      <c r="E801" s="16" t="s">
        <v>157</v>
      </c>
      <c r="F801" s="16" t="s">
        <v>15</v>
      </c>
      <c r="G801" s="17" t="n">
        <v>73876000</v>
      </c>
      <c r="H801" s="17"/>
      <c r="I801" s="14" t="n">
        <f aca="false">I800+G801-H801</f>
        <v>389397631</v>
      </c>
    </row>
    <row r="802" customFormat="false" ht="12" hidden="false" customHeight="true" outlineLevel="1" collapsed="false">
      <c r="B802" s="15" t="n">
        <v>45089</v>
      </c>
      <c r="C802" s="15" t="n">
        <f aca="false">B802</f>
        <v>45089</v>
      </c>
      <c r="D802" s="16" t="s">
        <v>375</v>
      </c>
      <c r="E802" s="16" t="s">
        <v>157</v>
      </c>
      <c r="F802" s="16" t="s">
        <v>15</v>
      </c>
      <c r="G802" s="17" t="n">
        <v>45543000</v>
      </c>
      <c r="H802" s="17"/>
      <c r="I802" s="14" t="n">
        <f aca="false">I801+G802-H802</f>
        <v>434940631</v>
      </c>
    </row>
    <row r="803" customFormat="false" ht="12" hidden="false" customHeight="true" outlineLevel="1" collapsed="false">
      <c r="B803" s="15" t="n">
        <v>45089</v>
      </c>
      <c r="C803" s="15" t="n">
        <f aca="false">B803</f>
        <v>45089</v>
      </c>
      <c r="D803" s="16" t="s">
        <v>375</v>
      </c>
      <c r="E803" s="16" t="s">
        <v>157</v>
      </c>
      <c r="F803" s="16" t="s">
        <v>15</v>
      </c>
      <c r="G803" s="17" t="n">
        <v>192628000</v>
      </c>
      <c r="H803" s="17"/>
      <c r="I803" s="14" t="n">
        <f aca="false">I802+G803-H803</f>
        <v>627568631</v>
      </c>
    </row>
    <row r="804" customFormat="false" ht="12" hidden="false" customHeight="true" outlineLevel="1" collapsed="false">
      <c r="B804" s="15" t="n">
        <v>45089</v>
      </c>
      <c r="C804" s="15" t="n">
        <f aca="false">B804</f>
        <v>45089</v>
      </c>
      <c r="D804" s="16" t="s">
        <v>376</v>
      </c>
      <c r="E804" s="16" t="s">
        <v>440</v>
      </c>
      <c r="F804" s="16" t="s">
        <v>179</v>
      </c>
      <c r="G804" s="17"/>
      <c r="H804" s="17" t="n">
        <v>260666381</v>
      </c>
      <c r="I804" s="14" t="n">
        <f aca="false">I803+G804-H804</f>
        <v>366902250</v>
      </c>
    </row>
    <row r="805" customFormat="false" ht="12" hidden="false" customHeight="true" outlineLevel="1" collapsed="false">
      <c r="B805" s="15" t="n">
        <v>45089</v>
      </c>
      <c r="C805" s="15" t="n">
        <f aca="false">B805</f>
        <v>45089</v>
      </c>
      <c r="D805" s="16" t="s">
        <v>376</v>
      </c>
      <c r="E805" s="16" t="s">
        <v>23</v>
      </c>
      <c r="F805" s="16" t="s">
        <v>24</v>
      </c>
      <c r="G805" s="17"/>
      <c r="H805" s="17" t="n">
        <v>108463730</v>
      </c>
      <c r="I805" s="14" t="n">
        <f aca="false">I804+G805-H805</f>
        <v>258438520</v>
      </c>
    </row>
    <row r="806" customFormat="false" ht="12" hidden="false" customHeight="true" outlineLevel="1" collapsed="false">
      <c r="B806" s="15" t="n">
        <v>45089</v>
      </c>
      <c r="C806" s="15" t="n">
        <f aca="false">B806</f>
        <v>45089</v>
      </c>
      <c r="D806" s="16" t="s">
        <v>376</v>
      </c>
      <c r="E806" s="16" t="s">
        <v>23</v>
      </c>
      <c r="F806" s="16" t="s">
        <v>24</v>
      </c>
      <c r="G806" s="17"/>
      <c r="H806" s="17" t="n">
        <v>207518400</v>
      </c>
      <c r="I806" s="14" t="n">
        <f aca="false">I805+G806-H806</f>
        <v>50920120</v>
      </c>
    </row>
    <row r="807" customFormat="false" ht="12" hidden="false" customHeight="true" outlineLevel="1" collapsed="false">
      <c r="B807" s="15" t="n">
        <v>45089</v>
      </c>
      <c r="C807" s="15" t="n">
        <f aca="false">B807</f>
        <v>45089</v>
      </c>
      <c r="D807" s="16" t="s">
        <v>376</v>
      </c>
      <c r="E807" s="16" t="s">
        <v>23</v>
      </c>
      <c r="F807" s="16" t="s">
        <v>24</v>
      </c>
      <c r="G807" s="17"/>
      <c r="H807" s="17" t="n">
        <v>6133616</v>
      </c>
      <c r="I807" s="14" t="n">
        <f aca="false">I806+G807-H807</f>
        <v>44786504</v>
      </c>
    </row>
    <row r="808" customFormat="false" ht="12" hidden="false" customHeight="true" outlineLevel="1" collapsed="false">
      <c r="B808" s="15" t="n">
        <v>45090</v>
      </c>
      <c r="C808" s="15" t="n">
        <f aca="false">B808</f>
        <v>45090</v>
      </c>
      <c r="D808" s="16" t="s">
        <v>375</v>
      </c>
      <c r="E808" s="16" t="s">
        <v>157</v>
      </c>
      <c r="F808" s="16" t="s">
        <v>15</v>
      </c>
      <c r="G808" s="17" t="n">
        <v>72957000</v>
      </c>
      <c r="H808" s="17"/>
      <c r="I808" s="14" t="n">
        <f aca="false">I807+G808-H808</f>
        <v>117743504</v>
      </c>
    </row>
    <row r="809" customFormat="false" ht="12" hidden="false" customHeight="true" outlineLevel="1" collapsed="false">
      <c r="B809" s="15" t="n">
        <v>45090</v>
      </c>
      <c r="C809" s="15" t="n">
        <f aca="false">B809</f>
        <v>45090</v>
      </c>
      <c r="D809" s="16" t="s">
        <v>375</v>
      </c>
      <c r="E809" s="16" t="s">
        <v>157</v>
      </c>
      <c r="F809" s="16" t="s">
        <v>15</v>
      </c>
      <c r="G809" s="17" t="n">
        <v>13000000</v>
      </c>
      <c r="H809" s="17"/>
      <c r="I809" s="14" t="n">
        <f aca="false">I808+G809-H809</f>
        <v>130743504</v>
      </c>
    </row>
    <row r="810" customFormat="false" ht="12" hidden="false" customHeight="true" outlineLevel="1" collapsed="false">
      <c r="B810" s="15" t="n">
        <v>45090</v>
      </c>
      <c r="C810" s="15" t="n">
        <f aca="false">B810</f>
        <v>45090</v>
      </c>
      <c r="D810" s="16" t="s">
        <v>376</v>
      </c>
      <c r="E810" s="16" t="s">
        <v>23</v>
      </c>
      <c r="F810" s="16" t="s">
        <v>24</v>
      </c>
      <c r="G810" s="17"/>
      <c r="H810" s="17" t="n">
        <v>125000000</v>
      </c>
      <c r="I810" s="14" t="n">
        <f aca="false">I809+G810-H810</f>
        <v>5743504</v>
      </c>
    </row>
    <row r="811" customFormat="false" ht="12" hidden="false" customHeight="true" outlineLevel="1" collapsed="false">
      <c r="B811" s="15" t="n">
        <v>45091</v>
      </c>
      <c r="C811" s="15" t="n">
        <f aca="false">B811</f>
        <v>45091</v>
      </c>
      <c r="D811" s="16" t="s">
        <v>375</v>
      </c>
      <c r="E811" s="16" t="s">
        <v>157</v>
      </c>
      <c r="F811" s="16" t="s">
        <v>15</v>
      </c>
      <c r="G811" s="17" t="n">
        <v>60049000</v>
      </c>
      <c r="H811" s="17"/>
      <c r="I811" s="14" t="n">
        <f aca="false">I810+G811-H811</f>
        <v>65792504</v>
      </c>
    </row>
    <row r="812" customFormat="false" ht="12" hidden="false" customHeight="true" outlineLevel="1" collapsed="false">
      <c r="B812" s="15" t="n">
        <v>45091</v>
      </c>
      <c r="C812" s="15" t="n">
        <f aca="false">B812</f>
        <v>45091</v>
      </c>
      <c r="D812" s="16" t="s">
        <v>375</v>
      </c>
      <c r="E812" s="16" t="s">
        <v>157</v>
      </c>
      <c r="F812" s="16" t="s">
        <v>15</v>
      </c>
      <c r="G812" s="17" t="n">
        <v>204450000</v>
      </c>
      <c r="H812" s="17"/>
      <c r="I812" s="14" t="n">
        <f aca="false">I811+G812-H812</f>
        <v>270242504</v>
      </c>
    </row>
    <row r="813" customFormat="false" ht="12" hidden="false" customHeight="true" outlineLevel="1" collapsed="false">
      <c r="B813" s="15" t="n">
        <v>45091</v>
      </c>
      <c r="C813" s="15" t="n">
        <f aca="false">B813</f>
        <v>45091</v>
      </c>
      <c r="D813" s="16" t="s">
        <v>375</v>
      </c>
      <c r="E813" s="16" t="s">
        <v>157</v>
      </c>
      <c r="F813" s="16" t="s">
        <v>15</v>
      </c>
      <c r="G813" s="17" t="n">
        <v>49851000</v>
      </c>
      <c r="H813" s="17"/>
      <c r="I813" s="14" t="n">
        <f aca="false">I812+G813-H813</f>
        <v>320093504</v>
      </c>
    </row>
    <row r="814" customFormat="false" ht="12" hidden="false" customHeight="true" outlineLevel="1" collapsed="false">
      <c r="B814" s="15" t="n">
        <v>45091</v>
      </c>
      <c r="C814" s="15" t="n">
        <f aca="false">B814</f>
        <v>45091</v>
      </c>
      <c r="D814" s="16" t="s">
        <v>376</v>
      </c>
      <c r="E814" s="16" t="s">
        <v>23</v>
      </c>
      <c r="F814" s="16" t="s">
        <v>24</v>
      </c>
      <c r="G814" s="17"/>
      <c r="H814" s="17" t="n">
        <v>82283014</v>
      </c>
      <c r="I814" s="14" t="n">
        <f aca="false">I813+G814-H814</f>
        <v>237810490</v>
      </c>
    </row>
    <row r="815" customFormat="false" ht="12" hidden="false" customHeight="true" outlineLevel="1" collapsed="false">
      <c r="B815" s="15" t="n">
        <v>45091</v>
      </c>
      <c r="C815" s="15" t="n">
        <f aca="false">B815</f>
        <v>45091</v>
      </c>
      <c r="D815" s="16" t="s">
        <v>376</v>
      </c>
      <c r="E815" s="16" t="s">
        <v>23</v>
      </c>
      <c r="F815" s="16" t="s">
        <v>24</v>
      </c>
      <c r="G815" s="17"/>
      <c r="H815" s="17" t="n">
        <v>231716986</v>
      </c>
      <c r="I815" s="14" t="n">
        <f aca="false">I814+G815-H815</f>
        <v>6093504</v>
      </c>
    </row>
    <row r="816" customFormat="false" ht="12" hidden="false" customHeight="true" outlineLevel="1" collapsed="false">
      <c r="B816" s="15" t="n">
        <v>45091</v>
      </c>
      <c r="C816" s="15" t="n">
        <f aca="false">B816</f>
        <v>45091</v>
      </c>
      <c r="D816" s="16" t="s">
        <v>376</v>
      </c>
      <c r="E816" s="16" t="s">
        <v>36</v>
      </c>
      <c r="F816" s="16" t="n">
        <v>635</v>
      </c>
      <c r="G816" s="17"/>
      <c r="H816" s="17" t="n">
        <v>912329</v>
      </c>
      <c r="I816" s="14" t="n">
        <f aca="false">I815+G816-H816</f>
        <v>5181175</v>
      </c>
    </row>
    <row r="817" customFormat="false" ht="12" hidden="false" customHeight="true" outlineLevel="1" collapsed="false">
      <c r="B817" s="15" t="n">
        <v>45092</v>
      </c>
      <c r="C817" s="15" t="n">
        <f aca="false">B817</f>
        <v>45092</v>
      </c>
      <c r="D817" s="16" t="s">
        <v>375</v>
      </c>
      <c r="E817" s="16" t="s">
        <v>157</v>
      </c>
      <c r="F817" s="16" t="s">
        <v>15</v>
      </c>
      <c r="G817" s="17" t="n">
        <v>40713400</v>
      </c>
      <c r="H817" s="17"/>
      <c r="I817" s="14" t="n">
        <f aca="false">I816+G817-H817</f>
        <v>45894575</v>
      </c>
    </row>
    <row r="818" customFormat="false" ht="12" hidden="false" customHeight="true" outlineLevel="1" collapsed="false">
      <c r="B818" s="15" t="n">
        <v>45092</v>
      </c>
      <c r="C818" s="15" t="n">
        <f aca="false">B818</f>
        <v>45092</v>
      </c>
      <c r="D818" s="16" t="s">
        <v>375</v>
      </c>
      <c r="E818" s="16" t="s">
        <v>157</v>
      </c>
      <c r="F818" s="16" t="s">
        <v>15</v>
      </c>
      <c r="G818" s="17" t="n">
        <v>47221000</v>
      </c>
      <c r="H818" s="17"/>
      <c r="I818" s="14" t="n">
        <f aca="false">I817+G818-H818</f>
        <v>93115575</v>
      </c>
    </row>
    <row r="819" customFormat="false" ht="12" hidden="false" customHeight="true" outlineLevel="1" collapsed="false">
      <c r="B819" s="15" t="n">
        <v>45092</v>
      </c>
      <c r="C819" s="15" t="n">
        <f aca="false">B819</f>
        <v>45092</v>
      </c>
      <c r="D819" s="16" t="s">
        <v>375</v>
      </c>
      <c r="E819" s="16" t="s">
        <v>157</v>
      </c>
      <c r="F819" s="16" t="s">
        <v>15</v>
      </c>
      <c r="G819" s="17" t="n">
        <v>110724000</v>
      </c>
      <c r="H819" s="17"/>
      <c r="I819" s="14" t="n">
        <f aca="false">I818+G819-H819</f>
        <v>203839575</v>
      </c>
    </row>
    <row r="820" customFormat="false" ht="12" hidden="false" customHeight="true" outlineLevel="1" collapsed="false">
      <c r="B820" s="15" t="n">
        <v>45092</v>
      </c>
      <c r="C820" s="15" t="n">
        <f aca="false">B820</f>
        <v>45092</v>
      </c>
      <c r="D820" s="16" t="s">
        <v>375</v>
      </c>
      <c r="E820" s="16" t="s">
        <v>157</v>
      </c>
      <c r="F820" s="16" t="s">
        <v>15</v>
      </c>
      <c r="G820" s="17" t="n">
        <v>172363000</v>
      </c>
      <c r="H820" s="17"/>
      <c r="I820" s="14" t="n">
        <f aca="false">I819+G820-H820</f>
        <v>376202575</v>
      </c>
    </row>
    <row r="821" customFormat="false" ht="12" hidden="false" customHeight="true" outlineLevel="1" collapsed="false">
      <c r="B821" s="15" t="n">
        <v>45092</v>
      </c>
      <c r="C821" s="15" t="n">
        <f aca="false">B821</f>
        <v>45092</v>
      </c>
      <c r="D821" s="16" t="s">
        <v>375</v>
      </c>
      <c r="E821" s="16" t="s">
        <v>157</v>
      </c>
      <c r="F821" s="16" t="s">
        <v>15</v>
      </c>
      <c r="G821" s="17" t="n">
        <v>60000000</v>
      </c>
      <c r="H821" s="17"/>
      <c r="I821" s="14" t="n">
        <f aca="false">I820+G821-H821</f>
        <v>436202575</v>
      </c>
    </row>
    <row r="822" customFormat="false" ht="12" hidden="false" customHeight="true" outlineLevel="1" collapsed="false">
      <c r="B822" s="15" t="n">
        <v>45092</v>
      </c>
      <c r="C822" s="15" t="n">
        <f aca="false">B822</f>
        <v>45092</v>
      </c>
      <c r="D822" s="16" t="s">
        <v>375</v>
      </c>
      <c r="E822" s="16" t="s">
        <v>157</v>
      </c>
      <c r="F822" s="16" t="s">
        <v>15</v>
      </c>
      <c r="G822" s="17" t="n">
        <v>90000000</v>
      </c>
      <c r="H822" s="17"/>
      <c r="I822" s="14" t="n">
        <f aca="false">I821+G822-H822</f>
        <v>526202575</v>
      </c>
    </row>
    <row r="823" customFormat="false" ht="12" hidden="false" customHeight="true" outlineLevel="1" collapsed="false">
      <c r="B823" s="15" t="n">
        <v>45092</v>
      </c>
      <c r="C823" s="15" t="n">
        <f aca="false">B823</f>
        <v>45092</v>
      </c>
      <c r="D823" s="16" t="s">
        <v>376</v>
      </c>
      <c r="E823" s="16" t="s">
        <v>23</v>
      </c>
      <c r="F823" s="16" t="s">
        <v>24</v>
      </c>
      <c r="G823" s="17"/>
      <c r="H823" s="17" t="n">
        <v>420000000</v>
      </c>
      <c r="I823" s="14" t="n">
        <f aca="false">I822+G823-H823</f>
        <v>106202575</v>
      </c>
    </row>
    <row r="824" customFormat="false" ht="12" hidden="false" customHeight="true" outlineLevel="1" collapsed="false">
      <c r="B824" s="15" t="n">
        <v>45093</v>
      </c>
      <c r="C824" s="15" t="n">
        <f aca="false">B824</f>
        <v>45093</v>
      </c>
      <c r="D824" s="16" t="s">
        <v>375</v>
      </c>
      <c r="E824" s="16" t="s">
        <v>157</v>
      </c>
      <c r="F824" s="16" t="s">
        <v>15</v>
      </c>
      <c r="G824" s="17" t="n">
        <v>45733000</v>
      </c>
      <c r="H824" s="17"/>
      <c r="I824" s="14" t="n">
        <f aca="false">I823+G824-H824</f>
        <v>151935575</v>
      </c>
    </row>
    <row r="825" customFormat="false" ht="12" hidden="false" customHeight="true" outlineLevel="1" collapsed="false">
      <c r="B825" s="15" t="n">
        <v>45093</v>
      </c>
      <c r="C825" s="15" t="n">
        <f aca="false">B825</f>
        <v>45093</v>
      </c>
      <c r="D825" s="16" t="s">
        <v>375</v>
      </c>
      <c r="E825" s="16" t="s">
        <v>157</v>
      </c>
      <c r="F825" s="16" t="s">
        <v>15</v>
      </c>
      <c r="G825" s="17" t="n">
        <v>40896000</v>
      </c>
      <c r="H825" s="17"/>
      <c r="I825" s="14" t="n">
        <f aca="false">I824+G825-H825</f>
        <v>192831575</v>
      </c>
    </row>
    <row r="826" customFormat="false" ht="12" hidden="false" customHeight="true" outlineLevel="1" collapsed="false">
      <c r="B826" s="15" t="n">
        <v>45093</v>
      </c>
      <c r="C826" s="15" t="n">
        <f aca="false">B826</f>
        <v>45093</v>
      </c>
      <c r="D826" s="16" t="s">
        <v>375</v>
      </c>
      <c r="E826" s="16" t="s">
        <v>157</v>
      </c>
      <c r="F826" s="16" t="s">
        <v>15</v>
      </c>
      <c r="G826" s="17" t="n">
        <v>84323000</v>
      </c>
      <c r="H826" s="17"/>
      <c r="I826" s="14" t="n">
        <f aca="false">I825+G826-H826</f>
        <v>277154575</v>
      </c>
    </row>
    <row r="827" customFormat="false" ht="12" hidden="false" customHeight="true" outlineLevel="1" collapsed="false">
      <c r="B827" s="15" t="n">
        <v>45093</v>
      </c>
      <c r="C827" s="15" t="n">
        <f aca="false">B827</f>
        <v>45093</v>
      </c>
      <c r="D827" s="16" t="s">
        <v>376</v>
      </c>
      <c r="E827" s="16" t="s">
        <v>23</v>
      </c>
      <c r="F827" s="16" t="s">
        <v>24</v>
      </c>
      <c r="G827" s="17"/>
      <c r="H827" s="17" t="n">
        <v>170000000</v>
      </c>
      <c r="I827" s="14" t="n">
        <f aca="false">I826+G827-H827</f>
        <v>107154575</v>
      </c>
    </row>
    <row r="828" customFormat="false" ht="12" hidden="false" customHeight="true" outlineLevel="1" collapsed="false">
      <c r="B828" s="15" t="n">
        <v>45093</v>
      </c>
      <c r="C828" s="15" t="n">
        <f aca="false">B828</f>
        <v>45093</v>
      </c>
      <c r="D828" s="16" t="s">
        <v>376</v>
      </c>
      <c r="E828" s="16" t="s">
        <v>440</v>
      </c>
      <c r="F828" s="16" t="s">
        <v>179</v>
      </c>
      <c r="G828" s="17"/>
      <c r="H828" s="17" t="n">
        <v>43567311</v>
      </c>
      <c r="I828" s="14" t="n">
        <f aca="false">I827+G828-H828</f>
        <v>63587264</v>
      </c>
    </row>
    <row r="829" customFormat="false" ht="12" hidden="false" customHeight="true" outlineLevel="1" collapsed="false">
      <c r="B829" s="15" t="n">
        <v>45096</v>
      </c>
      <c r="C829" s="15" t="n">
        <f aca="false">B829</f>
        <v>45096</v>
      </c>
      <c r="D829" s="16" t="s">
        <v>375</v>
      </c>
      <c r="E829" s="16" t="s">
        <v>157</v>
      </c>
      <c r="F829" s="16" t="s">
        <v>15</v>
      </c>
      <c r="G829" s="17" t="n">
        <v>191784000</v>
      </c>
      <c r="H829" s="17"/>
      <c r="I829" s="14" t="n">
        <f aca="false">I828+G829-H829</f>
        <v>255371264</v>
      </c>
    </row>
    <row r="830" customFormat="false" ht="12" hidden="false" customHeight="true" outlineLevel="1" collapsed="false">
      <c r="B830" s="15" t="n">
        <v>45096</v>
      </c>
      <c r="C830" s="15" t="n">
        <f aca="false">B830</f>
        <v>45096</v>
      </c>
      <c r="D830" s="16" t="s">
        <v>375</v>
      </c>
      <c r="E830" s="16" t="s">
        <v>157</v>
      </c>
      <c r="F830" s="16" t="s">
        <v>15</v>
      </c>
      <c r="G830" s="17" t="n">
        <v>64983000</v>
      </c>
      <c r="H830" s="17"/>
      <c r="I830" s="14" t="n">
        <f aca="false">I829+G830-H830</f>
        <v>320354264</v>
      </c>
    </row>
    <row r="831" customFormat="false" ht="12" hidden="false" customHeight="true" outlineLevel="1" collapsed="false">
      <c r="B831" s="15" t="n">
        <v>45096</v>
      </c>
      <c r="C831" s="15" t="n">
        <f aca="false">B831</f>
        <v>45096</v>
      </c>
      <c r="D831" s="16" t="s">
        <v>375</v>
      </c>
      <c r="E831" s="16" t="s">
        <v>157</v>
      </c>
      <c r="F831" s="16" t="s">
        <v>15</v>
      </c>
      <c r="G831" s="17" t="n">
        <v>87108000</v>
      </c>
      <c r="H831" s="17"/>
      <c r="I831" s="14" t="n">
        <f aca="false">I830+G831-H831</f>
        <v>407462264</v>
      </c>
    </row>
    <row r="832" customFormat="false" ht="12" hidden="false" customHeight="true" outlineLevel="1" collapsed="false">
      <c r="B832" s="15" t="n">
        <v>45096</v>
      </c>
      <c r="C832" s="15" t="n">
        <f aca="false">B832</f>
        <v>45096</v>
      </c>
      <c r="D832" s="16" t="s">
        <v>375</v>
      </c>
      <c r="E832" s="16" t="s">
        <v>157</v>
      </c>
      <c r="F832" s="16" t="s">
        <v>15</v>
      </c>
      <c r="G832" s="17" t="n">
        <v>100000000</v>
      </c>
      <c r="H832" s="17"/>
      <c r="I832" s="14" t="n">
        <f aca="false">I831+G832-H832</f>
        <v>507462264</v>
      </c>
    </row>
    <row r="833" customFormat="false" ht="12" hidden="false" customHeight="true" outlineLevel="1" collapsed="false">
      <c r="B833" s="15" t="n">
        <v>45096</v>
      </c>
      <c r="C833" s="15" t="n">
        <f aca="false">B833</f>
        <v>45096</v>
      </c>
      <c r="D833" s="16" t="s">
        <v>375</v>
      </c>
      <c r="E833" s="16" t="s">
        <v>157</v>
      </c>
      <c r="F833" s="16" t="s">
        <v>15</v>
      </c>
      <c r="G833" s="17" t="n">
        <v>44074000</v>
      </c>
      <c r="H833" s="17"/>
      <c r="I833" s="14" t="n">
        <f aca="false">I832+G833-H833</f>
        <v>551536264</v>
      </c>
    </row>
    <row r="834" customFormat="false" ht="12" hidden="false" customHeight="true" outlineLevel="1" collapsed="false">
      <c r="B834" s="15" t="n">
        <v>45096</v>
      </c>
      <c r="C834" s="15" t="n">
        <f aca="false">B834</f>
        <v>45096</v>
      </c>
      <c r="D834" s="16" t="s">
        <v>375</v>
      </c>
      <c r="E834" s="16" t="s">
        <v>157</v>
      </c>
      <c r="F834" s="16" t="s">
        <v>15</v>
      </c>
      <c r="G834" s="17" t="n">
        <v>216081000</v>
      </c>
      <c r="H834" s="17"/>
      <c r="I834" s="14" t="n">
        <f aca="false">I833+G834-H834</f>
        <v>767617264</v>
      </c>
    </row>
    <row r="835" customFormat="false" ht="12" hidden="false" customHeight="true" outlineLevel="1" collapsed="false">
      <c r="B835" s="15" t="n">
        <v>45096</v>
      </c>
      <c r="C835" s="15" t="n">
        <f aca="false">B835</f>
        <v>45096</v>
      </c>
      <c r="D835" s="16" t="s">
        <v>376</v>
      </c>
      <c r="E835" s="16" t="s">
        <v>440</v>
      </c>
      <c r="F835" s="16" t="s">
        <v>179</v>
      </c>
      <c r="G835" s="17"/>
      <c r="H835" s="17" t="n">
        <v>194799254</v>
      </c>
      <c r="I835" s="14" t="n">
        <f aca="false">I834+G835-H835</f>
        <v>572818010</v>
      </c>
    </row>
    <row r="836" customFormat="false" ht="12" hidden="false" customHeight="true" outlineLevel="1" collapsed="false">
      <c r="B836" s="15" t="n">
        <v>45096</v>
      </c>
      <c r="C836" s="15" t="n">
        <f aca="false">B836</f>
        <v>45096</v>
      </c>
      <c r="D836" s="16" t="s">
        <v>376</v>
      </c>
      <c r="E836" s="16" t="s">
        <v>23</v>
      </c>
      <c r="F836" s="16" t="s">
        <v>24</v>
      </c>
      <c r="G836" s="17"/>
      <c r="H836" s="17" t="n">
        <v>565000000</v>
      </c>
      <c r="I836" s="14" t="n">
        <f aca="false">I835+G836-H836</f>
        <v>7818010</v>
      </c>
    </row>
    <row r="837" customFormat="false" ht="12" hidden="false" customHeight="true" outlineLevel="1" collapsed="false">
      <c r="B837" s="15" t="n">
        <v>45097</v>
      </c>
      <c r="C837" s="15" t="n">
        <f aca="false">B837</f>
        <v>45097</v>
      </c>
      <c r="D837" s="16" t="s">
        <v>375</v>
      </c>
      <c r="E837" s="16" t="s">
        <v>157</v>
      </c>
      <c r="F837" s="16" t="s">
        <v>15</v>
      </c>
      <c r="G837" s="17" t="n">
        <v>81071000</v>
      </c>
      <c r="H837" s="17"/>
      <c r="I837" s="14" t="n">
        <f aca="false">I836+G837-H837</f>
        <v>88889010</v>
      </c>
    </row>
    <row r="838" customFormat="false" ht="12" hidden="false" customHeight="true" outlineLevel="1" collapsed="false">
      <c r="B838" s="15" t="n">
        <v>45097</v>
      </c>
      <c r="C838" s="15" t="n">
        <f aca="false">B838</f>
        <v>45097</v>
      </c>
      <c r="D838" s="16" t="s">
        <v>375</v>
      </c>
      <c r="E838" s="16" t="s">
        <v>157</v>
      </c>
      <c r="F838" s="16" t="s">
        <v>15</v>
      </c>
      <c r="G838" s="17" t="n">
        <v>34513000</v>
      </c>
      <c r="H838" s="17"/>
      <c r="I838" s="14" t="n">
        <f aca="false">I837+G838-H838</f>
        <v>123402010</v>
      </c>
    </row>
    <row r="839" customFormat="false" ht="12" hidden="false" customHeight="true" outlineLevel="1" collapsed="false">
      <c r="B839" s="15" t="n">
        <v>45097</v>
      </c>
      <c r="C839" s="15" t="n">
        <f aca="false">B839</f>
        <v>45097</v>
      </c>
      <c r="D839" s="16" t="s">
        <v>375</v>
      </c>
      <c r="E839" s="16" t="s">
        <v>157</v>
      </c>
      <c r="F839" s="16" t="s">
        <v>15</v>
      </c>
      <c r="G839" s="17" t="n">
        <v>70000000</v>
      </c>
      <c r="H839" s="17"/>
      <c r="I839" s="14" t="n">
        <f aca="false">I838+G839-H839</f>
        <v>193402010</v>
      </c>
    </row>
    <row r="840" customFormat="false" ht="12" hidden="false" customHeight="true" outlineLevel="1" collapsed="false">
      <c r="B840" s="15" t="n">
        <v>45097</v>
      </c>
      <c r="C840" s="15" t="n">
        <f aca="false">B840</f>
        <v>45097</v>
      </c>
      <c r="D840" s="16" t="s">
        <v>375</v>
      </c>
      <c r="E840" s="16" t="s">
        <v>157</v>
      </c>
      <c r="F840" s="16" t="s">
        <v>15</v>
      </c>
      <c r="G840" s="17" t="n">
        <v>18000000</v>
      </c>
      <c r="H840" s="17"/>
      <c r="I840" s="14" t="n">
        <f aca="false">I839+G840-H840</f>
        <v>211402010</v>
      </c>
    </row>
    <row r="841" customFormat="false" ht="12" hidden="false" customHeight="true" outlineLevel="1" collapsed="false">
      <c r="B841" s="15" t="n">
        <v>45097</v>
      </c>
      <c r="C841" s="15" t="n">
        <f aca="false">B841</f>
        <v>45097</v>
      </c>
      <c r="D841" s="16" t="s">
        <v>375</v>
      </c>
      <c r="E841" s="16" t="s">
        <v>157</v>
      </c>
      <c r="F841" s="16" t="s">
        <v>15</v>
      </c>
      <c r="G841" s="17" t="n">
        <v>198816000</v>
      </c>
      <c r="H841" s="17"/>
      <c r="I841" s="14" t="n">
        <f aca="false">I840+G841-H841</f>
        <v>410218010</v>
      </c>
    </row>
    <row r="842" customFormat="false" ht="12" hidden="false" customHeight="true" outlineLevel="1" collapsed="false">
      <c r="B842" s="15" t="n">
        <v>45097</v>
      </c>
      <c r="C842" s="15" t="n">
        <f aca="false">B842</f>
        <v>45097</v>
      </c>
      <c r="D842" s="16" t="s">
        <v>376</v>
      </c>
      <c r="E842" s="16" t="s">
        <v>23</v>
      </c>
      <c r="F842" s="16" t="s">
        <v>24</v>
      </c>
      <c r="G842" s="17"/>
      <c r="H842" s="17" t="n">
        <v>405000000</v>
      </c>
      <c r="I842" s="14" t="n">
        <f aca="false">I841+G842-H842</f>
        <v>5218010</v>
      </c>
    </row>
    <row r="843" customFormat="false" ht="12" hidden="false" customHeight="true" outlineLevel="1" collapsed="false">
      <c r="B843" s="15" t="n">
        <v>45097</v>
      </c>
      <c r="C843" s="15" t="n">
        <f aca="false">B843</f>
        <v>45097</v>
      </c>
      <c r="D843" s="16" t="s">
        <v>376</v>
      </c>
      <c r="E843" s="16" t="s">
        <v>36</v>
      </c>
      <c r="F843" s="16" t="n">
        <v>635</v>
      </c>
      <c r="G843" s="17"/>
      <c r="H843" s="17" t="n">
        <v>11000</v>
      </c>
      <c r="I843" s="14" t="n">
        <f aca="false">I842+G843-H843</f>
        <v>5207010</v>
      </c>
    </row>
    <row r="844" customFormat="false" ht="12" hidden="false" customHeight="true" outlineLevel="1" collapsed="false">
      <c r="B844" s="15" t="n">
        <v>45099</v>
      </c>
      <c r="C844" s="15" t="n">
        <f aca="false">B844</f>
        <v>45099</v>
      </c>
      <c r="D844" s="16" t="s">
        <v>375</v>
      </c>
      <c r="E844" s="16" t="s">
        <v>157</v>
      </c>
      <c r="F844" s="16" t="s">
        <v>15</v>
      </c>
      <c r="G844" s="17" t="n">
        <v>67151000</v>
      </c>
      <c r="H844" s="17"/>
      <c r="I844" s="14" t="n">
        <f aca="false">I843+G844-H844</f>
        <v>72358010</v>
      </c>
    </row>
    <row r="845" customFormat="false" ht="12" hidden="false" customHeight="true" outlineLevel="1" collapsed="false">
      <c r="B845" s="15" t="n">
        <v>45099</v>
      </c>
      <c r="C845" s="15" t="n">
        <f aca="false">B845</f>
        <v>45099</v>
      </c>
      <c r="D845" s="16" t="s">
        <v>375</v>
      </c>
      <c r="E845" s="16" t="s">
        <v>157</v>
      </c>
      <c r="F845" s="16" t="s">
        <v>15</v>
      </c>
      <c r="G845" s="17" t="n">
        <v>104002000</v>
      </c>
      <c r="H845" s="17"/>
      <c r="I845" s="14" t="n">
        <f aca="false">I844+G845-H845</f>
        <v>176360010</v>
      </c>
    </row>
    <row r="846" customFormat="false" ht="12" hidden="false" customHeight="true" outlineLevel="1" collapsed="false">
      <c r="B846" s="15" t="n">
        <v>45099</v>
      </c>
      <c r="C846" s="15" t="n">
        <f aca="false">B846</f>
        <v>45099</v>
      </c>
      <c r="D846" s="16" t="s">
        <v>375</v>
      </c>
      <c r="E846" s="16" t="s">
        <v>157</v>
      </c>
      <c r="F846" s="16" t="s">
        <v>15</v>
      </c>
      <c r="G846" s="17" t="n">
        <v>159961000</v>
      </c>
      <c r="H846" s="17"/>
      <c r="I846" s="14" t="n">
        <f aca="false">I845+G846-H846</f>
        <v>336321010</v>
      </c>
    </row>
    <row r="847" customFormat="false" ht="12" hidden="false" customHeight="true" outlineLevel="1" collapsed="false">
      <c r="B847" s="15" t="n">
        <v>45099</v>
      </c>
      <c r="C847" s="15" t="n">
        <f aca="false">B847</f>
        <v>45099</v>
      </c>
      <c r="D847" s="16" t="s">
        <v>376</v>
      </c>
      <c r="E847" s="16" t="s">
        <v>23</v>
      </c>
      <c r="F847" s="16" t="s">
        <v>24</v>
      </c>
      <c r="G847" s="17"/>
      <c r="H847" s="17" t="n">
        <v>94599559</v>
      </c>
      <c r="I847" s="14" t="n">
        <f aca="false">I846+G847-H847</f>
        <v>241721451</v>
      </c>
    </row>
    <row r="848" customFormat="false" ht="12" hidden="false" customHeight="true" outlineLevel="1" collapsed="false">
      <c r="B848" s="15" t="n">
        <v>45099</v>
      </c>
      <c r="C848" s="15" t="n">
        <f aca="false">B848</f>
        <v>45099</v>
      </c>
      <c r="D848" s="16" t="s">
        <v>376</v>
      </c>
      <c r="E848" s="16" t="s">
        <v>23</v>
      </c>
      <c r="F848" s="16" t="s">
        <v>24</v>
      </c>
      <c r="G848" s="17"/>
      <c r="H848" s="17" t="n">
        <v>230400441</v>
      </c>
      <c r="I848" s="14" t="n">
        <f aca="false">I847+G848-H848</f>
        <v>11321010</v>
      </c>
    </row>
    <row r="849" customFormat="false" ht="12" hidden="false" customHeight="true" outlineLevel="1" collapsed="false">
      <c r="B849" s="15" t="n">
        <v>45099</v>
      </c>
      <c r="C849" s="15" t="n">
        <f aca="false">B849</f>
        <v>45099</v>
      </c>
      <c r="D849" s="16" t="s">
        <v>376</v>
      </c>
      <c r="E849" s="16" t="s">
        <v>57</v>
      </c>
      <c r="F849" s="16" t="n">
        <v>635</v>
      </c>
      <c r="G849" s="17"/>
      <c r="H849" s="17" t="n">
        <v>7565422</v>
      </c>
      <c r="I849" s="14" t="n">
        <f aca="false">I848+G849-H849</f>
        <v>3755588</v>
      </c>
    </row>
    <row r="850" customFormat="false" ht="12" hidden="false" customHeight="true" outlineLevel="1" collapsed="false">
      <c r="B850" s="15" t="n">
        <v>45100</v>
      </c>
      <c r="C850" s="15" t="n">
        <f aca="false">B850</f>
        <v>45100</v>
      </c>
      <c r="D850" s="16" t="s">
        <v>375</v>
      </c>
      <c r="E850" s="16" t="s">
        <v>157</v>
      </c>
      <c r="F850" s="16" t="s">
        <v>15</v>
      </c>
      <c r="G850" s="17" t="n">
        <v>10000000</v>
      </c>
      <c r="H850" s="17"/>
      <c r="I850" s="14" t="n">
        <f aca="false">I849+G850-H850</f>
        <v>13755588</v>
      </c>
    </row>
    <row r="851" customFormat="false" ht="12" hidden="false" customHeight="true" outlineLevel="1" collapsed="false">
      <c r="B851" s="15" t="n">
        <v>45100</v>
      </c>
      <c r="C851" s="15" t="n">
        <f aca="false">B851</f>
        <v>45100</v>
      </c>
      <c r="D851" s="16" t="s">
        <v>376</v>
      </c>
      <c r="E851" s="16" t="s">
        <v>443</v>
      </c>
      <c r="F851" s="16" t="n">
        <v>3334</v>
      </c>
      <c r="G851" s="17"/>
      <c r="H851" s="17" t="n">
        <v>10000000</v>
      </c>
      <c r="I851" s="14" t="n">
        <f aca="false">I850+G851-H851</f>
        <v>3755588</v>
      </c>
    </row>
    <row r="852" customFormat="false" ht="12" hidden="false" customHeight="true" outlineLevel="1" collapsed="false">
      <c r="B852" s="15" t="n">
        <v>45102</v>
      </c>
      <c r="C852" s="15" t="n">
        <f aca="false">B852</f>
        <v>45102</v>
      </c>
      <c r="D852" s="16" t="s">
        <v>444</v>
      </c>
      <c r="E852" s="16" t="s">
        <v>442</v>
      </c>
      <c r="F852" s="16" t="n">
        <v>515</v>
      </c>
      <c r="G852" s="17" t="n">
        <v>2650</v>
      </c>
      <c r="H852" s="17"/>
      <c r="I852" s="14" t="n">
        <f aca="false">I851+G852-H852</f>
        <v>3758238</v>
      </c>
    </row>
    <row r="853" customFormat="false" ht="12" hidden="false" customHeight="true" outlineLevel="1" collapsed="false">
      <c r="B853" s="15" t="n">
        <v>45103</v>
      </c>
      <c r="C853" s="15" t="n">
        <f aca="false">B853</f>
        <v>45103</v>
      </c>
      <c r="D853" s="16" t="s">
        <v>375</v>
      </c>
      <c r="E853" s="16" t="s">
        <v>157</v>
      </c>
      <c r="F853" s="16" t="s">
        <v>15</v>
      </c>
      <c r="G853" s="17" t="n">
        <v>60071000</v>
      </c>
      <c r="H853" s="17"/>
      <c r="I853" s="14" t="n">
        <f aca="false">I852+G853-H853</f>
        <v>63829238</v>
      </c>
    </row>
    <row r="854" customFormat="false" ht="12" hidden="false" customHeight="true" outlineLevel="1" collapsed="false">
      <c r="B854" s="15" t="n">
        <v>45103</v>
      </c>
      <c r="C854" s="15" t="n">
        <f aca="false">B854</f>
        <v>45103</v>
      </c>
      <c r="D854" s="16" t="s">
        <v>375</v>
      </c>
      <c r="E854" s="16" t="s">
        <v>157</v>
      </c>
      <c r="F854" s="16" t="s">
        <v>15</v>
      </c>
      <c r="G854" s="17" t="n">
        <v>127359000</v>
      </c>
      <c r="H854" s="17"/>
      <c r="I854" s="14" t="n">
        <f aca="false">I853+G854-H854</f>
        <v>191188238</v>
      </c>
    </row>
    <row r="855" customFormat="false" ht="12" hidden="false" customHeight="true" outlineLevel="1" collapsed="false">
      <c r="B855" s="15" t="n">
        <v>45103</v>
      </c>
      <c r="C855" s="15" t="n">
        <f aca="false">B855</f>
        <v>45103</v>
      </c>
      <c r="D855" s="16" t="s">
        <v>375</v>
      </c>
      <c r="E855" s="16" t="s">
        <v>157</v>
      </c>
      <c r="F855" s="16" t="s">
        <v>15</v>
      </c>
      <c r="G855" s="17" t="n">
        <v>116071000</v>
      </c>
      <c r="H855" s="17"/>
      <c r="I855" s="14" t="n">
        <f aca="false">I854+G855-H855</f>
        <v>307259238</v>
      </c>
    </row>
    <row r="856" customFormat="false" ht="12" hidden="false" customHeight="true" outlineLevel="1" collapsed="false">
      <c r="B856" s="15" t="n">
        <v>45103</v>
      </c>
      <c r="C856" s="15" t="n">
        <f aca="false">B856</f>
        <v>45103</v>
      </c>
      <c r="D856" s="16" t="s">
        <v>375</v>
      </c>
      <c r="E856" s="16" t="s">
        <v>157</v>
      </c>
      <c r="F856" s="16" t="s">
        <v>15</v>
      </c>
      <c r="G856" s="17" t="n">
        <v>84220000</v>
      </c>
      <c r="H856" s="17"/>
      <c r="I856" s="14" t="n">
        <f aca="false">I855+G856-H856</f>
        <v>391479238</v>
      </c>
    </row>
    <row r="857" customFormat="false" ht="12" hidden="false" customHeight="true" outlineLevel="1" collapsed="false">
      <c r="B857" s="15" t="n">
        <v>45103</v>
      </c>
      <c r="C857" s="15" t="n">
        <f aca="false">B857</f>
        <v>45103</v>
      </c>
      <c r="D857" s="16" t="s">
        <v>375</v>
      </c>
      <c r="E857" s="16" t="s">
        <v>157</v>
      </c>
      <c r="F857" s="16" t="s">
        <v>15</v>
      </c>
      <c r="G857" s="17" t="n">
        <v>173742000</v>
      </c>
      <c r="H857" s="17"/>
      <c r="I857" s="14" t="n">
        <f aca="false">I856+G857-H857</f>
        <v>565221238</v>
      </c>
    </row>
    <row r="858" customFormat="false" ht="12" hidden="false" customHeight="true" outlineLevel="1" collapsed="false">
      <c r="B858" s="15" t="n">
        <v>45103</v>
      </c>
      <c r="C858" s="15" t="n">
        <f aca="false">B858</f>
        <v>45103</v>
      </c>
      <c r="D858" s="16" t="s">
        <v>375</v>
      </c>
      <c r="E858" s="16" t="s">
        <v>157</v>
      </c>
      <c r="F858" s="16" t="s">
        <v>15</v>
      </c>
      <c r="G858" s="17" t="n">
        <v>80000000</v>
      </c>
      <c r="H858" s="17"/>
      <c r="I858" s="14" t="n">
        <f aca="false">I857+G858-H858</f>
        <v>645221238</v>
      </c>
    </row>
    <row r="859" customFormat="false" ht="12" hidden="false" customHeight="true" outlineLevel="1" collapsed="false">
      <c r="B859" s="15" t="n">
        <v>45103</v>
      </c>
      <c r="C859" s="15" t="n">
        <f aca="false">B859</f>
        <v>45103</v>
      </c>
      <c r="D859" s="16" t="s">
        <v>376</v>
      </c>
      <c r="E859" s="16" t="s">
        <v>440</v>
      </c>
      <c r="F859" s="16" t="s">
        <v>179</v>
      </c>
      <c r="G859" s="17"/>
      <c r="H859" s="17" t="n">
        <v>3073579</v>
      </c>
      <c r="I859" s="14" t="n">
        <f aca="false">I858+G859-H859</f>
        <v>642147659</v>
      </c>
    </row>
    <row r="860" customFormat="false" ht="12" hidden="false" customHeight="true" outlineLevel="1" collapsed="false">
      <c r="B860" s="15" t="n">
        <v>45103</v>
      </c>
      <c r="C860" s="15" t="n">
        <f aca="false">B860</f>
        <v>45103</v>
      </c>
      <c r="D860" s="16" t="s">
        <v>376</v>
      </c>
      <c r="E860" s="16" t="s">
        <v>440</v>
      </c>
      <c r="F860" s="16" t="s">
        <v>179</v>
      </c>
      <c r="G860" s="17"/>
      <c r="H860" s="17" t="n">
        <v>259040141</v>
      </c>
      <c r="I860" s="14" t="n">
        <f aca="false">I859+G860-H860</f>
        <v>383107518</v>
      </c>
    </row>
    <row r="861" customFormat="false" ht="12" hidden="false" customHeight="true" outlineLevel="1" collapsed="false">
      <c r="B861" s="15" t="n">
        <v>45103</v>
      </c>
      <c r="C861" s="15" t="n">
        <f aca="false">B861</f>
        <v>45103</v>
      </c>
      <c r="D861" s="16" t="s">
        <v>376</v>
      </c>
      <c r="E861" s="16" t="s">
        <v>23</v>
      </c>
      <c r="F861" s="16" t="s">
        <v>24</v>
      </c>
      <c r="G861" s="17"/>
      <c r="H861" s="17" t="n">
        <v>103192914</v>
      </c>
      <c r="I861" s="14" t="n">
        <f aca="false">I860+G861-H861</f>
        <v>279914604</v>
      </c>
    </row>
    <row r="862" customFormat="false" ht="12" hidden="false" customHeight="true" outlineLevel="1" collapsed="false">
      <c r="B862" s="15" t="n">
        <v>45103</v>
      </c>
      <c r="C862" s="15" t="n">
        <f aca="false">B862</f>
        <v>45103</v>
      </c>
      <c r="D862" s="16" t="s">
        <v>376</v>
      </c>
      <c r="E862" s="16" t="s">
        <v>23</v>
      </c>
      <c r="F862" s="16" t="s">
        <v>24</v>
      </c>
      <c r="G862" s="17"/>
      <c r="H862" s="17" t="n">
        <v>116807086</v>
      </c>
      <c r="I862" s="14" t="n">
        <f aca="false">I861+G862-H862</f>
        <v>163107518</v>
      </c>
    </row>
    <row r="863" customFormat="false" ht="12" hidden="false" customHeight="true" outlineLevel="1" collapsed="false">
      <c r="B863" s="15" t="n">
        <v>45103</v>
      </c>
      <c r="C863" s="15" t="n">
        <f aca="false">B863</f>
        <v>45103</v>
      </c>
      <c r="D863" s="16" t="s">
        <v>376</v>
      </c>
      <c r="E863" s="16" t="s">
        <v>57</v>
      </c>
      <c r="F863" s="16" t="n">
        <v>635</v>
      </c>
      <c r="G863" s="17"/>
      <c r="H863" s="17" t="n">
        <v>2193651</v>
      </c>
      <c r="I863" s="14" t="n">
        <f aca="false">I862+G863-H863</f>
        <v>160913867</v>
      </c>
    </row>
    <row r="864" customFormat="false" ht="12" hidden="false" customHeight="true" outlineLevel="1" collapsed="false">
      <c r="B864" s="15" t="n">
        <v>45103</v>
      </c>
      <c r="C864" s="15" t="n">
        <f aca="false">B864</f>
        <v>45103</v>
      </c>
      <c r="D864" s="16" t="s">
        <v>376</v>
      </c>
      <c r="E864" s="16" t="s">
        <v>57</v>
      </c>
      <c r="F864" s="16" t="n">
        <v>635</v>
      </c>
      <c r="G864" s="17"/>
      <c r="H864" s="17" t="n">
        <v>11000</v>
      </c>
      <c r="I864" s="14" t="n">
        <f aca="false">I863+G864-H864</f>
        <v>160902867</v>
      </c>
    </row>
    <row r="865" customFormat="false" ht="12" hidden="false" customHeight="true" outlineLevel="1" collapsed="false">
      <c r="B865" s="15" t="n">
        <v>45103</v>
      </c>
      <c r="C865" s="15" t="n">
        <f aca="false">B865</f>
        <v>45103</v>
      </c>
      <c r="D865" s="16" t="s">
        <v>376</v>
      </c>
      <c r="E865" s="16" t="s">
        <v>57</v>
      </c>
      <c r="F865" s="16" t="n">
        <v>635</v>
      </c>
      <c r="G865" s="17"/>
      <c r="H865" s="17" t="n">
        <v>1094963</v>
      </c>
      <c r="I865" s="14" t="n">
        <f aca="false">I864+G865-H865</f>
        <v>159807904</v>
      </c>
    </row>
    <row r="866" customFormat="false" ht="12" hidden="false" customHeight="true" outlineLevel="1" collapsed="false">
      <c r="B866" s="15" t="n">
        <v>45103</v>
      </c>
      <c r="C866" s="15" t="n">
        <f aca="false">B866</f>
        <v>45103</v>
      </c>
      <c r="D866" s="16" t="s">
        <v>376</v>
      </c>
      <c r="E866" s="16" t="s">
        <v>57</v>
      </c>
      <c r="F866" s="16" t="n">
        <v>635</v>
      </c>
      <c r="G866" s="17"/>
      <c r="H866" s="17" t="n">
        <v>735284</v>
      </c>
      <c r="I866" s="14" t="n">
        <f aca="false">I865+G866-H866</f>
        <v>159072620</v>
      </c>
    </row>
    <row r="867" customFormat="false" ht="12" hidden="false" customHeight="true" outlineLevel="1" collapsed="false">
      <c r="B867" s="15" t="n">
        <v>45103</v>
      </c>
      <c r="C867" s="15" t="n">
        <f aca="false">B867</f>
        <v>45103</v>
      </c>
      <c r="D867" s="16" t="s">
        <v>376</v>
      </c>
      <c r="E867" s="16" t="s">
        <v>57</v>
      </c>
      <c r="F867" s="16" t="n">
        <v>635</v>
      </c>
      <c r="G867" s="17"/>
      <c r="H867" s="17" t="n">
        <v>3967617</v>
      </c>
      <c r="I867" s="14" t="n">
        <f aca="false">I866+G867-H867</f>
        <v>155105003</v>
      </c>
    </row>
    <row r="868" customFormat="false" ht="12" hidden="false" customHeight="true" outlineLevel="1" collapsed="false">
      <c r="B868" s="15" t="n">
        <v>45103</v>
      </c>
      <c r="C868" s="15" t="n">
        <f aca="false">B868</f>
        <v>45103</v>
      </c>
      <c r="D868" s="16" t="s">
        <v>376</v>
      </c>
      <c r="E868" s="16" t="s">
        <v>57</v>
      </c>
      <c r="F868" s="16" t="n">
        <v>635</v>
      </c>
      <c r="G868" s="17"/>
      <c r="H868" s="17" t="n">
        <v>8633327</v>
      </c>
      <c r="I868" s="14" t="n">
        <f aca="false">I867+G868-H868</f>
        <v>146471676</v>
      </c>
    </row>
    <row r="869" customFormat="false" ht="12" hidden="false" customHeight="true" outlineLevel="1" collapsed="false">
      <c r="B869" s="15" t="n">
        <v>45103</v>
      </c>
      <c r="C869" s="15" t="n">
        <f aca="false">B869</f>
        <v>45103</v>
      </c>
      <c r="D869" s="16" t="s">
        <v>376</v>
      </c>
      <c r="E869" s="16" t="s">
        <v>57</v>
      </c>
      <c r="F869" s="16" t="n">
        <v>635</v>
      </c>
      <c r="G869" s="17"/>
      <c r="H869" s="17" t="n">
        <v>7563752</v>
      </c>
      <c r="I869" s="14" t="n">
        <f aca="false">I868+G869-H869</f>
        <v>138907924</v>
      </c>
    </row>
    <row r="870" customFormat="false" ht="12" hidden="false" customHeight="true" outlineLevel="1" collapsed="false">
      <c r="B870" s="15" t="n">
        <v>45103</v>
      </c>
      <c r="C870" s="15" t="n">
        <f aca="false">B870</f>
        <v>45103</v>
      </c>
      <c r="D870" s="16" t="s">
        <v>376</v>
      </c>
      <c r="E870" s="16" t="s">
        <v>57</v>
      </c>
      <c r="F870" s="16" t="n">
        <v>635</v>
      </c>
      <c r="G870" s="17"/>
      <c r="H870" s="17" t="n">
        <v>1445988</v>
      </c>
      <c r="I870" s="14" t="n">
        <f aca="false">I869+G870-H870</f>
        <v>137461936</v>
      </c>
    </row>
    <row r="871" customFormat="false" ht="12" hidden="false" customHeight="true" outlineLevel="1" collapsed="false">
      <c r="B871" s="15" t="n">
        <v>45103</v>
      </c>
      <c r="C871" s="15" t="n">
        <f aca="false">B871</f>
        <v>45103</v>
      </c>
      <c r="D871" s="16" t="s">
        <v>376</v>
      </c>
      <c r="E871" s="16" t="s">
        <v>57</v>
      </c>
      <c r="F871" s="16" t="n">
        <v>635</v>
      </c>
      <c r="G871" s="17"/>
      <c r="H871" s="17" t="n">
        <v>14690799</v>
      </c>
      <c r="I871" s="14" t="n">
        <f aca="false">I870+G871-H871</f>
        <v>122771137</v>
      </c>
    </row>
    <row r="872" customFormat="false" ht="12" hidden="false" customHeight="true" outlineLevel="1" collapsed="false">
      <c r="B872" s="15" t="n">
        <v>45103</v>
      </c>
      <c r="C872" s="15" t="n">
        <f aca="false">B872</f>
        <v>45103</v>
      </c>
      <c r="D872" s="16" t="s">
        <v>376</v>
      </c>
      <c r="E872" s="16" t="s">
        <v>57</v>
      </c>
      <c r="F872" s="16" t="n">
        <v>635</v>
      </c>
      <c r="G872" s="17"/>
      <c r="H872" s="17" t="n">
        <v>6021500</v>
      </c>
      <c r="I872" s="14" t="n">
        <f aca="false">I871+G872-H872</f>
        <v>116749637</v>
      </c>
    </row>
    <row r="873" customFormat="false" ht="12" hidden="false" customHeight="true" outlineLevel="1" collapsed="false">
      <c r="B873" s="15" t="n">
        <v>45103</v>
      </c>
      <c r="C873" s="15" t="n">
        <f aca="false">B873</f>
        <v>45103</v>
      </c>
      <c r="D873" s="16" t="s">
        <v>376</v>
      </c>
      <c r="E873" s="16" t="s">
        <v>57</v>
      </c>
      <c r="F873" s="16" t="n">
        <v>635</v>
      </c>
      <c r="G873" s="17"/>
      <c r="H873" s="17" t="n">
        <v>10651500</v>
      </c>
      <c r="I873" s="14" t="n">
        <f aca="false">I872+G873-H873</f>
        <v>106098137</v>
      </c>
    </row>
    <row r="874" customFormat="false" ht="12" hidden="false" customHeight="true" outlineLevel="1" collapsed="false">
      <c r="B874" s="15" t="n">
        <v>45103</v>
      </c>
      <c r="C874" s="15" t="n">
        <f aca="false">B874</f>
        <v>45103</v>
      </c>
      <c r="D874" s="16" t="s">
        <v>376</v>
      </c>
      <c r="E874" s="16" t="s">
        <v>57</v>
      </c>
      <c r="F874" s="16" t="n">
        <v>635</v>
      </c>
      <c r="G874" s="17"/>
      <c r="H874" s="17" t="n">
        <v>2044711</v>
      </c>
      <c r="I874" s="14" t="n">
        <f aca="false">I873+G874-H874</f>
        <v>104053426</v>
      </c>
    </row>
    <row r="875" customFormat="false" ht="12" hidden="false" customHeight="true" outlineLevel="1" collapsed="false">
      <c r="B875" s="15" t="n">
        <v>45103</v>
      </c>
      <c r="C875" s="15" t="n">
        <f aca="false">B875</f>
        <v>45103</v>
      </c>
      <c r="D875" s="16" t="s">
        <v>376</v>
      </c>
      <c r="E875" s="16" t="s">
        <v>57</v>
      </c>
      <c r="F875" s="16" t="n">
        <v>635</v>
      </c>
      <c r="G875" s="17"/>
      <c r="H875" s="17" t="n">
        <v>1231609</v>
      </c>
      <c r="I875" s="14" t="n">
        <f aca="false">I874+G875-H875</f>
        <v>102821817</v>
      </c>
    </row>
    <row r="876" customFormat="false" ht="12" hidden="false" customHeight="true" outlineLevel="1" collapsed="false">
      <c r="B876" s="15" t="n">
        <v>45103</v>
      </c>
      <c r="C876" s="15" t="n">
        <f aca="false">B876</f>
        <v>45103</v>
      </c>
      <c r="D876" s="16" t="s">
        <v>376</v>
      </c>
      <c r="E876" s="16" t="s">
        <v>57</v>
      </c>
      <c r="F876" s="16" t="n">
        <v>635</v>
      </c>
      <c r="G876" s="17"/>
      <c r="H876" s="17" t="n">
        <v>2981405</v>
      </c>
      <c r="I876" s="14" t="n">
        <f aca="false">I875+G876-H876</f>
        <v>99840412</v>
      </c>
    </row>
    <row r="877" customFormat="false" ht="12" hidden="false" customHeight="true" outlineLevel="1" collapsed="false">
      <c r="B877" s="15" t="n">
        <v>45103</v>
      </c>
      <c r="C877" s="15" t="n">
        <f aca="false">B877</f>
        <v>45103</v>
      </c>
      <c r="D877" s="16" t="s">
        <v>376</v>
      </c>
      <c r="E877" s="16" t="s">
        <v>57</v>
      </c>
      <c r="F877" s="16" t="n">
        <v>635</v>
      </c>
      <c r="G877" s="17"/>
      <c r="H877" s="17" t="n">
        <v>5975165</v>
      </c>
      <c r="I877" s="14" t="n">
        <f aca="false">I876+G877-H877</f>
        <v>93865247</v>
      </c>
    </row>
    <row r="878" customFormat="false" ht="12" hidden="false" customHeight="true" outlineLevel="1" collapsed="false">
      <c r="B878" s="15" t="n">
        <v>45103</v>
      </c>
      <c r="C878" s="15" t="n">
        <f aca="false">B878</f>
        <v>45103</v>
      </c>
      <c r="D878" s="16" t="s">
        <v>376</v>
      </c>
      <c r="E878" s="16" t="s">
        <v>57</v>
      </c>
      <c r="F878" s="16" t="n">
        <v>635</v>
      </c>
      <c r="G878" s="17"/>
      <c r="H878" s="17" t="n">
        <v>2179314</v>
      </c>
      <c r="I878" s="14" t="n">
        <f aca="false">I877+G878-H878</f>
        <v>91685933</v>
      </c>
    </row>
    <row r="879" customFormat="false" ht="12" hidden="false" customHeight="true" outlineLevel="1" collapsed="false">
      <c r="B879" s="15" t="n">
        <v>45103</v>
      </c>
      <c r="C879" s="15" t="n">
        <f aca="false">B879</f>
        <v>45103</v>
      </c>
      <c r="D879" s="16" t="s">
        <v>376</v>
      </c>
      <c r="E879" s="16" t="s">
        <v>57</v>
      </c>
      <c r="F879" s="16" t="n">
        <v>635</v>
      </c>
      <c r="G879" s="17"/>
      <c r="H879" s="17" t="n">
        <v>3284607</v>
      </c>
      <c r="I879" s="14" t="n">
        <f aca="false">I878+G879-H879</f>
        <v>88401326</v>
      </c>
    </row>
    <row r="880" customFormat="false" ht="12" hidden="false" customHeight="true" outlineLevel="1" collapsed="false">
      <c r="B880" s="15" t="n">
        <v>45103</v>
      </c>
      <c r="C880" s="15" t="n">
        <f aca="false">B880</f>
        <v>45103</v>
      </c>
      <c r="D880" s="16" t="s">
        <v>376</v>
      </c>
      <c r="E880" s="16" t="s">
        <v>57</v>
      </c>
      <c r="F880" s="16" t="n">
        <v>635</v>
      </c>
      <c r="G880" s="17"/>
      <c r="H880" s="17" t="n">
        <v>1099265</v>
      </c>
      <c r="I880" s="14" t="n">
        <f aca="false">I879+G880-H880</f>
        <v>87302061</v>
      </c>
    </row>
    <row r="881" customFormat="false" ht="12" hidden="false" customHeight="true" outlineLevel="1" collapsed="false">
      <c r="B881" s="15" t="n">
        <v>45103</v>
      </c>
      <c r="C881" s="15" t="n">
        <f aca="false">B881</f>
        <v>45103</v>
      </c>
      <c r="D881" s="16" t="s">
        <v>376</v>
      </c>
      <c r="E881" s="16" t="s">
        <v>57</v>
      </c>
      <c r="F881" s="16" t="n">
        <v>635</v>
      </c>
      <c r="G881" s="17"/>
      <c r="H881" s="17" t="n">
        <v>2492681</v>
      </c>
      <c r="I881" s="14" t="n">
        <f aca="false">I880+G881-H881</f>
        <v>84809380</v>
      </c>
    </row>
    <row r="882" customFormat="false" ht="12" hidden="false" customHeight="true" outlineLevel="1" collapsed="false">
      <c r="B882" s="15" t="n">
        <v>45103</v>
      </c>
      <c r="C882" s="15" t="n">
        <f aca="false">B882</f>
        <v>45103</v>
      </c>
      <c r="D882" s="16" t="s">
        <v>376</v>
      </c>
      <c r="E882" s="16" t="s">
        <v>57</v>
      </c>
      <c r="F882" s="16" t="n">
        <v>635</v>
      </c>
      <c r="G882" s="17"/>
      <c r="H882" s="17" t="n">
        <v>17605479</v>
      </c>
      <c r="I882" s="14" t="n">
        <f aca="false">I881+G882-H882</f>
        <v>67203901</v>
      </c>
    </row>
    <row r="883" customFormat="false" ht="12" hidden="false" customHeight="true" outlineLevel="1" collapsed="false">
      <c r="B883" s="15" t="n">
        <v>45103</v>
      </c>
      <c r="C883" s="15" t="n">
        <f aca="false">B883</f>
        <v>45103</v>
      </c>
      <c r="D883" s="16" t="s">
        <v>376</v>
      </c>
      <c r="E883" s="16" t="s">
        <v>57</v>
      </c>
      <c r="F883" s="16" t="n">
        <v>635</v>
      </c>
      <c r="G883" s="17"/>
      <c r="H883" s="17" t="n">
        <v>947355</v>
      </c>
      <c r="I883" s="14" t="n">
        <f aca="false">I882+G883-H883</f>
        <v>66256546</v>
      </c>
    </row>
    <row r="884" customFormat="false" ht="12" hidden="false" customHeight="true" outlineLevel="1" collapsed="false">
      <c r="B884" s="15" t="n">
        <v>45103</v>
      </c>
      <c r="C884" s="15" t="n">
        <f aca="false">B884</f>
        <v>45103</v>
      </c>
      <c r="D884" s="16" t="s">
        <v>376</v>
      </c>
      <c r="E884" s="16" t="s">
        <v>57</v>
      </c>
      <c r="F884" s="16" t="n">
        <v>635</v>
      </c>
      <c r="G884" s="17"/>
      <c r="H884" s="17" t="n">
        <v>17812277</v>
      </c>
      <c r="I884" s="14" t="n">
        <f aca="false">I883+G884-H884</f>
        <v>48444269</v>
      </c>
    </row>
    <row r="885" customFormat="false" ht="12" hidden="false" customHeight="true" outlineLevel="1" collapsed="false">
      <c r="B885" s="15" t="n">
        <v>45103</v>
      </c>
      <c r="C885" s="15" t="n">
        <f aca="false">B885</f>
        <v>45103</v>
      </c>
      <c r="D885" s="16" t="s">
        <v>376</v>
      </c>
      <c r="E885" s="16" t="s">
        <v>57</v>
      </c>
      <c r="F885" s="16" t="n">
        <v>635</v>
      </c>
      <c r="G885" s="17"/>
      <c r="H885" s="17" t="n">
        <v>3802919</v>
      </c>
      <c r="I885" s="14" t="n">
        <f aca="false">I884+G885-H885</f>
        <v>44641350</v>
      </c>
    </row>
    <row r="886" customFormat="false" ht="12" hidden="false" customHeight="true" outlineLevel="1" collapsed="false">
      <c r="B886" s="15" t="n">
        <v>45103</v>
      </c>
      <c r="C886" s="15" t="n">
        <f aca="false">B886</f>
        <v>45103</v>
      </c>
      <c r="D886" s="16" t="s">
        <v>376</v>
      </c>
      <c r="E886" s="16" t="s">
        <v>57</v>
      </c>
      <c r="F886" s="16" t="n">
        <v>635</v>
      </c>
      <c r="G886" s="17"/>
      <c r="H886" s="17" t="n">
        <v>898745</v>
      </c>
      <c r="I886" s="14" t="n">
        <f aca="false">I885+G886-H886</f>
        <v>43742605</v>
      </c>
    </row>
    <row r="887" customFormat="false" ht="12" hidden="false" customHeight="true" outlineLevel="1" collapsed="false">
      <c r="B887" s="15" t="n">
        <v>45103</v>
      </c>
      <c r="C887" s="15" t="n">
        <f aca="false">B887</f>
        <v>45103</v>
      </c>
      <c r="D887" s="16" t="s">
        <v>376</v>
      </c>
      <c r="E887" s="16" t="s">
        <v>57</v>
      </c>
      <c r="F887" s="16" t="n">
        <v>635</v>
      </c>
      <c r="G887" s="17"/>
      <c r="H887" s="17" t="n">
        <v>4826760</v>
      </c>
      <c r="I887" s="14" t="n">
        <f aca="false">I886+G887-H887</f>
        <v>38915845</v>
      </c>
    </row>
    <row r="888" customFormat="false" ht="12" hidden="false" customHeight="true" outlineLevel="1" collapsed="false">
      <c r="B888" s="15" t="n">
        <v>45103</v>
      </c>
      <c r="C888" s="15" t="n">
        <f aca="false">B888</f>
        <v>45103</v>
      </c>
      <c r="D888" s="16" t="s">
        <v>376</v>
      </c>
      <c r="E888" s="16" t="s">
        <v>57</v>
      </c>
      <c r="F888" s="16" t="n">
        <v>635</v>
      </c>
      <c r="G888" s="17"/>
      <c r="H888" s="17" t="n">
        <v>5326260</v>
      </c>
      <c r="I888" s="14" t="n">
        <f aca="false">I887+G888-H888</f>
        <v>33589585</v>
      </c>
    </row>
    <row r="889" customFormat="false" ht="12" hidden="false" customHeight="true" outlineLevel="1" collapsed="false">
      <c r="B889" s="15" t="n">
        <v>45103</v>
      </c>
      <c r="C889" s="15" t="n">
        <f aca="false">B889</f>
        <v>45103</v>
      </c>
      <c r="D889" s="16" t="s">
        <v>376</v>
      </c>
      <c r="E889" s="16" t="s">
        <v>57</v>
      </c>
      <c r="F889" s="16" t="n">
        <v>635</v>
      </c>
      <c r="G889" s="17"/>
      <c r="H889" s="17" t="n">
        <v>3572771</v>
      </c>
      <c r="I889" s="14" t="n">
        <f aca="false">I888+G889-H889</f>
        <v>30016814</v>
      </c>
    </row>
    <row r="890" customFormat="false" ht="12" hidden="false" customHeight="true" outlineLevel="1" collapsed="false">
      <c r="B890" s="15" t="n">
        <v>45103</v>
      </c>
      <c r="C890" s="15" t="n">
        <f aca="false">B890</f>
        <v>45103</v>
      </c>
      <c r="D890" s="16" t="s">
        <v>376</v>
      </c>
      <c r="E890" s="16" t="s">
        <v>57</v>
      </c>
      <c r="F890" s="16" t="n">
        <v>635</v>
      </c>
      <c r="G890" s="17"/>
      <c r="H890" s="17" t="n">
        <v>9225358</v>
      </c>
      <c r="I890" s="14" t="n">
        <f aca="false">I889+G890-H890</f>
        <v>20791456</v>
      </c>
    </row>
    <row r="891" customFormat="false" ht="12" hidden="false" customHeight="true" outlineLevel="1" collapsed="false">
      <c r="B891" s="15" t="n">
        <v>45103</v>
      </c>
      <c r="C891" s="15" t="n">
        <f aca="false">B891</f>
        <v>45103</v>
      </c>
      <c r="D891" s="16" t="s">
        <v>376</v>
      </c>
      <c r="E891" s="16" t="s">
        <v>57</v>
      </c>
      <c r="F891" s="16" t="n">
        <v>635</v>
      </c>
      <c r="G891" s="17"/>
      <c r="H891" s="17" t="n">
        <v>1683942</v>
      </c>
      <c r="I891" s="14" t="n">
        <f aca="false">I890+G891-H891</f>
        <v>19107514</v>
      </c>
    </row>
    <row r="892" customFormat="false" ht="12" hidden="false" customHeight="true" outlineLevel="1" collapsed="false">
      <c r="B892" s="15" t="n">
        <v>45104</v>
      </c>
      <c r="C892" s="15" t="n">
        <f aca="false">B892</f>
        <v>45104</v>
      </c>
      <c r="D892" s="16" t="s">
        <v>375</v>
      </c>
      <c r="E892" s="16" t="s">
        <v>157</v>
      </c>
      <c r="F892" s="16" t="s">
        <v>15</v>
      </c>
      <c r="G892" s="17" t="n">
        <v>47040000</v>
      </c>
      <c r="H892" s="17"/>
      <c r="I892" s="14" t="n">
        <f aca="false">I891+G892-H892</f>
        <v>66147514</v>
      </c>
    </row>
    <row r="893" customFormat="false" ht="12" hidden="false" customHeight="true" outlineLevel="1" collapsed="false">
      <c r="B893" s="15" t="n">
        <v>45104</v>
      </c>
      <c r="C893" s="15" t="n">
        <f aca="false">B893</f>
        <v>45104</v>
      </c>
      <c r="D893" s="16" t="s">
        <v>375</v>
      </c>
      <c r="E893" s="16" t="s">
        <v>157</v>
      </c>
      <c r="F893" s="16" t="s">
        <v>15</v>
      </c>
      <c r="G893" s="17" t="n">
        <v>199279000</v>
      </c>
      <c r="H893" s="17"/>
      <c r="I893" s="14" t="n">
        <f aca="false">I892+G893-H893</f>
        <v>265426514</v>
      </c>
    </row>
    <row r="894" customFormat="false" ht="12" hidden="false" customHeight="true" outlineLevel="1" collapsed="false">
      <c r="B894" s="15" t="n">
        <v>45104</v>
      </c>
      <c r="C894" s="15" t="n">
        <f aca="false">B894</f>
        <v>45104</v>
      </c>
      <c r="D894" s="16" t="s">
        <v>375</v>
      </c>
      <c r="E894" s="16" t="s">
        <v>157</v>
      </c>
      <c r="F894" s="16" t="s">
        <v>15</v>
      </c>
      <c r="G894" s="17" t="n">
        <v>123329000</v>
      </c>
      <c r="H894" s="17"/>
      <c r="I894" s="14" t="n">
        <f aca="false">I893+G894-H894</f>
        <v>388755514</v>
      </c>
    </row>
    <row r="895" customFormat="false" ht="12" hidden="false" customHeight="true" outlineLevel="1" collapsed="false">
      <c r="B895" s="15" t="n">
        <v>45104</v>
      </c>
      <c r="C895" s="15" t="n">
        <f aca="false">B895</f>
        <v>45104</v>
      </c>
      <c r="D895" s="16" t="s">
        <v>376</v>
      </c>
      <c r="E895" s="16" t="s">
        <v>23</v>
      </c>
      <c r="F895" s="16" t="s">
        <v>24</v>
      </c>
      <c r="G895" s="17"/>
      <c r="H895" s="17" t="n">
        <v>11566219</v>
      </c>
      <c r="I895" s="14" t="n">
        <f aca="false">I894+G895-H895</f>
        <v>377189295</v>
      </c>
    </row>
    <row r="896" customFormat="false" ht="12" hidden="false" customHeight="true" outlineLevel="1" collapsed="false">
      <c r="B896" s="15" t="n">
        <v>45104</v>
      </c>
      <c r="C896" s="15" t="n">
        <f aca="false">B896</f>
        <v>45104</v>
      </c>
      <c r="D896" s="16" t="s">
        <v>376</v>
      </c>
      <c r="E896" s="16" t="s">
        <v>23</v>
      </c>
      <c r="F896" s="16" t="s">
        <v>24</v>
      </c>
      <c r="G896" s="17"/>
      <c r="H896" s="17" t="n">
        <v>152305457</v>
      </c>
      <c r="I896" s="14" t="n">
        <f aca="false">I895+G896-H896</f>
        <v>224883838</v>
      </c>
    </row>
    <row r="897" customFormat="false" ht="12" hidden="false" customHeight="true" outlineLevel="1" collapsed="false">
      <c r="B897" s="15" t="n">
        <v>45104</v>
      </c>
      <c r="C897" s="15" t="n">
        <f aca="false">B897</f>
        <v>45104</v>
      </c>
      <c r="D897" s="16" t="s">
        <v>376</v>
      </c>
      <c r="E897" s="16" t="s">
        <v>23</v>
      </c>
      <c r="F897" s="16" t="s">
        <v>24</v>
      </c>
      <c r="G897" s="17"/>
      <c r="H897" s="17" t="n">
        <v>205166477</v>
      </c>
      <c r="I897" s="14" t="n">
        <f aca="false">I896+G897-H897</f>
        <v>19717361</v>
      </c>
    </row>
    <row r="898" customFormat="false" ht="12" hidden="false" customHeight="true" outlineLevel="1" collapsed="false">
      <c r="B898" s="15" t="n">
        <v>45105</v>
      </c>
      <c r="C898" s="15" t="n">
        <f aca="false">B898</f>
        <v>45105</v>
      </c>
      <c r="D898" s="16" t="s">
        <v>375</v>
      </c>
      <c r="E898" s="16" t="s">
        <v>157</v>
      </c>
      <c r="F898" s="16" t="s">
        <v>15</v>
      </c>
      <c r="G898" s="17" t="n">
        <v>85730000</v>
      </c>
      <c r="H898" s="17"/>
      <c r="I898" s="14" t="n">
        <f aca="false">I897+G898-H898</f>
        <v>105447361</v>
      </c>
    </row>
    <row r="899" customFormat="false" ht="12" hidden="false" customHeight="true" outlineLevel="1" collapsed="false">
      <c r="B899" s="15" t="n">
        <v>45105</v>
      </c>
      <c r="C899" s="15" t="n">
        <f aca="false">B899</f>
        <v>45105</v>
      </c>
      <c r="D899" s="16" t="s">
        <v>375</v>
      </c>
      <c r="E899" s="16" t="s">
        <v>157</v>
      </c>
      <c r="F899" s="16" t="s">
        <v>15</v>
      </c>
      <c r="G899" s="17" t="n">
        <v>39760000</v>
      </c>
      <c r="H899" s="17"/>
      <c r="I899" s="14" t="n">
        <f aca="false">I898+G899-H899</f>
        <v>145207361</v>
      </c>
    </row>
    <row r="900" customFormat="false" ht="12" hidden="false" customHeight="true" outlineLevel="1" collapsed="false">
      <c r="B900" s="15" t="n">
        <v>45105</v>
      </c>
      <c r="C900" s="15" t="n">
        <f aca="false">B900</f>
        <v>45105</v>
      </c>
      <c r="D900" s="16" t="s">
        <v>375</v>
      </c>
      <c r="E900" s="16" t="s">
        <v>157</v>
      </c>
      <c r="F900" s="16" t="s">
        <v>15</v>
      </c>
      <c r="G900" s="17" t="n">
        <v>94010000</v>
      </c>
      <c r="H900" s="17"/>
      <c r="I900" s="14" t="n">
        <f aca="false">I899+G900-H900</f>
        <v>239217361</v>
      </c>
    </row>
    <row r="901" customFormat="false" ht="12" hidden="false" customHeight="true" outlineLevel="1" collapsed="false">
      <c r="B901" s="15" t="n">
        <v>45105</v>
      </c>
      <c r="C901" s="15" t="n">
        <f aca="false">B901</f>
        <v>45105</v>
      </c>
      <c r="D901" s="16" t="s">
        <v>376</v>
      </c>
      <c r="E901" s="16" t="s">
        <v>23</v>
      </c>
      <c r="F901" s="16" t="s">
        <v>24</v>
      </c>
      <c r="G901" s="17"/>
      <c r="H901" s="17" t="n">
        <v>220000000</v>
      </c>
      <c r="I901" s="14" t="n">
        <f aca="false">I900+G901-H901</f>
        <v>19217361</v>
      </c>
    </row>
    <row r="902" customFormat="false" ht="12" hidden="false" customHeight="true" outlineLevel="1" collapsed="false">
      <c r="B902" s="15" t="n">
        <v>45105</v>
      </c>
      <c r="C902" s="15" t="n">
        <f aca="false">B902</f>
        <v>45105</v>
      </c>
      <c r="D902" s="16" t="s">
        <v>376</v>
      </c>
      <c r="E902" s="16" t="s">
        <v>36</v>
      </c>
      <c r="F902" s="16" t="n">
        <v>635</v>
      </c>
      <c r="G902" s="17"/>
      <c r="H902" s="17" t="n">
        <v>260080</v>
      </c>
      <c r="I902" s="14" t="n">
        <f aca="false">I901+G902-H902</f>
        <v>18957281</v>
      </c>
    </row>
    <row r="903" customFormat="false" ht="12" hidden="false" customHeight="true" outlineLevel="1" collapsed="false">
      <c r="B903" s="15" t="n">
        <v>45106</v>
      </c>
      <c r="C903" s="15" t="n">
        <f aca="false">B903</f>
        <v>45106</v>
      </c>
      <c r="D903" s="16" t="s">
        <v>375</v>
      </c>
      <c r="E903" s="16" t="s">
        <v>157</v>
      </c>
      <c r="F903" s="16" t="s">
        <v>15</v>
      </c>
      <c r="G903" s="17" t="n">
        <v>46727000</v>
      </c>
      <c r="H903" s="17"/>
      <c r="I903" s="14" t="n">
        <f aca="false">I902+G903-H903</f>
        <v>65684281</v>
      </c>
    </row>
    <row r="904" customFormat="false" ht="12" hidden="false" customHeight="true" outlineLevel="1" collapsed="false">
      <c r="B904" s="15" t="n">
        <v>45106</v>
      </c>
      <c r="C904" s="15" t="n">
        <f aca="false">B904</f>
        <v>45106</v>
      </c>
      <c r="D904" s="16" t="s">
        <v>375</v>
      </c>
      <c r="E904" s="16" t="s">
        <v>157</v>
      </c>
      <c r="F904" s="16" t="s">
        <v>15</v>
      </c>
      <c r="G904" s="17" t="n">
        <v>137155000</v>
      </c>
      <c r="H904" s="17"/>
      <c r="I904" s="14" t="n">
        <f aca="false">I903+G904-H904</f>
        <v>202839281</v>
      </c>
    </row>
    <row r="905" customFormat="false" ht="12" hidden="false" customHeight="true" outlineLevel="1" collapsed="false">
      <c r="B905" s="15" t="n">
        <v>45106</v>
      </c>
      <c r="C905" s="15" t="n">
        <f aca="false">B905</f>
        <v>45106</v>
      </c>
      <c r="D905" s="16" t="s">
        <v>375</v>
      </c>
      <c r="E905" s="16" t="s">
        <v>157</v>
      </c>
      <c r="F905" s="16" t="s">
        <v>15</v>
      </c>
      <c r="G905" s="17" t="n">
        <v>115961000</v>
      </c>
      <c r="H905" s="17"/>
      <c r="I905" s="14" t="n">
        <f aca="false">I904+G905-H905</f>
        <v>318800281</v>
      </c>
    </row>
    <row r="906" customFormat="false" ht="12" hidden="false" customHeight="true" outlineLevel="1" collapsed="false">
      <c r="B906" s="15" t="n">
        <v>45106</v>
      </c>
      <c r="C906" s="15" t="n">
        <f aca="false">B906</f>
        <v>45106</v>
      </c>
      <c r="D906" s="16" t="s">
        <v>375</v>
      </c>
      <c r="E906" s="16" t="s">
        <v>157</v>
      </c>
      <c r="F906" s="16" t="s">
        <v>15</v>
      </c>
      <c r="G906" s="17" t="n">
        <v>80000000</v>
      </c>
      <c r="H906" s="17"/>
      <c r="I906" s="14" t="n">
        <f aca="false">I905+G906-H906</f>
        <v>398800281</v>
      </c>
    </row>
    <row r="907" customFormat="false" ht="12" hidden="false" customHeight="true" outlineLevel="1" collapsed="false">
      <c r="B907" s="15" t="n">
        <v>45106</v>
      </c>
      <c r="C907" s="15" t="n">
        <f aca="false">B907</f>
        <v>45106</v>
      </c>
      <c r="D907" s="16" t="s">
        <v>376</v>
      </c>
      <c r="E907" s="16" t="s">
        <v>23</v>
      </c>
      <c r="F907" s="16" t="s">
        <v>24</v>
      </c>
      <c r="G907" s="17"/>
      <c r="H907" s="17" t="n">
        <v>101834793</v>
      </c>
      <c r="I907" s="14" t="n">
        <f aca="false">I906+G907-H907</f>
        <v>296965488</v>
      </c>
    </row>
    <row r="908" customFormat="false" ht="12" hidden="false" customHeight="true" outlineLevel="1" collapsed="false">
      <c r="B908" s="15" t="n">
        <v>45106</v>
      </c>
      <c r="C908" s="15" t="n">
        <f aca="false">B908</f>
        <v>45106</v>
      </c>
      <c r="D908" s="16" t="s">
        <v>376</v>
      </c>
      <c r="E908" s="16" t="s">
        <v>23</v>
      </c>
      <c r="F908" s="16" t="s">
        <v>24</v>
      </c>
      <c r="G908" s="17"/>
      <c r="H908" s="17" t="n">
        <v>288386442</v>
      </c>
      <c r="I908" s="14" t="n">
        <f aca="false">I907+G908-H908</f>
        <v>8579046</v>
      </c>
    </row>
    <row r="909" customFormat="false" ht="12" hidden="false" customHeight="true" outlineLevel="1" collapsed="false">
      <c r="B909" s="15" t="n">
        <v>45107</v>
      </c>
      <c r="C909" s="15" t="n">
        <f aca="false">B909</f>
        <v>45107</v>
      </c>
      <c r="D909" s="16" t="s">
        <v>375</v>
      </c>
      <c r="E909" s="16" t="s">
        <v>157</v>
      </c>
      <c r="F909" s="16" t="s">
        <v>15</v>
      </c>
      <c r="G909" s="17" t="n">
        <v>57818000</v>
      </c>
      <c r="H909" s="17"/>
      <c r="I909" s="14" t="n">
        <f aca="false">I908+G909-H909</f>
        <v>66397046</v>
      </c>
    </row>
    <row r="910" customFormat="false" ht="12" hidden="false" customHeight="true" outlineLevel="1" collapsed="false">
      <c r="B910" s="15" t="n">
        <v>45107</v>
      </c>
      <c r="C910" s="15" t="n">
        <f aca="false">B910</f>
        <v>45107</v>
      </c>
      <c r="D910" s="16" t="s">
        <v>375</v>
      </c>
      <c r="E910" s="16" t="s">
        <v>157</v>
      </c>
      <c r="F910" s="16" t="s">
        <v>15</v>
      </c>
      <c r="G910" s="17" t="n">
        <v>99892000</v>
      </c>
      <c r="H910" s="17"/>
      <c r="I910" s="14" t="n">
        <f aca="false">I909+G910-H910</f>
        <v>166289046</v>
      </c>
    </row>
    <row r="911" customFormat="false" ht="12" hidden="false" customHeight="true" outlineLevel="1" collapsed="false">
      <c r="B911" s="15" t="n">
        <v>45107</v>
      </c>
      <c r="C911" s="15" t="n">
        <f aca="false">B911</f>
        <v>45107</v>
      </c>
      <c r="D911" s="16" t="s">
        <v>375</v>
      </c>
      <c r="E911" s="16" t="s">
        <v>157</v>
      </c>
      <c r="F911" s="16" t="s">
        <v>15</v>
      </c>
      <c r="G911" s="17" t="n">
        <v>100000000</v>
      </c>
      <c r="H911" s="17"/>
      <c r="I911" s="14" t="n">
        <f aca="false">I910+G911-H911</f>
        <v>266289046</v>
      </c>
    </row>
    <row r="912" customFormat="false" ht="12" hidden="false" customHeight="true" outlineLevel="1" collapsed="false">
      <c r="B912" s="15" t="n">
        <v>45107</v>
      </c>
      <c r="C912" s="15" t="n">
        <f aca="false">B912</f>
        <v>45107</v>
      </c>
      <c r="D912" s="16" t="s">
        <v>375</v>
      </c>
      <c r="E912" s="16" t="s">
        <v>157</v>
      </c>
      <c r="F912" s="16" t="s">
        <v>15</v>
      </c>
      <c r="G912" s="17" t="n">
        <v>255314000</v>
      </c>
      <c r="H912" s="17"/>
      <c r="I912" s="14" t="n">
        <f aca="false">I911+G912-H912</f>
        <v>521603046</v>
      </c>
    </row>
    <row r="913" customFormat="false" ht="12" hidden="false" customHeight="true" outlineLevel="1" collapsed="false">
      <c r="B913" s="15" t="n">
        <v>45107</v>
      </c>
      <c r="C913" s="15" t="n">
        <f aca="false">B913</f>
        <v>45107</v>
      </c>
      <c r="D913" s="16" t="s">
        <v>375</v>
      </c>
      <c r="E913" s="16" t="s">
        <v>157</v>
      </c>
      <c r="F913" s="16" t="s">
        <v>15</v>
      </c>
      <c r="G913" s="17" t="n">
        <v>90000000</v>
      </c>
      <c r="H913" s="17"/>
      <c r="I913" s="14" t="n">
        <f aca="false">I912+G913-H913</f>
        <v>611603046</v>
      </c>
    </row>
    <row r="914" customFormat="false" ht="12" hidden="false" customHeight="true" outlineLevel="1" collapsed="false">
      <c r="B914" s="15" t="n">
        <v>45107</v>
      </c>
      <c r="C914" s="15" t="n">
        <f aca="false">B914</f>
        <v>45107</v>
      </c>
      <c r="D914" s="16" t="s">
        <v>375</v>
      </c>
      <c r="E914" s="16" t="s">
        <v>157</v>
      </c>
      <c r="F914" s="16" t="s">
        <v>15</v>
      </c>
      <c r="G914" s="17" t="n">
        <v>35000000</v>
      </c>
      <c r="H914" s="17"/>
      <c r="I914" s="14" t="n">
        <f aca="false">I913+G914-H914</f>
        <v>646603046</v>
      </c>
    </row>
    <row r="915" customFormat="false" ht="12" hidden="false" customHeight="true" outlineLevel="1" collapsed="false">
      <c r="B915" s="15" t="n">
        <v>45107</v>
      </c>
      <c r="C915" s="15" t="n">
        <f aca="false">B915</f>
        <v>45107</v>
      </c>
      <c r="D915" s="16" t="s">
        <v>376</v>
      </c>
      <c r="E915" s="16" t="s">
        <v>440</v>
      </c>
      <c r="F915" s="16" t="s">
        <v>179</v>
      </c>
      <c r="G915" s="17"/>
      <c r="H915" s="17" t="n">
        <v>454897424</v>
      </c>
      <c r="I915" s="14" t="n">
        <f aca="false">I914+G915-H915</f>
        <v>191705622</v>
      </c>
    </row>
    <row r="916" customFormat="false" ht="12" hidden="false" customHeight="true" outlineLevel="1" collapsed="false">
      <c r="B916" s="15" t="n">
        <v>45107</v>
      </c>
      <c r="C916" s="15" t="n">
        <f aca="false">B916</f>
        <v>45107</v>
      </c>
      <c r="D916" s="16" t="s">
        <v>376</v>
      </c>
      <c r="E916" s="16" t="s">
        <v>440</v>
      </c>
      <c r="F916" s="16" t="s">
        <v>179</v>
      </c>
      <c r="G916" s="17"/>
      <c r="H916" s="17" t="n">
        <v>14960000</v>
      </c>
      <c r="I916" s="14" t="n">
        <f aca="false">I915+G916-H916</f>
        <v>176745622</v>
      </c>
    </row>
    <row r="917" customFormat="false" ht="12" hidden="false" customHeight="true" outlineLevel="1" collapsed="false">
      <c r="B917" s="15" t="n">
        <v>45107</v>
      </c>
      <c r="C917" s="15" t="n">
        <f aca="false">B917</f>
        <v>45107</v>
      </c>
      <c r="D917" s="16" t="s">
        <v>376</v>
      </c>
      <c r="E917" s="16" t="s">
        <v>23</v>
      </c>
      <c r="F917" s="16" t="s">
        <v>24</v>
      </c>
      <c r="G917" s="17"/>
      <c r="H917" s="17" t="n">
        <v>170000000</v>
      </c>
      <c r="I917" s="14" t="n">
        <f aca="false">I916+G917-H917</f>
        <v>6745622</v>
      </c>
    </row>
    <row r="918" customFormat="false" ht="12" hidden="false" customHeight="true" outlineLevel="1" collapsed="false">
      <c r="B918" s="15" t="n">
        <v>45110</v>
      </c>
      <c r="C918" s="15" t="n">
        <f aca="false">B918</f>
        <v>45110</v>
      </c>
      <c r="D918" s="16" t="s">
        <v>375</v>
      </c>
      <c r="E918" s="16" t="s">
        <v>157</v>
      </c>
      <c r="F918" s="16" t="s">
        <v>15</v>
      </c>
      <c r="G918" s="17" t="n">
        <v>84090000</v>
      </c>
      <c r="H918" s="17"/>
      <c r="I918" s="14" t="n">
        <f aca="false">I917+G918-H918</f>
        <v>90835622</v>
      </c>
    </row>
    <row r="919" customFormat="false" ht="12" hidden="false" customHeight="true" outlineLevel="1" collapsed="false">
      <c r="B919" s="15" t="n">
        <v>45110</v>
      </c>
      <c r="C919" s="15" t="n">
        <f aca="false">B919</f>
        <v>45110</v>
      </c>
      <c r="D919" s="16" t="s">
        <v>375</v>
      </c>
      <c r="E919" s="16" t="s">
        <v>157</v>
      </c>
      <c r="F919" s="16" t="s">
        <v>15</v>
      </c>
      <c r="G919" s="17" t="n">
        <v>47916000</v>
      </c>
      <c r="H919" s="17"/>
      <c r="I919" s="14" t="n">
        <f aca="false">I918+G919-H919</f>
        <v>138751622</v>
      </c>
    </row>
    <row r="920" customFormat="false" ht="12" hidden="false" customHeight="true" outlineLevel="1" collapsed="false">
      <c r="B920" s="15" t="n">
        <v>45110</v>
      </c>
      <c r="C920" s="15" t="n">
        <f aca="false">B920</f>
        <v>45110</v>
      </c>
      <c r="D920" s="16" t="s">
        <v>375</v>
      </c>
      <c r="E920" s="16" t="s">
        <v>157</v>
      </c>
      <c r="F920" s="16" t="s">
        <v>15</v>
      </c>
      <c r="G920" s="17" t="n">
        <v>90200000</v>
      </c>
      <c r="H920" s="17"/>
      <c r="I920" s="14" t="n">
        <f aca="false">I919+G920-H920</f>
        <v>228951622</v>
      </c>
    </row>
    <row r="921" customFormat="false" ht="12" hidden="false" customHeight="true" outlineLevel="1" collapsed="false">
      <c r="B921" s="15" t="n">
        <v>45110</v>
      </c>
      <c r="C921" s="15" t="n">
        <f aca="false">B921</f>
        <v>45110</v>
      </c>
      <c r="D921" s="16" t="s">
        <v>375</v>
      </c>
      <c r="E921" s="16" t="s">
        <v>157</v>
      </c>
      <c r="F921" s="16" t="s">
        <v>15</v>
      </c>
      <c r="G921" s="17" t="n">
        <v>249445000</v>
      </c>
      <c r="H921" s="17"/>
      <c r="I921" s="14" t="n">
        <f aca="false">I920+G921-H921</f>
        <v>478396622</v>
      </c>
    </row>
    <row r="922" customFormat="false" ht="12" hidden="false" customHeight="true" outlineLevel="1" collapsed="false">
      <c r="B922" s="15" t="n">
        <v>45110</v>
      </c>
      <c r="C922" s="15" t="n">
        <f aca="false">B922</f>
        <v>45110</v>
      </c>
      <c r="D922" s="16" t="s">
        <v>375</v>
      </c>
      <c r="E922" s="16" t="s">
        <v>157</v>
      </c>
      <c r="F922" s="16" t="s">
        <v>15</v>
      </c>
      <c r="G922" s="17" t="n">
        <v>222151000</v>
      </c>
      <c r="H922" s="17"/>
      <c r="I922" s="14" t="n">
        <f aca="false">I921+G922-H922</f>
        <v>700547622</v>
      </c>
    </row>
    <row r="923" customFormat="false" ht="12" hidden="false" customHeight="true" outlineLevel="1" collapsed="false">
      <c r="B923" s="15" t="n">
        <v>45110</v>
      </c>
      <c r="C923" s="15" t="n">
        <f aca="false">B923</f>
        <v>45110</v>
      </c>
      <c r="D923" s="16" t="s">
        <v>375</v>
      </c>
      <c r="E923" s="16" t="s">
        <v>157</v>
      </c>
      <c r="F923" s="16" t="s">
        <v>15</v>
      </c>
      <c r="G923" s="17" t="n">
        <v>32127000</v>
      </c>
      <c r="H923" s="17"/>
      <c r="I923" s="14" t="n">
        <f aca="false">I922+G923-H923</f>
        <v>732674622</v>
      </c>
    </row>
    <row r="924" customFormat="false" ht="12" hidden="false" customHeight="true" outlineLevel="1" collapsed="false">
      <c r="B924" s="15" t="n">
        <v>45110</v>
      </c>
      <c r="C924" s="15" t="n">
        <f aca="false">B924</f>
        <v>45110</v>
      </c>
      <c r="D924" s="16" t="s">
        <v>375</v>
      </c>
      <c r="E924" s="16" t="s">
        <v>157</v>
      </c>
      <c r="F924" s="16" t="s">
        <v>15</v>
      </c>
      <c r="G924" s="17" t="n">
        <v>140000000</v>
      </c>
      <c r="H924" s="17"/>
      <c r="I924" s="14" t="n">
        <f aca="false">I923+G924-H924</f>
        <v>872674622</v>
      </c>
    </row>
    <row r="925" customFormat="false" ht="12" hidden="false" customHeight="true" outlineLevel="1" collapsed="false">
      <c r="B925" s="15" t="n">
        <v>45110</v>
      </c>
      <c r="C925" s="15" t="n">
        <f aca="false">B925</f>
        <v>45110</v>
      </c>
      <c r="D925" s="16" t="s">
        <v>375</v>
      </c>
      <c r="E925" s="16" t="s">
        <v>157</v>
      </c>
      <c r="F925" s="16" t="s">
        <v>15</v>
      </c>
      <c r="G925" s="17" t="n">
        <v>25000000</v>
      </c>
      <c r="H925" s="17"/>
      <c r="I925" s="14" t="n">
        <f aca="false">I924+G925-H925</f>
        <v>897674622</v>
      </c>
    </row>
    <row r="926" customFormat="false" ht="12" hidden="false" customHeight="true" outlineLevel="1" collapsed="false">
      <c r="B926" s="15" t="n">
        <v>45110</v>
      </c>
      <c r="C926" s="15" t="n">
        <f aca="false">B926</f>
        <v>45110</v>
      </c>
      <c r="D926" s="16" t="s">
        <v>376</v>
      </c>
      <c r="E926" s="16" t="s">
        <v>23</v>
      </c>
      <c r="F926" s="16" t="s">
        <v>24</v>
      </c>
      <c r="G926" s="17"/>
      <c r="H926" s="17" t="n">
        <v>280222041</v>
      </c>
      <c r="I926" s="14" t="n">
        <f aca="false">I925+G926-H926</f>
        <v>617452581</v>
      </c>
    </row>
    <row r="927" customFormat="false" ht="12" hidden="false" customHeight="true" outlineLevel="1" collapsed="false">
      <c r="B927" s="15" t="n">
        <v>45110</v>
      </c>
      <c r="C927" s="15" t="n">
        <f aca="false">B927</f>
        <v>45110</v>
      </c>
      <c r="D927" s="16" t="s">
        <v>376</v>
      </c>
      <c r="E927" s="16" t="s">
        <v>23</v>
      </c>
      <c r="F927" s="16" t="s">
        <v>24</v>
      </c>
      <c r="G927" s="17"/>
      <c r="H927" s="17" t="n">
        <v>610593262</v>
      </c>
      <c r="I927" s="14" t="n">
        <f aca="false">I926+G927-H927</f>
        <v>6859319</v>
      </c>
    </row>
    <row r="928" customFormat="false" ht="12" hidden="false" customHeight="true" outlineLevel="1" collapsed="false">
      <c r="B928" s="15" t="n">
        <v>45111</v>
      </c>
      <c r="C928" s="15" t="n">
        <f aca="false">B928</f>
        <v>45111</v>
      </c>
      <c r="D928" s="16" t="s">
        <v>375</v>
      </c>
      <c r="E928" s="16" t="s">
        <v>157</v>
      </c>
      <c r="F928" s="16" t="s">
        <v>15</v>
      </c>
      <c r="G928" s="17" t="n">
        <v>38854000</v>
      </c>
      <c r="H928" s="17"/>
      <c r="I928" s="14" t="n">
        <f aca="false">I927+G928-H928</f>
        <v>45713319</v>
      </c>
    </row>
    <row r="929" customFormat="false" ht="12" hidden="false" customHeight="true" outlineLevel="1" collapsed="false">
      <c r="B929" s="15" t="n">
        <v>45111</v>
      </c>
      <c r="C929" s="15" t="n">
        <f aca="false">B929</f>
        <v>45111</v>
      </c>
      <c r="D929" s="16" t="s">
        <v>375</v>
      </c>
      <c r="E929" s="16" t="s">
        <v>157</v>
      </c>
      <c r="F929" s="16" t="s">
        <v>15</v>
      </c>
      <c r="G929" s="17" t="n">
        <v>17808000</v>
      </c>
      <c r="H929" s="17"/>
      <c r="I929" s="14" t="n">
        <f aca="false">I928+G929-H929</f>
        <v>63521319</v>
      </c>
    </row>
    <row r="930" customFormat="false" ht="12" hidden="false" customHeight="true" outlineLevel="1" collapsed="false">
      <c r="B930" s="15" t="n">
        <v>45111</v>
      </c>
      <c r="C930" s="15" t="n">
        <f aca="false">B930</f>
        <v>45111</v>
      </c>
      <c r="D930" s="16" t="s">
        <v>375</v>
      </c>
      <c r="E930" s="16" t="s">
        <v>157</v>
      </c>
      <c r="F930" s="16" t="s">
        <v>15</v>
      </c>
      <c r="G930" s="17" t="n">
        <v>147488000</v>
      </c>
      <c r="H930" s="17"/>
      <c r="I930" s="14" t="n">
        <f aca="false">I929+G930-H930</f>
        <v>211009319</v>
      </c>
    </row>
    <row r="931" customFormat="false" ht="12" hidden="false" customHeight="true" outlineLevel="1" collapsed="false">
      <c r="B931" s="15" t="n">
        <v>45111</v>
      </c>
      <c r="C931" s="15" t="n">
        <f aca="false">B931</f>
        <v>45111</v>
      </c>
      <c r="D931" s="16" t="s">
        <v>376</v>
      </c>
      <c r="E931" s="16" t="s">
        <v>294</v>
      </c>
      <c r="F931" s="16" t="s">
        <v>179</v>
      </c>
      <c r="G931" s="17"/>
      <c r="H931" s="17" t="n">
        <v>98224869</v>
      </c>
      <c r="I931" s="14" t="n">
        <f aca="false">I930+G931-H931</f>
        <v>112784450</v>
      </c>
    </row>
    <row r="932" customFormat="false" ht="12" hidden="false" customHeight="true" outlineLevel="1" collapsed="false">
      <c r="B932" s="15" t="n">
        <v>45112</v>
      </c>
      <c r="C932" s="15" t="n">
        <f aca="false">B932</f>
        <v>45112</v>
      </c>
      <c r="D932" s="16" t="s">
        <v>376</v>
      </c>
      <c r="E932" s="16" t="s">
        <v>294</v>
      </c>
      <c r="F932" s="16" t="s">
        <v>179</v>
      </c>
      <c r="G932" s="17"/>
      <c r="H932" s="17" t="n">
        <v>23785568</v>
      </c>
      <c r="I932" s="14" t="n">
        <f aca="false">I931+G932-H932</f>
        <v>88998882</v>
      </c>
    </row>
    <row r="933" customFormat="false" ht="12" hidden="false" customHeight="true" outlineLevel="1" collapsed="false">
      <c r="B933" s="15" t="n">
        <v>45112</v>
      </c>
      <c r="C933" s="15" t="n">
        <f aca="false">B933</f>
        <v>45112</v>
      </c>
      <c r="D933" s="16" t="s">
        <v>375</v>
      </c>
      <c r="E933" s="16" t="s">
        <v>157</v>
      </c>
      <c r="F933" s="16" t="s">
        <v>15</v>
      </c>
      <c r="G933" s="17" t="n">
        <v>129887000</v>
      </c>
      <c r="H933" s="17"/>
      <c r="I933" s="14" t="n">
        <f aca="false">I932+G933-H933</f>
        <v>218885882</v>
      </c>
    </row>
    <row r="934" customFormat="false" ht="12" hidden="false" customHeight="true" outlineLevel="1" collapsed="false">
      <c r="B934" s="15" t="n">
        <v>45112</v>
      </c>
      <c r="C934" s="15" t="n">
        <f aca="false">B934</f>
        <v>45112</v>
      </c>
      <c r="D934" s="16" t="s">
        <v>375</v>
      </c>
      <c r="E934" s="16" t="s">
        <v>157</v>
      </c>
      <c r="F934" s="16" t="s">
        <v>15</v>
      </c>
      <c r="G934" s="17" t="n">
        <v>70758000</v>
      </c>
      <c r="H934" s="17"/>
      <c r="I934" s="14" t="n">
        <f aca="false">I933+G934-H934</f>
        <v>289643882</v>
      </c>
    </row>
    <row r="935" customFormat="false" ht="12" hidden="false" customHeight="true" outlineLevel="1" collapsed="false">
      <c r="B935" s="15" t="n">
        <v>45112</v>
      </c>
      <c r="C935" s="15" t="n">
        <f aca="false">B935</f>
        <v>45112</v>
      </c>
      <c r="D935" s="16" t="s">
        <v>375</v>
      </c>
      <c r="E935" s="16" t="s">
        <v>157</v>
      </c>
      <c r="F935" s="16" t="s">
        <v>15</v>
      </c>
      <c r="G935" s="17" t="n">
        <v>27000000</v>
      </c>
      <c r="H935" s="17"/>
      <c r="I935" s="14" t="n">
        <f aca="false">I934+G935-H935</f>
        <v>316643882</v>
      </c>
    </row>
    <row r="936" customFormat="false" ht="12" hidden="false" customHeight="true" outlineLevel="1" collapsed="false">
      <c r="B936" s="15" t="n">
        <v>45112</v>
      </c>
      <c r="C936" s="15" t="n">
        <f aca="false">B936</f>
        <v>45112</v>
      </c>
      <c r="D936" s="16" t="s">
        <v>375</v>
      </c>
      <c r="E936" s="16" t="s">
        <v>157</v>
      </c>
      <c r="F936" s="16" t="s">
        <v>15</v>
      </c>
      <c r="G936" s="17" t="n">
        <v>75000000</v>
      </c>
      <c r="H936" s="17"/>
      <c r="I936" s="14" t="n">
        <f aca="false">I935+G936-H936</f>
        <v>391643882</v>
      </c>
    </row>
    <row r="937" customFormat="false" ht="12" hidden="false" customHeight="true" outlineLevel="1" collapsed="false">
      <c r="B937" s="15" t="n">
        <v>45112</v>
      </c>
      <c r="C937" s="15" t="n">
        <f aca="false">B937</f>
        <v>45112</v>
      </c>
      <c r="D937" s="16" t="s">
        <v>376</v>
      </c>
      <c r="E937" s="16" t="s">
        <v>23</v>
      </c>
      <c r="F937" s="16" t="s">
        <v>24</v>
      </c>
      <c r="G937" s="17"/>
      <c r="H937" s="17" t="n">
        <v>380000000</v>
      </c>
      <c r="I937" s="14" t="n">
        <f aca="false">I936+G937-H937</f>
        <v>11643882</v>
      </c>
    </row>
    <row r="938" customFormat="false" ht="12" hidden="false" customHeight="true" outlineLevel="1" collapsed="false">
      <c r="B938" s="15" t="n">
        <v>45113</v>
      </c>
      <c r="C938" s="15" t="n">
        <f aca="false">B938</f>
        <v>45113</v>
      </c>
      <c r="D938" s="16" t="s">
        <v>375</v>
      </c>
      <c r="E938" s="16" t="s">
        <v>157</v>
      </c>
      <c r="F938" s="16" t="s">
        <v>15</v>
      </c>
      <c r="G938" s="17" t="n">
        <v>72000000</v>
      </c>
      <c r="H938" s="17"/>
      <c r="I938" s="14" t="n">
        <f aca="false">I937+G938-H938</f>
        <v>83643882</v>
      </c>
    </row>
    <row r="939" customFormat="false" ht="12" hidden="false" customHeight="true" outlineLevel="1" collapsed="false">
      <c r="B939" s="15" t="n">
        <v>45113</v>
      </c>
      <c r="C939" s="15" t="n">
        <f aca="false">B939</f>
        <v>45113</v>
      </c>
      <c r="D939" s="16" t="s">
        <v>375</v>
      </c>
      <c r="E939" s="16" t="s">
        <v>157</v>
      </c>
      <c r="F939" s="16" t="s">
        <v>15</v>
      </c>
      <c r="G939" s="17" t="n">
        <v>49164000</v>
      </c>
      <c r="H939" s="17"/>
      <c r="I939" s="14" t="n">
        <f aca="false">I938+G939-H939</f>
        <v>132807882</v>
      </c>
    </row>
    <row r="940" customFormat="false" ht="12" hidden="false" customHeight="true" outlineLevel="1" collapsed="false">
      <c r="B940" s="15" t="n">
        <v>45113</v>
      </c>
      <c r="C940" s="15" t="n">
        <f aca="false">B940</f>
        <v>45113</v>
      </c>
      <c r="D940" s="16" t="s">
        <v>375</v>
      </c>
      <c r="E940" s="16" t="s">
        <v>157</v>
      </c>
      <c r="F940" s="16" t="s">
        <v>15</v>
      </c>
      <c r="G940" s="17" t="n">
        <v>42453000</v>
      </c>
      <c r="H940" s="17"/>
      <c r="I940" s="14" t="n">
        <f aca="false">I939+G940-H940</f>
        <v>175260882</v>
      </c>
    </row>
    <row r="941" customFormat="false" ht="12" hidden="false" customHeight="true" outlineLevel="1" collapsed="false">
      <c r="B941" s="15" t="n">
        <v>45113</v>
      </c>
      <c r="C941" s="15" t="n">
        <f aca="false">B941</f>
        <v>45113</v>
      </c>
      <c r="D941" s="16" t="s">
        <v>375</v>
      </c>
      <c r="E941" s="16" t="s">
        <v>157</v>
      </c>
      <c r="F941" s="16" t="s">
        <v>15</v>
      </c>
      <c r="G941" s="17" t="n">
        <v>162515000</v>
      </c>
      <c r="H941" s="17"/>
      <c r="I941" s="14" t="n">
        <f aca="false">I940+G941-H941</f>
        <v>337775882</v>
      </c>
    </row>
    <row r="942" customFormat="false" ht="12" hidden="false" customHeight="true" outlineLevel="1" collapsed="false">
      <c r="B942" s="15" t="n">
        <v>45113</v>
      </c>
      <c r="C942" s="15" t="n">
        <f aca="false">B942</f>
        <v>45113</v>
      </c>
      <c r="D942" s="16" t="s">
        <v>376</v>
      </c>
      <c r="E942" s="16" t="s">
        <v>23</v>
      </c>
      <c r="F942" s="16" t="s">
        <v>24</v>
      </c>
      <c r="G942" s="17"/>
      <c r="H942" s="17" t="n">
        <v>207564541</v>
      </c>
      <c r="I942" s="14" t="n">
        <f aca="false">I941+G942-H942</f>
        <v>130211341</v>
      </c>
    </row>
    <row r="943" customFormat="false" ht="12" hidden="false" customHeight="true" outlineLevel="1" collapsed="false">
      <c r="B943" s="15" t="n">
        <v>45113</v>
      </c>
      <c r="C943" s="15" t="n">
        <f aca="false">B943</f>
        <v>45113</v>
      </c>
      <c r="D943" s="16" t="s">
        <v>376</v>
      </c>
      <c r="E943" s="16" t="s">
        <v>23</v>
      </c>
      <c r="F943" s="16" t="s">
        <v>24</v>
      </c>
      <c r="G943" s="17"/>
      <c r="H943" s="17" t="n">
        <v>124705332</v>
      </c>
      <c r="I943" s="14" t="n">
        <f aca="false">I942+G943-H943</f>
        <v>5506009</v>
      </c>
    </row>
    <row r="944" customFormat="false" ht="12" hidden="false" customHeight="true" outlineLevel="1" collapsed="false">
      <c r="B944" s="15" t="n">
        <v>45115</v>
      </c>
      <c r="C944" s="15" t="n">
        <f aca="false">B944</f>
        <v>45115</v>
      </c>
      <c r="D944" s="16" t="s">
        <v>376</v>
      </c>
      <c r="E944" s="16" t="s">
        <v>36</v>
      </c>
      <c r="F944" s="16" t="n">
        <v>635</v>
      </c>
      <c r="G944" s="17"/>
      <c r="H944" s="17" t="n">
        <v>55000</v>
      </c>
      <c r="I944" s="14" t="n">
        <f aca="false">I943+G944-H944</f>
        <v>5451009</v>
      </c>
    </row>
    <row r="945" customFormat="false" ht="12" hidden="false" customHeight="true" outlineLevel="1" collapsed="false">
      <c r="B945" s="15" t="n">
        <v>45117</v>
      </c>
      <c r="C945" s="15" t="n">
        <f aca="false">B945</f>
        <v>45117</v>
      </c>
      <c r="D945" s="16" t="s">
        <v>375</v>
      </c>
      <c r="E945" s="16" t="s">
        <v>157</v>
      </c>
      <c r="F945" s="16" t="s">
        <v>15</v>
      </c>
      <c r="G945" s="17" t="n">
        <v>36356000</v>
      </c>
      <c r="H945" s="17"/>
      <c r="I945" s="14" t="n">
        <f aca="false">I944+G945-H945</f>
        <v>41807009</v>
      </c>
    </row>
    <row r="946" customFormat="false" ht="12" hidden="false" customHeight="true" outlineLevel="1" collapsed="false">
      <c r="B946" s="15" t="n">
        <v>45117</v>
      </c>
      <c r="C946" s="15" t="n">
        <f aca="false">B946</f>
        <v>45117</v>
      </c>
      <c r="D946" s="16" t="s">
        <v>375</v>
      </c>
      <c r="E946" s="16" t="s">
        <v>157</v>
      </c>
      <c r="F946" s="16" t="s">
        <v>15</v>
      </c>
      <c r="G946" s="17" t="n">
        <v>64876000</v>
      </c>
      <c r="H946" s="17"/>
      <c r="I946" s="14" t="n">
        <f aca="false">I945+G946-H946</f>
        <v>106683009</v>
      </c>
    </row>
    <row r="947" customFormat="false" ht="12" hidden="false" customHeight="true" outlineLevel="1" collapsed="false">
      <c r="B947" s="15" t="n">
        <v>45117</v>
      </c>
      <c r="C947" s="15" t="n">
        <f aca="false">B947</f>
        <v>45117</v>
      </c>
      <c r="D947" s="16" t="s">
        <v>375</v>
      </c>
      <c r="E947" s="16" t="s">
        <v>157</v>
      </c>
      <c r="F947" s="16" t="s">
        <v>15</v>
      </c>
      <c r="G947" s="17" t="n">
        <v>55583000</v>
      </c>
      <c r="H947" s="17"/>
      <c r="I947" s="14" t="n">
        <f aca="false">I946+G947-H947</f>
        <v>162266009</v>
      </c>
    </row>
    <row r="948" customFormat="false" ht="12" hidden="false" customHeight="true" outlineLevel="1" collapsed="false">
      <c r="B948" s="15" t="n">
        <v>45117</v>
      </c>
      <c r="C948" s="15" t="n">
        <f aca="false">B948</f>
        <v>45117</v>
      </c>
      <c r="D948" s="16" t="s">
        <v>375</v>
      </c>
      <c r="E948" s="16" t="s">
        <v>157</v>
      </c>
      <c r="F948" s="16" t="s">
        <v>15</v>
      </c>
      <c r="G948" s="17" t="n">
        <v>59804000</v>
      </c>
      <c r="H948" s="17"/>
      <c r="I948" s="14" t="n">
        <f aca="false">I947+G948-H948</f>
        <v>222070009</v>
      </c>
    </row>
    <row r="949" customFormat="false" ht="12" hidden="false" customHeight="true" outlineLevel="1" collapsed="false">
      <c r="B949" s="15" t="n">
        <v>45117</v>
      </c>
      <c r="C949" s="15" t="n">
        <f aca="false">B949</f>
        <v>45117</v>
      </c>
      <c r="D949" s="16" t="s">
        <v>375</v>
      </c>
      <c r="E949" s="16" t="s">
        <v>157</v>
      </c>
      <c r="F949" s="16" t="s">
        <v>15</v>
      </c>
      <c r="G949" s="17" t="n">
        <v>108340000</v>
      </c>
      <c r="H949" s="17"/>
      <c r="I949" s="14" t="n">
        <f aca="false">I948+G949-H949</f>
        <v>330410009</v>
      </c>
    </row>
    <row r="950" customFormat="false" ht="12" hidden="false" customHeight="true" outlineLevel="1" collapsed="false">
      <c r="B950" s="15" t="n">
        <v>45117</v>
      </c>
      <c r="C950" s="15" t="n">
        <f aca="false">B950</f>
        <v>45117</v>
      </c>
      <c r="D950" s="16" t="s">
        <v>375</v>
      </c>
      <c r="E950" s="16" t="s">
        <v>157</v>
      </c>
      <c r="F950" s="16" t="s">
        <v>15</v>
      </c>
      <c r="G950" s="17" t="n">
        <v>191129000</v>
      </c>
      <c r="H950" s="17"/>
      <c r="I950" s="14" t="n">
        <f aca="false">I949+G950-H950</f>
        <v>521539009</v>
      </c>
    </row>
    <row r="951" customFormat="false" ht="12" hidden="false" customHeight="true" outlineLevel="1" collapsed="false">
      <c r="B951" s="15" t="n">
        <v>45117</v>
      </c>
      <c r="C951" s="15" t="n">
        <f aca="false">B951</f>
        <v>45117</v>
      </c>
      <c r="D951" s="16" t="s">
        <v>376</v>
      </c>
      <c r="E951" s="16" t="s">
        <v>294</v>
      </c>
      <c r="F951" s="16" t="s">
        <v>179</v>
      </c>
      <c r="G951" s="17"/>
      <c r="H951" s="17" t="n">
        <v>165328771</v>
      </c>
      <c r="I951" s="14" t="n">
        <f aca="false">I950+G951-H951</f>
        <v>356210238</v>
      </c>
    </row>
    <row r="952" customFormat="false" ht="12" hidden="false" customHeight="true" outlineLevel="1" collapsed="false">
      <c r="B952" s="15" t="n">
        <v>45117</v>
      </c>
      <c r="C952" s="15" t="n">
        <f aca="false">B952</f>
        <v>45117</v>
      </c>
      <c r="D952" s="16" t="s">
        <v>376</v>
      </c>
      <c r="E952" s="16" t="s">
        <v>23</v>
      </c>
      <c r="F952" s="16" t="s">
        <v>24</v>
      </c>
      <c r="G952" s="17"/>
      <c r="H952" s="17" t="n">
        <v>345000000</v>
      </c>
      <c r="I952" s="14" t="n">
        <f aca="false">I951+G952-H952</f>
        <v>11210238</v>
      </c>
    </row>
    <row r="953" customFormat="false" ht="12" hidden="false" customHeight="true" outlineLevel="1" collapsed="false">
      <c r="B953" s="15" t="n">
        <v>45118</v>
      </c>
      <c r="C953" s="15" t="n">
        <f aca="false">B953</f>
        <v>45118</v>
      </c>
      <c r="D953" s="16" t="s">
        <v>375</v>
      </c>
      <c r="E953" s="16" t="s">
        <v>157</v>
      </c>
      <c r="F953" s="16" t="s">
        <v>15</v>
      </c>
      <c r="G953" s="17" t="n">
        <v>46322000</v>
      </c>
      <c r="H953" s="17"/>
      <c r="I953" s="14" t="n">
        <f aca="false">I952+G953-H953</f>
        <v>57532238</v>
      </c>
    </row>
    <row r="954" customFormat="false" ht="12" hidden="false" customHeight="true" outlineLevel="1" collapsed="false">
      <c r="B954" s="15" t="n">
        <v>45118</v>
      </c>
      <c r="C954" s="15" t="n">
        <f aca="false">B954</f>
        <v>45118</v>
      </c>
      <c r="D954" s="16" t="s">
        <v>375</v>
      </c>
      <c r="E954" s="16" t="s">
        <v>157</v>
      </c>
      <c r="F954" s="16" t="s">
        <v>15</v>
      </c>
      <c r="G954" s="17" t="n">
        <v>182847000</v>
      </c>
      <c r="H954" s="17"/>
      <c r="I954" s="14" t="n">
        <f aca="false">I953+G954-H954</f>
        <v>240379238</v>
      </c>
    </row>
    <row r="955" customFormat="false" ht="12" hidden="false" customHeight="true" outlineLevel="1" collapsed="false">
      <c r="B955" s="15" t="n">
        <v>45118</v>
      </c>
      <c r="C955" s="15" t="n">
        <f aca="false">B955</f>
        <v>45118</v>
      </c>
      <c r="D955" s="16" t="s">
        <v>375</v>
      </c>
      <c r="E955" s="16" t="s">
        <v>157</v>
      </c>
      <c r="F955" s="16" t="s">
        <v>15</v>
      </c>
      <c r="G955" s="17" t="n">
        <v>56809000</v>
      </c>
      <c r="H955" s="17"/>
      <c r="I955" s="14" t="n">
        <f aca="false">I954+G955-H955</f>
        <v>297188238</v>
      </c>
    </row>
    <row r="956" customFormat="false" ht="12" hidden="false" customHeight="true" outlineLevel="1" collapsed="false">
      <c r="B956" s="15" t="n">
        <v>45118</v>
      </c>
      <c r="C956" s="15" t="n">
        <f aca="false">B956</f>
        <v>45118</v>
      </c>
      <c r="D956" s="16" t="s">
        <v>375</v>
      </c>
      <c r="E956" s="16" t="s">
        <v>157</v>
      </c>
      <c r="F956" s="16" t="s">
        <v>15</v>
      </c>
      <c r="G956" s="17" t="n">
        <v>12000000</v>
      </c>
      <c r="H956" s="17"/>
      <c r="I956" s="14" t="n">
        <f aca="false">I955+G956-H956</f>
        <v>309188238</v>
      </c>
    </row>
    <row r="957" customFormat="false" ht="12" hidden="false" customHeight="true" outlineLevel="1" collapsed="false">
      <c r="B957" s="15" t="n">
        <v>45118</v>
      </c>
      <c r="C957" s="15" t="n">
        <f aca="false">B957</f>
        <v>45118</v>
      </c>
      <c r="D957" s="16" t="s">
        <v>375</v>
      </c>
      <c r="E957" s="16" t="s">
        <v>157</v>
      </c>
      <c r="F957" s="16" t="s">
        <v>15</v>
      </c>
      <c r="G957" s="17" t="n">
        <v>14000000</v>
      </c>
      <c r="H957" s="17"/>
      <c r="I957" s="14" t="n">
        <f aca="false">I956+G957-H957</f>
        <v>323188238</v>
      </c>
    </row>
    <row r="958" customFormat="false" ht="12" hidden="false" customHeight="true" outlineLevel="1" collapsed="false">
      <c r="B958" s="15" t="n">
        <v>45118</v>
      </c>
      <c r="C958" s="15" t="n">
        <f aca="false">B958</f>
        <v>45118</v>
      </c>
      <c r="D958" s="16" t="s">
        <v>376</v>
      </c>
      <c r="E958" s="16" t="s">
        <v>23</v>
      </c>
      <c r="F958" s="16" t="s">
        <v>24</v>
      </c>
      <c r="G958" s="17"/>
      <c r="H958" s="17" t="n">
        <v>317000000</v>
      </c>
      <c r="I958" s="14" t="n">
        <f aca="false">I957+G958-H958</f>
        <v>6188238</v>
      </c>
    </row>
    <row r="959" customFormat="false" ht="12" hidden="false" customHeight="true" outlineLevel="1" collapsed="false">
      <c r="B959" s="15" t="n">
        <v>45119</v>
      </c>
      <c r="C959" s="15" t="n">
        <f aca="false">B959</f>
        <v>45119</v>
      </c>
      <c r="D959" s="16" t="s">
        <v>375</v>
      </c>
      <c r="E959" s="16" t="s">
        <v>157</v>
      </c>
      <c r="F959" s="16" t="s">
        <v>15</v>
      </c>
      <c r="G959" s="17" t="n">
        <v>53998000</v>
      </c>
      <c r="H959" s="17"/>
      <c r="I959" s="14" t="n">
        <f aca="false">I958+G959-H959</f>
        <v>60186238</v>
      </c>
    </row>
    <row r="960" customFormat="false" ht="12" hidden="false" customHeight="true" outlineLevel="1" collapsed="false">
      <c r="B960" s="15" t="n">
        <v>45119</v>
      </c>
      <c r="C960" s="15" t="n">
        <f aca="false">B960</f>
        <v>45119</v>
      </c>
      <c r="D960" s="16" t="s">
        <v>375</v>
      </c>
      <c r="E960" s="16" t="s">
        <v>157</v>
      </c>
      <c r="F960" s="16" t="s">
        <v>15</v>
      </c>
      <c r="G960" s="17" t="n">
        <v>30363000</v>
      </c>
      <c r="H960" s="17"/>
      <c r="I960" s="14" t="n">
        <f aca="false">I959+G960-H960</f>
        <v>90549238</v>
      </c>
    </row>
    <row r="961" customFormat="false" ht="12" hidden="false" customHeight="true" outlineLevel="1" collapsed="false">
      <c r="B961" s="15" t="n">
        <v>45119</v>
      </c>
      <c r="C961" s="15" t="n">
        <f aca="false">B961</f>
        <v>45119</v>
      </c>
      <c r="D961" s="16" t="s">
        <v>375</v>
      </c>
      <c r="E961" s="16" t="s">
        <v>157</v>
      </c>
      <c r="F961" s="16" t="s">
        <v>15</v>
      </c>
      <c r="G961" s="17" t="n">
        <v>112798000</v>
      </c>
      <c r="H961" s="17"/>
      <c r="I961" s="14" t="n">
        <f aca="false">I960+G961-H961</f>
        <v>203347238</v>
      </c>
    </row>
    <row r="962" customFormat="false" ht="12" hidden="false" customHeight="true" outlineLevel="1" collapsed="false">
      <c r="B962" s="15" t="n">
        <v>45119</v>
      </c>
      <c r="C962" s="15" t="n">
        <f aca="false">B962</f>
        <v>45119</v>
      </c>
      <c r="D962" s="16" t="s">
        <v>376</v>
      </c>
      <c r="E962" s="16" t="s">
        <v>36</v>
      </c>
      <c r="F962" s="16" t="n">
        <v>635</v>
      </c>
      <c r="G962" s="17"/>
      <c r="H962" s="17" t="n">
        <v>11000</v>
      </c>
      <c r="I962" s="14" t="n">
        <f aca="false">I961+G962-H962</f>
        <v>203336238</v>
      </c>
    </row>
    <row r="963" customFormat="false" ht="12" hidden="false" customHeight="true" outlineLevel="1" collapsed="false">
      <c r="B963" s="15" t="n">
        <v>45119</v>
      </c>
      <c r="C963" s="15" t="n">
        <f aca="false">B963</f>
        <v>45119</v>
      </c>
      <c r="D963" s="16" t="s">
        <v>376</v>
      </c>
      <c r="E963" s="16" t="s">
        <v>23</v>
      </c>
      <c r="F963" s="16" t="s">
        <v>24</v>
      </c>
      <c r="G963" s="17"/>
      <c r="H963" s="17" t="n">
        <v>200000000</v>
      </c>
      <c r="I963" s="14" t="n">
        <f aca="false">I962+G963-H963</f>
        <v>3336238</v>
      </c>
    </row>
    <row r="964" customFormat="false" ht="12" hidden="false" customHeight="true" outlineLevel="1" collapsed="false">
      <c r="B964" s="15" t="n">
        <v>45120</v>
      </c>
      <c r="C964" s="15" t="n">
        <f aca="false">B964</f>
        <v>45120</v>
      </c>
      <c r="D964" s="16" t="s">
        <v>375</v>
      </c>
      <c r="E964" s="16" t="s">
        <v>157</v>
      </c>
      <c r="F964" s="16" t="s">
        <v>15</v>
      </c>
      <c r="G964" s="17" t="n">
        <v>104310000</v>
      </c>
      <c r="H964" s="17"/>
      <c r="I964" s="14" t="n">
        <f aca="false">I963+G964-H964</f>
        <v>107646238</v>
      </c>
    </row>
    <row r="965" customFormat="false" ht="12" hidden="false" customHeight="true" outlineLevel="1" collapsed="false">
      <c r="B965" s="15" t="n">
        <v>45120</v>
      </c>
      <c r="C965" s="15" t="n">
        <f aca="false">B965</f>
        <v>45120</v>
      </c>
      <c r="D965" s="16" t="s">
        <v>375</v>
      </c>
      <c r="E965" s="16" t="s">
        <v>157</v>
      </c>
      <c r="F965" s="16" t="s">
        <v>15</v>
      </c>
      <c r="G965" s="17" t="n">
        <v>174456000</v>
      </c>
      <c r="H965" s="17"/>
      <c r="I965" s="14" t="n">
        <f aca="false">I964+G965-H965</f>
        <v>282102238</v>
      </c>
    </row>
    <row r="966" customFormat="false" ht="12" hidden="false" customHeight="true" outlineLevel="1" collapsed="false">
      <c r="B966" s="15" t="n">
        <v>45120</v>
      </c>
      <c r="C966" s="15" t="n">
        <f aca="false">B966</f>
        <v>45120</v>
      </c>
      <c r="D966" s="16" t="s">
        <v>375</v>
      </c>
      <c r="E966" s="16" t="s">
        <v>157</v>
      </c>
      <c r="F966" s="16" t="s">
        <v>15</v>
      </c>
      <c r="G966" s="17" t="n">
        <v>50267000</v>
      </c>
      <c r="H966" s="17"/>
      <c r="I966" s="14" t="n">
        <f aca="false">I965+G966-H966</f>
        <v>332369238</v>
      </c>
    </row>
    <row r="967" customFormat="false" ht="12" hidden="false" customHeight="true" outlineLevel="1" collapsed="false">
      <c r="B967" s="15" t="n">
        <v>45120</v>
      </c>
      <c r="C967" s="15" t="n">
        <f aca="false">B967</f>
        <v>45120</v>
      </c>
      <c r="D967" s="16" t="s">
        <v>376</v>
      </c>
      <c r="E967" s="16" t="s">
        <v>23</v>
      </c>
      <c r="F967" s="16" t="s">
        <v>24</v>
      </c>
      <c r="G967" s="17"/>
      <c r="H967" s="17" t="n">
        <v>330000000</v>
      </c>
      <c r="I967" s="14" t="n">
        <f aca="false">I966+G967-H967</f>
        <v>2369238</v>
      </c>
    </row>
    <row r="968" customFormat="false" ht="12" hidden="false" customHeight="true" outlineLevel="1" collapsed="false">
      <c r="B968" s="15" t="n">
        <v>45121</v>
      </c>
      <c r="C968" s="15" t="n">
        <f aca="false">B968</f>
        <v>45121</v>
      </c>
      <c r="D968" s="16" t="s">
        <v>376</v>
      </c>
      <c r="E968" s="16" t="s">
        <v>36</v>
      </c>
      <c r="F968" s="16" t="n">
        <v>635</v>
      </c>
      <c r="G968" s="23"/>
      <c r="H968" s="17" t="n">
        <v>54259</v>
      </c>
      <c r="I968" s="14" t="n">
        <f aca="false">I967+G968-H968</f>
        <v>2314979</v>
      </c>
    </row>
    <row r="969" customFormat="false" ht="12" hidden="false" customHeight="true" outlineLevel="1" collapsed="false">
      <c r="B969" s="15" t="n">
        <v>45124</v>
      </c>
      <c r="C969" s="15" t="n">
        <f aca="false">B969</f>
        <v>45124</v>
      </c>
      <c r="D969" s="16" t="s">
        <v>375</v>
      </c>
      <c r="E969" s="16" t="s">
        <v>157</v>
      </c>
      <c r="F969" s="16" t="s">
        <v>15</v>
      </c>
      <c r="G969" s="17" t="n">
        <v>174000000</v>
      </c>
      <c r="H969" s="17"/>
      <c r="I969" s="14" t="n">
        <f aca="false">I968+G969-H969</f>
        <v>176314979</v>
      </c>
    </row>
    <row r="970" customFormat="false" ht="12" hidden="false" customHeight="true" outlineLevel="1" collapsed="false">
      <c r="B970" s="15" t="n">
        <v>45124</v>
      </c>
      <c r="C970" s="15" t="n">
        <f aca="false">B970</f>
        <v>45124</v>
      </c>
      <c r="D970" s="16" t="s">
        <v>375</v>
      </c>
      <c r="E970" s="16" t="s">
        <v>157</v>
      </c>
      <c r="F970" s="16" t="s">
        <v>15</v>
      </c>
      <c r="G970" s="17" t="n">
        <v>168860000</v>
      </c>
      <c r="H970" s="17"/>
      <c r="I970" s="14" t="n">
        <f aca="false">I969+G970-H970</f>
        <v>345174979</v>
      </c>
    </row>
    <row r="971" customFormat="false" ht="12" hidden="false" customHeight="true" outlineLevel="1" collapsed="false">
      <c r="B971" s="15" t="n">
        <v>45124</v>
      </c>
      <c r="C971" s="15" t="n">
        <f aca="false">B971</f>
        <v>45124</v>
      </c>
      <c r="D971" s="16" t="s">
        <v>375</v>
      </c>
      <c r="E971" s="16" t="s">
        <v>157</v>
      </c>
      <c r="F971" s="16" t="s">
        <v>15</v>
      </c>
      <c r="G971" s="17" t="n">
        <v>40918000</v>
      </c>
      <c r="H971" s="17"/>
      <c r="I971" s="14" t="n">
        <f aca="false">I970+G971-H971</f>
        <v>386092979</v>
      </c>
    </row>
    <row r="972" customFormat="false" ht="12" hidden="false" customHeight="true" outlineLevel="1" collapsed="false">
      <c r="B972" s="15" t="n">
        <v>45124</v>
      </c>
      <c r="C972" s="15" t="n">
        <f aca="false">B972</f>
        <v>45124</v>
      </c>
      <c r="D972" s="16" t="s">
        <v>375</v>
      </c>
      <c r="E972" s="16" t="s">
        <v>157</v>
      </c>
      <c r="F972" s="16" t="s">
        <v>15</v>
      </c>
      <c r="G972" s="17" t="n">
        <v>80734000</v>
      </c>
      <c r="H972" s="17"/>
      <c r="I972" s="14" t="n">
        <f aca="false">I971+G972-H972</f>
        <v>466826979</v>
      </c>
    </row>
    <row r="973" customFormat="false" ht="12" hidden="false" customHeight="true" outlineLevel="1" collapsed="false">
      <c r="B973" s="15" t="n">
        <v>45124</v>
      </c>
      <c r="C973" s="15" t="n">
        <f aca="false">B973</f>
        <v>45124</v>
      </c>
      <c r="D973" s="16" t="s">
        <v>375</v>
      </c>
      <c r="E973" s="16" t="s">
        <v>157</v>
      </c>
      <c r="F973" s="16" t="s">
        <v>15</v>
      </c>
      <c r="G973" s="17" t="n">
        <v>82628000</v>
      </c>
      <c r="H973" s="17"/>
      <c r="I973" s="14" t="n">
        <f aca="false">I972+G973-H973</f>
        <v>549454979</v>
      </c>
    </row>
    <row r="974" customFormat="false" ht="12" hidden="false" customHeight="true" outlineLevel="1" collapsed="false">
      <c r="B974" s="15" t="n">
        <v>45124</v>
      </c>
      <c r="C974" s="15" t="n">
        <f aca="false">B974</f>
        <v>45124</v>
      </c>
      <c r="D974" s="16" t="s">
        <v>375</v>
      </c>
      <c r="E974" s="16" t="s">
        <v>157</v>
      </c>
      <c r="F974" s="16" t="s">
        <v>15</v>
      </c>
      <c r="G974" s="17" t="n">
        <v>22342000</v>
      </c>
      <c r="H974" s="17"/>
      <c r="I974" s="14" t="n">
        <f aca="false">I973+G974-H974</f>
        <v>571796979</v>
      </c>
    </row>
    <row r="975" customFormat="false" ht="12" hidden="false" customHeight="true" outlineLevel="1" collapsed="false">
      <c r="B975" s="15" t="n">
        <v>45124</v>
      </c>
      <c r="C975" s="15" t="n">
        <f aca="false">B975</f>
        <v>45124</v>
      </c>
      <c r="D975" s="16" t="s">
        <v>376</v>
      </c>
      <c r="E975" s="16" t="s">
        <v>294</v>
      </c>
      <c r="F975" s="16" t="s">
        <v>179</v>
      </c>
      <c r="G975" s="17"/>
      <c r="H975" s="17" t="n">
        <v>282912240</v>
      </c>
      <c r="I975" s="14" t="n">
        <f aca="false">I974+G975-H975</f>
        <v>288884739</v>
      </c>
    </row>
    <row r="976" customFormat="false" ht="12" hidden="false" customHeight="true" outlineLevel="1" collapsed="false">
      <c r="B976" s="15" t="n">
        <v>45124</v>
      </c>
      <c r="C976" s="15" t="n">
        <f aca="false">B976</f>
        <v>45124</v>
      </c>
      <c r="D976" s="16" t="s">
        <v>376</v>
      </c>
      <c r="E976" s="16" t="s">
        <v>294</v>
      </c>
      <c r="F976" s="16" t="s">
        <v>179</v>
      </c>
      <c r="G976" s="17"/>
      <c r="H976" s="17" t="n">
        <v>10114000</v>
      </c>
      <c r="I976" s="14" t="n">
        <f aca="false">I975+G976-H976</f>
        <v>278770739</v>
      </c>
    </row>
    <row r="977" customFormat="false" ht="12" hidden="false" customHeight="true" outlineLevel="1" collapsed="false">
      <c r="B977" s="15" t="n">
        <v>45124</v>
      </c>
      <c r="C977" s="15" t="n">
        <f aca="false">B977</f>
        <v>45124</v>
      </c>
      <c r="D977" s="16" t="s">
        <v>376</v>
      </c>
      <c r="E977" s="16" t="s">
        <v>23</v>
      </c>
      <c r="F977" s="16" t="s">
        <v>24</v>
      </c>
      <c r="G977" s="17"/>
      <c r="H977" s="17" t="n">
        <v>164090147</v>
      </c>
      <c r="I977" s="14" t="n">
        <f aca="false">I976+G977-H977</f>
        <v>114680592</v>
      </c>
    </row>
    <row r="978" customFormat="false" ht="12" hidden="false" customHeight="true" outlineLevel="1" collapsed="false">
      <c r="B978" s="15" t="n">
        <v>45124</v>
      </c>
      <c r="C978" s="15" t="n">
        <f aca="false">B978</f>
        <v>45124</v>
      </c>
      <c r="D978" s="16" t="s">
        <v>376</v>
      </c>
      <c r="E978" s="16" t="s">
        <v>23</v>
      </c>
      <c r="F978" s="16" t="s">
        <v>24</v>
      </c>
      <c r="G978" s="17"/>
      <c r="H978" s="17" t="n">
        <v>111260332</v>
      </c>
      <c r="I978" s="14" t="n">
        <f aca="false">I977+G978-H978</f>
        <v>3420260</v>
      </c>
    </row>
    <row r="979" customFormat="false" ht="12" hidden="false" customHeight="true" outlineLevel="1" collapsed="false">
      <c r="B979" s="15" t="n">
        <v>45125</v>
      </c>
      <c r="C979" s="15" t="n">
        <f aca="false">B979</f>
        <v>45125</v>
      </c>
      <c r="D979" s="16" t="s">
        <v>375</v>
      </c>
      <c r="E979" s="16" t="s">
        <v>157</v>
      </c>
      <c r="F979" s="16" t="s">
        <v>15</v>
      </c>
      <c r="G979" s="17" t="n">
        <v>17000000</v>
      </c>
      <c r="H979" s="17"/>
      <c r="I979" s="14" t="n">
        <f aca="false">I978+G979-H979</f>
        <v>20420260</v>
      </c>
    </row>
    <row r="980" customFormat="false" ht="12" hidden="false" customHeight="true" outlineLevel="1" collapsed="false">
      <c r="B980" s="15" t="n">
        <v>45125</v>
      </c>
      <c r="C980" s="15" t="n">
        <f aca="false">B980</f>
        <v>45125</v>
      </c>
      <c r="D980" s="16" t="s">
        <v>376</v>
      </c>
      <c r="E980" s="16" t="s">
        <v>294</v>
      </c>
      <c r="F980" s="16" t="s">
        <v>179</v>
      </c>
      <c r="G980" s="17"/>
      <c r="H980" s="17" t="n">
        <v>4127760</v>
      </c>
      <c r="I980" s="14" t="n">
        <f aca="false">I979+G980-H980</f>
        <v>16292500</v>
      </c>
    </row>
    <row r="981" customFormat="false" ht="12" hidden="false" customHeight="true" outlineLevel="1" collapsed="false">
      <c r="B981" s="15" t="n">
        <v>45125</v>
      </c>
      <c r="C981" s="15" t="n">
        <f aca="false">B981</f>
        <v>45125</v>
      </c>
      <c r="D981" s="16" t="s">
        <v>376</v>
      </c>
      <c r="E981" s="16" t="s">
        <v>294</v>
      </c>
      <c r="F981" s="16" t="s">
        <v>179</v>
      </c>
      <c r="G981" s="17"/>
      <c r="H981" s="17" t="n">
        <v>4354900</v>
      </c>
      <c r="I981" s="14" t="n">
        <f aca="false">I980+G981-H981</f>
        <v>11937600</v>
      </c>
    </row>
    <row r="982" customFormat="false" ht="12" hidden="false" customHeight="true" outlineLevel="1" collapsed="false">
      <c r="B982" s="15" t="n">
        <v>45126</v>
      </c>
      <c r="C982" s="15" t="n">
        <f aca="false">B982</f>
        <v>45126</v>
      </c>
      <c r="D982" s="16" t="s">
        <v>375</v>
      </c>
      <c r="E982" s="16" t="s">
        <v>157</v>
      </c>
      <c r="F982" s="16" t="s">
        <v>15</v>
      </c>
      <c r="G982" s="17" t="n">
        <v>30824000</v>
      </c>
      <c r="H982" s="17"/>
      <c r="I982" s="14" t="n">
        <f aca="false">I981+G982-H982</f>
        <v>42761600</v>
      </c>
    </row>
    <row r="983" customFormat="false" ht="12" hidden="false" customHeight="true" outlineLevel="1" collapsed="false">
      <c r="B983" s="15" t="n">
        <v>45126</v>
      </c>
      <c r="C983" s="15" t="n">
        <f aca="false">B983</f>
        <v>45126</v>
      </c>
      <c r="D983" s="16" t="s">
        <v>375</v>
      </c>
      <c r="E983" s="16" t="s">
        <v>157</v>
      </c>
      <c r="F983" s="16" t="s">
        <v>15</v>
      </c>
      <c r="G983" s="17" t="n">
        <v>41336000</v>
      </c>
      <c r="H983" s="17"/>
      <c r="I983" s="14" t="n">
        <f aca="false">I982+G983-H983</f>
        <v>84097600</v>
      </c>
    </row>
    <row r="984" customFormat="false" ht="12" hidden="false" customHeight="true" outlineLevel="1" collapsed="false">
      <c r="B984" s="15" t="n">
        <v>45126</v>
      </c>
      <c r="C984" s="15" t="n">
        <f aca="false">B984</f>
        <v>45126</v>
      </c>
      <c r="D984" s="16" t="s">
        <v>375</v>
      </c>
      <c r="E984" s="16" t="s">
        <v>157</v>
      </c>
      <c r="F984" s="16" t="s">
        <v>15</v>
      </c>
      <c r="G984" s="17" t="n">
        <v>121476000</v>
      </c>
      <c r="H984" s="17"/>
      <c r="I984" s="14" t="n">
        <f aca="false">I983+G984-H984</f>
        <v>205573600</v>
      </c>
    </row>
    <row r="985" customFormat="false" ht="12" hidden="false" customHeight="true" outlineLevel="1" collapsed="false">
      <c r="B985" s="15" t="n">
        <v>45126</v>
      </c>
      <c r="C985" s="15" t="n">
        <f aca="false">B985</f>
        <v>45126</v>
      </c>
      <c r="D985" s="16" t="s">
        <v>376</v>
      </c>
      <c r="E985" s="16" t="s">
        <v>36</v>
      </c>
      <c r="F985" s="16" t="n">
        <v>635</v>
      </c>
      <c r="G985" s="17"/>
      <c r="H985" s="17" t="n">
        <v>82992</v>
      </c>
      <c r="I985" s="14" t="n">
        <f aca="false">I984+G985-H985</f>
        <v>205490608</v>
      </c>
    </row>
    <row r="986" customFormat="false" ht="12" hidden="false" customHeight="true" outlineLevel="1" collapsed="false">
      <c r="B986" s="15" t="n">
        <v>45126</v>
      </c>
      <c r="C986" s="15" t="n">
        <f aca="false">B986</f>
        <v>45126</v>
      </c>
      <c r="D986" s="16" t="s">
        <v>376</v>
      </c>
      <c r="E986" s="16" t="s">
        <v>23</v>
      </c>
      <c r="F986" s="16" t="s">
        <v>24</v>
      </c>
      <c r="G986" s="17"/>
      <c r="H986" s="17" t="n">
        <v>200000000</v>
      </c>
      <c r="I986" s="14" t="n">
        <f aca="false">I985+G986-H986</f>
        <v>5490608</v>
      </c>
    </row>
    <row r="987" customFormat="false" ht="12" hidden="false" customHeight="true" outlineLevel="1" collapsed="false">
      <c r="B987" s="15" t="n">
        <v>45127</v>
      </c>
      <c r="C987" s="15" t="n">
        <f aca="false">B987</f>
        <v>45127</v>
      </c>
      <c r="D987" s="16" t="s">
        <v>376</v>
      </c>
      <c r="E987" s="16" t="s">
        <v>36</v>
      </c>
      <c r="F987" s="16" t="n">
        <v>635</v>
      </c>
      <c r="G987" s="17"/>
      <c r="H987" s="17" t="n">
        <v>53259</v>
      </c>
      <c r="I987" s="14" t="n">
        <f aca="false">I986+G987-H987</f>
        <v>5437349</v>
      </c>
    </row>
    <row r="988" customFormat="false" ht="12" hidden="false" customHeight="true" outlineLevel="1" collapsed="false">
      <c r="B988" s="15" t="n">
        <v>45128</v>
      </c>
      <c r="C988" s="15" t="n">
        <f aca="false">B988</f>
        <v>45128</v>
      </c>
      <c r="D988" s="16" t="s">
        <v>375</v>
      </c>
      <c r="E988" s="16" t="s">
        <v>157</v>
      </c>
      <c r="F988" s="16" t="s">
        <v>15</v>
      </c>
      <c r="G988" s="17" t="n">
        <v>76000000</v>
      </c>
      <c r="H988" s="17"/>
      <c r="I988" s="14" t="n">
        <f aca="false">I987+G988-H988</f>
        <v>81437349</v>
      </c>
    </row>
    <row r="989" customFormat="false" ht="12" hidden="false" customHeight="true" outlineLevel="1" collapsed="false">
      <c r="B989" s="15" t="n">
        <v>45128</v>
      </c>
      <c r="C989" s="15" t="n">
        <f aca="false">B989</f>
        <v>45128</v>
      </c>
      <c r="D989" s="16" t="s">
        <v>375</v>
      </c>
      <c r="E989" s="16" t="s">
        <v>157</v>
      </c>
      <c r="F989" s="16" t="s">
        <v>15</v>
      </c>
      <c r="G989" s="17" t="n">
        <v>16000000</v>
      </c>
      <c r="H989" s="17"/>
      <c r="I989" s="14" t="n">
        <f aca="false">I988+G989-H989</f>
        <v>97437349</v>
      </c>
    </row>
    <row r="990" customFormat="false" ht="12" hidden="false" customHeight="true" outlineLevel="1" collapsed="false">
      <c r="B990" s="15" t="n">
        <v>45128</v>
      </c>
      <c r="C990" s="15" t="n">
        <f aca="false">B990</f>
        <v>45128</v>
      </c>
      <c r="D990" s="16" t="s">
        <v>375</v>
      </c>
      <c r="E990" s="16" t="s">
        <v>157</v>
      </c>
      <c r="F990" s="16" t="s">
        <v>15</v>
      </c>
      <c r="G990" s="17" t="n">
        <v>3000000</v>
      </c>
      <c r="H990" s="17"/>
      <c r="I990" s="14" t="n">
        <f aca="false">I989+G990-H990</f>
        <v>100437349</v>
      </c>
    </row>
    <row r="991" customFormat="false" ht="12" hidden="false" customHeight="true" outlineLevel="1" collapsed="false">
      <c r="B991" s="15" t="n">
        <v>45128</v>
      </c>
      <c r="C991" s="15" t="n">
        <f aca="false">B991</f>
        <v>45128</v>
      </c>
      <c r="D991" s="16" t="s">
        <v>375</v>
      </c>
      <c r="E991" s="16" t="s">
        <v>157</v>
      </c>
      <c r="F991" s="16" t="s">
        <v>15</v>
      </c>
      <c r="G991" s="17" t="n">
        <v>58061000</v>
      </c>
      <c r="H991" s="17"/>
      <c r="I991" s="14" t="n">
        <f aca="false">I990+G991-H991</f>
        <v>158498349</v>
      </c>
    </row>
    <row r="992" customFormat="false" ht="12" hidden="false" customHeight="true" outlineLevel="1" collapsed="false">
      <c r="B992" s="15" t="n">
        <v>45128</v>
      </c>
      <c r="C992" s="15" t="n">
        <f aca="false">B992</f>
        <v>45128</v>
      </c>
      <c r="D992" s="16" t="s">
        <v>375</v>
      </c>
      <c r="E992" s="16" t="s">
        <v>157</v>
      </c>
      <c r="F992" s="16" t="s">
        <v>15</v>
      </c>
      <c r="G992" s="17" t="n">
        <v>209320000</v>
      </c>
      <c r="H992" s="17"/>
      <c r="I992" s="14" t="n">
        <f aca="false">I991+G992-H992</f>
        <v>367818349</v>
      </c>
    </row>
    <row r="993" customFormat="false" ht="12" hidden="false" customHeight="true" outlineLevel="1" collapsed="false">
      <c r="B993" s="15" t="n">
        <v>45128</v>
      </c>
      <c r="C993" s="15" t="n">
        <f aca="false">B993</f>
        <v>45128</v>
      </c>
      <c r="D993" s="16" t="s">
        <v>375</v>
      </c>
      <c r="E993" s="16" t="s">
        <v>157</v>
      </c>
      <c r="F993" s="16" t="s">
        <v>15</v>
      </c>
      <c r="G993" s="17" t="n">
        <v>127773000</v>
      </c>
      <c r="H993" s="17"/>
      <c r="I993" s="14" t="n">
        <f aca="false">I992+G993-H993</f>
        <v>495591349</v>
      </c>
    </row>
    <row r="994" customFormat="false" ht="12" hidden="false" customHeight="true" outlineLevel="1" collapsed="false">
      <c r="B994" s="15" t="n">
        <v>45128</v>
      </c>
      <c r="C994" s="15" t="n">
        <f aca="false">B994</f>
        <v>45128</v>
      </c>
      <c r="D994" s="16" t="s">
        <v>376</v>
      </c>
      <c r="E994" s="16" t="s">
        <v>294</v>
      </c>
      <c r="F994" s="16" t="s">
        <v>179</v>
      </c>
      <c r="G994" s="17"/>
      <c r="H994" s="17" t="n">
        <v>98185533</v>
      </c>
      <c r="I994" s="14" t="n">
        <f aca="false">I993+G994-H994</f>
        <v>397405816</v>
      </c>
    </row>
    <row r="995" customFormat="false" ht="12" hidden="false" customHeight="true" outlineLevel="1" collapsed="false">
      <c r="B995" s="15" t="n">
        <v>45128</v>
      </c>
      <c r="C995" s="15" t="n">
        <f aca="false">B995</f>
        <v>45128</v>
      </c>
      <c r="D995" s="16" t="s">
        <v>376</v>
      </c>
      <c r="E995" s="16" t="s">
        <v>23</v>
      </c>
      <c r="F995" s="16" t="s">
        <v>24</v>
      </c>
      <c r="G995" s="17"/>
      <c r="H995" s="17" t="n">
        <v>35839113</v>
      </c>
      <c r="I995" s="14" t="n">
        <f aca="false">I994+G995-H995</f>
        <v>361566703</v>
      </c>
    </row>
    <row r="996" customFormat="false" ht="12" hidden="false" customHeight="true" outlineLevel="1" collapsed="false">
      <c r="B996" s="15" t="n">
        <v>45128</v>
      </c>
      <c r="C996" s="15" t="n">
        <f aca="false">B996</f>
        <v>45128</v>
      </c>
      <c r="D996" s="16" t="s">
        <v>376</v>
      </c>
      <c r="E996" s="16" t="s">
        <v>23</v>
      </c>
      <c r="F996" s="16" t="s">
        <v>24</v>
      </c>
      <c r="G996" s="17"/>
      <c r="H996" s="17" t="n">
        <v>360974323</v>
      </c>
      <c r="I996" s="14" t="n">
        <f aca="false">I995+G996-H996</f>
        <v>592380</v>
      </c>
    </row>
    <row r="997" customFormat="false" ht="12" hidden="false" customHeight="true" outlineLevel="1" collapsed="false">
      <c r="B997" s="15" t="n">
        <v>45131</v>
      </c>
      <c r="C997" s="15" t="n">
        <f aca="false">B997</f>
        <v>45131</v>
      </c>
      <c r="D997" s="16" t="s">
        <v>375</v>
      </c>
      <c r="E997" s="16" t="s">
        <v>157</v>
      </c>
      <c r="F997" s="16" t="s">
        <v>15</v>
      </c>
      <c r="G997" s="17" t="n">
        <v>42451000</v>
      </c>
      <c r="H997" s="17"/>
      <c r="I997" s="14" t="n">
        <f aca="false">I996+G997-H997</f>
        <v>43043380</v>
      </c>
    </row>
    <row r="998" customFormat="false" ht="12" hidden="false" customHeight="true" outlineLevel="1" collapsed="false">
      <c r="B998" s="15" t="n">
        <v>45131</v>
      </c>
      <c r="C998" s="15" t="n">
        <f aca="false">B998</f>
        <v>45131</v>
      </c>
      <c r="D998" s="16" t="s">
        <v>375</v>
      </c>
      <c r="E998" s="16" t="s">
        <v>157</v>
      </c>
      <c r="F998" s="16" t="s">
        <v>15</v>
      </c>
      <c r="G998" s="17" t="n">
        <v>53608000</v>
      </c>
      <c r="H998" s="17"/>
      <c r="I998" s="14" t="n">
        <f aca="false">I997+G998-H998</f>
        <v>96651380</v>
      </c>
    </row>
    <row r="999" customFormat="false" ht="12" hidden="false" customHeight="true" outlineLevel="1" collapsed="false">
      <c r="B999" s="15" t="n">
        <v>45131</v>
      </c>
      <c r="C999" s="15" t="n">
        <f aca="false">B999</f>
        <v>45131</v>
      </c>
      <c r="D999" s="16" t="s">
        <v>375</v>
      </c>
      <c r="E999" s="16" t="s">
        <v>157</v>
      </c>
      <c r="F999" s="16" t="s">
        <v>15</v>
      </c>
      <c r="G999" s="17" t="n">
        <v>35517000</v>
      </c>
      <c r="H999" s="17"/>
      <c r="I999" s="14" t="n">
        <f aca="false">I998+G999-H999</f>
        <v>132168380</v>
      </c>
    </row>
    <row r="1000" customFormat="false" ht="12" hidden="false" customHeight="true" outlineLevel="1" collapsed="false">
      <c r="B1000" s="15" t="n">
        <v>45131</v>
      </c>
      <c r="C1000" s="15" t="n">
        <f aca="false">B1000</f>
        <v>45131</v>
      </c>
      <c r="D1000" s="16" t="s">
        <v>375</v>
      </c>
      <c r="E1000" s="16" t="s">
        <v>157</v>
      </c>
      <c r="F1000" s="16" t="s">
        <v>15</v>
      </c>
      <c r="G1000" s="17" t="n">
        <v>80125000</v>
      </c>
      <c r="H1000" s="17"/>
      <c r="I1000" s="14" t="n">
        <f aca="false">I999+G1000-H1000</f>
        <v>212293380</v>
      </c>
    </row>
    <row r="1001" customFormat="false" ht="12" hidden="false" customHeight="true" outlineLevel="1" collapsed="false">
      <c r="B1001" s="15" t="n">
        <v>45131</v>
      </c>
      <c r="C1001" s="15" t="n">
        <f aca="false">B1001</f>
        <v>45131</v>
      </c>
      <c r="D1001" s="16" t="s">
        <v>375</v>
      </c>
      <c r="E1001" s="16" t="s">
        <v>157</v>
      </c>
      <c r="F1001" s="16" t="s">
        <v>15</v>
      </c>
      <c r="G1001" s="17" t="n">
        <v>214848000</v>
      </c>
      <c r="H1001" s="17"/>
      <c r="I1001" s="14" t="n">
        <f aca="false">I1000+G1001-H1001</f>
        <v>427141380</v>
      </c>
    </row>
    <row r="1002" customFormat="false" ht="12" hidden="false" customHeight="true" outlineLevel="1" collapsed="false">
      <c r="B1002" s="15" t="n">
        <v>45131</v>
      </c>
      <c r="C1002" s="15" t="n">
        <f aca="false">B1002</f>
        <v>45131</v>
      </c>
      <c r="D1002" s="16" t="s">
        <v>375</v>
      </c>
      <c r="E1002" s="16" t="s">
        <v>157</v>
      </c>
      <c r="F1002" s="16" t="s">
        <v>15</v>
      </c>
      <c r="G1002" s="17" t="n">
        <v>157689000</v>
      </c>
      <c r="H1002" s="17"/>
      <c r="I1002" s="14" t="n">
        <f aca="false">I1001+G1002-H1002</f>
        <v>584830380</v>
      </c>
    </row>
    <row r="1003" customFormat="false" ht="12" hidden="false" customHeight="true" outlineLevel="1" collapsed="false">
      <c r="B1003" s="15" t="n">
        <v>45131</v>
      </c>
      <c r="C1003" s="15" t="n">
        <f aca="false">B1003</f>
        <v>45131</v>
      </c>
      <c r="D1003" s="16" t="s">
        <v>375</v>
      </c>
      <c r="E1003" s="16" t="s">
        <v>157</v>
      </c>
      <c r="F1003" s="16" t="s">
        <v>15</v>
      </c>
      <c r="G1003" s="17" t="n">
        <v>125000000</v>
      </c>
      <c r="H1003" s="17"/>
      <c r="I1003" s="14" t="n">
        <f aca="false">I1002+G1003-H1003</f>
        <v>709830380</v>
      </c>
    </row>
    <row r="1004" customFormat="false" ht="12" hidden="false" customHeight="true" outlineLevel="1" collapsed="false">
      <c r="B1004" s="15" t="n">
        <v>45131</v>
      </c>
      <c r="C1004" s="15" t="n">
        <f aca="false">B1004</f>
        <v>45131</v>
      </c>
      <c r="D1004" s="16" t="s">
        <v>376</v>
      </c>
      <c r="E1004" s="16" t="s">
        <v>294</v>
      </c>
      <c r="F1004" s="16" t="s">
        <v>179</v>
      </c>
      <c r="G1004" s="17"/>
      <c r="H1004" s="17" t="n">
        <v>301851808</v>
      </c>
      <c r="I1004" s="14" t="n">
        <f aca="false">I1003+G1004-H1004</f>
        <v>407978572</v>
      </c>
    </row>
    <row r="1005" customFormat="false" ht="12" hidden="false" customHeight="true" outlineLevel="1" collapsed="false">
      <c r="B1005" s="15" t="n">
        <v>45131</v>
      </c>
      <c r="C1005" s="15" t="n">
        <f aca="false">B1005</f>
        <v>45131</v>
      </c>
      <c r="D1005" s="16" t="s">
        <v>376</v>
      </c>
      <c r="E1005" s="16" t="s">
        <v>23</v>
      </c>
      <c r="F1005" s="16" t="s">
        <v>24</v>
      </c>
      <c r="G1005" s="17"/>
      <c r="H1005" s="17" t="n">
        <v>136900541</v>
      </c>
      <c r="I1005" s="14" t="n">
        <f aca="false">I1004+G1005-H1005</f>
        <v>271078031</v>
      </c>
    </row>
    <row r="1006" customFormat="false" ht="12" hidden="false" customHeight="true" outlineLevel="1" collapsed="false">
      <c r="B1006" s="15" t="n">
        <v>45131</v>
      </c>
      <c r="C1006" s="15" t="n">
        <f aca="false">B1006</f>
        <v>45131</v>
      </c>
      <c r="D1006" s="16" t="s">
        <v>376</v>
      </c>
      <c r="E1006" s="16" t="s">
        <v>23</v>
      </c>
      <c r="F1006" s="16" t="s">
        <v>24</v>
      </c>
      <c r="G1006" s="17"/>
      <c r="H1006" s="17" t="n">
        <v>102515697</v>
      </c>
      <c r="I1006" s="14" t="n">
        <f aca="false">I1005+G1006-H1006</f>
        <v>168562334</v>
      </c>
    </row>
    <row r="1007" customFormat="false" ht="12" hidden="false" customHeight="true" outlineLevel="1" collapsed="false">
      <c r="B1007" s="15" t="n">
        <v>45131</v>
      </c>
      <c r="C1007" s="15" t="n">
        <f aca="false">B1007</f>
        <v>45131</v>
      </c>
      <c r="D1007" s="16" t="s">
        <v>376</v>
      </c>
      <c r="E1007" s="16" t="s">
        <v>23</v>
      </c>
      <c r="F1007" s="16" t="s">
        <v>24</v>
      </c>
      <c r="G1007" s="17"/>
      <c r="H1007" s="17" t="n">
        <v>164222722</v>
      </c>
      <c r="I1007" s="14" t="n">
        <f aca="false">I1006+G1007-H1007</f>
        <v>4339612</v>
      </c>
    </row>
    <row r="1008" customFormat="false" ht="12" hidden="false" customHeight="true" outlineLevel="1" collapsed="false">
      <c r="B1008" s="15" t="n">
        <v>45132</v>
      </c>
      <c r="C1008" s="15" t="n">
        <f aca="false">B1008</f>
        <v>45132</v>
      </c>
      <c r="D1008" s="16" t="s">
        <v>375</v>
      </c>
      <c r="E1008" s="16" t="s">
        <v>157</v>
      </c>
      <c r="F1008" s="16" t="s">
        <v>15</v>
      </c>
      <c r="G1008" s="17" t="n">
        <v>35905000</v>
      </c>
      <c r="H1008" s="17"/>
      <c r="I1008" s="14" t="n">
        <f aca="false">I1007+G1008-H1008</f>
        <v>40244612</v>
      </c>
    </row>
    <row r="1009" customFormat="false" ht="12" hidden="false" customHeight="true" outlineLevel="1" collapsed="false">
      <c r="B1009" s="15" t="n">
        <v>45132</v>
      </c>
      <c r="C1009" s="15" t="n">
        <f aca="false">B1009</f>
        <v>45132</v>
      </c>
      <c r="D1009" s="16" t="s">
        <v>375</v>
      </c>
      <c r="E1009" s="16" t="s">
        <v>157</v>
      </c>
      <c r="F1009" s="16" t="s">
        <v>15</v>
      </c>
      <c r="G1009" s="17" t="n">
        <v>62339000</v>
      </c>
      <c r="H1009" s="17"/>
      <c r="I1009" s="14" t="n">
        <f aca="false">I1008+G1009-H1009</f>
        <v>102583612</v>
      </c>
    </row>
    <row r="1010" customFormat="false" ht="12" hidden="false" customHeight="true" outlineLevel="1" collapsed="false">
      <c r="B1010" s="15" t="n">
        <v>45132</v>
      </c>
      <c r="C1010" s="15" t="n">
        <f aca="false">B1010</f>
        <v>45132</v>
      </c>
      <c r="D1010" s="16" t="s">
        <v>375</v>
      </c>
      <c r="E1010" s="16" t="s">
        <v>157</v>
      </c>
      <c r="F1010" s="16" t="s">
        <v>15</v>
      </c>
      <c r="G1010" s="17" t="n">
        <v>199505000</v>
      </c>
      <c r="H1010" s="17"/>
      <c r="I1010" s="14" t="n">
        <f aca="false">I1009+G1010-H1010</f>
        <v>302088612</v>
      </c>
    </row>
    <row r="1011" customFormat="false" ht="12" hidden="false" customHeight="true" outlineLevel="1" collapsed="false">
      <c r="B1011" s="15" t="n">
        <v>45132</v>
      </c>
      <c r="C1011" s="15" t="n">
        <f aca="false">B1011</f>
        <v>45132</v>
      </c>
      <c r="D1011" s="16" t="s">
        <v>375</v>
      </c>
      <c r="E1011" s="16" t="s">
        <v>157</v>
      </c>
      <c r="F1011" s="16" t="s">
        <v>15</v>
      </c>
      <c r="G1011" s="17" t="n">
        <v>235000000</v>
      </c>
      <c r="H1011" s="17"/>
      <c r="I1011" s="14" t="n">
        <f aca="false">I1010+G1011-H1011</f>
        <v>537088612</v>
      </c>
    </row>
    <row r="1012" customFormat="false" ht="12" hidden="false" customHeight="true" outlineLevel="1" collapsed="false">
      <c r="B1012" s="15" t="n">
        <v>45132</v>
      </c>
      <c r="C1012" s="15" t="n">
        <f aca="false">B1012</f>
        <v>45132</v>
      </c>
      <c r="D1012" s="16" t="s">
        <v>375</v>
      </c>
      <c r="E1012" s="16" t="s">
        <v>157</v>
      </c>
      <c r="F1012" s="16" t="s">
        <v>15</v>
      </c>
      <c r="G1012" s="17" t="n">
        <v>59000000</v>
      </c>
      <c r="H1012" s="17"/>
      <c r="I1012" s="14" t="n">
        <f aca="false">I1011+G1012-H1012</f>
        <v>596088612</v>
      </c>
    </row>
    <row r="1013" customFormat="false" ht="12" hidden="false" customHeight="true" outlineLevel="1" collapsed="false">
      <c r="B1013" s="15" t="n">
        <v>45132</v>
      </c>
      <c r="C1013" s="15" t="n">
        <f aca="false">B1013</f>
        <v>45132</v>
      </c>
      <c r="D1013" s="16" t="s">
        <v>376</v>
      </c>
      <c r="E1013" s="16" t="s">
        <v>23</v>
      </c>
      <c r="F1013" s="16" t="s">
        <v>24</v>
      </c>
      <c r="G1013" s="17"/>
      <c r="H1013" s="17" t="n">
        <v>590000000</v>
      </c>
      <c r="I1013" s="14" t="n">
        <f aca="false">I1012+G1013-H1013</f>
        <v>6088612</v>
      </c>
    </row>
    <row r="1014" customFormat="false" ht="12" hidden="false" customHeight="true" outlineLevel="1" collapsed="false">
      <c r="B1014" s="15" t="n">
        <v>45132</v>
      </c>
      <c r="C1014" s="15" t="n">
        <f aca="false">B1014</f>
        <v>45132</v>
      </c>
      <c r="D1014" s="16" t="s">
        <v>445</v>
      </c>
      <c r="E1014" s="16" t="s">
        <v>446</v>
      </c>
      <c r="F1014" s="16" t="n">
        <v>515</v>
      </c>
      <c r="G1014" s="17" t="n">
        <v>1677</v>
      </c>
      <c r="H1014" s="17"/>
      <c r="I1014" s="14" t="n">
        <f aca="false">I1013+G1014-H1014</f>
        <v>6090289</v>
      </c>
    </row>
    <row r="1015" customFormat="false" ht="12" hidden="false" customHeight="true" outlineLevel="1" collapsed="false">
      <c r="B1015" s="15" t="n">
        <v>45133</v>
      </c>
      <c r="C1015" s="15" t="n">
        <f aca="false">B1015</f>
        <v>45133</v>
      </c>
      <c r="D1015" s="16" t="s">
        <v>375</v>
      </c>
      <c r="E1015" s="16" t="s">
        <v>157</v>
      </c>
      <c r="F1015" s="16" t="s">
        <v>15</v>
      </c>
      <c r="G1015" s="17" t="n">
        <v>40148000</v>
      </c>
      <c r="H1015" s="17"/>
      <c r="I1015" s="14" t="n">
        <f aca="false">I1014+G1015-H1015</f>
        <v>46238289</v>
      </c>
    </row>
    <row r="1016" customFormat="false" ht="12" hidden="false" customHeight="true" outlineLevel="1" collapsed="false">
      <c r="B1016" s="15" t="n">
        <v>45133</v>
      </c>
      <c r="C1016" s="15" t="n">
        <f aca="false">B1016</f>
        <v>45133</v>
      </c>
      <c r="D1016" s="16" t="s">
        <v>375</v>
      </c>
      <c r="E1016" s="16" t="s">
        <v>157</v>
      </c>
      <c r="F1016" s="16" t="s">
        <v>15</v>
      </c>
      <c r="G1016" s="17" t="n">
        <v>126038000</v>
      </c>
      <c r="H1016" s="17"/>
      <c r="I1016" s="14" t="n">
        <f aca="false">I1015+G1016-H1016</f>
        <v>172276289</v>
      </c>
    </row>
    <row r="1017" customFormat="false" ht="12" hidden="false" customHeight="true" outlineLevel="1" collapsed="false">
      <c r="B1017" s="15" t="n">
        <v>45133</v>
      </c>
      <c r="C1017" s="15" t="n">
        <f aca="false">B1017</f>
        <v>45133</v>
      </c>
      <c r="D1017" s="16" t="s">
        <v>375</v>
      </c>
      <c r="E1017" s="16" t="s">
        <v>157</v>
      </c>
      <c r="F1017" s="16" t="s">
        <v>15</v>
      </c>
      <c r="G1017" s="17" t="n">
        <v>211672000</v>
      </c>
      <c r="H1017" s="17"/>
      <c r="I1017" s="14" t="n">
        <f aca="false">I1016+G1017-H1017</f>
        <v>383948289</v>
      </c>
    </row>
    <row r="1018" customFormat="false" ht="12" hidden="false" customHeight="true" outlineLevel="1" collapsed="false">
      <c r="B1018" s="15" t="n">
        <v>45133</v>
      </c>
      <c r="C1018" s="15" t="n">
        <f aca="false">B1018</f>
        <v>45133</v>
      </c>
      <c r="D1018" s="16" t="s">
        <v>376</v>
      </c>
      <c r="E1018" s="16" t="s">
        <v>294</v>
      </c>
      <c r="F1018" s="16" t="s">
        <v>179</v>
      </c>
      <c r="G1018" s="17"/>
      <c r="H1018" s="17" t="n">
        <v>317944188</v>
      </c>
      <c r="I1018" s="14" t="n">
        <f aca="false">I1017+G1018-H1018</f>
        <v>66004101</v>
      </c>
    </row>
    <row r="1019" customFormat="false" ht="12" hidden="false" customHeight="true" outlineLevel="1" collapsed="false">
      <c r="B1019" s="15" t="n">
        <v>45133</v>
      </c>
      <c r="C1019" s="15" t="n">
        <f aca="false">B1019</f>
        <v>45133</v>
      </c>
      <c r="D1019" s="16" t="s">
        <v>376</v>
      </c>
      <c r="E1019" s="16" t="s">
        <v>23</v>
      </c>
      <c r="F1019" s="16" t="s">
        <v>24</v>
      </c>
      <c r="G1019" s="17"/>
      <c r="H1019" s="17" t="n">
        <v>63000000</v>
      </c>
      <c r="I1019" s="14" t="n">
        <f aca="false">I1018+G1019-H1019</f>
        <v>3004101</v>
      </c>
    </row>
    <row r="1020" customFormat="false" ht="12" hidden="false" customHeight="true" outlineLevel="1" collapsed="false">
      <c r="B1020" s="15" t="n">
        <v>45133</v>
      </c>
      <c r="C1020" s="15" t="n">
        <f aca="false">B1020</f>
        <v>45133</v>
      </c>
      <c r="D1020" s="16" t="s">
        <v>376</v>
      </c>
      <c r="E1020" s="16" t="s">
        <v>23</v>
      </c>
      <c r="F1020" s="16" t="s">
        <v>24</v>
      </c>
      <c r="G1020" s="17"/>
      <c r="H1020" s="17" t="n">
        <v>916796</v>
      </c>
      <c r="I1020" s="14" t="n">
        <f aca="false">I1019+G1020-H1020</f>
        <v>2087305</v>
      </c>
    </row>
    <row r="1021" customFormat="false" ht="12" hidden="false" customHeight="true" outlineLevel="1" collapsed="false">
      <c r="B1021" s="15" t="n">
        <v>45133</v>
      </c>
      <c r="C1021" s="15" t="n">
        <f aca="false">B1021</f>
        <v>45133</v>
      </c>
      <c r="D1021" s="16" t="s">
        <v>376</v>
      </c>
      <c r="E1021" s="16" t="s">
        <v>23</v>
      </c>
      <c r="F1021" s="16" t="s">
        <v>24</v>
      </c>
      <c r="G1021" s="17"/>
      <c r="H1021" s="17" t="n">
        <v>1191879</v>
      </c>
      <c r="I1021" s="14" t="n">
        <f aca="false">I1020+G1021-H1021</f>
        <v>895426</v>
      </c>
    </row>
    <row r="1022" customFormat="false" ht="12" hidden="false" customHeight="true" outlineLevel="1" collapsed="false">
      <c r="B1022" s="15" t="n">
        <v>45133</v>
      </c>
      <c r="C1022" s="15" t="n">
        <f aca="false">B1022</f>
        <v>45133</v>
      </c>
      <c r="D1022" s="16" t="s">
        <v>376</v>
      </c>
      <c r="E1022" s="16" t="s">
        <v>23</v>
      </c>
      <c r="F1022" s="16" t="s">
        <v>24</v>
      </c>
      <c r="G1022" s="17"/>
      <c r="H1022" s="17" t="n">
        <v>895426</v>
      </c>
      <c r="I1022" s="14" t="n">
        <f aca="false">I1021+G1022-H1022</f>
        <v>0</v>
      </c>
    </row>
    <row r="1023" customFormat="false" ht="12" hidden="false" customHeight="true" outlineLevel="1" collapsed="false">
      <c r="B1023" s="15" t="n">
        <v>45134</v>
      </c>
      <c r="C1023" s="15" t="n">
        <f aca="false">B1023</f>
        <v>45134</v>
      </c>
      <c r="D1023" s="16" t="s">
        <v>375</v>
      </c>
      <c r="E1023" s="16" t="s">
        <v>157</v>
      </c>
      <c r="F1023" s="16" t="s">
        <v>15</v>
      </c>
      <c r="G1023" s="17" t="n">
        <v>120044000</v>
      </c>
      <c r="H1023" s="17"/>
      <c r="I1023" s="14" t="n">
        <f aca="false">I1022+G1023-H1023</f>
        <v>120044000</v>
      </c>
    </row>
    <row r="1024" customFormat="false" ht="12" hidden="false" customHeight="true" outlineLevel="1" collapsed="false">
      <c r="B1024" s="15" t="n">
        <v>45134</v>
      </c>
      <c r="C1024" s="15" t="n">
        <f aca="false">B1024</f>
        <v>45134</v>
      </c>
      <c r="D1024" s="16" t="s">
        <v>375</v>
      </c>
      <c r="E1024" s="16" t="s">
        <v>157</v>
      </c>
      <c r="F1024" s="16" t="s">
        <v>15</v>
      </c>
      <c r="G1024" s="17" t="n">
        <v>170261000</v>
      </c>
      <c r="H1024" s="17"/>
      <c r="I1024" s="14" t="n">
        <f aca="false">I1023+G1024-H1024</f>
        <v>290305000</v>
      </c>
    </row>
    <row r="1025" customFormat="false" ht="12" hidden="false" customHeight="true" outlineLevel="1" collapsed="false">
      <c r="B1025" s="15" t="n">
        <v>45134</v>
      </c>
      <c r="C1025" s="15" t="n">
        <f aca="false">B1025</f>
        <v>45134</v>
      </c>
      <c r="D1025" s="16" t="s">
        <v>375</v>
      </c>
      <c r="E1025" s="16" t="s">
        <v>157</v>
      </c>
      <c r="F1025" s="16" t="s">
        <v>15</v>
      </c>
      <c r="G1025" s="17" t="n">
        <v>54098000</v>
      </c>
      <c r="H1025" s="17"/>
      <c r="I1025" s="14" t="n">
        <f aca="false">I1024+G1025-H1025</f>
        <v>344403000</v>
      </c>
    </row>
    <row r="1026" customFormat="false" ht="12" hidden="false" customHeight="true" outlineLevel="1" collapsed="false">
      <c r="B1026" s="15" t="n">
        <v>45134</v>
      </c>
      <c r="C1026" s="15" t="n">
        <f aca="false">B1026</f>
        <v>45134</v>
      </c>
      <c r="D1026" s="16" t="s">
        <v>375</v>
      </c>
      <c r="E1026" s="16" t="s">
        <v>157</v>
      </c>
      <c r="F1026" s="16" t="s">
        <v>15</v>
      </c>
      <c r="G1026" s="17" t="n">
        <v>116000000</v>
      </c>
      <c r="H1026" s="17"/>
      <c r="I1026" s="14" t="n">
        <f aca="false">I1025+G1026-H1026</f>
        <v>460403000</v>
      </c>
    </row>
    <row r="1027" customFormat="false" ht="12" hidden="false" customHeight="true" outlineLevel="1" collapsed="false">
      <c r="B1027" s="15" t="n">
        <v>45134</v>
      </c>
      <c r="C1027" s="15" t="n">
        <f aca="false">B1027</f>
        <v>45134</v>
      </c>
      <c r="D1027" s="16" t="s">
        <v>376</v>
      </c>
      <c r="E1027" s="16" t="s">
        <v>23</v>
      </c>
      <c r="F1027" s="16" t="s">
        <v>24</v>
      </c>
      <c r="G1027" s="17"/>
      <c r="H1027" s="17" t="n">
        <v>21596804</v>
      </c>
      <c r="I1027" s="14" t="n">
        <f aca="false">I1026+G1027-H1027</f>
        <v>438806196</v>
      </c>
    </row>
    <row r="1028" customFormat="false" ht="12" hidden="false" customHeight="true" outlineLevel="1" collapsed="false">
      <c r="B1028" s="15" t="n">
        <v>45134</v>
      </c>
      <c r="C1028" s="15" t="n">
        <f aca="false">B1028</f>
        <v>45134</v>
      </c>
      <c r="D1028" s="16" t="s">
        <v>376</v>
      </c>
      <c r="E1028" s="16" t="s">
        <v>23</v>
      </c>
      <c r="F1028" s="16" t="s">
        <v>24</v>
      </c>
      <c r="G1028" s="17"/>
      <c r="H1028" s="17" t="n">
        <v>303125072</v>
      </c>
      <c r="I1028" s="14" t="n">
        <f aca="false">I1027+G1028-H1028</f>
        <v>135681124</v>
      </c>
    </row>
    <row r="1029" customFormat="false" ht="12" hidden="false" customHeight="true" outlineLevel="1" collapsed="false">
      <c r="B1029" s="15" t="n">
        <v>45134</v>
      </c>
      <c r="C1029" s="15" t="n">
        <f aca="false">B1029</f>
        <v>45134</v>
      </c>
      <c r="D1029" s="16" t="s">
        <v>376</v>
      </c>
      <c r="E1029" s="16" t="s">
        <v>447</v>
      </c>
      <c r="F1029" s="16" t="n">
        <v>635</v>
      </c>
      <c r="G1029" s="17"/>
      <c r="H1029" s="17" t="n">
        <v>4671058</v>
      </c>
      <c r="I1029" s="14" t="n">
        <f aca="false">I1028+G1029-H1029</f>
        <v>131010066</v>
      </c>
    </row>
    <row r="1030" customFormat="false" ht="12" hidden="false" customHeight="true" outlineLevel="1" collapsed="false">
      <c r="B1030" s="15" t="n">
        <v>45134</v>
      </c>
      <c r="C1030" s="15" t="n">
        <f aca="false">B1030</f>
        <v>45134</v>
      </c>
      <c r="D1030" s="16" t="s">
        <v>376</v>
      </c>
      <c r="E1030" s="16" t="s">
        <v>447</v>
      </c>
      <c r="F1030" s="16" t="n">
        <v>635</v>
      </c>
      <c r="G1030" s="17"/>
      <c r="H1030" s="17" t="n">
        <v>1629621</v>
      </c>
      <c r="I1030" s="14" t="n">
        <f aca="false">I1029+G1030-H1030</f>
        <v>129380445</v>
      </c>
    </row>
    <row r="1031" customFormat="false" ht="12" hidden="false" customHeight="true" outlineLevel="1" collapsed="false">
      <c r="B1031" s="15" t="n">
        <v>45134</v>
      </c>
      <c r="C1031" s="15" t="n">
        <f aca="false">B1031</f>
        <v>45134</v>
      </c>
      <c r="D1031" s="16" t="s">
        <v>376</v>
      </c>
      <c r="E1031" s="16" t="s">
        <v>447</v>
      </c>
      <c r="F1031" s="16" t="n">
        <v>635</v>
      </c>
      <c r="G1031" s="17"/>
      <c r="H1031" s="17" t="n">
        <v>1059641</v>
      </c>
      <c r="I1031" s="14" t="n">
        <f aca="false">I1030+G1031-H1031</f>
        <v>128320804</v>
      </c>
    </row>
    <row r="1032" customFormat="false" ht="12" hidden="false" customHeight="true" outlineLevel="1" collapsed="false">
      <c r="B1032" s="15" t="n">
        <v>45134</v>
      </c>
      <c r="C1032" s="15" t="n">
        <f aca="false">B1032</f>
        <v>45134</v>
      </c>
      <c r="D1032" s="16" t="s">
        <v>376</v>
      </c>
      <c r="E1032" s="16" t="s">
        <v>447</v>
      </c>
      <c r="F1032" s="16" t="n">
        <v>635</v>
      </c>
      <c r="G1032" s="17"/>
      <c r="H1032" s="17" t="n">
        <v>17237687</v>
      </c>
      <c r="I1032" s="14" t="n">
        <f aca="false">I1031+G1032-H1032</f>
        <v>111083117</v>
      </c>
    </row>
    <row r="1033" customFormat="false" ht="12" hidden="false" customHeight="true" outlineLevel="1" collapsed="false">
      <c r="B1033" s="15" t="n">
        <v>45134</v>
      </c>
      <c r="C1033" s="15" t="n">
        <f aca="false">B1033</f>
        <v>45134</v>
      </c>
      <c r="D1033" s="16" t="s">
        <v>376</v>
      </c>
      <c r="E1033" s="16" t="s">
        <v>447</v>
      </c>
      <c r="F1033" s="16" t="n">
        <v>635</v>
      </c>
      <c r="G1033" s="17"/>
      <c r="H1033" s="17" t="n">
        <v>1978752</v>
      </c>
      <c r="I1033" s="14" t="n">
        <f aca="false">I1032+G1033-H1033</f>
        <v>109104365</v>
      </c>
    </row>
    <row r="1034" customFormat="false" ht="12" hidden="false" customHeight="true" outlineLevel="1" collapsed="false">
      <c r="B1034" s="15" t="n">
        <v>45134</v>
      </c>
      <c r="C1034" s="15" t="n">
        <f aca="false">B1034</f>
        <v>45134</v>
      </c>
      <c r="D1034" s="16" t="s">
        <v>376</v>
      </c>
      <c r="E1034" s="16" t="s">
        <v>447</v>
      </c>
      <c r="F1034" s="16" t="n">
        <v>635</v>
      </c>
      <c r="G1034" s="17"/>
      <c r="H1034" s="17" t="n">
        <v>3839630</v>
      </c>
      <c r="I1034" s="14" t="n">
        <f aca="false">I1033+G1034-H1034</f>
        <v>105264735</v>
      </c>
    </row>
    <row r="1035" customFormat="false" ht="12" hidden="false" customHeight="true" outlineLevel="1" collapsed="false">
      <c r="B1035" s="15" t="n">
        <v>45134</v>
      </c>
      <c r="C1035" s="15" t="n">
        <f aca="false">B1035</f>
        <v>45134</v>
      </c>
      <c r="D1035" s="16" t="s">
        <v>376</v>
      </c>
      <c r="E1035" s="16" t="s">
        <v>447</v>
      </c>
      <c r="F1035" s="16" t="n">
        <v>635</v>
      </c>
      <c r="G1035" s="17"/>
      <c r="H1035" s="17" t="n">
        <v>2109013</v>
      </c>
      <c r="I1035" s="14" t="n">
        <f aca="false">I1034+G1035-H1035</f>
        <v>103155722</v>
      </c>
    </row>
    <row r="1036" customFormat="false" ht="12" hidden="false" customHeight="true" outlineLevel="1" collapsed="false">
      <c r="B1036" s="15" t="n">
        <v>45134</v>
      </c>
      <c r="C1036" s="15" t="n">
        <f aca="false">B1036</f>
        <v>45134</v>
      </c>
      <c r="D1036" s="16" t="s">
        <v>376</v>
      </c>
      <c r="E1036" s="16" t="s">
        <v>447</v>
      </c>
      <c r="F1036" s="16" t="n">
        <v>635</v>
      </c>
      <c r="G1036" s="17"/>
      <c r="H1036" s="17" t="n">
        <v>8927766</v>
      </c>
      <c r="I1036" s="14" t="n">
        <f aca="false">I1035+G1036-H1036</f>
        <v>94227956</v>
      </c>
    </row>
    <row r="1037" customFormat="false" ht="12" hidden="false" customHeight="true" outlineLevel="1" collapsed="false">
      <c r="B1037" s="15" t="n">
        <v>45134</v>
      </c>
      <c r="C1037" s="15" t="n">
        <f aca="false">B1037</f>
        <v>45134</v>
      </c>
      <c r="D1037" s="16" t="s">
        <v>376</v>
      </c>
      <c r="E1037" s="16" t="s">
        <v>447</v>
      </c>
      <c r="F1037" s="16" t="n">
        <v>635</v>
      </c>
      <c r="G1037" s="17"/>
      <c r="H1037" s="17" t="n">
        <v>14216903</v>
      </c>
      <c r="I1037" s="14" t="n">
        <f aca="false">I1036+G1037-H1037</f>
        <v>80011053</v>
      </c>
    </row>
    <row r="1038" customFormat="false" ht="12" hidden="false" customHeight="true" outlineLevel="1" collapsed="false">
      <c r="B1038" s="15" t="n">
        <v>45134</v>
      </c>
      <c r="C1038" s="15" t="n">
        <f aca="false">B1038</f>
        <v>45134</v>
      </c>
      <c r="D1038" s="16" t="s">
        <v>376</v>
      </c>
      <c r="E1038" s="16" t="s">
        <v>447</v>
      </c>
      <c r="F1038" s="16" t="n">
        <v>635</v>
      </c>
      <c r="G1038" s="17"/>
      <c r="H1038" s="17" t="n">
        <v>1399343</v>
      </c>
      <c r="I1038" s="14" t="n">
        <f aca="false">I1037+G1038-H1038</f>
        <v>78611710</v>
      </c>
    </row>
    <row r="1039" customFormat="false" ht="12" hidden="false" customHeight="true" outlineLevel="1" collapsed="false">
      <c r="B1039" s="15" t="n">
        <v>45134</v>
      </c>
      <c r="C1039" s="15" t="n">
        <f aca="false">B1039</f>
        <v>45134</v>
      </c>
      <c r="D1039" s="16" t="s">
        <v>376</v>
      </c>
      <c r="E1039" s="16" t="s">
        <v>447</v>
      </c>
      <c r="F1039" s="16" t="n">
        <v>635</v>
      </c>
      <c r="G1039" s="17"/>
      <c r="H1039" s="17" t="n">
        <v>5782417</v>
      </c>
      <c r="I1039" s="14" t="n">
        <f aca="false">I1038+G1039-H1039</f>
        <v>72829293</v>
      </c>
    </row>
    <row r="1040" customFormat="false" ht="12" hidden="false" customHeight="true" outlineLevel="1" collapsed="false">
      <c r="B1040" s="15" t="n">
        <v>45134</v>
      </c>
      <c r="C1040" s="15" t="n">
        <f aca="false">B1040</f>
        <v>45134</v>
      </c>
      <c r="D1040" s="16" t="s">
        <v>376</v>
      </c>
      <c r="E1040" s="16" t="s">
        <v>447</v>
      </c>
      <c r="F1040" s="16" t="n">
        <v>635</v>
      </c>
      <c r="G1040" s="17"/>
      <c r="H1040" s="17" t="n">
        <v>7319759</v>
      </c>
      <c r="I1040" s="14" t="n">
        <f aca="false">I1039+G1040-H1040</f>
        <v>65509534</v>
      </c>
    </row>
    <row r="1041" customFormat="false" ht="12" hidden="false" customHeight="true" outlineLevel="1" collapsed="false">
      <c r="B1041" s="15" t="n">
        <v>45134</v>
      </c>
      <c r="C1041" s="15" t="n">
        <f aca="false">B1041</f>
        <v>45134</v>
      </c>
      <c r="D1041" s="16" t="s">
        <v>376</v>
      </c>
      <c r="E1041" s="16" t="s">
        <v>447</v>
      </c>
      <c r="F1041" s="16" t="n">
        <v>635</v>
      </c>
      <c r="G1041" s="17"/>
      <c r="H1041" s="17" t="n">
        <v>2885230</v>
      </c>
      <c r="I1041" s="14" t="n">
        <f aca="false">I1040+G1041-H1041</f>
        <v>62624304</v>
      </c>
    </row>
    <row r="1042" customFormat="false" ht="12" hidden="false" customHeight="true" outlineLevel="1" collapsed="false">
      <c r="B1042" s="15" t="n">
        <v>45134</v>
      </c>
      <c r="C1042" s="15" t="n">
        <f aca="false">B1042</f>
        <v>45134</v>
      </c>
      <c r="D1042" s="16" t="s">
        <v>376</v>
      </c>
      <c r="E1042" s="16" t="s">
        <v>447</v>
      </c>
      <c r="F1042" s="16" t="n">
        <v>635</v>
      </c>
      <c r="G1042" s="17"/>
      <c r="H1042" s="17" t="n">
        <v>18863014</v>
      </c>
      <c r="I1042" s="14" t="n">
        <f aca="false">I1041+G1042-H1042</f>
        <v>43761290</v>
      </c>
    </row>
    <row r="1043" customFormat="false" ht="12" hidden="false" customHeight="true" outlineLevel="1" collapsed="false">
      <c r="B1043" s="15" t="n">
        <v>45134</v>
      </c>
      <c r="C1043" s="15" t="n">
        <f aca="false">B1043</f>
        <v>45134</v>
      </c>
      <c r="D1043" s="16" t="s">
        <v>376</v>
      </c>
      <c r="E1043" s="16" t="s">
        <v>447</v>
      </c>
      <c r="F1043" s="16" t="n">
        <v>635</v>
      </c>
      <c r="G1043" s="17"/>
      <c r="H1043" s="17" t="n">
        <v>4493726</v>
      </c>
      <c r="I1043" s="14" t="n">
        <f aca="false">I1042+G1043-H1043</f>
        <v>39267564</v>
      </c>
    </row>
    <row r="1044" customFormat="false" ht="12" hidden="false" customHeight="true" outlineLevel="1" collapsed="false">
      <c r="B1044" s="15" t="n">
        <v>45134</v>
      </c>
      <c r="C1044" s="15" t="n">
        <f aca="false">B1044</f>
        <v>45134</v>
      </c>
      <c r="D1044" s="16" t="s">
        <v>376</v>
      </c>
      <c r="E1044" s="16" t="s">
        <v>447</v>
      </c>
      <c r="F1044" s="16" t="n">
        <v>635</v>
      </c>
      <c r="G1044" s="17"/>
      <c r="H1044" s="17" t="n">
        <v>31000364</v>
      </c>
      <c r="I1044" s="14" t="n">
        <f aca="false">I1043+G1044-H1044</f>
        <v>8267200</v>
      </c>
    </row>
    <row r="1045" customFormat="false" ht="12" hidden="false" customHeight="true" outlineLevel="1" collapsed="false">
      <c r="B1045" s="15" t="n">
        <v>45134</v>
      </c>
      <c r="C1045" s="15" t="n">
        <f aca="false">B1045</f>
        <v>45134</v>
      </c>
      <c r="D1045" s="16" t="s">
        <v>376</v>
      </c>
      <c r="E1045" s="16" t="s">
        <v>447</v>
      </c>
      <c r="F1045" s="16" t="n">
        <v>635</v>
      </c>
      <c r="G1045" s="17"/>
      <c r="H1045" s="17" t="n">
        <v>3627512</v>
      </c>
      <c r="I1045" s="14" t="n">
        <f aca="false">I1044+G1045-H1045</f>
        <v>4639688</v>
      </c>
    </row>
    <row r="1046" customFormat="false" ht="12" hidden="false" customHeight="true" outlineLevel="1" collapsed="false">
      <c r="B1046" s="15" t="n">
        <v>45134</v>
      </c>
      <c r="C1046" s="15" t="n">
        <f aca="false">B1046</f>
        <v>45134</v>
      </c>
      <c r="D1046" s="16" t="s">
        <v>376</v>
      </c>
      <c r="E1046" s="16" t="s">
        <v>447</v>
      </c>
      <c r="F1046" s="16" t="n">
        <v>635</v>
      </c>
      <c r="G1046" s="17"/>
      <c r="H1046" s="17" t="n">
        <v>1554510</v>
      </c>
      <c r="I1046" s="14" t="n">
        <f aca="false">I1045+G1046-H1046</f>
        <v>3085178</v>
      </c>
    </row>
    <row r="1047" customFormat="false" ht="12" hidden="false" customHeight="true" outlineLevel="1" collapsed="false">
      <c r="B1047" s="15" t="n">
        <v>45134</v>
      </c>
      <c r="C1047" s="15" t="n">
        <f aca="false">B1047</f>
        <v>45134</v>
      </c>
      <c r="D1047" s="16" t="s">
        <v>376</v>
      </c>
      <c r="E1047" s="16" t="s">
        <v>447</v>
      </c>
      <c r="F1047" s="16" t="n">
        <v>635</v>
      </c>
      <c r="G1047" s="17"/>
      <c r="H1047" s="17" t="n">
        <v>454073</v>
      </c>
      <c r="I1047" s="14" t="n">
        <f aca="false">I1046+G1047-H1047</f>
        <v>2631105</v>
      </c>
    </row>
    <row r="1048" customFormat="false" ht="12" hidden="false" customHeight="true" outlineLevel="1" collapsed="false">
      <c r="B1048" s="15" t="n">
        <v>45134</v>
      </c>
      <c r="C1048" s="15" t="n">
        <f aca="false">B1048</f>
        <v>45134</v>
      </c>
      <c r="D1048" s="16" t="s">
        <v>376</v>
      </c>
      <c r="E1048" s="16" t="s">
        <v>447</v>
      </c>
      <c r="F1048" s="16" t="n">
        <v>635</v>
      </c>
      <c r="G1048" s="17"/>
      <c r="H1048" s="17" t="n">
        <v>405140</v>
      </c>
      <c r="I1048" s="14" t="n">
        <f aca="false">I1047+G1048-H1048</f>
        <v>2225965</v>
      </c>
    </row>
    <row r="1049" customFormat="false" ht="12" hidden="false" customHeight="true" outlineLevel="1" collapsed="false">
      <c r="B1049" s="15" t="n">
        <v>45134</v>
      </c>
      <c r="C1049" s="15" t="n">
        <f aca="false">B1049</f>
        <v>45134</v>
      </c>
      <c r="D1049" s="16" t="s">
        <v>376</v>
      </c>
      <c r="E1049" s="16" t="s">
        <v>447</v>
      </c>
      <c r="F1049" s="16" t="n">
        <v>635</v>
      </c>
      <c r="G1049" s="17"/>
      <c r="H1049" s="17" t="n">
        <v>710246</v>
      </c>
      <c r="I1049" s="14" t="n">
        <f aca="false">I1048+G1049-H1049</f>
        <v>1515719</v>
      </c>
    </row>
    <row r="1050" customFormat="false" ht="12" hidden="false" customHeight="true" outlineLevel="1" collapsed="false">
      <c r="B1050" s="15" t="n">
        <v>45135</v>
      </c>
      <c r="C1050" s="15" t="n">
        <f aca="false">B1050</f>
        <v>45135</v>
      </c>
      <c r="D1050" s="16" t="s">
        <v>375</v>
      </c>
      <c r="E1050" s="16" t="s">
        <v>157</v>
      </c>
      <c r="F1050" s="16" t="s">
        <v>15</v>
      </c>
      <c r="G1050" s="17" t="n">
        <v>98000000</v>
      </c>
      <c r="H1050" s="17"/>
      <c r="I1050" s="14" t="n">
        <f aca="false">I1049+G1050-H1050</f>
        <v>99515719</v>
      </c>
    </row>
    <row r="1051" customFormat="false" ht="12" hidden="false" customHeight="true" outlineLevel="1" collapsed="false">
      <c r="B1051" s="15" t="n">
        <v>45135</v>
      </c>
      <c r="C1051" s="15" t="n">
        <f aca="false">B1051</f>
        <v>45135</v>
      </c>
      <c r="D1051" s="16" t="s">
        <v>375</v>
      </c>
      <c r="E1051" s="16" t="s">
        <v>157</v>
      </c>
      <c r="F1051" s="16" t="s">
        <v>15</v>
      </c>
      <c r="G1051" s="17" t="n">
        <v>23000000</v>
      </c>
      <c r="H1051" s="17"/>
      <c r="I1051" s="14" t="n">
        <f aca="false">I1050+G1051-H1051</f>
        <v>122515719</v>
      </c>
    </row>
    <row r="1052" customFormat="false" ht="12" hidden="false" customHeight="true" outlineLevel="1" collapsed="false">
      <c r="B1052" s="15" t="n">
        <v>45135</v>
      </c>
      <c r="C1052" s="15" t="n">
        <f aca="false">B1052</f>
        <v>45135</v>
      </c>
      <c r="D1052" s="16" t="s">
        <v>376</v>
      </c>
      <c r="E1052" s="16" t="s">
        <v>23</v>
      </c>
      <c r="F1052" s="16" t="s">
        <v>24</v>
      </c>
      <c r="G1052" s="17"/>
      <c r="H1052" s="17" t="n">
        <v>10000000</v>
      </c>
      <c r="I1052" s="14" t="n">
        <f aca="false">I1051+G1052-H1052</f>
        <v>112515719</v>
      </c>
    </row>
    <row r="1053" customFormat="false" ht="12" hidden="false" customHeight="true" outlineLevel="1" collapsed="false">
      <c r="B1053" s="15" t="n">
        <v>45135</v>
      </c>
      <c r="C1053" s="15" t="n">
        <f aca="false">B1053</f>
        <v>45135</v>
      </c>
      <c r="D1053" s="16" t="s">
        <v>376</v>
      </c>
      <c r="E1053" s="16" t="s">
        <v>36</v>
      </c>
      <c r="F1053" s="16" t="n">
        <v>635</v>
      </c>
      <c r="G1053" s="17"/>
      <c r="H1053" s="17" t="n">
        <v>11000</v>
      </c>
      <c r="I1053" s="14" t="n">
        <f aca="false">I1052+G1053-H1053</f>
        <v>112504719</v>
      </c>
    </row>
    <row r="1054" customFormat="false" ht="12" hidden="false" customHeight="true" outlineLevel="1" collapsed="false">
      <c r="B1054" s="15" t="n">
        <v>45135</v>
      </c>
      <c r="C1054" s="15" t="n">
        <f aca="false">B1054</f>
        <v>45135</v>
      </c>
      <c r="D1054" s="16" t="s">
        <v>376</v>
      </c>
      <c r="E1054" s="16" t="s">
        <v>23</v>
      </c>
      <c r="F1054" s="16" t="s">
        <v>24</v>
      </c>
      <c r="G1054" s="17"/>
      <c r="H1054" s="17" t="n">
        <v>110000000</v>
      </c>
      <c r="I1054" s="14" t="n">
        <f aca="false">I1053+G1054-H1054</f>
        <v>2504719</v>
      </c>
    </row>
    <row r="1055" customFormat="false" ht="12" hidden="false" customHeight="true" outlineLevel="1" collapsed="false">
      <c r="B1055" s="15" t="n">
        <v>45138</v>
      </c>
      <c r="C1055" s="15" t="n">
        <f aca="false">B1055</f>
        <v>45138</v>
      </c>
      <c r="D1055" s="16" t="s">
        <v>375</v>
      </c>
      <c r="E1055" s="16" t="s">
        <v>157</v>
      </c>
      <c r="F1055" s="16" t="s">
        <v>15</v>
      </c>
      <c r="G1055" s="17" t="n">
        <v>41490000</v>
      </c>
      <c r="H1055" s="17"/>
      <c r="I1055" s="14" t="n">
        <f aca="false">I1054+G1055-H1055</f>
        <v>43994719</v>
      </c>
    </row>
    <row r="1056" customFormat="false" ht="12" hidden="false" customHeight="true" outlineLevel="1" collapsed="false">
      <c r="B1056" s="15" t="n">
        <v>45138</v>
      </c>
      <c r="C1056" s="15" t="n">
        <f aca="false">B1056</f>
        <v>45138</v>
      </c>
      <c r="D1056" s="16" t="s">
        <v>375</v>
      </c>
      <c r="E1056" s="16" t="s">
        <v>157</v>
      </c>
      <c r="F1056" s="16" t="s">
        <v>15</v>
      </c>
      <c r="G1056" s="17" t="n">
        <v>224038000</v>
      </c>
      <c r="H1056" s="17"/>
      <c r="I1056" s="14" t="n">
        <f aca="false">I1055+G1056-H1056</f>
        <v>268032719</v>
      </c>
    </row>
    <row r="1057" customFormat="false" ht="12" hidden="false" customHeight="true" outlineLevel="1" collapsed="false">
      <c r="B1057" s="15" t="n">
        <v>45138</v>
      </c>
      <c r="C1057" s="15" t="n">
        <f aca="false">B1057</f>
        <v>45138</v>
      </c>
      <c r="D1057" s="16" t="s">
        <v>375</v>
      </c>
      <c r="E1057" s="16" t="s">
        <v>157</v>
      </c>
      <c r="F1057" s="16" t="s">
        <v>15</v>
      </c>
      <c r="G1057" s="17" t="n">
        <v>31813000</v>
      </c>
      <c r="H1057" s="17"/>
      <c r="I1057" s="14" t="n">
        <f aca="false">I1056+G1057-H1057</f>
        <v>299845719</v>
      </c>
    </row>
    <row r="1058" customFormat="false" ht="12" hidden="false" customHeight="true" outlineLevel="1" collapsed="false">
      <c r="B1058" s="15" t="n">
        <v>45138</v>
      </c>
      <c r="C1058" s="15" t="n">
        <f aca="false">B1058</f>
        <v>45138</v>
      </c>
      <c r="D1058" s="16" t="s">
        <v>375</v>
      </c>
      <c r="E1058" s="16" t="s">
        <v>157</v>
      </c>
      <c r="F1058" s="16" t="s">
        <v>15</v>
      </c>
      <c r="G1058" s="17" t="n">
        <v>109925000</v>
      </c>
      <c r="H1058" s="17"/>
      <c r="I1058" s="14" t="n">
        <f aca="false">I1057+G1058-H1058</f>
        <v>409770719</v>
      </c>
    </row>
    <row r="1059" customFormat="false" ht="12" hidden="false" customHeight="true" outlineLevel="1" collapsed="false">
      <c r="B1059" s="15" t="n">
        <v>45138</v>
      </c>
      <c r="C1059" s="15" t="n">
        <f aca="false">B1059</f>
        <v>45138</v>
      </c>
      <c r="D1059" s="16" t="s">
        <v>375</v>
      </c>
      <c r="E1059" s="16" t="s">
        <v>157</v>
      </c>
      <c r="F1059" s="16" t="s">
        <v>15</v>
      </c>
      <c r="G1059" s="17" t="n">
        <v>94000000</v>
      </c>
      <c r="H1059" s="17"/>
      <c r="I1059" s="14" t="n">
        <f aca="false">I1058+G1059-H1059</f>
        <v>503770719</v>
      </c>
    </row>
    <row r="1060" customFormat="false" ht="12" hidden="false" customHeight="true" outlineLevel="1" collapsed="false">
      <c r="B1060" s="15" t="n">
        <v>45138</v>
      </c>
      <c r="C1060" s="15" t="n">
        <f aca="false">B1060</f>
        <v>45138</v>
      </c>
      <c r="D1060" s="16" t="s">
        <v>376</v>
      </c>
      <c r="E1060" s="16" t="s">
        <v>23</v>
      </c>
      <c r="F1060" s="16" t="s">
        <v>24</v>
      </c>
      <c r="G1060" s="17"/>
      <c r="H1060" s="17" t="n">
        <v>255896625</v>
      </c>
      <c r="I1060" s="14" t="n">
        <f aca="false">I1059+G1060-H1060</f>
        <v>247874094</v>
      </c>
    </row>
    <row r="1061" customFormat="false" ht="12" hidden="false" customHeight="true" outlineLevel="1" collapsed="false">
      <c r="B1061" s="15" t="n">
        <v>45138</v>
      </c>
      <c r="C1061" s="15" t="n">
        <f aca="false">B1061</f>
        <v>45138</v>
      </c>
      <c r="D1061" s="16" t="s">
        <v>376</v>
      </c>
      <c r="E1061" s="16" t="s">
        <v>23</v>
      </c>
      <c r="F1061" s="16" t="s">
        <v>24</v>
      </c>
      <c r="G1061" s="17"/>
      <c r="H1061" s="17" t="n">
        <v>219522672</v>
      </c>
      <c r="I1061" s="14" t="n">
        <f aca="false">I1060+G1061-H1061</f>
        <v>28351422</v>
      </c>
    </row>
    <row r="1062" customFormat="false" ht="12" hidden="false" customHeight="true" outlineLevel="1" collapsed="false">
      <c r="B1062" s="15" t="n">
        <v>45138</v>
      </c>
      <c r="C1062" s="15" t="n">
        <f aca="false">B1062</f>
        <v>45138</v>
      </c>
      <c r="D1062" s="16" t="s">
        <v>376</v>
      </c>
      <c r="E1062" s="16" t="s">
        <v>36</v>
      </c>
      <c r="F1062" s="16" t="n">
        <v>635</v>
      </c>
      <c r="G1062" s="17"/>
      <c r="H1062" s="17" t="n">
        <v>11000</v>
      </c>
      <c r="I1062" s="14" t="n">
        <f aca="false">I1061+G1062-H1062</f>
        <v>28340422</v>
      </c>
    </row>
    <row r="1063" customFormat="false" ht="12" hidden="false" customHeight="true" outlineLevel="1" collapsed="false">
      <c r="B1063" s="15" t="n">
        <v>45139</v>
      </c>
      <c r="C1063" s="15" t="n">
        <f aca="false">B1063</f>
        <v>45139</v>
      </c>
      <c r="D1063" s="16" t="s">
        <v>376</v>
      </c>
      <c r="E1063" s="16" t="s">
        <v>294</v>
      </c>
      <c r="F1063" s="16" t="s">
        <v>179</v>
      </c>
      <c r="G1063" s="17"/>
      <c r="H1063" s="17" t="n">
        <v>358450</v>
      </c>
      <c r="I1063" s="14" t="n">
        <f aca="false">I1062+G1063-H1063</f>
        <v>27981972</v>
      </c>
    </row>
    <row r="1064" customFormat="false" ht="12" hidden="false" customHeight="true" outlineLevel="1" collapsed="false">
      <c r="B1064" s="15" t="n">
        <v>45139</v>
      </c>
      <c r="C1064" s="15" t="n">
        <f aca="false">B1064</f>
        <v>45139</v>
      </c>
      <c r="D1064" s="16" t="s">
        <v>375</v>
      </c>
      <c r="E1064" s="16" t="s">
        <v>157</v>
      </c>
      <c r="F1064" s="16" t="s">
        <v>15</v>
      </c>
      <c r="G1064" s="17" t="n">
        <v>103219000</v>
      </c>
      <c r="H1064" s="17"/>
      <c r="I1064" s="14" t="n">
        <f aca="false">I1063+G1064-H1064</f>
        <v>131200972</v>
      </c>
    </row>
    <row r="1065" customFormat="false" ht="12" hidden="false" customHeight="true" outlineLevel="1" collapsed="false">
      <c r="B1065" s="15" t="n">
        <v>45139</v>
      </c>
      <c r="C1065" s="15" t="n">
        <f aca="false">B1065</f>
        <v>45139</v>
      </c>
      <c r="D1065" s="16" t="s">
        <v>375</v>
      </c>
      <c r="E1065" s="16" t="s">
        <v>157</v>
      </c>
      <c r="F1065" s="16" t="s">
        <v>15</v>
      </c>
      <c r="G1065" s="17" t="n">
        <v>59583000</v>
      </c>
      <c r="H1065" s="17"/>
      <c r="I1065" s="14" t="n">
        <f aca="false">I1064+G1065-H1065</f>
        <v>190783972</v>
      </c>
    </row>
    <row r="1066" customFormat="false" ht="12" hidden="false" customHeight="true" outlineLevel="1" collapsed="false">
      <c r="B1066" s="15" t="n">
        <v>45139</v>
      </c>
      <c r="C1066" s="15" t="n">
        <f aca="false">B1066</f>
        <v>45139</v>
      </c>
      <c r="D1066" s="16" t="s">
        <v>375</v>
      </c>
      <c r="E1066" s="16" t="s">
        <v>157</v>
      </c>
      <c r="F1066" s="16" t="s">
        <v>15</v>
      </c>
      <c r="G1066" s="17" t="n">
        <v>216716000</v>
      </c>
      <c r="H1066" s="17"/>
      <c r="I1066" s="14" t="n">
        <f aca="false">I1065+G1066-H1066</f>
        <v>407499972</v>
      </c>
    </row>
    <row r="1067" customFormat="false" ht="12" hidden="false" customHeight="true" outlineLevel="1" collapsed="false">
      <c r="B1067" s="15" t="n">
        <v>45139</v>
      </c>
      <c r="C1067" s="15" t="n">
        <f aca="false">B1067</f>
        <v>45139</v>
      </c>
      <c r="D1067" s="16" t="s">
        <v>375</v>
      </c>
      <c r="E1067" s="16" t="s">
        <v>157</v>
      </c>
      <c r="F1067" s="16" t="s">
        <v>15</v>
      </c>
      <c r="G1067" s="17" t="n">
        <v>98000000</v>
      </c>
      <c r="H1067" s="17"/>
      <c r="I1067" s="14" t="n">
        <f aca="false">I1066+G1067-H1067</f>
        <v>505499972</v>
      </c>
    </row>
    <row r="1068" customFormat="false" ht="12" hidden="false" customHeight="true" outlineLevel="1" collapsed="false">
      <c r="B1068" s="15" t="n">
        <v>45139</v>
      </c>
      <c r="C1068" s="15" t="n">
        <f aca="false">B1068</f>
        <v>45139</v>
      </c>
      <c r="D1068" s="16" t="s">
        <v>376</v>
      </c>
      <c r="E1068" s="16" t="s">
        <v>23</v>
      </c>
      <c r="F1068" s="16" t="s">
        <v>24</v>
      </c>
      <c r="G1068" s="17"/>
      <c r="H1068" s="17" t="n">
        <v>14011596</v>
      </c>
      <c r="I1068" s="14" t="n">
        <f aca="false">I1067+G1068-H1068</f>
        <v>491488376</v>
      </c>
    </row>
    <row r="1069" customFormat="false" ht="12" hidden="false" customHeight="true" outlineLevel="1" collapsed="false">
      <c r="B1069" s="15" t="n">
        <v>45139</v>
      </c>
      <c r="C1069" s="15" t="n">
        <f aca="false">B1069</f>
        <v>45139</v>
      </c>
      <c r="D1069" s="16" t="s">
        <v>376</v>
      </c>
      <c r="E1069" s="16" t="s">
        <v>23</v>
      </c>
      <c r="F1069" s="16" t="s">
        <v>24</v>
      </c>
      <c r="G1069" s="17"/>
      <c r="H1069" s="17" t="n">
        <v>151886049</v>
      </c>
      <c r="I1069" s="14" t="n">
        <f aca="false">I1068+G1069-H1069</f>
        <v>339602327</v>
      </c>
    </row>
    <row r="1070" customFormat="false" ht="12" hidden="false" customHeight="true" outlineLevel="1" collapsed="false">
      <c r="B1070" s="15" t="n">
        <v>45139</v>
      </c>
      <c r="C1070" s="15" t="n">
        <f aca="false">B1070</f>
        <v>45139</v>
      </c>
      <c r="D1070" s="16" t="s">
        <v>376</v>
      </c>
      <c r="E1070" s="16" t="s">
        <v>23</v>
      </c>
      <c r="F1070" s="16" t="s">
        <v>24</v>
      </c>
      <c r="G1070" s="17"/>
      <c r="H1070" s="17" t="n">
        <v>170840720</v>
      </c>
      <c r="I1070" s="14" t="n">
        <f aca="false">I1069+G1070-H1070</f>
        <v>168761607</v>
      </c>
    </row>
    <row r="1071" customFormat="false" ht="12" hidden="false" customHeight="true" outlineLevel="1" collapsed="false">
      <c r="B1071" s="15" t="n">
        <v>45139</v>
      </c>
      <c r="C1071" s="15" t="n">
        <f aca="false">B1071</f>
        <v>45139</v>
      </c>
      <c r="D1071" s="16" t="s">
        <v>376</v>
      </c>
      <c r="E1071" s="16" t="s">
        <v>23</v>
      </c>
      <c r="F1071" s="16" t="s">
        <v>24</v>
      </c>
      <c r="G1071" s="17"/>
      <c r="H1071" s="17" t="n">
        <v>163986741</v>
      </c>
      <c r="I1071" s="14" t="n">
        <f aca="false">I1070+G1071-H1071</f>
        <v>4774866</v>
      </c>
    </row>
    <row r="1072" customFormat="false" ht="12" hidden="false" customHeight="true" outlineLevel="1" collapsed="false">
      <c r="B1072" s="15" t="n">
        <v>45140</v>
      </c>
      <c r="C1072" s="15" t="n">
        <f aca="false">B1072</f>
        <v>45140</v>
      </c>
      <c r="D1072" s="16" t="s">
        <v>375</v>
      </c>
      <c r="E1072" s="16" t="s">
        <v>157</v>
      </c>
      <c r="F1072" s="16" t="s">
        <v>15</v>
      </c>
      <c r="G1072" s="17" t="n">
        <v>53000000</v>
      </c>
      <c r="H1072" s="17"/>
      <c r="I1072" s="14" t="n">
        <f aca="false">I1071+G1072-H1072</f>
        <v>57774866</v>
      </c>
    </row>
    <row r="1073" customFormat="false" ht="12" hidden="false" customHeight="true" outlineLevel="1" collapsed="false">
      <c r="B1073" s="15" t="n">
        <v>45140</v>
      </c>
      <c r="C1073" s="15" t="n">
        <f aca="false">B1073</f>
        <v>45140</v>
      </c>
      <c r="D1073" s="16" t="s">
        <v>375</v>
      </c>
      <c r="E1073" s="16" t="s">
        <v>157</v>
      </c>
      <c r="F1073" s="16" t="s">
        <v>15</v>
      </c>
      <c r="G1073" s="17" t="n">
        <v>30902000</v>
      </c>
      <c r="H1073" s="17"/>
      <c r="I1073" s="14" t="n">
        <f aca="false">I1072+G1073-H1073</f>
        <v>88676866</v>
      </c>
    </row>
    <row r="1074" customFormat="false" ht="12" hidden="false" customHeight="true" outlineLevel="1" collapsed="false">
      <c r="B1074" s="15" t="n">
        <v>45140</v>
      </c>
      <c r="C1074" s="15" t="n">
        <f aca="false">B1074</f>
        <v>45140</v>
      </c>
      <c r="D1074" s="16" t="s">
        <v>375</v>
      </c>
      <c r="E1074" s="16" t="s">
        <v>157</v>
      </c>
      <c r="F1074" s="16" t="s">
        <v>15</v>
      </c>
      <c r="G1074" s="17" t="n">
        <v>33547000</v>
      </c>
      <c r="H1074" s="17"/>
      <c r="I1074" s="14" t="n">
        <f aca="false">I1073+G1074-H1074</f>
        <v>122223866</v>
      </c>
    </row>
    <row r="1075" customFormat="false" ht="12" hidden="false" customHeight="true" outlineLevel="1" collapsed="false">
      <c r="B1075" s="15" t="n">
        <v>45140</v>
      </c>
      <c r="C1075" s="15" t="n">
        <f aca="false">B1075</f>
        <v>45140</v>
      </c>
      <c r="D1075" s="16" t="s">
        <v>376</v>
      </c>
      <c r="E1075" s="16" t="s">
        <v>23</v>
      </c>
      <c r="F1075" s="16" t="s">
        <v>24</v>
      </c>
      <c r="G1075" s="17"/>
      <c r="H1075" s="17" t="n">
        <v>120000000</v>
      </c>
      <c r="I1075" s="14" t="n">
        <f aca="false">I1074+G1075-H1075</f>
        <v>2223866</v>
      </c>
    </row>
    <row r="1076" customFormat="false" ht="12" hidden="false" customHeight="true" outlineLevel="1" collapsed="false">
      <c r="B1076" s="15" t="n">
        <v>45141</v>
      </c>
      <c r="C1076" s="15" t="n">
        <f aca="false">B1076</f>
        <v>45141</v>
      </c>
      <c r="D1076" s="16" t="s">
        <v>375</v>
      </c>
      <c r="E1076" s="16" t="s">
        <v>157</v>
      </c>
      <c r="F1076" s="16" t="s">
        <v>15</v>
      </c>
      <c r="G1076" s="17" t="n">
        <v>13000000</v>
      </c>
      <c r="H1076" s="17"/>
      <c r="I1076" s="14" t="n">
        <f aca="false">I1075+G1076-H1076</f>
        <v>15223866</v>
      </c>
    </row>
    <row r="1077" customFormat="false" ht="12" hidden="false" customHeight="true" outlineLevel="1" collapsed="false">
      <c r="B1077" s="15" t="n">
        <v>45141</v>
      </c>
      <c r="C1077" s="15" t="n">
        <f aca="false">B1077</f>
        <v>45141</v>
      </c>
      <c r="D1077" s="16" t="s">
        <v>375</v>
      </c>
      <c r="E1077" s="16" t="s">
        <v>157</v>
      </c>
      <c r="F1077" s="16" t="s">
        <v>15</v>
      </c>
      <c r="G1077" s="17" t="n">
        <v>111671000</v>
      </c>
      <c r="H1077" s="17"/>
      <c r="I1077" s="14" t="n">
        <f aca="false">I1076+G1077-H1077</f>
        <v>126894866</v>
      </c>
    </row>
    <row r="1078" customFormat="false" ht="12" hidden="false" customHeight="true" outlineLevel="1" collapsed="false">
      <c r="B1078" s="15" t="n">
        <v>45141</v>
      </c>
      <c r="C1078" s="15" t="n">
        <f aca="false">B1078</f>
        <v>45141</v>
      </c>
      <c r="D1078" s="16" t="s">
        <v>375</v>
      </c>
      <c r="E1078" s="16" t="s">
        <v>157</v>
      </c>
      <c r="F1078" s="16" t="s">
        <v>15</v>
      </c>
      <c r="G1078" s="17" t="n">
        <v>71132000</v>
      </c>
      <c r="H1078" s="17"/>
      <c r="I1078" s="14" t="n">
        <f aca="false">I1077+G1078-H1078</f>
        <v>198026866</v>
      </c>
    </row>
    <row r="1079" customFormat="false" ht="12" hidden="false" customHeight="true" outlineLevel="1" collapsed="false">
      <c r="B1079" s="15" t="n">
        <v>45141</v>
      </c>
      <c r="C1079" s="15" t="n">
        <f aca="false">B1079</f>
        <v>45141</v>
      </c>
      <c r="D1079" s="16" t="s">
        <v>375</v>
      </c>
      <c r="E1079" s="16" t="s">
        <v>448</v>
      </c>
      <c r="F1079" s="16" t="s">
        <v>15</v>
      </c>
      <c r="G1079" s="17" t="n">
        <v>44336000</v>
      </c>
      <c r="H1079" s="17"/>
      <c r="I1079" s="14" t="n">
        <f aca="false">I1078+G1079-H1079</f>
        <v>242362866</v>
      </c>
    </row>
    <row r="1080" customFormat="false" ht="12" hidden="false" customHeight="true" outlineLevel="1" collapsed="false">
      <c r="B1080" s="15" t="n">
        <v>45141</v>
      </c>
      <c r="C1080" s="15" t="n">
        <f aca="false">B1080</f>
        <v>45141</v>
      </c>
      <c r="D1080" s="16" t="s">
        <v>376</v>
      </c>
      <c r="E1080" s="16" t="s">
        <v>23</v>
      </c>
      <c r="F1080" s="16" t="s">
        <v>24</v>
      </c>
      <c r="G1080" s="17"/>
      <c r="H1080" s="17" t="n">
        <v>240000000</v>
      </c>
      <c r="I1080" s="14" t="n">
        <f aca="false">I1079+G1080-H1080</f>
        <v>2362866</v>
      </c>
    </row>
    <row r="1081" customFormat="false" ht="12" hidden="false" customHeight="true" outlineLevel="1" collapsed="false">
      <c r="B1081" s="15" t="n">
        <v>45142</v>
      </c>
      <c r="C1081" s="15" t="n">
        <f aca="false">B1081</f>
        <v>45142</v>
      </c>
      <c r="D1081" s="16" t="s">
        <v>375</v>
      </c>
      <c r="E1081" s="16" t="s">
        <v>157</v>
      </c>
      <c r="F1081" s="16" t="s">
        <v>15</v>
      </c>
      <c r="G1081" s="17" t="n">
        <v>23000000</v>
      </c>
      <c r="H1081" s="17"/>
      <c r="I1081" s="14" t="n">
        <f aca="false">I1080+G1081-H1081</f>
        <v>25362866</v>
      </c>
    </row>
    <row r="1082" customFormat="false" ht="12" hidden="false" customHeight="true" outlineLevel="1" collapsed="false">
      <c r="B1082" s="15" t="n">
        <v>45142</v>
      </c>
      <c r="C1082" s="15" t="n">
        <f aca="false">B1082</f>
        <v>45142</v>
      </c>
      <c r="D1082" s="16" t="s">
        <v>375</v>
      </c>
      <c r="E1082" s="16" t="s">
        <v>157</v>
      </c>
      <c r="F1082" s="16" t="s">
        <v>15</v>
      </c>
      <c r="G1082" s="17" t="n">
        <v>121906000</v>
      </c>
      <c r="H1082" s="17"/>
      <c r="I1082" s="14" t="n">
        <f aca="false">I1081+G1082-H1082</f>
        <v>147268866</v>
      </c>
    </row>
    <row r="1083" customFormat="false" ht="12" hidden="false" customHeight="true" outlineLevel="1" collapsed="false">
      <c r="B1083" s="15" t="n">
        <v>45142</v>
      </c>
      <c r="C1083" s="15" t="n">
        <f aca="false">B1083</f>
        <v>45142</v>
      </c>
      <c r="D1083" s="16" t="s">
        <v>375</v>
      </c>
      <c r="E1083" s="16" t="s">
        <v>157</v>
      </c>
      <c r="F1083" s="16" t="s">
        <v>15</v>
      </c>
      <c r="G1083" s="17" t="n">
        <v>30372000</v>
      </c>
      <c r="H1083" s="17"/>
      <c r="I1083" s="14" t="n">
        <f aca="false">I1082+G1083-H1083</f>
        <v>177640866</v>
      </c>
    </row>
    <row r="1084" customFormat="false" ht="12" hidden="false" customHeight="true" outlineLevel="1" collapsed="false">
      <c r="B1084" s="15" t="n">
        <v>45142</v>
      </c>
      <c r="C1084" s="15" t="n">
        <f aca="false">B1084</f>
        <v>45142</v>
      </c>
      <c r="D1084" s="16" t="s">
        <v>375</v>
      </c>
      <c r="E1084" s="16" t="s">
        <v>448</v>
      </c>
      <c r="F1084" s="16" t="s">
        <v>15</v>
      </c>
      <c r="G1084" s="17" t="n">
        <v>31371000</v>
      </c>
      <c r="H1084" s="17"/>
      <c r="I1084" s="14" t="n">
        <f aca="false">I1083+G1084-H1084</f>
        <v>209011866</v>
      </c>
    </row>
    <row r="1085" customFormat="false" ht="12" hidden="false" customHeight="true" outlineLevel="1" collapsed="false">
      <c r="B1085" s="15" t="n">
        <v>45142</v>
      </c>
      <c r="C1085" s="15" t="n">
        <f aca="false">B1085</f>
        <v>45142</v>
      </c>
      <c r="D1085" s="16" t="s">
        <v>376</v>
      </c>
      <c r="E1085" s="16" t="s">
        <v>23</v>
      </c>
      <c r="F1085" s="16" t="s">
        <v>24</v>
      </c>
      <c r="G1085" s="17"/>
      <c r="H1085" s="17" t="n">
        <v>206000000</v>
      </c>
      <c r="I1085" s="14" t="n">
        <f aca="false">I1084+G1085-H1085</f>
        <v>3011866</v>
      </c>
    </row>
    <row r="1086" customFormat="false" ht="12" hidden="false" customHeight="true" outlineLevel="1" collapsed="false">
      <c r="B1086" s="15" t="n">
        <v>45143</v>
      </c>
      <c r="C1086" s="15" t="n">
        <f aca="false">B1086</f>
        <v>45143</v>
      </c>
      <c r="D1086" s="16" t="s">
        <v>376</v>
      </c>
      <c r="E1086" s="16" t="s">
        <v>36</v>
      </c>
      <c r="F1086" s="16" t="n">
        <v>635</v>
      </c>
      <c r="G1086" s="17"/>
      <c r="H1086" s="17" t="n">
        <v>55000</v>
      </c>
      <c r="I1086" s="14" t="n">
        <f aca="false">I1085+G1086-H1086</f>
        <v>2956866</v>
      </c>
    </row>
    <row r="1087" customFormat="false" ht="12" hidden="false" customHeight="true" outlineLevel="1" collapsed="false">
      <c r="B1087" s="15" t="n">
        <v>45145</v>
      </c>
      <c r="C1087" s="15" t="n">
        <f aca="false">B1087</f>
        <v>45145</v>
      </c>
      <c r="D1087" s="16" t="s">
        <v>375</v>
      </c>
      <c r="E1087" s="16" t="s">
        <v>157</v>
      </c>
      <c r="F1087" s="16" t="s">
        <v>15</v>
      </c>
      <c r="G1087" s="17" t="n">
        <v>76048000</v>
      </c>
      <c r="H1087" s="17"/>
      <c r="I1087" s="14" t="n">
        <f aca="false">I1086+G1087-H1087</f>
        <v>79004866</v>
      </c>
    </row>
    <row r="1088" customFormat="false" ht="12" hidden="false" customHeight="true" outlineLevel="1" collapsed="false">
      <c r="B1088" s="15" t="n">
        <v>45145</v>
      </c>
      <c r="C1088" s="15" t="n">
        <f aca="false">B1088</f>
        <v>45145</v>
      </c>
      <c r="D1088" s="16" t="s">
        <v>375</v>
      </c>
      <c r="E1088" s="16" t="s">
        <v>157</v>
      </c>
      <c r="F1088" s="16" t="s">
        <v>15</v>
      </c>
      <c r="G1088" s="17" t="n">
        <v>68202000</v>
      </c>
      <c r="H1088" s="17"/>
      <c r="I1088" s="14" t="n">
        <f aca="false">I1087+G1088-H1088</f>
        <v>147206866</v>
      </c>
    </row>
    <row r="1089" customFormat="false" ht="12" hidden="false" customHeight="true" outlineLevel="1" collapsed="false">
      <c r="B1089" s="15" t="n">
        <v>45145</v>
      </c>
      <c r="C1089" s="15" t="n">
        <f aca="false">B1089</f>
        <v>45145</v>
      </c>
      <c r="D1089" s="16" t="s">
        <v>375</v>
      </c>
      <c r="E1089" s="16" t="s">
        <v>157</v>
      </c>
      <c r="F1089" s="16" t="s">
        <v>15</v>
      </c>
      <c r="G1089" s="17" t="n">
        <v>149803000</v>
      </c>
      <c r="H1089" s="17"/>
      <c r="I1089" s="14" t="n">
        <f aca="false">I1088+G1089-H1089</f>
        <v>297009866</v>
      </c>
    </row>
    <row r="1090" customFormat="false" ht="12" hidden="false" customHeight="true" outlineLevel="1" collapsed="false">
      <c r="B1090" s="15" t="n">
        <v>45145</v>
      </c>
      <c r="C1090" s="15" t="n">
        <f aca="false">B1090</f>
        <v>45145</v>
      </c>
      <c r="D1090" s="16" t="s">
        <v>375</v>
      </c>
      <c r="E1090" s="16" t="s">
        <v>448</v>
      </c>
      <c r="F1090" s="16" t="s">
        <v>15</v>
      </c>
      <c r="G1090" s="17" t="n">
        <v>147724000</v>
      </c>
      <c r="H1090" s="17"/>
      <c r="I1090" s="14" t="n">
        <f aca="false">I1089+G1090-H1090</f>
        <v>444733866</v>
      </c>
    </row>
    <row r="1091" customFormat="false" ht="12" hidden="false" customHeight="true" outlineLevel="1" collapsed="false">
      <c r="B1091" s="15" t="n">
        <v>45145</v>
      </c>
      <c r="C1091" s="15" t="n">
        <f aca="false">B1091</f>
        <v>45145</v>
      </c>
      <c r="D1091" s="16" t="s">
        <v>376</v>
      </c>
      <c r="E1091" s="16" t="s">
        <v>294</v>
      </c>
      <c r="F1091" s="16" t="s">
        <v>179</v>
      </c>
      <c r="G1091" s="17"/>
      <c r="H1091" s="17" t="n">
        <v>178475166</v>
      </c>
      <c r="I1091" s="14" t="n">
        <f aca="false">I1090+G1091-H1091</f>
        <v>266258700</v>
      </c>
    </row>
    <row r="1092" customFormat="false" ht="12" hidden="false" customHeight="true" outlineLevel="1" collapsed="false">
      <c r="B1092" s="15" t="n">
        <v>45145</v>
      </c>
      <c r="C1092" s="15" t="n">
        <f aca="false">B1092</f>
        <v>45145</v>
      </c>
      <c r="D1092" s="16" t="s">
        <v>375</v>
      </c>
      <c r="E1092" s="16" t="s">
        <v>157</v>
      </c>
      <c r="F1092" s="16" t="s">
        <v>15</v>
      </c>
      <c r="G1092" s="17" t="n">
        <v>40000000</v>
      </c>
      <c r="H1092" s="17"/>
      <c r="I1092" s="14" t="n">
        <f aca="false">I1091+G1092-H1092</f>
        <v>306258700</v>
      </c>
    </row>
    <row r="1093" customFormat="false" ht="12" hidden="false" customHeight="true" outlineLevel="1" collapsed="false">
      <c r="B1093" s="15" t="n">
        <v>45145</v>
      </c>
      <c r="C1093" s="15" t="n">
        <f aca="false">B1093</f>
        <v>45145</v>
      </c>
      <c r="D1093" s="16" t="s">
        <v>376</v>
      </c>
      <c r="E1093" s="16" t="s">
        <v>23</v>
      </c>
      <c r="F1093" s="16" t="s">
        <v>24</v>
      </c>
      <c r="G1093" s="17"/>
      <c r="H1093" s="17" t="n">
        <v>300000000</v>
      </c>
      <c r="I1093" s="14" t="n">
        <f aca="false">I1092+G1093-H1093</f>
        <v>6258700</v>
      </c>
    </row>
    <row r="1094" customFormat="false" ht="12" hidden="false" customHeight="true" outlineLevel="1" collapsed="false">
      <c r="B1094" s="15" t="n">
        <v>45146</v>
      </c>
      <c r="C1094" s="15" t="n">
        <f aca="false">B1094</f>
        <v>45146</v>
      </c>
      <c r="D1094" s="16" t="s">
        <v>375</v>
      </c>
      <c r="E1094" s="16" t="s">
        <v>157</v>
      </c>
      <c r="F1094" s="16" t="s">
        <v>15</v>
      </c>
      <c r="G1094" s="17" t="n">
        <v>74718000</v>
      </c>
      <c r="H1094" s="17"/>
      <c r="I1094" s="14" t="n">
        <f aca="false">I1093+G1094-H1094</f>
        <v>80976700</v>
      </c>
    </row>
    <row r="1095" customFormat="false" ht="12" hidden="false" customHeight="true" outlineLevel="1" collapsed="false">
      <c r="B1095" s="15" t="n">
        <v>45146</v>
      </c>
      <c r="C1095" s="15" t="n">
        <f aca="false">B1095</f>
        <v>45146</v>
      </c>
      <c r="D1095" s="16" t="s">
        <v>375</v>
      </c>
      <c r="E1095" s="16" t="s">
        <v>157</v>
      </c>
      <c r="F1095" s="16" t="s">
        <v>15</v>
      </c>
      <c r="G1095" s="17" t="n">
        <v>41366000</v>
      </c>
      <c r="H1095" s="17"/>
      <c r="I1095" s="14" t="n">
        <f aca="false">I1094+G1095-H1095</f>
        <v>122342700</v>
      </c>
    </row>
    <row r="1096" customFormat="false" ht="12" hidden="false" customHeight="true" outlineLevel="1" collapsed="false">
      <c r="B1096" s="15" t="n">
        <v>45146</v>
      </c>
      <c r="C1096" s="15" t="n">
        <f aca="false">B1096</f>
        <v>45146</v>
      </c>
      <c r="D1096" s="16" t="s">
        <v>375</v>
      </c>
      <c r="E1096" s="16" t="s">
        <v>157</v>
      </c>
      <c r="F1096" s="16" t="s">
        <v>15</v>
      </c>
      <c r="G1096" s="17" t="n">
        <v>25567000</v>
      </c>
      <c r="H1096" s="17"/>
      <c r="I1096" s="14" t="n">
        <f aca="false">I1095+G1096-H1096</f>
        <v>147909700</v>
      </c>
    </row>
    <row r="1097" customFormat="false" ht="12" hidden="false" customHeight="true" outlineLevel="1" collapsed="false">
      <c r="B1097" s="15" t="n">
        <v>45146</v>
      </c>
      <c r="C1097" s="15" t="n">
        <f aca="false">B1097</f>
        <v>45146</v>
      </c>
      <c r="D1097" s="16" t="s">
        <v>376</v>
      </c>
      <c r="E1097" s="16" t="s">
        <v>23</v>
      </c>
      <c r="F1097" s="16" t="s">
        <v>24</v>
      </c>
      <c r="G1097" s="17"/>
      <c r="H1097" s="17" t="n">
        <v>145000000</v>
      </c>
      <c r="I1097" s="14" t="n">
        <f aca="false">I1096+G1097-H1097</f>
        <v>2909700</v>
      </c>
    </row>
    <row r="1098" customFormat="false" ht="12" hidden="false" customHeight="true" outlineLevel="1" collapsed="false">
      <c r="B1098" s="15" t="n">
        <v>45147</v>
      </c>
      <c r="C1098" s="15" t="n">
        <f aca="false">B1098</f>
        <v>45147</v>
      </c>
      <c r="D1098" s="16" t="s">
        <v>375</v>
      </c>
      <c r="E1098" s="16" t="s">
        <v>157</v>
      </c>
      <c r="F1098" s="16" t="s">
        <v>15</v>
      </c>
      <c r="G1098" s="17" t="n">
        <v>41940000</v>
      </c>
      <c r="H1098" s="17"/>
      <c r="I1098" s="14" t="n">
        <f aca="false">I1097+G1098-H1098</f>
        <v>44849700</v>
      </c>
    </row>
    <row r="1099" customFormat="false" ht="12" hidden="false" customHeight="true" outlineLevel="1" collapsed="false">
      <c r="B1099" s="15" t="n">
        <v>45147</v>
      </c>
      <c r="C1099" s="15" t="n">
        <f aca="false">B1099</f>
        <v>45147</v>
      </c>
      <c r="D1099" s="16" t="s">
        <v>375</v>
      </c>
      <c r="E1099" s="16" t="s">
        <v>157</v>
      </c>
      <c r="F1099" s="16" t="s">
        <v>15</v>
      </c>
      <c r="G1099" s="17" t="n">
        <v>51538000</v>
      </c>
      <c r="H1099" s="17"/>
      <c r="I1099" s="14" t="n">
        <f aca="false">I1098+G1099-H1099</f>
        <v>96387700</v>
      </c>
    </row>
    <row r="1100" customFormat="false" ht="12" hidden="false" customHeight="true" outlineLevel="1" collapsed="false">
      <c r="B1100" s="15" t="n">
        <v>45147</v>
      </c>
      <c r="C1100" s="15" t="n">
        <f aca="false">B1100</f>
        <v>45147</v>
      </c>
      <c r="D1100" s="16" t="s">
        <v>375</v>
      </c>
      <c r="E1100" s="16" t="s">
        <v>157</v>
      </c>
      <c r="F1100" s="16" t="s">
        <v>15</v>
      </c>
      <c r="G1100" s="17" t="n">
        <v>86953000</v>
      </c>
      <c r="H1100" s="17"/>
      <c r="I1100" s="14" t="n">
        <f aca="false">I1099+G1100-H1100</f>
        <v>183340700</v>
      </c>
    </row>
    <row r="1101" customFormat="false" ht="12" hidden="false" customHeight="true" outlineLevel="1" collapsed="false">
      <c r="B1101" s="15" t="n">
        <v>45148</v>
      </c>
      <c r="C1101" s="15" t="n">
        <f aca="false">B1101</f>
        <v>45148</v>
      </c>
      <c r="D1101" s="16" t="s">
        <v>375</v>
      </c>
      <c r="E1101" s="16" t="s">
        <v>157</v>
      </c>
      <c r="F1101" s="16" t="s">
        <v>15</v>
      </c>
      <c r="G1101" s="17" t="n">
        <v>109396000</v>
      </c>
      <c r="H1101" s="17"/>
      <c r="I1101" s="14" t="n">
        <f aca="false">I1100+G1101-H1101</f>
        <v>292736700</v>
      </c>
    </row>
    <row r="1102" customFormat="false" ht="12" hidden="false" customHeight="true" outlineLevel="1" collapsed="false">
      <c r="B1102" s="15" t="n">
        <v>45148</v>
      </c>
      <c r="C1102" s="15" t="n">
        <f aca="false">B1102</f>
        <v>45148</v>
      </c>
      <c r="D1102" s="16" t="s">
        <v>375</v>
      </c>
      <c r="E1102" s="16" t="s">
        <v>157</v>
      </c>
      <c r="F1102" s="16" t="s">
        <v>15</v>
      </c>
      <c r="G1102" s="17" t="n">
        <v>146011000</v>
      </c>
      <c r="H1102" s="17"/>
      <c r="I1102" s="14" t="n">
        <f aca="false">I1101+G1102-H1102</f>
        <v>438747700</v>
      </c>
    </row>
    <row r="1103" customFormat="false" ht="12" hidden="false" customHeight="true" outlineLevel="1" collapsed="false">
      <c r="B1103" s="15" t="n">
        <v>45148</v>
      </c>
      <c r="C1103" s="15" t="n">
        <f aca="false">B1103</f>
        <v>45148</v>
      </c>
      <c r="D1103" s="16" t="s">
        <v>375</v>
      </c>
      <c r="E1103" s="16" t="s">
        <v>157</v>
      </c>
      <c r="F1103" s="16" t="s">
        <v>15</v>
      </c>
      <c r="G1103" s="17" t="n">
        <v>84160000</v>
      </c>
      <c r="H1103" s="17"/>
      <c r="I1103" s="14" t="n">
        <f aca="false">I1102+G1103-H1103</f>
        <v>522907700</v>
      </c>
    </row>
    <row r="1104" customFormat="false" ht="12" hidden="false" customHeight="true" outlineLevel="1" collapsed="false">
      <c r="B1104" s="15" t="n">
        <v>45148</v>
      </c>
      <c r="C1104" s="15" t="n">
        <f aca="false">B1104</f>
        <v>45148</v>
      </c>
      <c r="D1104" s="16" t="s">
        <v>375</v>
      </c>
      <c r="E1104" s="16" t="s">
        <v>157</v>
      </c>
      <c r="F1104" s="16" t="s">
        <v>15</v>
      </c>
      <c r="G1104" s="17" t="n">
        <v>34000000</v>
      </c>
      <c r="H1104" s="17"/>
      <c r="I1104" s="14" t="n">
        <f aca="false">I1103+G1104-H1104</f>
        <v>556907700</v>
      </c>
    </row>
    <row r="1105" customFormat="false" ht="12" hidden="false" customHeight="true" outlineLevel="1" collapsed="false">
      <c r="B1105" s="15" t="n">
        <v>45148</v>
      </c>
      <c r="C1105" s="15" t="n">
        <f aca="false">B1105</f>
        <v>45148</v>
      </c>
      <c r="D1105" s="16" t="s">
        <v>376</v>
      </c>
      <c r="E1105" s="16" t="s">
        <v>36</v>
      </c>
      <c r="F1105" s="16" t="n">
        <v>635</v>
      </c>
      <c r="G1105" s="17"/>
      <c r="H1105" s="17" t="n">
        <v>79926</v>
      </c>
      <c r="I1105" s="14" t="n">
        <f aca="false">I1104+G1105-H1105</f>
        <v>556827774</v>
      </c>
    </row>
    <row r="1106" customFormat="false" ht="12" hidden="false" customHeight="true" outlineLevel="1" collapsed="false">
      <c r="B1106" s="15" t="n">
        <v>45148</v>
      </c>
      <c r="C1106" s="15" t="n">
        <f aca="false">B1106</f>
        <v>45148</v>
      </c>
      <c r="D1106" s="16" t="s">
        <v>376</v>
      </c>
      <c r="E1106" s="16" t="s">
        <v>294</v>
      </c>
      <c r="F1106" s="16" t="s">
        <v>179</v>
      </c>
      <c r="G1106" s="17"/>
      <c r="H1106" s="17" t="n">
        <v>2127470</v>
      </c>
      <c r="I1106" s="14" t="n">
        <f aca="false">I1105+G1106-H1106</f>
        <v>554700304</v>
      </c>
    </row>
    <row r="1107" customFormat="false" ht="12" hidden="false" customHeight="true" outlineLevel="1" collapsed="false">
      <c r="B1107" s="15" t="n">
        <v>45148</v>
      </c>
      <c r="C1107" s="15" t="n">
        <f aca="false">B1107</f>
        <v>45148</v>
      </c>
      <c r="D1107" s="16" t="s">
        <v>376</v>
      </c>
      <c r="E1107" s="16" t="s">
        <v>36</v>
      </c>
      <c r="F1107" s="16" t="n">
        <v>635</v>
      </c>
      <c r="G1107" s="17"/>
      <c r="H1107" s="17" t="n">
        <v>11000</v>
      </c>
      <c r="I1107" s="14" t="n">
        <f aca="false">I1106+G1107-H1107</f>
        <v>554689304</v>
      </c>
    </row>
    <row r="1108" customFormat="false" ht="12" hidden="false" customHeight="true" outlineLevel="1" collapsed="false">
      <c r="B1108" s="15" t="n">
        <v>45148</v>
      </c>
      <c r="C1108" s="15" t="n">
        <f aca="false">B1108</f>
        <v>45148</v>
      </c>
      <c r="D1108" s="16" t="s">
        <v>376</v>
      </c>
      <c r="E1108" s="16" t="s">
        <v>23</v>
      </c>
      <c r="F1108" s="16" t="s">
        <v>24</v>
      </c>
      <c r="G1108" s="17"/>
      <c r="H1108" s="17" t="n">
        <v>550000000</v>
      </c>
      <c r="I1108" s="14" t="n">
        <f aca="false">I1107+G1108-H1108</f>
        <v>4689304</v>
      </c>
    </row>
    <row r="1109" customFormat="false" ht="12" hidden="false" customHeight="true" outlineLevel="1" collapsed="false">
      <c r="B1109" s="15" t="n">
        <v>45149</v>
      </c>
      <c r="C1109" s="15" t="n">
        <f aca="false">B1109</f>
        <v>45149</v>
      </c>
      <c r="D1109" s="16" t="s">
        <v>375</v>
      </c>
      <c r="E1109" s="16" t="s">
        <v>157</v>
      </c>
      <c r="F1109" s="16" t="s">
        <v>15</v>
      </c>
      <c r="G1109" s="17" t="n">
        <v>40946000</v>
      </c>
      <c r="H1109" s="17"/>
      <c r="I1109" s="14" t="n">
        <f aca="false">I1108+G1109-H1109</f>
        <v>45635304</v>
      </c>
    </row>
    <row r="1110" customFormat="false" ht="12" hidden="false" customHeight="true" outlineLevel="1" collapsed="false">
      <c r="B1110" s="15" t="n">
        <v>45149</v>
      </c>
      <c r="C1110" s="15" t="n">
        <f aca="false">B1110</f>
        <v>45149</v>
      </c>
      <c r="D1110" s="16" t="s">
        <v>375</v>
      </c>
      <c r="E1110" s="16" t="s">
        <v>157</v>
      </c>
      <c r="F1110" s="16" t="s">
        <v>15</v>
      </c>
      <c r="G1110" s="17" t="n">
        <v>34226000</v>
      </c>
      <c r="H1110" s="17"/>
      <c r="I1110" s="14" t="n">
        <f aca="false">I1109+G1110-H1110</f>
        <v>79861304</v>
      </c>
    </row>
    <row r="1111" customFormat="false" ht="12" hidden="false" customHeight="true" outlineLevel="1" collapsed="false">
      <c r="B1111" s="15" t="n">
        <v>45149</v>
      </c>
      <c r="C1111" s="15" t="n">
        <f aca="false">B1111</f>
        <v>45149</v>
      </c>
      <c r="D1111" s="16" t="s">
        <v>375</v>
      </c>
      <c r="E1111" s="16" t="s">
        <v>157</v>
      </c>
      <c r="F1111" s="16" t="s">
        <v>15</v>
      </c>
      <c r="G1111" s="17" t="n">
        <v>105620000</v>
      </c>
      <c r="H1111" s="17"/>
      <c r="I1111" s="14" t="n">
        <f aca="false">I1110+G1111-H1111</f>
        <v>185481304</v>
      </c>
    </row>
    <row r="1112" customFormat="false" ht="12" hidden="false" customHeight="true" outlineLevel="1" collapsed="false">
      <c r="B1112" s="15" t="n">
        <v>45149</v>
      </c>
      <c r="C1112" s="15" t="n">
        <f aca="false">B1112</f>
        <v>45149</v>
      </c>
      <c r="D1112" s="16" t="s">
        <v>376</v>
      </c>
      <c r="E1112" s="16" t="s">
        <v>23</v>
      </c>
      <c r="F1112" s="16" t="s">
        <v>24</v>
      </c>
      <c r="G1112" s="17"/>
      <c r="H1112" s="17" t="n">
        <v>180000000</v>
      </c>
      <c r="I1112" s="14" t="n">
        <f aca="false">I1111+G1112-H1112</f>
        <v>5481304</v>
      </c>
    </row>
    <row r="1113" customFormat="false" ht="12" hidden="false" customHeight="true" outlineLevel="1" collapsed="false">
      <c r="B1113" s="15" t="n">
        <v>45149</v>
      </c>
      <c r="C1113" s="15" t="n">
        <f aca="false">B1113</f>
        <v>45149</v>
      </c>
      <c r="D1113" s="16" t="s">
        <v>376</v>
      </c>
      <c r="E1113" s="16" t="s">
        <v>36</v>
      </c>
      <c r="F1113" s="16" t="n">
        <v>635</v>
      </c>
      <c r="G1113" s="17"/>
      <c r="H1113" s="17" t="n">
        <v>83327</v>
      </c>
      <c r="I1113" s="14" t="n">
        <f aca="false">I1112+G1113-H1113</f>
        <v>5397977</v>
      </c>
    </row>
    <row r="1114" customFormat="false" ht="12" hidden="false" customHeight="true" outlineLevel="1" collapsed="false">
      <c r="B1114" s="15" t="n">
        <v>45152</v>
      </c>
      <c r="C1114" s="15" t="n">
        <f aca="false">B1114</f>
        <v>45152</v>
      </c>
      <c r="D1114" s="16" t="s">
        <v>375</v>
      </c>
      <c r="E1114" s="16" t="s">
        <v>157</v>
      </c>
      <c r="F1114" s="16" t="s">
        <v>15</v>
      </c>
      <c r="G1114" s="17" t="n">
        <v>65000000</v>
      </c>
      <c r="H1114" s="17"/>
      <c r="I1114" s="14" t="n">
        <f aca="false">I1113+G1114-H1114</f>
        <v>70397977</v>
      </c>
    </row>
    <row r="1115" customFormat="false" ht="12" hidden="false" customHeight="true" outlineLevel="1" collapsed="false">
      <c r="B1115" s="15" t="n">
        <v>45152</v>
      </c>
      <c r="C1115" s="15" t="n">
        <f aca="false">B1115</f>
        <v>45152</v>
      </c>
      <c r="D1115" s="16" t="s">
        <v>375</v>
      </c>
      <c r="E1115" s="16" t="s">
        <v>157</v>
      </c>
      <c r="F1115" s="16" t="s">
        <v>15</v>
      </c>
      <c r="G1115" s="17" t="n">
        <v>66316000</v>
      </c>
      <c r="H1115" s="17"/>
      <c r="I1115" s="14" t="n">
        <f aca="false">I1114+G1115-H1115</f>
        <v>136713977</v>
      </c>
    </row>
    <row r="1116" customFormat="false" ht="12" hidden="false" customHeight="true" outlineLevel="1" collapsed="false">
      <c r="B1116" s="15" t="n">
        <v>45152</v>
      </c>
      <c r="C1116" s="15" t="n">
        <f aca="false">B1116</f>
        <v>45152</v>
      </c>
      <c r="D1116" s="16" t="s">
        <v>375</v>
      </c>
      <c r="E1116" s="16" t="s">
        <v>157</v>
      </c>
      <c r="F1116" s="16" t="s">
        <v>15</v>
      </c>
      <c r="G1116" s="17" t="n">
        <v>86327000</v>
      </c>
      <c r="H1116" s="17"/>
      <c r="I1116" s="14" t="n">
        <f aca="false">I1115+G1116-H1116</f>
        <v>223040977</v>
      </c>
    </row>
    <row r="1117" customFormat="false" ht="12" hidden="false" customHeight="true" outlineLevel="1" collapsed="false">
      <c r="B1117" s="15" t="n">
        <v>45152</v>
      </c>
      <c r="C1117" s="15" t="n">
        <f aca="false">B1117</f>
        <v>45152</v>
      </c>
      <c r="D1117" s="16" t="s">
        <v>375</v>
      </c>
      <c r="E1117" s="16" t="s">
        <v>157</v>
      </c>
      <c r="F1117" s="16" t="s">
        <v>15</v>
      </c>
      <c r="G1117" s="17" t="n">
        <v>198781000</v>
      </c>
      <c r="H1117" s="17"/>
      <c r="I1117" s="14" t="n">
        <f aca="false">I1116+G1117-H1117</f>
        <v>421821977</v>
      </c>
    </row>
    <row r="1118" customFormat="false" ht="12" hidden="false" customHeight="true" outlineLevel="1" collapsed="false">
      <c r="B1118" s="15" t="n">
        <v>45152</v>
      </c>
      <c r="C1118" s="15" t="n">
        <f aca="false">B1118</f>
        <v>45152</v>
      </c>
      <c r="D1118" s="16" t="s">
        <v>375</v>
      </c>
      <c r="E1118" s="16" t="s">
        <v>157</v>
      </c>
      <c r="F1118" s="16" t="s">
        <v>15</v>
      </c>
      <c r="G1118" s="17" t="n">
        <v>60032000</v>
      </c>
      <c r="H1118" s="17"/>
      <c r="I1118" s="14" t="n">
        <f aca="false">I1117+G1118-H1118</f>
        <v>481853977</v>
      </c>
    </row>
    <row r="1119" customFormat="false" ht="12" hidden="false" customHeight="true" outlineLevel="1" collapsed="false">
      <c r="B1119" s="15" t="n">
        <v>45152</v>
      </c>
      <c r="C1119" s="15" t="n">
        <f aca="false">B1119</f>
        <v>45152</v>
      </c>
      <c r="D1119" s="16" t="s">
        <v>376</v>
      </c>
      <c r="E1119" s="16" t="s">
        <v>294</v>
      </c>
      <c r="F1119" s="16" t="s">
        <v>179</v>
      </c>
      <c r="G1119" s="17"/>
      <c r="H1119" s="17" t="n">
        <v>90611244</v>
      </c>
      <c r="I1119" s="14" t="n">
        <f aca="false">I1118+G1119-H1119</f>
        <v>391242733</v>
      </c>
    </row>
    <row r="1120" customFormat="false" ht="12" hidden="false" customHeight="true" outlineLevel="1" collapsed="false">
      <c r="B1120" s="15" t="n">
        <v>45152</v>
      </c>
      <c r="C1120" s="15" t="n">
        <f aca="false">B1120</f>
        <v>45152</v>
      </c>
      <c r="D1120" s="16" t="s">
        <v>375</v>
      </c>
      <c r="E1120" s="16" t="s">
        <v>157</v>
      </c>
      <c r="F1120" s="16" t="s">
        <v>15</v>
      </c>
      <c r="G1120" s="17" t="n">
        <v>44000000</v>
      </c>
      <c r="H1120" s="17"/>
      <c r="I1120" s="14" t="n">
        <f aca="false">I1119+G1120-H1120</f>
        <v>435242733</v>
      </c>
    </row>
    <row r="1121" customFormat="false" ht="12" hidden="false" customHeight="true" outlineLevel="1" collapsed="false">
      <c r="B1121" s="15" t="n">
        <v>45152</v>
      </c>
      <c r="C1121" s="24" t="n">
        <f aca="false">B1121</f>
        <v>45152</v>
      </c>
      <c r="D1121" s="16" t="s">
        <v>376</v>
      </c>
      <c r="E1121" s="16" t="s">
        <v>23</v>
      </c>
      <c r="F1121" s="16" t="s">
        <v>24</v>
      </c>
      <c r="G1121" s="17"/>
      <c r="H1121" s="17" t="n">
        <v>433000000</v>
      </c>
      <c r="I1121" s="14" t="n">
        <f aca="false">I1120+G1121-H1121</f>
        <v>2242733</v>
      </c>
    </row>
    <row r="1122" customFormat="false" ht="12" hidden="false" customHeight="true" outlineLevel="1" collapsed="false">
      <c r="B1122" s="15" t="n">
        <v>45153</v>
      </c>
      <c r="C1122" s="15" t="n">
        <f aca="false">B1122</f>
        <v>45153</v>
      </c>
      <c r="D1122" s="16" t="s">
        <v>376</v>
      </c>
      <c r="E1122" s="16" t="s">
        <v>294</v>
      </c>
      <c r="F1122" s="16" t="s">
        <v>179</v>
      </c>
      <c r="G1122" s="17"/>
      <c r="H1122" s="17" t="n">
        <v>1543317</v>
      </c>
      <c r="I1122" s="14" t="n">
        <f aca="false">I1121+G1122-H1122</f>
        <v>699416</v>
      </c>
    </row>
    <row r="1123" customFormat="false" ht="12" hidden="false" customHeight="true" outlineLevel="1" collapsed="false">
      <c r="B1123" s="15" t="n">
        <v>45153</v>
      </c>
      <c r="C1123" s="15" t="n">
        <f aca="false">B1123</f>
        <v>45153</v>
      </c>
      <c r="D1123" s="16" t="s">
        <v>375</v>
      </c>
      <c r="E1123" s="16" t="s">
        <v>157</v>
      </c>
      <c r="F1123" s="16" t="s">
        <v>15</v>
      </c>
      <c r="G1123" s="17" t="n">
        <v>40608000</v>
      </c>
      <c r="H1123" s="17"/>
      <c r="I1123" s="14" t="n">
        <f aca="false">I1122+G1123-H1123</f>
        <v>41307416</v>
      </c>
    </row>
    <row r="1124" customFormat="false" ht="12" hidden="false" customHeight="true" outlineLevel="1" collapsed="false">
      <c r="B1124" s="15" t="n">
        <v>45153</v>
      </c>
      <c r="C1124" s="15" t="n">
        <f aca="false">B1124</f>
        <v>45153</v>
      </c>
      <c r="D1124" s="16" t="s">
        <v>375</v>
      </c>
      <c r="E1124" s="16" t="s">
        <v>157</v>
      </c>
      <c r="F1124" s="16" t="s">
        <v>15</v>
      </c>
      <c r="G1124" s="17" t="n">
        <v>233081000</v>
      </c>
      <c r="H1124" s="17"/>
      <c r="I1124" s="14" t="n">
        <f aca="false">I1123+G1124-H1124</f>
        <v>274388416</v>
      </c>
    </row>
    <row r="1125" customFormat="false" ht="12" hidden="false" customHeight="true" outlineLevel="1" collapsed="false">
      <c r="B1125" s="15" t="n">
        <v>45153</v>
      </c>
      <c r="C1125" s="15" t="n">
        <f aca="false">B1125</f>
        <v>45153</v>
      </c>
      <c r="D1125" s="16" t="s">
        <v>375</v>
      </c>
      <c r="E1125" s="16" t="s">
        <v>157</v>
      </c>
      <c r="F1125" s="16" t="s">
        <v>15</v>
      </c>
      <c r="G1125" s="17" t="n">
        <v>64728000</v>
      </c>
      <c r="H1125" s="17"/>
      <c r="I1125" s="14" t="n">
        <f aca="false">I1124+G1125-H1125</f>
        <v>339116416</v>
      </c>
    </row>
    <row r="1126" customFormat="false" ht="12" hidden="false" customHeight="true" outlineLevel="1" collapsed="false">
      <c r="B1126" s="15" t="n">
        <v>45153</v>
      </c>
      <c r="C1126" s="15" t="n">
        <f aca="false">B1126</f>
        <v>45153</v>
      </c>
      <c r="D1126" s="16" t="s">
        <v>375</v>
      </c>
      <c r="E1126" s="16" t="s">
        <v>157</v>
      </c>
      <c r="F1126" s="16" t="s">
        <v>15</v>
      </c>
      <c r="G1126" s="17" t="n">
        <v>44000000</v>
      </c>
      <c r="H1126" s="17"/>
      <c r="I1126" s="14" t="n">
        <f aca="false">I1125+G1126-H1126</f>
        <v>383116416</v>
      </c>
    </row>
    <row r="1127" customFormat="false" ht="12" hidden="false" customHeight="true" outlineLevel="1" collapsed="false">
      <c r="B1127" s="15" t="n">
        <v>45153</v>
      </c>
      <c r="C1127" s="15" t="n">
        <f aca="false">B1127</f>
        <v>45153</v>
      </c>
      <c r="D1127" s="16" t="s">
        <v>376</v>
      </c>
      <c r="E1127" s="16" t="s">
        <v>23</v>
      </c>
      <c r="F1127" s="16" t="s">
        <v>24</v>
      </c>
      <c r="G1127" s="17"/>
      <c r="H1127" s="17" t="n">
        <v>129368459</v>
      </c>
      <c r="I1127" s="14" t="n">
        <f aca="false">I1126+G1127-H1127</f>
        <v>253747957</v>
      </c>
    </row>
    <row r="1128" customFormat="false" ht="12" hidden="false" customHeight="true" outlineLevel="1" collapsed="false">
      <c r="B1128" s="15" t="n">
        <v>45153</v>
      </c>
      <c r="C1128" s="15" t="n">
        <f aca="false">B1128</f>
        <v>45153</v>
      </c>
      <c r="D1128" s="16" t="s">
        <v>376</v>
      </c>
      <c r="E1128" s="16" t="s">
        <v>36</v>
      </c>
      <c r="F1128" s="16" t="n">
        <v>635</v>
      </c>
      <c r="G1128" s="17"/>
      <c r="H1128" s="17" t="n">
        <v>7691287</v>
      </c>
      <c r="I1128" s="14" t="n">
        <f aca="false">I1127+G1128-H1128</f>
        <v>246056670</v>
      </c>
    </row>
    <row r="1129" customFormat="false" ht="12" hidden="false" customHeight="true" outlineLevel="1" collapsed="false">
      <c r="B1129" s="15" t="n">
        <v>45153</v>
      </c>
      <c r="C1129" s="15" t="n">
        <f aca="false">B1129</f>
        <v>45153</v>
      </c>
      <c r="D1129" s="16" t="s">
        <v>376</v>
      </c>
      <c r="E1129" s="16" t="s">
        <v>23</v>
      </c>
      <c r="F1129" s="16" t="s">
        <v>24</v>
      </c>
      <c r="G1129" s="17"/>
      <c r="H1129" s="17" t="n">
        <v>237631541</v>
      </c>
      <c r="I1129" s="14" t="n">
        <f aca="false">I1128+G1129-H1129</f>
        <v>8425129</v>
      </c>
    </row>
    <row r="1130" customFormat="false" ht="12" hidden="false" customHeight="true" outlineLevel="1" collapsed="false">
      <c r="B1130" s="15" t="n">
        <v>45154</v>
      </c>
      <c r="C1130" s="15" t="n">
        <f aca="false">B1130</f>
        <v>45154</v>
      </c>
      <c r="D1130" s="16" t="s">
        <v>375</v>
      </c>
      <c r="E1130" s="16" t="s">
        <v>157</v>
      </c>
      <c r="F1130" s="16" t="s">
        <v>15</v>
      </c>
      <c r="G1130" s="17" t="n">
        <v>91800000</v>
      </c>
      <c r="H1130" s="17"/>
      <c r="I1130" s="14" t="n">
        <f aca="false">I1129+G1130-H1130</f>
        <v>100225129</v>
      </c>
    </row>
    <row r="1131" customFormat="false" ht="12" hidden="false" customHeight="true" outlineLevel="1" collapsed="false">
      <c r="B1131" s="15" t="n">
        <v>45154</v>
      </c>
      <c r="C1131" s="15" t="n">
        <f aca="false">B1131</f>
        <v>45154</v>
      </c>
      <c r="D1131" s="16" t="s">
        <v>375</v>
      </c>
      <c r="E1131" s="16" t="s">
        <v>157</v>
      </c>
      <c r="F1131" s="16" t="s">
        <v>15</v>
      </c>
      <c r="G1131" s="17" t="n">
        <v>40224000</v>
      </c>
      <c r="H1131" s="17"/>
      <c r="I1131" s="14" t="n">
        <f aca="false">I1130+G1131-H1131</f>
        <v>140449129</v>
      </c>
    </row>
    <row r="1132" customFormat="false" ht="12" hidden="false" customHeight="true" outlineLevel="1" collapsed="false">
      <c r="B1132" s="15" t="n">
        <v>45154</v>
      </c>
      <c r="C1132" s="15" t="n">
        <f aca="false">B1132</f>
        <v>45154</v>
      </c>
      <c r="D1132" s="16" t="s">
        <v>375</v>
      </c>
      <c r="E1132" s="16" t="s">
        <v>157</v>
      </c>
      <c r="F1132" s="16" t="s">
        <v>15</v>
      </c>
      <c r="G1132" s="17" t="n">
        <v>195656000</v>
      </c>
      <c r="H1132" s="17"/>
      <c r="I1132" s="14" t="n">
        <f aca="false">I1131+G1132-H1132</f>
        <v>336105129</v>
      </c>
    </row>
    <row r="1133" customFormat="false" ht="12" hidden="false" customHeight="true" outlineLevel="1" collapsed="false">
      <c r="B1133" s="15" t="n">
        <v>45154</v>
      </c>
      <c r="C1133" s="15" t="n">
        <f aca="false">B1133</f>
        <v>45154</v>
      </c>
      <c r="D1133" s="16" t="s">
        <v>376</v>
      </c>
      <c r="E1133" s="16" t="s">
        <v>36</v>
      </c>
      <c r="F1133" s="16" t="n">
        <v>635</v>
      </c>
      <c r="G1133" s="17"/>
      <c r="H1133" s="17" t="n">
        <v>400939</v>
      </c>
      <c r="I1133" s="14" t="n">
        <f aca="false">I1132+G1133-H1133</f>
        <v>335704190</v>
      </c>
    </row>
    <row r="1134" customFormat="false" ht="12" hidden="false" customHeight="true" outlineLevel="1" collapsed="false">
      <c r="B1134" s="15" t="n">
        <v>45154</v>
      </c>
      <c r="C1134" s="15" t="n">
        <f aca="false">B1134</f>
        <v>45154</v>
      </c>
      <c r="D1134" s="16" t="s">
        <v>376</v>
      </c>
      <c r="E1134" s="16" t="s">
        <v>23</v>
      </c>
      <c r="F1134" s="16" t="s">
        <v>24</v>
      </c>
      <c r="G1134" s="17"/>
      <c r="H1134" s="17" t="n">
        <v>46931459</v>
      </c>
      <c r="I1134" s="14" t="n">
        <f aca="false">I1133+G1134-H1134</f>
        <v>288772731</v>
      </c>
    </row>
    <row r="1135" customFormat="false" ht="12" hidden="false" customHeight="true" outlineLevel="1" collapsed="false">
      <c r="B1135" s="15" t="n">
        <v>45154</v>
      </c>
      <c r="C1135" s="15" t="n">
        <f aca="false">B1135</f>
        <v>45154</v>
      </c>
      <c r="D1135" s="16" t="s">
        <v>376</v>
      </c>
      <c r="E1135" s="16" t="s">
        <v>23</v>
      </c>
      <c r="F1135" s="16" t="s">
        <v>24</v>
      </c>
      <c r="G1135" s="17"/>
      <c r="H1135" s="17" t="n">
        <v>279398329</v>
      </c>
      <c r="I1135" s="14" t="n">
        <f aca="false">I1134+G1135-H1135</f>
        <v>9374402</v>
      </c>
    </row>
    <row r="1136" customFormat="false" ht="12" hidden="false" customHeight="true" outlineLevel="1" collapsed="false">
      <c r="B1136" s="15" t="n">
        <v>45155</v>
      </c>
      <c r="C1136" s="15" t="n">
        <f aca="false">B1136</f>
        <v>45155</v>
      </c>
      <c r="D1136" s="16" t="s">
        <v>376</v>
      </c>
      <c r="E1136" s="16" t="s">
        <v>294</v>
      </c>
      <c r="F1136" s="16" t="s">
        <v>179</v>
      </c>
      <c r="G1136" s="17"/>
      <c r="H1136" s="17" t="n">
        <v>5012280</v>
      </c>
      <c r="I1136" s="14" t="n">
        <f aca="false">I1135+G1136-H1136</f>
        <v>4362122</v>
      </c>
    </row>
    <row r="1137" customFormat="false" ht="12" hidden="false" customHeight="true" outlineLevel="1" collapsed="false">
      <c r="B1137" s="15" t="n">
        <v>45155</v>
      </c>
      <c r="C1137" s="15" t="n">
        <f aca="false">B1137</f>
        <v>45155</v>
      </c>
      <c r="D1137" s="16" t="s">
        <v>376</v>
      </c>
      <c r="E1137" s="16" t="s">
        <v>294</v>
      </c>
      <c r="F1137" s="16" t="s">
        <v>179</v>
      </c>
      <c r="G1137" s="17"/>
      <c r="H1137" s="17" t="n">
        <v>580000</v>
      </c>
      <c r="I1137" s="14" t="n">
        <f aca="false">I1136+G1137-H1137</f>
        <v>3782122</v>
      </c>
    </row>
    <row r="1138" customFormat="false" ht="12" hidden="false" customHeight="true" outlineLevel="1" collapsed="false">
      <c r="B1138" s="15" t="n">
        <v>45159</v>
      </c>
      <c r="C1138" s="15" t="n">
        <f aca="false">B1138</f>
        <v>45159</v>
      </c>
      <c r="D1138" s="16" t="s">
        <v>375</v>
      </c>
      <c r="E1138" s="16" t="s">
        <v>157</v>
      </c>
      <c r="F1138" s="16" t="s">
        <v>15</v>
      </c>
      <c r="G1138" s="17" t="n">
        <v>99392000</v>
      </c>
      <c r="H1138" s="17"/>
      <c r="I1138" s="14" t="n">
        <f aca="false">I1137+G1138-H1138</f>
        <v>103174122</v>
      </c>
    </row>
    <row r="1139" customFormat="false" ht="12" hidden="false" customHeight="true" outlineLevel="1" collapsed="false">
      <c r="B1139" s="15" t="n">
        <v>45159</v>
      </c>
      <c r="C1139" s="15" t="n">
        <f aca="false">B1139</f>
        <v>45159</v>
      </c>
      <c r="D1139" s="16" t="s">
        <v>375</v>
      </c>
      <c r="E1139" s="16" t="s">
        <v>157</v>
      </c>
      <c r="F1139" s="16" t="s">
        <v>15</v>
      </c>
      <c r="G1139" s="17" t="n">
        <v>174046000</v>
      </c>
      <c r="H1139" s="17"/>
      <c r="I1139" s="14" t="n">
        <f aca="false">I1138+G1139-H1139</f>
        <v>277220122</v>
      </c>
    </row>
    <row r="1140" customFormat="false" ht="12" hidden="false" customHeight="true" outlineLevel="1" collapsed="false">
      <c r="B1140" s="15" t="n">
        <v>45159</v>
      </c>
      <c r="C1140" s="15" t="n">
        <f aca="false">B1140</f>
        <v>45159</v>
      </c>
      <c r="D1140" s="16" t="s">
        <v>375</v>
      </c>
      <c r="E1140" s="16" t="s">
        <v>157</v>
      </c>
      <c r="F1140" s="16" t="s">
        <v>15</v>
      </c>
      <c r="G1140" s="17" t="n">
        <v>70380000</v>
      </c>
      <c r="H1140" s="17"/>
      <c r="I1140" s="14" t="n">
        <f aca="false">I1139+G1140-H1140</f>
        <v>347600122</v>
      </c>
    </row>
    <row r="1141" customFormat="false" ht="12" hidden="false" customHeight="true" outlineLevel="1" collapsed="false">
      <c r="B1141" s="15" t="n">
        <v>45159</v>
      </c>
      <c r="C1141" s="15" t="n">
        <f aca="false">B1141</f>
        <v>45159</v>
      </c>
      <c r="D1141" s="16" t="s">
        <v>375</v>
      </c>
      <c r="E1141" s="16" t="s">
        <v>157</v>
      </c>
      <c r="F1141" s="16" t="s">
        <v>15</v>
      </c>
      <c r="G1141" s="17" t="n">
        <v>90000000</v>
      </c>
      <c r="H1141" s="17"/>
      <c r="I1141" s="14" t="n">
        <f aca="false">I1140+G1141-H1141</f>
        <v>437600122</v>
      </c>
    </row>
    <row r="1142" customFormat="false" ht="12" hidden="false" customHeight="true" outlineLevel="1" collapsed="false">
      <c r="B1142" s="15" t="n">
        <v>45159</v>
      </c>
      <c r="C1142" s="15" t="n">
        <f aca="false">B1142</f>
        <v>45159</v>
      </c>
      <c r="D1142" s="16" t="s">
        <v>376</v>
      </c>
      <c r="E1142" s="16" t="s">
        <v>294</v>
      </c>
      <c r="F1142" s="16" t="s">
        <v>179</v>
      </c>
      <c r="G1142" s="17"/>
      <c r="H1142" s="17" t="n">
        <v>184146893</v>
      </c>
      <c r="I1142" s="14" t="n">
        <f aca="false">I1141+G1142-H1142</f>
        <v>253453229</v>
      </c>
    </row>
    <row r="1143" customFormat="false" ht="12" hidden="false" customHeight="true" outlineLevel="1" collapsed="false">
      <c r="B1143" s="15" t="n">
        <v>45159</v>
      </c>
      <c r="C1143" s="15" t="n">
        <f aca="false">B1143</f>
        <v>45159</v>
      </c>
      <c r="D1143" s="16" t="s">
        <v>376</v>
      </c>
      <c r="E1143" s="16" t="s">
        <v>36</v>
      </c>
      <c r="F1143" s="16" t="n">
        <v>635</v>
      </c>
      <c r="G1143" s="17"/>
      <c r="H1143" s="17" t="n">
        <v>11000</v>
      </c>
      <c r="I1143" s="14" t="n">
        <f aca="false">I1142+G1143-H1143</f>
        <v>253442229</v>
      </c>
    </row>
    <row r="1144" customFormat="false" ht="12" hidden="false" customHeight="true" outlineLevel="1" collapsed="false">
      <c r="B1144" s="15" t="n">
        <v>45159</v>
      </c>
      <c r="C1144" s="15" t="n">
        <f aca="false">B1144</f>
        <v>45159</v>
      </c>
      <c r="D1144" s="16" t="s">
        <v>376</v>
      </c>
      <c r="E1144" s="16" t="s">
        <v>23</v>
      </c>
      <c r="F1144" s="16" t="s">
        <v>24</v>
      </c>
      <c r="G1144" s="17"/>
      <c r="H1144" s="17" t="n">
        <v>250000000</v>
      </c>
      <c r="I1144" s="14" t="n">
        <f aca="false">I1143+G1144-H1144</f>
        <v>3442229</v>
      </c>
    </row>
    <row r="1145" customFormat="false" ht="12" hidden="false" customHeight="true" outlineLevel="1" collapsed="false">
      <c r="B1145" s="15" t="n">
        <v>45160</v>
      </c>
      <c r="C1145" s="15" t="n">
        <f aca="false">B1145</f>
        <v>45160</v>
      </c>
      <c r="D1145" s="16" t="s">
        <v>375</v>
      </c>
      <c r="E1145" s="16" t="s">
        <v>157</v>
      </c>
      <c r="F1145" s="16" t="s">
        <v>15</v>
      </c>
      <c r="G1145" s="17" t="n">
        <v>235939000</v>
      </c>
      <c r="H1145" s="17"/>
      <c r="I1145" s="14" t="n">
        <f aca="false">I1144+G1145-H1145</f>
        <v>239381229</v>
      </c>
    </row>
    <row r="1146" customFormat="false" ht="12" hidden="false" customHeight="true" outlineLevel="1" collapsed="false">
      <c r="B1146" s="15" t="n">
        <v>45160</v>
      </c>
      <c r="C1146" s="15" t="n">
        <f aca="false">B1146</f>
        <v>45160</v>
      </c>
      <c r="D1146" s="16" t="s">
        <v>375</v>
      </c>
      <c r="E1146" s="16" t="s">
        <v>157</v>
      </c>
      <c r="F1146" s="16" t="s">
        <v>15</v>
      </c>
      <c r="G1146" s="17" t="n">
        <v>82065000</v>
      </c>
      <c r="H1146" s="17"/>
      <c r="I1146" s="14" t="n">
        <f aca="false">I1145+G1146-H1146</f>
        <v>321446229</v>
      </c>
    </row>
    <row r="1147" customFormat="false" ht="12" hidden="false" customHeight="true" outlineLevel="1" collapsed="false">
      <c r="B1147" s="15" t="n">
        <v>45160</v>
      </c>
      <c r="C1147" s="15" t="n">
        <f aca="false">B1147</f>
        <v>45160</v>
      </c>
      <c r="D1147" s="16" t="s">
        <v>375</v>
      </c>
      <c r="E1147" s="16" t="s">
        <v>157</v>
      </c>
      <c r="F1147" s="16" t="s">
        <v>15</v>
      </c>
      <c r="G1147" s="17" t="n">
        <v>53973000</v>
      </c>
      <c r="H1147" s="17"/>
      <c r="I1147" s="14" t="n">
        <f aca="false">I1146+G1147-H1147</f>
        <v>375419229</v>
      </c>
    </row>
    <row r="1148" customFormat="false" ht="12" hidden="false" customHeight="true" outlineLevel="1" collapsed="false">
      <c r="B1148" s="15" t="n">
        <v>45160</v>
      </c>
      <c r="C1148" s="15" t="n">
        <f aca="false">B1148</f>
        <v>45160</v>
      </c>
      <c r="D1148" s="16" t="s">
        <v>375</v>
      </c>
      <c r="E1148" s="16" t="s">
        <v>157</v>
      </c>
      <c r="F1148" s="16" t="s">
        <v>15</v>
      </c>
      <c r="G1148" s="17" t="n">
        <v>63000000</v>
      </c>
      <c r="H1148" s="17"/>
      <c r="I1148" s="14" t="n">
        <f aca="false">I1147+G1148-H1148</f>
        <v>438419229</v>
      </c>
    </row>
    <row r="1149" customFormat="false" ht="12" hidden="false" customHeight="true" outlineLevel="1" collapsed="false">
      <c r="B1149" s="15" t="n">
        <v>45160</v>
      </c>
      <c r="C1149" s="15" t="n">
        <f aca="false">B1149</f>
        <v>45160</v>
      </c>
      <c r="D1149" s="16" t="s">
        <v>376</v>
      </c>
      <c r="E1149" s="16" t="s">
        <v>23</v>
      </c>
      <c r="F1149" s="16" t="s">
        <v>24</v>
      </c>
      <c r="G1149" s="17"/>
      <c r="H1149" s="17" t="n">
        <v>20195671</v>
      </c>
      <c r="I1149" s="14" t="n">
        <f aca="false">I1148+G1149-H1149</f>
        <v>418223558</v>
      </c>
    </row>
    <row r="1150" customFormat="false" ht="12" hidden="false" customHeight="true" outlineLevel="1" collapsed="false">
      <c r="B1150" s="15" t="n">
        <v>45160</v>
      </c>
      <c r="C1150" s="15" t="n">
        <f aca="false">B1150</f>
        <v>45160</v>
      </c>
      <c r="D1150" s="16" t="s">
        <v>376</v>
      </c>
      <c r="E1150" s="16" t="s">
        <v>23</v>
      </c>
      <c r="F1150" s="16" t="s">
        <v>24</v>
      </c>
      <c r="G1150" s="17"/>
      <c r="H1150" s="17" t="n">
        <v>30000000</v>
      </c>
      <c r="I1150" s="14" t="n">
        <f aca="false">I1149+G1150-H1150</f>
        <v>388223558</v>
      </c>
    </row>
    <row r="1151" customFormat="false" ht="12" hidden="false" customHeight="true" outlineLevel="1" collapsed="false">
      <c r="B1151" s="15" t="n">
        <v>45161</v>
      </c>
      <c r="C1151" s="15" t="n">
        <f aca="false">B1151</f>
        <v>45161</v>
      </c>
      <c r="D1151" s="16" t="s">
        <v>376</v>
      </c>
      <c r="E1151" s="16" t="s">
        <v>294</v>
      </c>
      <c r="F1151" s="16" t="s">
        <v>179</v>
      </c>
      <c r="G1151" s="17"/>
      <c r="H1151" s="17" t="n">
        <v>1346435</v>
      </c>
      <c r="I1151" s="14" t="n">
        <f aca="false">I1150+G1151-H1151</f>
        <v>386877123</v>
      </c>
    </row>
    <row r="1152" customFormat="false" ht="12" hidden="false" customHeight="true" outlineLevel="1" collapsed="false">
      <c r="B1152" s="15" t="n">
        <v>45161</v>
      </c>
      <c r="C1152" s="15" t="n">
        <f aca="false">B1152</f>
        <v>45161</v>
      </c>
      <c r="D1152" s="16" t="s">
        <v>376</v>
      </c>
      <c r="E1152" s="16" t="s">
        <v>23</v>
      </c>
      <c r="F1152" s="16" t="s">
        <v>24</v>
      </c>
      <c r="G1152" s="17"/>
      <c r="H1152" s="17" t="n">
        <v>271878328</v>
      </c>
      <c r="I1152" s="14" t="n">
        <f aca="false">I1151+G1152-H1152</f>
        <v>114998795</v>
      </c>
    </row>
    <row r="1153" customFormat="false" ht="12" hidden="false" customHeight="true" outlineLevel="1" collapsed="false">
      <c r="B1153" s="15" t="n">
        <v>45161</v>
      </c>
      <c r="C1153" s="15" t="n">
        <f aca="false">B1153</f>
        <v>45161</v>
      </c>
      <c r="D1153" s="16" t="s">
        <v>376</v>
      </c>
      <c r="E1153" s="16" t="s">
        <v>23</v>
      </c>
      <c r="F1153" s="16" t="s">
        <v>24</v>
      </c>
      <c r="G1153" s="17"/>
      <c r="H1153" s="17" t="n">
        <v>113000000</v>
      </c>
      <c r="I1153" s="14" t="n">
        <f aca="false">I1152+G1153-H1153</f>
        <v>1998795</v>
      </c>
    </row>
    <row r="1154" customFormat="false" ht="12" hidden="false" customHeight="true" outlineLevel="1" collapsed="false">
      <c r="B1154" s="15" t="n">
        <v>45162</v>
      </c>
      <c r="C1154" s="15" t="n">
        <f aca="false">B1154</f>
        <v>45162</v>
      </c>
      <c r="D1154" s="16" t="s">
        <v>375</v>
      </c>
      <c r="E1154" s="16" t="s">
        <v>157</v>
      </c>
      <c r="F1154" s="16" t="s">
        <v>15</v>
      </c>
      <c r="G1154" s="17" t="n">
        <v>71000000</v>
      </c>
      <c r="H1154" s="17"/>
      <c r="I1154" s="14" t="n">
        <f aca="false">I1153+G1154-H1154</f>
        <v>72998795</v>
      </c>
    </row>
    <row r="1155" customFormat="false" ht="12" hidden="false" customHeight="true" outlineLevel="1" collapsed="false">
      <c r="B1155" s="15" t="n">
        <v>45162</v>
      </c>
      <c r="C1155" s="15" t="n">
        <f aca="false">B1155</f>
        <v>45162</v>
      </c>
      <c r="D1155" s="16" t="s">
        <v>375</v>
      </c>
      <c r="E1155" s="16" t="s">
        <v>157</v>
      </c>
      <c r="F1155" s="16" t="s">
        <v>15</v>
      </c>
      <c r="G1155" s="17" t="n">
        <v>97017000</v>
      </c>
      <c r="H1155" s="17"/>
      <c r="I1155" s="14" t="n">
        <f aca="false">I1154+G1155-H1155</f>
        <v>170015795</v>
      </c>
    </row>
    <row r="1156" customFormat="false" ht="12" hidden="false" customHeight="true" outlineLevel="1" collapsed="false">
      <c r="B1156" s="15" t="n">
        <v>45162</v>
      </c>
      <c r="C1156" s="15" t="n">
        <f aca="false">B1156</f>
        <v>45162</v>
      </c>
      <c r="D1156" s="16" t="s">
        <v>375</v>
      </c>
      <c r="E1156" s="16" t="s">
        <v>157</v>
      </c>
      <c r="F1156" s="16" t="s">
        <v>15</v>
      </c>
      <c r="G1156" s="17" t="n">
        <v>58075000</v>
      </c>
      <c r="H1156" s="17"/>
      <c r="I1156" s="14" t="n">
        <f aca="false">I1155+G1156-H1156</f>
        <v>228090795</v>
      </c>
    </row>
    <row r="1157" customFormat="false" ht="12" hidden="false" customHeight="true" outlineLevel="1" collapsed="false">
      <c r="B1157" s="15" t="n">
        <v>45162</v>
      </c>
      <c r="C1157" s="15" t="n">
        <f aca="false">B1157</f>
        <v>45162</v>
      </c>
      <c r="D1157" s="16" t="s">
        <v>375</v>
      </c>
      <c r="E1157" s="16" t="s">
        <v>157</v>
      </c>
      <c r="F1157" s="16" t="s">
        <v>15</v>
      </c>
      <c r="G1157" s="17" t="n">
        <v>90270000</v>
      </c>
      <c r="H1157" s="17"/>
      <c r="I1157" s="14" t="n">
        <f aca="false">I1156+G1157-H1157</f>
        <v>318360795</v>
      </c>
    </row>
    <row r="1158" customFormat="false" ht="12" hidden="false" customHeight="true" outlineLevel="1" collapsed="false">
      <c r="B1158" s="15" t="n">
        <v>45162</v>
      </c>
      <c r="C1158" s="15" t="n">
        <f aca="false">B1158</f>
        <v>45162</v>
      </c>
      <c r="D1158" s="16" t="s">
        <v>376</v>
      </c>
      <c r="E1158" s="16" t="s">
        <v>23</v>
      </c>
      <c r="F1158" s="16" t="s">
        <v>24</v>
      </c>
      <c r="G1158" s="17"/>
      <c r="H1158" s="17" t="n">
        <v>18227569</v>
      </c>
      <c r="I1158" s="14" t="n">
        <f aca="false">I1157+G1158-H1158</f>
        <v>300133226</v>
      </c>
    </row>
    <row r="1159" customFormat="false" ht="12" hidden="false" customHeight="true" outlineLevel="1" collapsed="false">
      <c r="B1159" s="15" t="n">
        <v>45162</v>
      </c>
      <c r="C1159" s="15" t="n">
        <f aca="false">B1159</f>
        <v>45162</v>
      </c>
      <c r="D1159" s="16" t="s">
        <v>376</v>
      </c>
      <c r="E1159" s="16" t="s">
        <v>23</v>
      </c>
      <c r="F1159" s="16" t="s">
        <v>24</v>
      </c>
      <c r="G1159" s="17"/>
      <c r="H1159" s="17" t="n">
        <v>298000000</v>
      </c>
      <c r="I1159" s="14" t="n">
        <f aca="false">I1158+G1159-H1159</f>
        <v>2133226</v>
      </c>
    </row>
    <row r="1160" customFormat="false" ht="12" hidden="false" customHeight="true" outlineLevel="1" collapsed="false">
      <c r="B1160" s="15" t="n">
        <v>45163</v>
      </c>
      <c r="C1160" s="15" t="n">
        <f aca="false">B1160</f>
        <v>45163</v>
      </c>
      <c r="D1160" s="16" t="s">
        <v>449</v>
      </c>
      <c r="E1160" s="16" t="s">
        <v>450</v>
      </c>
      <c r="F1160" s="16" t="s">
        <v>15</v>
      </c>
      <c r="G1160" s="17" t="n">
        <v>3869</v>
      </c>
      <c r="H1160" s="17"/>
      <c r="I1160" s="14" t="n">
        <f aca="false">I1159+G1160-H1160</f>
        <v>2137095</v>
      </c>
    </row>
    <row r="1161" customFormat="false" ht="12" hidden="false" customHeight="true" outlineLevel="1" collapsed="false">
      <c r="B1161" s="15" t="n">
        <v>45166</v>
      </c>
      <c r="C1161" s="15" t="n">
        <f aca="false">B1161</f>
        <v>45166</v>
      </c>
      <c r="D1161" s="16" t="s">
        <v>375</v>
      </c>
      <c r="E1161" s="16" t="s">
        <v>157</v>
      </c>
      <c r="F1161" s="16" t="s">
        <v>15</v>
      </c>
      <c r="G1161" s="17" t="n">
        <v>162149000</v>
      </c>
      <c r="H1161" s="17"/>
      <c r="I1161" s="14" t="n">
        <f aca="false">I1160+G1161-H1161</f>
        <v>164286095</v>
      </c>
    </row>
    <row r="1162" customFormat="false" ht="12" hidden="false" customHeight="true" outlineLevel="1" collapsed="false">
      <c r="B1162" s="15" t="n">
        <v>45166</v>
      </c>
      <c r="C1162" s="15" t="n">
        <f aca="false">B1162</f>
        <v>45166</v>
      </c>
      <c r="D1162" s="16" t="s">
        <v>375</v>
      </c>
      <c r="E1162" s="16" t="s">
        <v>157</v>
      </c>
      <c r="F1162" s="16" t="s">
        <v>15</v>
      </c>
      <c r="G1162" s="17" t="n">
        <v>84297000</v>
      </c>
      <c r="H1162" s="17"/>
      <c r="I1162" s="14" t="n">
        <f aca="false">I1161+G1162-H1162</f>
        <v>248583095</v>
      </c>
    </row>
    <row r="1163" customFormat="false" ht="12" hidden="false" customHeight="true" outlineLevel="1" collapsed="false">
      <c r="B1163" s="15" t="n">
        <v>45166</v>
      </c>
      <c r="C1163" s="15" t="n">
        <f aca="false">B1163</f>
        <v>45166</v>
      </c>
      <c r="D1163" s="16" t="s">
        <v>375</v>
      </c>
      <c r="E1163" s="16" t="s">
        <v>157</v>
      </c>
      <c r="F1163" s="16" t="s">
        <v>15</v>
      </c>
      <c r="G1163" s="17" t="n">
        <v>137478000</v>
      </c>
      <c r="H1163" s="17"/>
      <c r="I1163" s="14" t="n">
        <f aca="false">I1162+G1163-H1163</f>
        <v>386061095</v>
      </c>
    </row>
    <row r="1164" customFormat="false" ht="12" hidden="false" customHeight="true" outlineLevel="1" collapsed="false">
      <c r="B1164" s="15" t="n">
        <v>45166</v>
      </c>
      <c r="C1164" s="15" t="n">
        <f aca="false">B1164</f>
        <v>45166</v>
      </c>
      <c r="D1164" s="16" t="s">
        <v>375</v>
      </c>
      <c r="E1164" s="16" t="s">
        <v>157</v>
      </c>
      <c r="F1164" s="16" t="s">
        <v>15</v>
      </c>
      <c r="G1164" s="17" t="n">
        <v>76508000</v>
      </c>
      <c r="H1164" s="17"/>
      <c r="I1164" s="14" t="n">
        <f aca="false">I1163+G1164-H1164</f>
        <v>462569095</v>
      </c>
    </row>
    <row r="1165" customFormat="false" ht="12" hidden="false" customHeight="true" outlineLevel="1" collapsed="false">
      <c r="B1165" s="15" t="n">
        <v>45166</v>
      </c>
      <c r="C1165" s="15" t="n">
        <f aca="false">B1165</f>
        <v>45166</v>
      </c>
      <c r="D1165" s="16" t="s">
        <v>375</v>
      </c>
      <c r="E1165" s="16" t="s">
        <v>157</v>
      </c>
      <c r="F1165" s="16" t="s">
        <v>15</v>
      </c>
      <c r="G1165" s="17" t="n">
        <v>75644000</v>
      </c>
      <c r="H1165" s="17"/>
      <c r="I1165" s="14" t="n">
        <f aca="false">I1164+G1165-H1165</f>
        <v>538213095</v>
      </c>
    </row>
    <row r="1166" customFormat="false" ht="12" hidden="false" customHeight="true" outlineLevel="1" collapsed="false">
      <c r="B1166" s="15" t="n">
        <v>45166</v>
      </c>
      <c r="C1166" s="15" t="n">
        <f aca="false">B1166</f>
        <v>45166</v>
      </c>
      <c r="D1166" s="16" t="s">
        <v>376</v>
      </c>
      <c r="E1166" s="16" t="s">
        <v>294</v>
      </c>
      <c r="F1166" s="16" t="s">
        <v>179</v>
      </c>
      <c r="G1166" s="17"/>
      <c r="H1166" s="17" t="n">
        <v>170016787</v>
      </c>
      <c r="I1166" s="14" t="n">
        <f aca="false">I1165+G1166-H1166</f>
        <v>368196308</v>
      </c>
    </row>
    <row r="1167" customFormat="false" ht="12" hidden="false" customHeight="true" outlineLevel="1" collapsed="false">
      <c r="B1167" s="15" t="n">
        <v>45166</v>
      </c>
      <c r="C1167" s="15" t="n">
        <f aca="false">B1167</f>
        <v>45166</v>
      </c>
      <c r="D1167" s="16" t="s">
        <v>375</v>
      </c>
      <c r="E1167" s="16" t="s">
        <v>157</v>
      </c>
      <c r="F1167" s="16" t="s">
        <v>15</v>
      </c>
      <c r="G1167" s="17" t="n">
        <v>57000000</v>
      </c>
      <c r="H1167" s="17"/>
      <c r="I1167" s="14" t="n">
        <f aca="false">I1166+G1167-H1167</f>
        <v>425196308</v>
      </c>
    </row>
    <row r="1168" customFormat="false" ht="12" hidden="false" customHeight="true" outlineLevel="1" collapsed="false">
      <c r="B1168" s="15" t="n">
        <v>45166</v>
      </c>
      <c r="C1168" s="15" t="n">
        <f aca="false">B1168</f>
        <v>45166</v>
      </c>
      <c r="D1168" s="16" t="s">
        <v>375</v>
      </c>
      <c r="E1168" s="16" t="s">
        <v>157</v>
      </c>
      <c r="F1168" s="16" t="s">
        <v>15</v>
      </c>
      <c r="G1168" s="17" t="n">
        <v>175000000</v>
      </c>
      <c r="H1168" s="17"/>
      <c r="I1168" s="14" t="n">
        <f aca="false">I1167+G1168-H1168</f>
        <v>600196308</v>
      </c>
    </row>
    <row r="1169" customFormat="false" ht="12" hidden="false" customHeight="true" outlineLevel="1" collapsed="false">
      <c r="B1169" s="15" t="n">
        <v>45166</v>
      </c>
      <c r="C1169" s="15" t="n">
        <f aca="false">B1169</f>
        <v>45166</v>
      </c>
      <c r="D1169" s="16" t="s">
        <v>376</v>
      </c>
      <c r="E1169" s="16" t="s">
        <v>23</v>
      </c>
      <c r="F1169" s="16" t="s">
        <v>24</v>
      </c>
      <c r="G1169" s="17"/>
      <c r="H1169" s="17" t="n">
        <v>445000000</v>
      </c>
      <c r="I1169" s="14" t="n">
        <f aca="false">I1168+G1169-H1169</f>
        <v>155196308</v>
      </c>
    </row>
    <row r="1170" customFormat="false" ht="12" hidden="false" customHeight="true" outlineLevel="1" collapsed="false">
      <c r="B1170" s="15" t="n">
        <v>45166</v>
      </c>
      <c r="C1170" s="15" t="n">
        <f aca="false">B1170</f>
        <v>45166</v>
      </c>
      <c r="D1170" s="16" t="s">
        <v>376</v>
      </c>
      <c r="E1170" s="16" t="s">
        <v>57</v>
      </c>
      <c r="F1170" s="16" t="n">
        <v>635</v>
      </c>
      <c r="G1170" s="17"/>
      <c r="H1170" s="17" t="n">
        <v>3664202</v>
      </c>
      <c r="I1170" s="14" t="n">
        <f aca="false">I1169+G1170-H1170</f>
        <v>151532106</v>
      </c>
    </row>
    <row r="1171" customFormat="false" ht="12" hidden="false" customHeight="true" outlineLevel="1" collapsed="false">
      <c r="B1171" s="15" t="n">
        <v>45166</v>
      </c>
      <c r="C1171" s="15" t="n">
        <f aca="false">B1171</f>
        <v>45166</v>
      </c>
      <c r="D1171" s="16" t="s">
        <v>376</v>
      </c>
      <c r="E1171" s="16" t="s">
        <v>57</v>
      </c>
      <c r="F1171" s="16" t="n">
        <v>635</v>
      </c>
      <c r="G1171" s="17"/>
      <c r="H1171" s="17" t="n">
        <v>4943098</v>
      </c>
      <c r="I1171" s="14" t="n">
        <f aca="false">I1170+G1171-H1171</f>
        <v>146589008</v>
      </c>
    </row>
    <row r="1172" customFormat="false" ht="12" hidden="false" customHeight="true" outlineLevel="1" collapsed="false">
      <c r="B1172" s="15" t="n">
        <v>45166</v>
      </c>
      <c r="C1172" s="15" t="n">
        <f aca="false">B1172</f>
        <v>45166</v>
      </c>
      <c r="D1172" s="16" t="s">
        <v>376</v>
      </c>
      <c r="E1172" s="16" t="s">
        <v>57</v>
      </c>
      <c r="F1172" s="16" t="n">
        <v>635</v>
      </c>
      <c r="G1172" s="17"/>
      <c r="H1172" s="17" t="n">
        <v>3173753</v>
      </c>
      <c r="I1172" s="14" t="n">
        <f aca="false">I1171+G1172-H1172</f>
        <v>143415255</v>
      </c>
    </row>
    <row r="1173" customFormat="false" ht="12" hidden="false" customHeight="true" outlineLevel="1" collapsed="false">
      <c r="B1173" s="15" t="n">
        <v>45166</v>
      </c>
      <c r="C1173" s="15" t="n">
        <f aca="false">B1173</f>
        <v>45166</v>
      </c>
      <c r="D1173" s="16" t="s">
        <v>376</v>
      </c>
      <c r="E1173" s="16" t="s">
        <v>57</v>
      </c>
      <c r="F1173" s="16" t="n">
        <v>635</v>
      </c>
      <c r="G1173" s="17"/>
      <c r="H1173" s="17" t="n">
        <v>9542954</v>
      </c>
      <c r="I1173" s="14" t="n">
        <f aca="false">I1172+G1173-H1173</f>
        <v>133872301</v>
      </c>
    </row>
    <row r="1174" customFormat="false" ht="12" hidden="false" customHeight="true" outlineLevel="1" collapsed="false">
      <c r="B1174" s="15" t="n">
        <v>45166</v>
      </c>
      <c r="C1174" s="15" t="n">
        <f aca="false">B1174</f>
        <v>45166</v>
      </c>
      <c r="D1174" s="16" t="s">
        <v>376</v>
      </c>
      <c r="E1174" s="16" t="s">
        <v>57</v>
      </c>
      <c r="F1174" s="16" t="n">
        <v>635</v>
      </c>
      <c r="G1174" s="17"/>
      <c r="H1174" s="17" t="n">
        <v>1539277</v>
      </c>
      <c r="I1174" s="14" t="n">
        <f aca="false">I1173+G1174-H1174</f>
        <v>132333024</v>
      </c>
    </row>
    <row r="1175" customFormat="false" ht="12" hidden="false" customHeight="true" outlineLevel="1" collapsed="false">
      <c r="B1175" s="15" t="n">
        <v>45166</v>
      </c>
      <c r="C1175" s="15" t="n">
        <f aca="false">B1175</f>
        <v>45166</v>
      </c>
      <c r="D1175" s="16" t="s">
        <v>376</v>
      </c>
      <c r="E1175" s="16" t="s">
        <v>57</v>
      </c>
      <c r="F1175" s="16" t="n">
        <v>635</v>
      </c>
      <c r="G1175" s="17"/>
      <c r="H1175" s="17" t="n">
        <v>20749315</v>
      </c>
      <c r="I1175" s="14" t="n">
        <f aca="false">I1174+G1175-H1175</f>
        <v>111583709</v>
      </c>
    </row>
    <row r="1176" customFormat="false" ht="12" hidden="false" customHeight="true" outlineLevel="1" collapsed="false">
      <c r="B1176" s="15" t="n">
        <v>45166</v>
      </c>
      <c r="C1176" s="15" t="n">
        <f aca="false">B1176</f>
        <v>45166</v>
      </c>
      <c r="D1176" s="16" t="s">
        <v>376</v>
      </c>
      <c r="E1176" s="16" t="s">
        <v>57</v>
      </c>
      <c r="F1176" s="16" t="n">
        <v>635</v>
      </c>
      <c r="G1176" s="17"/>
      <c r="H1176" s="17" t="n">
        <v>2396645</v>
      </c>
      <c r="I1176" s="14" t="n">
        <f aca="false">I1175+G1176-H1176</f>
        <v>109187064</v>
      </c>
    </row>
    <row r="1177" customFormat="false" ht="12" hidden="false" customHeight="true" outlineLevel="1" collapsed="false">
      <c r="B1177" s="15" t="n">
        <v>45166</v>
      </c>
      <c r="C1177" s="15" t="n">
        <f aca="false">B1177</f>
        <v>45166</v>
      </c>
      <c r="D1177" s="16" t="s">
        <v>376</v>
      </c>
      <c r="E1177" s="16" t="s">
        <v>57</v>
      </c>
      <c r="F1177" s="16" t="n">
        <v>635</v>
      </c>
      <c r="G1177" s="17"/>
      <c r="H1177" s="17" t="n">
        <v>6360658</v>
      </c>
      <c r="I1177" s="14" t="n">
        <f aca="false">I1176+G1177-H1177</f>
        <v>102826406</v>
      </c>
    </row>
    <row r="1178" customFormat="false" ht="12" hidden="false" customHeight="true" outlineLevel="1" collapsed="false">
      <c r="B1178" s="15" t="n">
        <v>45166</v>
      </c>
      <c r="C1178" s="15" t="n">
        <f aca="false">B1178</f>
        <v>45166</v>
      </c>
      <c r="D1178" s="16" t="s">
        <v>376</v>
      </c>
      <c r="E1178" s="16" t="s">
        <v>57</v>
      </c>
      <c r="F1178" s="16" t="n">
        <v>635</v>
      </c>
      <c r="G1178" s="17"/>
      <c r="H1178" s="17" t="n">
        <v>1200052</v>
      </c>
      <c r="I1178" s="14" t="n">
        <f aca="false">I1177+G1178-H1178</f>
        <v>101626354</v>
      </c>
    </row>
    <row r="1179" customFormat="false" ht="12" hidden="false" customHeight="true" outlineLevel="1" collapsed="false">
      <c r="B1179" s="15" t="n">
        <v>45166</v>
      </c>
      <c r="C1179" s="15" t="n">
        <f aca="false">B1179</f>
        <v>45166</v>
      </c>
      <c r="D1179" s="16" t="s">
        <v>376</v>
      </c>
      <c r="E1179" s="16" t="s">
        <v>57</v>
      </c>
      <c r="F1179" s="16" t="n">
        <v>635</v>
      </c>
      <c r="G1179" s="17"/>
      <c r="H1179" s="17" t="n">
        <v>15638593</v>
      </c>
      <c r="I1179" s="14" t="n">
        <f aca="false">I1178+G1179-H1179</f>
        <v>85987761</v>
      </c>
    </row>
    <row r="1180" customFormat="false" ht="12" hidden="false" customHeight="true" outlineLevel="1" collapsed="false">
      <c r="B1180" s="15" t="n">
        <v>45166</v>
      </c>
      <c r="C1180" s="15" t="n">
        <f aca="false">B1180</f>
        <v>45166</v>
      </c>
      <c r="D1180" s="16" t="s">
        <v>376</v>
      </c>
      <c r="E1180" s="16" t="s">
        <v>57</v>
      </c>
      <c r="F1180" s="16" t="n">
        <v>635</v>
      </c>
      <c r="G1180" s="17"/>
      <c r="H1180" s="17" t="n">
        <v>34100401</v>
      </c>
      <c r="I1180" s="14" t="n">
        <f aca="false">I1179+G1180-H1180</f>
        <v>51887360</v>
      </c>
    </row>
    <row r="1181" customFormat="false" ht="12" hidden="false" customHeight="true" outlineLevel="1" collapsed="false">
      <c r="B1181" s="15" t="n">
        <v>45166</v>
      </c>
      <c r="C1181" s="15" t="n">
        <f aca="false">B1181</f>
        <v>45166</v>
      </c>
      <c r="D1181" s="16" t="s">
        <v>376</v>
      </c>
      <c r="E1181" s="16" t="s">
        <v>57</v>
      </c>
      <c r="F1181" s="16" t="n">
        <v>635</v>
      </c>
      <c r="G1181" s="17"/>
      <c r="H1181" s="17" t="n">
        <v>3007055</v>
      </c>
      <c r="I1181" s="14" t="n">
        <f aca="false">I1180+G1181-H1181</f>
        <v>48880305</v>
      </c>
    </row>
    <row r="1182" customFormat="false" ht="12" hidden="false" customHeight="true" outlineLevel="1" collapsed="false">
      <c r="B1182" s="15" t="n">
        <v>45166</v>
      </c>
      <c r="C1182" s="15" t="n">
        <f aca="false">B1182</f>
        <v>45166</v>
      </c>
      <c r="D1182" s="16" t="s">
        <v>376</v>
      </c>
      <c r="E1182" s="16" t="s">
        <v>57</v>
      </c>
      <c r="F1182" s="16" t="n">
        <v>635</v>
      </c>
      <c r="G1182" s="17"/>
      <c r="H1182" s="17" t="n">
        <v>4305146</v>
      </c>
      <c r="I1182" s="14" t="n">
        <f aca="false">I1181+G1182-H1182</f>
        <v>44575159</v>
      </c>
    </row>
    <row r="1183" customFormat="false" ht="12" hidden="false" customHeight="true" outlineLevel="1" collapsed="false">
      <c r="B1183" s="15" t="n">
        <v>45166</v>
      </c>
      <c r="C1183" s="15" t="n">
        <f aca="false">B1183</f>
        <v>45166</v>
      </c>
      <c r="D1183" s="16" t="s">
        <v>376</v>
      </c>
      <c r="E1183" s="16" t="s">
        <v>57</v>
      </c>
      <c r="F1183" s="16" t="n">
        <v>635</v>
      </c>
      <c r="G1183" s="17"/>
      <c r="H1183" s="17" t="n">
        <v>880789</v>
      </c>
      <c r="I1183" s="14" t="n">
        <f aca="false">I1182+G1183-H1183</f>
        <v>43694370</v>
      </c>
    </row>
    <row r="1184" customFormat="false" ht="12" hidden="false" customHeight="true" outlineLevel="1" collapsed="false">
      <c r="B1184" s="15" t="n">
        <v>45166</v>
      </c>
      <c r="C1184" s="15" t="n">
        <f aca="false">B1184</f>
        <v>45166</v>
      </c>
      <c r="D1184" s="16" t="s">
        <v>376</v>
      </c>
      <c r="E1184" s="16" t="s">
        <v>57</v>
      </c>
      <c r="F1184" s="16" t="n">
        <v>635</v>
      </c>
      <c r="G1184" s="17"/>
      <c r="H1184" s="17" t="n">
        <v>1835531</v>
      </c>
      <c r="I1184" s="14" t="n">
        <f aca="false">I1183+G1184-H1184</f>
        <v>41858839</v>
      </c>
    </row>
    <row r="1185" customFormat="false" ht="12" hidden="false" customHeight="true" outlineLevel="1" collapsed="false">
      <c r="B1185" s="15" t="n">
        <v>45166</v>
      </c>
      <c r="C1185" s="15" t="n">
        <f aca="false">B1185</f>
        <v>45166</v>
      </c>
      <c r="D1185" s="16" t="s">
        <v>376</v>
      </c>
      <c r="E1185" s="16" t="s">
        <v>57</v>
      </c>
      <c r="F1185" s="16" t="n">
        <v>635</v>
      </c>
      <c r="G1185" s="17"/>
      <c r="H1185" s="17" t="n">
        <v>17758938</v>
      </c>
      <c r="I1185" s="14" t="n">
        <f aca="false">I1184+G1185-H1185</f>
        <v>24099901</v>
      </c>
    </row>
    <row r="1186" customFormat="false" ht="12" hidden="false" customHeight="true" outlineLevel="1" collapsed="false">
      <c r="B1186" s="15" t="n">
        <v>45166</v>
      </c>
      <c r="C1186" s="15" t="n">
        <f aca="false">B1186</f>
        <v>45166</v>
      </c>
      <c r="D1186" s="16" t="s">
        <v>376</v>
      </c>
      <c r="E1186" s="16" t="s">
        <v>57</v>
      </c>
      <c r="F1186" s="16" t="n">
        <v>635</v>
      </c>
      <c r="G1186" s="17"/>
      <c r="H1186" s="17" t="n">
        <v>2819373</v>
      </c>
      <c r="I1186" s="14" t="n">
        <f aca="false">I1185+G1186-H1186</f>
        <v>21280528</v>
      </c>
    </row>
    <row r="1187" customFormat="false" ht="12" hidden="false" customHeight="true" outlineLevel="1" collapsed="false">
      <c r="B1187" s="15" t="n">
        <v>45166</v>
      </c>
      <c r="C1187" s="15" t="n">
        <f aca="false">B1187</f>
        <v>45166</v>
      </c>
      <c r="D1187" s="16" t="s">
        <v>376</v>
      </c>
      <c r="E1187" s="16" t="s">
        <v>57</v>
      </c>
      <c r="F1187" s="16" t="n">
        <v>635</v>
      </c>
      <c r="G1187" s="17"/>
      <c r="H1187" s="17" t="n">
        <v>4275283</v>
      </c>
      <c r="I1187" s="14" t="n">
        <f aca="false">I1186+G1187-H1187</f>
        <v>17005245</v>
      </c>
    </row>
    <row r="1188" customFormat="false" ht="12" hidden="false" customHeight="true" outlineLevel="1" collapsed="false">
      <c r="B1188" s="15" t="n">
        <v>45166</v>
      </c>
      <c r="C1188" s="15" t="n">
        <f aca="false">B1188</f>
        <v>45166</v>
      </c>
      <c r="D1188" s="16" t="s">
        <v>376</v>
      </c>
      <c r="E1188" s="16" t="s">
        <v>57</v>
      </c>
      <c r="F1188" s="16" t="n">
        <v>635</v>
      </c>
      <c r="G1188" s="17"/>
      <c r="H1188" s="17" t="n">
        <v>1961425</v>
      </c>
      <c r="I1188" s="14" t="n">
        <f aca="false">I1187+G1188-H1188</f>
        <v>15043820</v>
      </c>
    </row>
    <row r="1189" customFormat="false" ht="12" hidden="false" customHeight="true" outlineLevel="1" collapsed="false">
      <c r="B1189" s="15" t="n">
        <v>45166</v>
      </c>
      <c r="C1189" s="15" t="n">
        <f aca="false">B1189</f>
        <v>45166</v>
      </c>
      <c r="D1189" s="16" t="s">
        <v>376</v>
      </c>
      <c r="E1189" s="16" t="s">
        <v>57</v>
      </c>
      <c r="F1189" s="16" t="n">
        <v>635</v>
      </c>
      <c r="G1189" s="17"/>
      <c r="H1189" s="17" t="n">
        <v>940841</v>
      </c>
      <c r="I1189" s="14" t="n">
        <f aca="false">I1188+G1189-H1189</f>
        <v>14102979</v>
      </c>
    </row>
    <row r="1190" customFormat="false" ht="12" hidden="false" customHeight="true" outlineLevel="1" collapsed="false">
      <c r="B1190" s="15" t="n">
        <v>45166</v>
      </c>
      <c r="C1190" s="15" t="n">
        <f aca="false">B1190</f>
        <v>45166</v>
      </c>
      <c r="D1190" s="16" t="s">
        <v>376</v>
      </c>
      <c r="E1190" s="16" t="s">
        <v>57</v>
      </c>
      <c r="F1190" s="16" t="n">
        <v>635</v>
      </c>
      <c r="G1190" s="17"/>
      <c r="H1190" s="17" t="n">
        <v>3754160</v>
      </c>
      <c r="I1190" s="14" t="n">
        <f aca="false">I1189+G1190-H1190</f>
        <v>10348819</v>
      </c>
    </row>
    <row r="1191" customFormat="false" ht="12" hidden="false" customHeight="true" outlineLevel="1" collapsed="false">
      <c r="B1191" s="15" t="n">
        <v>44802</v>
      </c>
      <c r="C1191" s="15" t="n">
        <f aca="false">B1191</f>
        <v>44802</v>
      </c>
      <c r="D1191" s="16" t="s">
        <v>376</v>
      </c>
      <c r="E1191" s="16" t="s">
        <v>57</v>
      </c>
      <c r="F1191" s="16" t="n">
        <v>635</v>
      </c>
      <c r="G1191" s="17"/>
      <c r="H1191" s="17" t="n">
        <v>859920</v>
      </c>
      <c r="I1191" s="14" t="n">
        <f aca="false">I1190+G1191-H1191</f>
        <v>9488899</v>
      </c>
    </row>
    <row r="1192" customFormat="false" ht="12" hidden="false" customHeight="true" outlineLevel="1" collapsed="false">
      <c r="B1192" s="15" t="n">
        <v>44802</v>
      </c>
      <c r="C1192" s="15" t="n">
        <f aca="false">B1192</f>
        <v>44802</v>
      </c>
      <c r="D1192" s="16" t="s">
        <v>376</v>
      </c>
      <c r="E1192" s="16" t="s">
        <v>57</v>
      </c>
      <c r="F1192" s="16" t="n">
        <v>635</v>
      </c>
      <c r="G1192" s="17"/>
      <c r="H1192" s="17" t="n">
        <v>8051736</v>
      </c>
      <c r="I1192" s="14" t="n">
        <f aca="false">I1191+G1192-H1192</f>
        <v>1437163</v>
      </c>
    </row>
    <row r="1193" customFormat="false" ht="12" hidden="false" customHeight="true" outlineLevel="1" collapsed="false">
      <c r="B1193" s="15" t="n">
        <v>45168</v>
      </c>
      <c r="C1193" s="15" t="n">
        <f aca="false">B1193</f>
        <v>45168</v>
      </c>
      <c r="D1193" s="16" t="s">
        <v>375</v>
      </c>
      <c r="E1193" s="16" t="s">
        <v>157</v>
      </c>
      <c r="F1193" s="16" t="s">
        <v>15</v>
      </c>
      <c r="G1193" s="17" t="n">
        <v>48826000</v>
      </c>
      <c r="H1193" s="17"/>
      <c r="I1193" s="14" t="n">
        <f aca="false">I1192+G1193-H1193</f>
        <v>50263163</v>
      </c>
    </row>
    <row r="1194" customFormat="false" ht="12" hidden="false" customHeight="true" outlineLevel="1" collapsed="false">
      <c r="B1194" s="15" t="n">
        <v>45168</v>
      </c>
      <c r="C1194" s="15" t="n">
        <f aca="false">B1194</f>
        <v>45168</v>
      </c>
      <c r="D1194" s="16" t="s">
        <v>375</v>
      </c>
      <c r="E1194" s="16" t="s">
        <v>157</v>
      </c>
      <c r="F1194" s="16" t="s">
        <v>15</v>
      </c>
      <c r="G1194" s="17" t="n">
        <v>43682000</v>
      </c>
      <c r="H1194" s="17"/>
      <c r="I1194" s="14" t="n">
        <f aca="false">I1193+G1194-H1194</f>
        <v>93945163</v>
      </c>
    </row>
    <row r="1195" customFormat="false" ht="12" hidden="false" customHeight="true" outlineLevel="1" collapsed="false">
      <c r="B1195" s="15" t="n">
        <v>45168</v>
      </c>
      <c r="C1195" s="15" t="n">
        <f aca="false">B1195</f>
        <v>45168</v>
      </c>
      <c r="D1195" s="16" t="s">
        <v>375</v>
      </c>
      <c r="E1195" s="16" t="s">
        <v>157</v>
      </c>
      <c r="F1195" s="16" t="s">
        <v>15</v>
      </c>
      <c r="G1195" s="17" t="n">
        <v>237167000</v>
      </c>
      <c r="H1195" s="17"/>
      <c r="I1195" s="14" t="n">
        <f aca="false">I1194+G1195-H1195</f>
        <v>331112163</v>
      </c>
    </row>
    <row r="1196" customFormat="false" ht="12" hidden="false" customHeight="true" outlineLevel="1" collapsed="false">
      <c r="B1196" s="15" t="n">
        <v>45168</v>
      </c>
      <c r="C1196" s="15" t="n">
        <f aca="false">B1196</f>
        <v>45168</v>
      </c>
      <c r="D1196" s="16" t="s">
        <v>375</v>
      </c>
      <c r="E1196" s="16" t="s">
        <v>157</v>
      </c>
      <c r="F1196" s="16" t="s">
        <v>15</v>
      </c>
      <c r="G1196" s="17" t="n">
        <v>90000000</v>
      </c>
      <c r="H1196" s="17"/>
      <c r="I1196" s="14" t="n">
        <f aca="false">I1195+G1196-H1196</f>
        <v>421112163</v>
      </c>
    </row>
    <row r="1197" customFormat="false" ht="12" hidden="false" customHeight="true" outlineLevel="1" collapsed="false">
      <c r="B1197" s="15" t="n">
        <v>45168</v>
      </c>
      <c r="C1197" s="15" t="n">
        <f aca="false">B1197</f>
        <v>45168</v>
      </c>
      <c r="D1197" s="16" t="s">
        <v>376</v>
      </c>
      <c r="E1197" s="16" t="s">
        <v>294</v>
      </c>
      <c r="F1197" s="16" t="s">
        <v>179</v>
      </c>
      <c r="G1197" s="17"/>
      <c r="H1197" s="17" t="n">
        <v>414232882</v>
      </c>
      <c r="I1197" s="14" t="n">
        <f aca="false">I1196+G1197-H1197</f>
        <v>6879281</v>
      </c>
    </row>
    <row r="1198" customFormat="false" ht="12" hidden="false" customHeight="true" outlineLevel="1" collapsed="false">
      <c r="B1198" s="15" t="n">
        <v>45169</v>
      </c>
      <c r="C1198" s="15" t="n">
        <f aca="false">B1198</f>
        <v>45169</v>
      </c>
      <c r="D1198" s="16" t="s">
        <v>375</v>
      </c>
      <c r="E1198" s="16" t="s">
        <v>157</v>
      </c>
      <c r="F1198" s="16" t="s">
        <v>15</v>
      </c>
      <c r="G1198" s="17" t="n">
        <v>52097000</v>
      </c>
      <c r="H1198" s="17"/>
      <c r="I1198" s="14" t="n">
        <f aca="false">I1197+G1198-H1198</f>
        <v>58976281</v>
      </c>
    </row>
    <row r="1199" customFormat="false" ht="12" hidden="false" customHeight="true" outlineLevel="1" collapsed="false">
      <c r="B1199" s="15" t="n">
        <v>45169</v>
      </c>
      <c r="C1199" s="15" t="n">
        <f aca="false">B1199</f>
        <v>45169</v>
      </c>
      <c r="D1199" s="16" t="s">
        <v>375</v>
      </c>
      <c r="E1199" s="16" t="s">
        <v>157</v>
      </c>
      <c r="F1199" s="16" t="s">
        <v>15</v>
      </c>
      <c r="G1199" s="17" t="n">
        <v>39000000</v>
      </c>
      <c r="H1199" s="17"/>
      <c r="I1199" s="14" t="n">
        <f aca="false">I1198+G1199-H1199</f>
        <v>97976281</v>
      </c>
    </row>
    <row r="1200" customFormat="false" ht="12" hidden="false" customHeight="true" outlineLevel="1" collapsed="false">
      <c r="B1200" s="15" t="n">
        <v>45169</v>
      </c>
      <c r="C1200" s="15" t="n">
        <f aca="false">B1200</f>
        <v>45169</v>
      </c>
      <c r="D1200" s="16" t="s">
        <v>375</v>
      </c>
      <c r="E1200" s="16" t="s">
        <v>157</v>
      </c>
      <c r="F1200" s="16" t="s">
        <v>15</v>
      </c>
      <c r="G1200" s="17" t="n">
        <v>92005000</v>
      </c>
      <c r="H1200" s="17"/>
      <c r="I1200" s="14" t="n">
        <f aca="false">I1199+G1200-H1200</f>
        <v>189981281</v>
      </c>
    </row>
    <row r="1201" customFormat="false" ht="12" hidden="false" customHeight="true" outlineLevel="1" collapsed="false">
      <c r="B1201" s="15" t="n">
        <v>45169</v>
      </c>
      <c r="C1201" s="15" t="n">
        <f aca="false">B1201</f>
        <v>45169</v>
      </c>
      <c r="D1201" s="16" t="s">
        <v>375</v>
      </c>
      <c r="E1201" s="16" t="s">
        <v>157</v>
      </c>
      <c r="F1201" s="16" t="s">
        <v>15</v>
      </c>
      <c r="G1201" s="17" t="n">
        <v>172353000</v>
      </c>
      <c r="H1201" s="17"/>
      <c r="I1201" s="14" t="n">
        <f aca="false">I1200+G1201-H1201</f>
        <v>362334281</v>
      </c>
    </row>
    <row r="1202" customFormat="false" ht="12" hidden="false" customHeight="true" outlineLevel="1" collapsed="false">
      <c r="B1202" s="15" t="n">
        <v>45169</v>
      </c>
      <c r="C1202" s="15" t="n">
        <f aca="false">B1202</f>
        <v>45169</v>
      </c>
      <c r="D1202" s="16" t="s">
        <v>375</v>
      </c>
      <c r="E1202" s="16" t="s">
        <v>157</v>
      </c>
      <c r="F1202" s="16" t="s">
        <v>15</v>
      </c>
      <c r="G1202" s="17" t="n">
        <v>84000000</v>
      </c>
      <c r="H1202" s="17"/>
      <c r="I1202" s="14" t="n">
        <f aca="false">I1201+G1202-H1202</f>
        <v>446334281</v>
      </c>
    </row>
    <row r="1203" customFormat="false" ht="12" hidden="false" customHeight="true" outlineLevel="1" collapsed="false">
      <c r="B1203" s="15" t="n">
        <v>45169</v>
      </c>
      <c r="C1203" s="15" t="n">
        <f aca="false">B1203</f>
        <v>45169</v>
      </c>
      <c r="D1203" s="16" t="s">
        <v>376</v>
      </c>
      <c r="E1203" s="16" t="s">
        <v>36</v>
      </c>
      <c r="F1203" s="16" t="n">
        <v>635</v>
      </c>
      <c r="G1203" s="17"/>
      <c r="H1203" s="17" t="n">
        <v>11000</v>
      </c>
      <c r="I1203" s="14" t="n">
        <f aca="false">I1202+G1203-H1203</f>
        <v>446323281</v>
      </c>
    </row>
    <row r="1204" customFormat="false" ht="12" hidden="false" customHeight="true" outlineLevel="1" collapsed="false">
      <c r="B1204" s="15" t="n">
        <v>45169</v>
      </c>
      <c r="C1204" s="15" t="n">
        <f aca="false">B1204</f>
        <v>45169</v>
      </c>
      <c r="D1204" s="16" t="s">
        <v>376</v>
      </c>
      <c r="E1204" s="16" t="s">
        <v>294</v>
      </c>
      <c r="F1204" s="16" t="s">
        <v>179</v>
      </c>
      <c r="G1204" s="17"/>
      <c r="H1204" s="17" t="n">
        <v>12064853</v>
      </c>
      <c r="I1204" s="14" t="n">
        <f aca="false">I1203+G1204-H1204</f>
        <v>434258428</v>
      </c>
    </row>
    <row r="1205" customFormat="false" ht="12" hidden="false" customHeight="true" outlineLevel="1" collapsed="false">
      <c r="B1205" s="15" t="n">
        <v>45169</v>
      </c>
      <c r="C1205" s="15" t="n">
        <f aca="false">B1205</f>
        <v>45169</v>
      </c>
      <c r="D1205" s="16" t="s">
        <v>376</v>
      </c>
      <c r="E1205" s="16" t="s">
        <v>23</v>
      </c>
      <c r="F1205" s="16" t="s">
        <v>24</v>
      </c>
      <c r="G1205" s="17"/>
      <c r="H1205" s="17" t="n">
        <v>430000000</v>
      </c>
      <c r="I1205" s="14" t="n">
        <f aca="false">I1204+G1205-H1205</f>
        <v>4258428</v>
      </c>
    </row>
    <row r="1206" customFormat="false" ht="12" hidden="false" customHeight="true" outlineLevel="1" collapsed="false">
      <c r="B1206" s="15" t="n">
        <v>45174</v>
      </c>
      <c r="C1206" s="15" t="n">
        <f aca="false">B1206</f>
        <v>45174</v>
      </c>
      <c r="D1206" s="16" t="s">
        <v>375</v>
      </c>
      <c r="E1206" s="16" t="s">
        <v>157</v>
      </c>
      <c r="F1206" s="16" t="s">
        <v>15</v>
      </c>
      <c r="G1206" s="17" t="n">
        <v>193548000</v>
      </c>
      <c r="H1206" s="17"/>
      <c r="I1206" s="14" t="n">
        <f aca="false">I1205+G1206-H1206</f>
        <v>197806428</v>
      </c>
    </row>
    <row r="1207" customFormat="false" ht="12" hidden="false" customHeight="true" outlineLevel="1" collapsed="false">
      <c r="B1207" s="15" t="n">
        <v>45174</v>
      </c>
      <c r="C1207" s="15" t="n">
        <f aca="false">B1207</f>
        <v>45174</v>
      </c>
      <c r="D1207" s="16" t="s">
        <v>375</v>
      </c>
      <c r="E1207" s="16" t="s">
        <v>157</v>
      </c>
      <c r="F1207" s="16" t="s">
        <v>15</v>
      </c>
      <c r="G1207" s="17" t="n">
        <v>91434000</v>
      </c>
      <c r="H1207" s="17"/>
      <c r="I1207" s="14" t="n">
        <f aca="false">I1206+G1207-H1207</f>
        <v>289240428</v>
      </c>
    </row>
    <row r="1208" customFormat="false" ht="12" hidden="false" customHeight="true" outlineLevel="1" collapsed="false">
      <c r="B1208" s="15" t="n">
        <v>45174</v>
      </c>
      <c r="C1208" s="15" t="n">
        <f aca="false">B1208</f>
        <v>45174</v>
      </c>
      <c r="D1208" s="16" t="s">
        <v>375</v>
      </c>
      <c r="E1208" s="16" t="s">
        <v>157</v>
      </c>
      <c r="F1208" s="16" t="s">
        <v>15</v>
      </c>
      <c r="G1208" s="17" t="n">
        <v>80196000</v>
      </c>
      <c r="H1208" s="17"/>
      <c r="I1208" s="14" t="n">
        <f aca="false">I1207+G1208-H1208</f>
        <v>369436428</v>
      </c>
    </row>
    <row r="1209" customFormat="false" ht="12" hidden="false" customHeight="true" outlineLevel="1" collapsed="false">
      <c r="B1209" s="15" t="n">
        <v>45174</v>
      </c>
      <c r="C1209" s="15" t="n">
        <f aca="false">B1209</f>
        <v>45174</v>
      </c>
      <c r="D1209" s="16" t="s">
        <v>375</v>
      </c>
      <c r="E1209" s="16" t="s">
        <v>157</v>
      </c>
      <c r="F1209" s="16" t="s">
        <v>15</v>
      </c>
      <c r="G1209" s="17" t="n">
        <v>43796000</v>
      </c>
      <c r="H1209" s="17"/>
      <c r="I1209" s="14" t="n">
        <f aca="false">I1208+G1209-H1209</f>
        <v>413232428</v>
      </c>
    </row>
    <row r="1210" customFormat="false" ht="12" hidden="false" customHeight="true" outlineLevel="1" collapsed="false">
      <c r="B1210" s="15" t="n">
        <v>45174</v>
      </c>
      <c r="C1210" s="15" t="n">
        <f aca="false">B1210</f>
        <v>45174</v>
      </c>
      <c r="D1210" s="16" t="s">
        <v>375</v>
      </c>
      <c r="E1210" s="16" t="s">
        <v>157</v>
      </c>
      <c r="F1210" s="16" t="s">
        <v>15</v>
      </c>
      <c r="G1210" s="17" t="n">
        <v>48469000</v>
      </c>
      <c r="H1210" s="17"/>
      <c r="I1210" s="14" t="n">
        <f aca="false">I1209+G1210-H1210</f>
        <v>461701428</v>
      </c>
    </row>
    <row r="1211" customFormat="false" ht="12" hidden="false" customHeight="true" outlineLevel="1" collapsed="false">
      <c r="B1211" s="15" t="n">
        <v>45174</v>
      </c>
      <c r="C1211" s="15" t="n">
        <f aca="false">B1211</f>
        <v>45174</v>
      </c>
      <c r="D1211" s="16" t="s">
        <v>375</v>
      </c>
      <c r="E1211" s="16" t="s">
        <v>157</v>
      </c>
      <c r="F1211" s="16" t="s">
        <v>15</v>
      </c>
      <c r="G1211" s="17" t="n">
        <v>25022000</v>
      </c>
      <c r="H1211" s="17"/>
      <c r="I1211" s="14" t="n">
        <f aca="false">I1210+G1211-H1211</f>
        <v>486723428</v>
      </c>
    </row>
    <row r="1212" customFormat="false" ht="12" hidden="false" customHeight="true" outlineLevel="1" collapsed="false">
      <c r="B1212" s="15" t="n">
        <v>45174</v>
      </c>
      <c r="C1212" s="15" t="n">
        <f aca="false">B1212</f>
        <v>45174</v>
      </c>
      <c r="D1212" s="16" t="s">
        <v>375</v>
      </c>
      <c r="E1212" s="16" t="s">
        <v>157</v>
      </c>
      <c r="F1212" s="16" t="s">
        <v>15</v>
      </c>
      <c r="G1212" s="17" t="n">
        <v>74746000</v>
      </c>
      <c r="H1212" s="17"/>
      <c r="I1212" s="14" t="n">
        <f aca="false">I1211+G1212-H1212</f>
        <v>561469428</v>
      </c>
    </row>
    <row r="1213" customFormat="false" ht="12" hidden="false" customHeight="true" outlineLevel="1" collapsed="false">
      <c r="B1213" s="15" t="n">
        <v>45174</v>
      </c>
      <c r="C1213" s="15" t="n">
        <f aca="false">B1213</f>
        <v>45174</v>
      </c>
      <c r="D1213" s="16" t="s">
        <v>375</v>
      </c>
      <c r="E1213" s="16" t="s">
        <v>157</v>
      </c>
      <c r="F1213" s="16" t="s">
        <v>15</v>
      </c>
      <c r="G1213" s="17" t="n">
        <v>143273000</v>
      </c>
      <c r="H1213" s="17"/>
      <c r="I1213" s="14" t="n">
        <f aca="false">I1212+G1213-H1213</f>
        <v>704742428</v>
      </c>
    </row>
    <row r="1214" customFormat="false" ht="12" hidden="false" customHeight="true" outlineLevel="1" collapsed="false">
      <c r="B1214" s="15" t="n">
        <v>45174</v>
      </c>
      <c r="C1214" s="15" t="n">
        <f aca="false">B1214</f>
        <v>45174</v>
      </c>
      <c r="D1214" s="16" t="s">
        <v>375</v>
      </c>
      <c r="E1214" s="16" t="s">
        <v>157</v>
      </c>
      <c r="F1214" s="16" t="s">
        <v>15</v>
      </c>
      <c r="G1214" s="17" t="n">
        <v>96014000</v>
      </c>
      <c r="H1214" s="17"/>
      <c r="I1214" s="14" t="n">
        <f aca="false">I1213+G1214-H1214</f>
        <v>800756428</v>
      </c>
    </row>
    <row r="1215" customFormat="false" ht="12" hidden="false" customHeight="true" outlineLevel="1" collapsed="false">
      <c r="B1215" s="15" t="n">
        <v>45174</v>
      </c>
      <c r="C1215" s="15" t="n">
        <f aca="false">B1215</f>
        <v>45174</v>
      </c>
      <c r="D1215" s="16" t="s">
        <v>375</v>
      </c>
      <c r="E1215" s="16" t="s">
        <v>157</v>
      </c>
      <c r="F1215" s="16" t="s">
        <v>15</v>
      </c>
      <c r="G1215" s="17" t="n">
        <v>46000000</v>
      </c>
      <c r="H1215" s="17"/>
      <c r="I1215" s="14" t="n">
        <f aca="false">I1214+G1215-H1215</f>
        <v>846756428</v>
      </c>
    </row>
    <row r="1216" customFormat="false" ht="12" hidden="false" customHeight="true" outlineLevel="1" collapsed="false">
      <c r="B1216" s="15" t="n">
        <v>45174</v>
      </c>
      <c r="C1216" s="15" t="n">
        <f aca="false">B1216</f>
        <v>45174</v>
      </c>
      <c r="D1216" s="16" t="s">
        <v>375</v>
      </c>
      <c r="E1216" s="16" t="s">
        <v>157</v>
      </c>
      <c r="F1216" s="16" t="s">
        <v>15</v>
      </c>
      <c r="G1216" s="17" t="n">
        <v>10000000</v>
      </c>
      <c r="H1216" s="17"/>
      <c r="I1216" s="14" t="n">
        <f aca="false">I1215+G1216-H1216</f>
        <v>856756428</v>
      </c>
    </row>
    <row r="1217" customFormat="false" ht="12" hidden="false" customHeight="true" outlineLevel="1" collapsed="false">
      <c r="B1217" s="15" t="n">
        <v>45174</v>
      </c>
      <c r="C1217" s="15" t="n">
        <f aca="false">B1217</f>
        <v>45174</v>
      </c>
      <c r="D1217" s="16" t="s">
        <v>376</v>
      </c>
      <c r="E1217" s="16" t="s">
        <v>23</v>
      </c>
      <c r="F1217" s="16" t="s">
        <v>24</v>
      </c>
      <c r="G1217" s="17"/>
      <c r="H1217" s="17" t="n">
        <v>104895920</v>
      </c>
      <c r="I1217" s="14" t="n">
        <f aca="false">I1216+G1217-H1217</f>
        <v>751860508</v>
      </c>
    </row>
    <row r="1218" customFormat="false" ht="12" hidden="false" customHeight="true" outlineLevel="1" collapsed="false">
      <c r="B1218" s="15" t="n">
        <v>45174</v>
      </c>
      <c r="C1218" s="15" t="n">
        <f aca="false">B1218</f>
        <v>45174</v>
      </c>
      <c r="D1218" s="16" t="s">
        <v>376</v>
      </c>
      <c r="E1218" s="16" t="s">
        <v>23</v>
      </c>
      <c r="F1218" s="16" t="s">
        <v>24</v>
      </c>
      <c r="G1218" s="17"/>
      <c r="H1218" s="17" t="n">
        <v>750000000</v>
      </c>
      <c r="I1218" s="14" t="n">
        <f aca="false">I1217+G1218-H1218</f>
        <v>1860508</v>
      </c>
    </row>
    <row r="1219" customFormat="false" ht="12" hidden="false" customHeight="true" outlineLevel="1" collapsed="false">
      <c r="B1219" s="15" t="n">
        <v>45175</v>
      </c>
      <c r="C1219" s="25" t="n">
        <f aca="false">B1219</f>
        <v>45175</v>
      </c>
      <c r="D1219" s="16" t="s">
        <v>376</v>
      </c>
      <c r="E1219" s="16" t="s">
        <v>157</v>
      </c>
      <c r="F1219" s="16" t="s">
        <v>15</v>
      </c>
      <c r="G1219" s="17" t="n">
        <v>191173000</v>
      </c>
      <c r="H1219" s="17"/>
      <c r="I1219" s="14" t="n">
        <f aca="false">I1218+G1219-H1219</f>
        <v>193033508</v>
      </c>
    </row>
    <row r="1220" customFormat="false" ht="12" hidden="false" customHeight="true" outlineLevel="1" collapsed="false">
      <c r="B1220" s="15" t="n">
        <v>45175</v>
      </c>
      <c r="C1220" s="25" t="n">
        <f aca="false">B1220</f>
        <v>45175</v>
      </c>
      <c r="D1220" s="16" t="s">
        <v>376</v>
      </c>
      <c r="E1220" s="16" t="s">
        <v>157</v>
      </c>
      <c r="F1220" s="16" t="s">
        <v>15</v>
      </c>
      <c r="G1220" s="17" t="n">
        <v>45164000</v>
      </c>
      <c r="H1220" s="17"/>
      <c r="I1220" s="14" t="n">
        <f aca="false">I1219+G1220-H1220</f>
        <v>238197508</v>
      </c>
    </row>
    <row r="1221" customFormat="false" ht="12" hidden="false" customHeight="true" outlineLevel="1" collapsed="false">
      <c r="B1221" s="15" t="n">
        <v>45175</v>
      </c>
      <c r="C1221" s="15" t="n">
        <f aca="false">B1221</f>
        <v>45175</v>
      </c>
      <c r="D1221" s="16" t="s">
        <v>376</v>
      </c>
      <c r="E1221" s="16" t="s">
        <v>157</v>
      </c>
      <c r="F1221" s="16" t="s">
        <v>15</v>
      </c>
      <c r="G1221" s="17" t="n">
        <v>69035000</v>
      </c>
      <c r="H1221" s="17"/>
      <c r="I1221" s="14" t="n">
        <f aca="false">I1220+G1221-H1221</f>
        <v>307232508</v>
      </c>
    </row>
    <row r="1222" customFormat="false" ht="12" hidden="false" customHeight="true" outlineLevel="1" collapsed="false">
      <c r="B1222" s="15" t="n">
        <v>45175</v>
      </c>
      <c r="C1222" s="15" t="n">
        <f aca="false">B1222</f>
        <v>45175</v>
      </c>
      <c r="D1222" s="16" t="s">
        <v>376</v>
      </c>
      <c r="E1222" s="16" t="s">
        <v>57</v>
      </c>
      <c r="F1222" s="16" t="n">
        <v>635</v>
      </c>
      <c r="G1222" s="17"/>
      <c r="H1222" s="17" t="n">
        <v>109457</v>
      </c>
      <c r="I1222" s="14" t="n">
        <f aca="false">I1221+G1222-H1222</f>
        <v>307123051</v>
      </c>
    </row>
    <row r="1223" customFormat="false" ht="12" hidden="false" customHeight="true" outlineLevel="1" collapsed="false">
      <c r="B1223" s="15" t="n">
        <v>45176</v>
      </c>
      <c r="C1223" s="25" t="n">
        <f aca="false">B1223</f>
        <v>45176</v>
      </c>
      <c r="D1223" s="16" t="s">
        <v>376</v>
      </c>
      <c r="E1223" s="16" t="s">
        <v>157</v>
      </c>
      <c r="F1223" s="16" t="s">
        <v>15</v>
      </c>
      <c r="G1223" s="17" t="n">
        <v>30064000</v>
      </c>
      <c r="H1223" s="17"/>
      <c r="I1223" s="14" t="n">
        <f aca="false">I1222+G1223-H1223</f>
        <v>337187051</v>
      </c>
    </row>
    <row r="1224" customFormat="false" ht="12" hidden="false" customHeight="true" outlineLevel="1" collapsed="false">
      <c r="B1224" s="15" t="n">
        <v>45176</v>
      </c>
      <c r="C1224" s="25" t="n">
        <f aca="false">B1224</f>
        <v>45176</v>
      </c>
      <c r="D1224" s="16" t="s">
        <v>376</v>
      </c>
      <c r="E1224" s="16" t="s">
        <v>157</v>
      </c>
      <c r="F1224" s="16" t="s">
        <v>15</v>
      </c>
      <c r="G1224" s="17" t="n">
        <v>61167000</v>
      </c>
      <c r="H1224" s="17"/>
      <c r="I1224" s="14" t="n">
        <f aca="false">I1223+G1224-H1224</f>
        <v>398354051</v>
      </c>
    </row>
    <row r="1225" customFormat="false" ht="12" hidden="false" customHeight="true" outlineLevel="1" collapsed="false">
      <c r="B1225" s="15" t="n">
        <v>45176</v>
      </c>
      <c r="C1225" s="25" t="n">
        <f aca="false">B1225</f>
        <v>45176</v>
      </c>
      <c r="D1225" s="16" t="s">
        <v>376</v>
      </c>
      <c r="E1225" s="16" t="s">
        <v>157</v>
      </c>
      <c r="F1225" s="16" t="s">
        <v>15</v>
      </c>
      <c r="G1225" s="17" t="n">
        <v>129355000</v>
      </c>
      <c r="H1225" s="17"/>
      <c r="I1225" s="14" t="n">
        <f aca="false">I1224+G1225-H1225</f>
        <v>527709051</v>
      </c>
    </row>
    <row r="1226" customFormat="false" ht="12" hidden="false" customHeight="true" outlineLevel="1" collapsed="false">
      <c r="B1226" s="15" t="n">
        <v>45176</v>
      </c>
      <c r="C1226" s="15" t="n">
        <f aca="false">B1226</f>
        <v>45176</v>
      </c>
      <c r="D1226" s="16" t="s">
        <v>376</v>
      </c>
      <c r="E1226" s="16" t="s">
        <v>23</v>
      </c>
      <c r="F1226" s="16" t="s">
        <v>24</v>
      </c>
      <c r="G1226" s="17"/>
      <c r="H1226" s="17" t="n">
        <v>520000000</v>
      </c>
      <c r="I1226" s="14" t="n">
        <f aca="false">I1225+G1226-H1226</f>
        <v>7709051</v>
      </c>
    </row>
    <row r="1227" customFormat="false" ht="12" hidden="false" customHeight="true" outlineLevel="1" collapsed="false">
      <c r="B1227" s="15" t="n">
        <v>45178</v>
      </c>
      <c r="C1227" s="15" t="n">
        <f aca="false">B1227</f>
        <v>45178</v>
      </c>
      <c r="D1227" s="16" t="s">
        <v>376</v>
      </c>
      <c r="E1227" s="16" t="s">
        <v>36</v>
      </c>
      <c r="F1227" s="16" t="n">
        <v>635</v>
      </c>
      <c r="G1227" s="17"/>
      <c r="H1227" s="17" t="n">
        <v>55000</v>
      </c>
      <c r="I1227" s="14" t="n">
        <f aca="false">I1226+G1227-H1227</f>
        <v>7654051</v>
      </c>
    </row>
    <row r="1228" customFormat="false" ht="12" hidden="false" customHeight="true" outlineLevel="1" collapsed="false">
      <c r="B1228" s="15" t="n">
        <v>45180</v>
      </c>
      <c r="C1228" s="15" t="n">
        <f aca="false">B1228</f>
        <v>45180</v>
      </c>
      <c r="D1228" s="16" t="s">
        <v>375</v>
      </c>
      <c r="E1228" s="16" t="s">
        <v>157</v>
      </c>
      <c r="F1228" s="16" t="s">
        <v>15</v>
      </c>
      <c r="G1228" s="17" t="n">
        <v>69917000</v>
      </c>
      <c r="H1228" s="17"/>
      <c r="I1228" s="14" t="n">
        <f aca="false">I1227+G1228-H1228</f>
        <v>77571051</v>
      </c>
    </row>
    <row r="1229" customFormat="false" ht="12" hidden="false" customHeight="true" outlineLevel="1" collapsed="false">
      <c r="B1229" s="15" t="n">
        <v>45180</v>
      </c>
      <c r="C1229" s="15" t="n">
        <f aca="false">B1229</f>
        <v>45180</v>
      </c>
      <c r="D1229" s="16" t="s">
        <v>375</v>
      </c>
      <c r="E1229" s="16" t="s">
        <v>157</v>
      </c>
      <c r="F1229" s="16" t="s">
        <v>15</v>
      </c>
      <c r="G1229" s="17" t="n">
        <v>181841000</v>
      </c>
      <c r="H1229" s="17"/>
      <c r="I1229" s="14" t="n">
        <f aca="false">I1228+G1229-H1229</f>
        <v>259412051</v>
      </c>
    </row>
    <row r="1230" customFormat="false" ht="12" hidden="false" customHeight="true" outlineLevel="1" collapsed="false">
      <c r="B1230" s="15" t="n">
        <v>45180</v>
      </c>
      <c r="C1230" s="15" t="n">
        <f aca="false">B1230</f>
        <v>45180</v>
      </c>
      <c r="D1230" s="16" t="s">
        <v>375</v>
      </c>
      <c r="E1230" s="16" t="s">
        <v>157</v>
      </c>
      <c r="F1230" s="16" t="s">
        <v>15</v>
      </c>
      <c r="G1230" s="17" t="n">
        <v>69604000</v>
      </c>
      <c r="H1230" s="17"/>
      <c r="I1230" s="14" t="n">
        <f aca="false">I1229+G1230-H1230</f>
        <v>329016051</v>
      </c>
    </row>
    <row r="1231" customFormat="false" ht="12" hidden="false" customHeight="true" outlineLevel="1" collapsed="false">
      <c r="B1231" s="15" t="n">
        <v>45180</v>
      </c>
      <c r="C1231" s="15" t="n">
        <f aca="false">B1231</f>
        <v>45180</v>
      </c>
      <c r="D1231" s="16" t="s">
        <v>375</v>
      </c>
      <c r="E1231" s="16" t="s">
        <v>157</v>
      </c>
      <c r="F1231" s="16" t="s">
        <v>15</v>
      </c>
      <c r="G1231" s="17" t="n">
        <v>204558000</v>
      </c>
      <c r="H1231" s="17"/>
      <c r="I1231" s="14" t="n">
        <f aca="false">I1230+G1231-H1231</f>
        <v>533574051</v>
      </c>
    </row>
    <row r="1232" customFormat="false" ht="12" hidden="false" customHeight="true" outlineLevel="1" collapsed="false">
      <c r="B1232" s="15" t="n">
        <v>45180</v>
      </c>
      <c r="C1232" s="15" t="n">
        <f aca="false">B1232</f>
        <v>45180</v>
      </c>
      <c r="D1232" s="16" t="s">
        <v>375</v>
      </c>
      <c r="E1232" s="16" t="s">
        <v>157</v>
      </c>
      <c r="F1232" s="16" t="s">
        <v>15</v>
      </c>
      <c r="G1232" s="17" t="n">
        <v>79943000</v>
      </c>
      <c r="H1232" s="17"/>
      <c r="I1232" s="14" t="n">
        <f aca="false">I1231+G1232-H1232</f>
        <v>613517051</v>
      </c>
    </row>
    <row r="1233" customFormat="false" ht="12" hidden="false" customHeight="true" outlineLevel="1" collapsed="false">
      <c r="B1233" s="15" t="n">
        <v>45180</v>
      </c>
      <c r="C1233" s="15" t="n">
        <f aca="false">B1233</f>
        <v>45180</v>
      </c>
      <c r="D1233" s="16" t="s">
        <v>375</v>
      </c>
      <c r="E1233" s="16" t="s">
        <v>157</v>
      </c>
      <c r="F1233" s="16" t="s">
        <v>15</v>
      </c>
      <c r="G1233" s="17" t="n">
        <v>83000000</v>
      </c>
      <c r="H1233" s="17"/>
      <c r="I1233" s="14" t="n">
        <f aca="false">I1232+G1233-H1233</f>
        <v>696517051</v>
      </c>
    </row>
    <row r="1234" customFormat="false" ht="12" hidden="false" customHeight="true" outlineLevel="1" collapsed="false">
      <c r="B1234" s="15" t="n">
        <v>45180</v>
      </c>
      <c r="C1234" s="15" t="n">
        <f aca="false">B1234</f>
        <v>45180</v>
      </c>
      <c r="D1234" s="16" t="s">
        <v>376</v>
      </c>
      <c r="E1234" s="16" t="s">
        <v>294</v>
      </c>
      <c r="F1234" s="16" t="s">
        <v>179</v>
      </c>
      <c r="G1234" s="17"/>
      <c r="H1234" s="17" t="n">
        <v>181376473</v>
      </c>
      <c r="I1234" s="14" t="n">
        <f aca="false">I1233+G1234-H1234</f>
        <v>515140578</v>
      </c>
    </row>
    <row r="1235" customFormat="false" ht="12" hidden="false" customHeight="true" outlineLevel="1" collapsed="false">
      <c r="B1235" s="15" t="n">
        <v>45180</v>
      </c>
      <c r="C1235" s="15" t="n">
        <f aca="false">B1235</f>
        <v>45180</v>
      </c>
      <c r="D1235" s="16" t="s">
        <v>376</v>
      </c>
      <c r="E1235" s="16" t="s">
        <v>36</v>
      </c>
      <c r="F1235" s="16" t="n">
        <v>635</v>
      </c>
      <c r="G1235" s="17"/>
      <c r="H1235" s="17" t="n">
        <v>11000</v>
      </c>
      <c r="I1235" s="14" t="n">
        <f aca="false">I1234+G1235-H1235</f>
        <v>515129578</v>
      </c>
    </row>
    <row r="1236" customFormat="false" ht="12" hidden="false" customHeight="true" outlineLevel="1" collapsed="false">
      <c r="B1236" s="15" t="n">
        <v>45181</v>
      </c>
      <c r="C1236" s="15" t="n">
        <f aca="false">B1236</f>
        <v>45181</v>
      </c>
      <c r="D1236" s="16" t="s">
        <v>376</v>
      </c>
      <c r="E1236" s="16" t="s">
        <v>23</v>
      </c>
      <c r="F1236" s="16" t="s">
        <v>24</v>
      </c>
      <c r="G1236" s="17"/>
      <c r="H1236" s="17" t="n">
        <v>510000000</v>
      </c>
      <c r="I1236" s="14" t="n">
        <f aca="false">I1235+G1236-H1236</f>
        <v>5129578</v>
      </c>
    </row>
    <row r="1237" customFormat="false" ht="12" hidden="false" customHeight="true" outlineLevel="1" collapsed="false">
      <c r="B1237" s="15" t="n">
        <v>45182</v>
      </c>
      <c r="C1237" s="15" t="n">
        <f aca="false">B1237</f>
        <v>45182</v>
      </c>
      <c r="D1237" s="16" t="s">
        <v>375</v>
      </c>
      <c r="E1237" s="16" t="s">
        <v>157</v>
      </c>
      <c r="F1237" s="16" t="s">
        <v>15</v>
      </c>
      <c r="G1237" s="17" t="n">
        <v>74443000</v>
      </c>
      <c r="H1237" s="17"/>
      <c r="I1237" s="14" t="n">
        <f aca="false">I1236+G1237-H1237</f>
        <v>79572578</v>
      </c>
    </row>
    <row r="1238" customFormat="false" ht="12" hidden="false" customHeight="true" outlineLevel="1" collapsed="false">
      <c r="B1238" s="15" t="n">
        <v>45182</v>
      </c>
      <c r="C1238" s="15" t="n">
        <f aca="false">B1238</f>
        <v>45182</v>
      </c>
      <c r="D1238" s="16" t="s">
        <v>375</v>
      </c>
      <c r="E1238" s="16" t="s">
        <v>157</v>
      </c>
      <c r="F1238" s="16" t="s">
        <v>15</v>
      </c>
      <c r="G1238" s="17" t="n">
        <v>45265000</v>
      </c>
      <c r="H1238" s="17"/>
      <c r="I1238" s="14" t="n">
        <f aca="false">I1237+G1238-H1238</f>
        <v>124837578</v>
      </c>
    </row>
    <row r="1239" customFormat="false" ht="12" hidden="false" customHeight="true" outlineLevel="1" collapsed="false">
      <c r="B1239" s="15" t="n">
        <v>45182</v>
      </c>
      <c r="C1239" s="15" t="n">
        <f aca="false">B1239</f>
        <v>45182</v>
      </c>
      <c r="D1239" s="16" t="s">
        <v>375</v>
      </c>
      <c r="E1239" s="16" t="s">
        <v>157</v>
      </c>
      <c r="F1239" s="16" t="s">
        <v>15</v>
      </c>
      <c r="G1239" s="17" t="n">
        <v>238339000</v>
      </c>
      <c r="H1239" s="17"/>
      <c r="I1239" s="14" t="n">
        <f aca="false">I1238+G1239-H1239</f>
        <v>363176578</v>
      </c>
    </row>
    <row r="1240" customFormat="false" ht="12" hidden="false" customHeight="true" outlineLevel="1" collapsed="false">
      <c r="B1240" s="15" t="n">
        <v>45182</v>
      </c>
      <c r="C1240" s="15" t="n">
        <f aca="false">B1240</f>
        <v>45182</v>
      </c>
      <c r="D1240" s="16" t="s">
        <v>376</v>
      </c>
      <c r="E1240" s="16" t="s">
        <v>23</v>
      </c>
      <c r="F1240" s="16" t="s">
        <v>24</v>
      </c>
      <c r="G1240" s="17"/>
      <c r="H1240" s="17" t="n">
        <v>254968400</v>
      </c>
      <c r="I1240" s="14" t="n">
        <f aca="false">I1239+G1240-H1240</f>
        <v>108208178</v>
      </c>
    </row>
    <row r="1241" customFormat="false" ht="12" hidden="false" customHeight="true" outlineLevel="1" collapsed="false">
      <c r="B1241" s="15" t="n">
        <v>45182</v>
      </c>
      <c r="C1241" s="15" t="n">
        <f aca="false">B1241</f>
        <v>45182</v>
      </c>
      <c r="D1241" s="16" t="s">
        <v>376</v>
      </c>
      <c r="E1241" s="16" t="s">
        <v>23</v>
      </c>
      <c r="F1241" s="16" t="s">
        <v>24</v>
      </c>
      <c r="G1241" s="17"/>
      <c r="H1241" s="17" t="n">
        <v>105000000</v>
      </c>
      <c r="I1241" s="14" t="n">
        <f aca="false">I1240+G1241-H1241</f>
        <v>3208178</v>
      </c>
    </row>
    <row r="1242" customFormat="false" ht="12" hidden="false" customHeight="true" outlineLevel="1" collapsed="false">
      <c r="B1242" s="15" t="n">
        <v>45183</v>
      </c>
      <c r="C1242" s="15" t="n">
        <f aca="false">B1242</f>
        <v>45183</v>
      </c>
      <c r="D1242" s="16" t="s">
        <v>375</v>
      </c>
      <c r="E1242" s="16" t="s">
        <v>157</v>
      </c>
      <c r="F1242" s="16" t="s">
        <v>15</v>
      </c>
      <c r="G1242" s="17" t="n">
        <v>59995000</v>
      </c>
      <c r="H1242" s="17"/>
      <c r="I1242" s="14" t="n">
        <f aca="false">I1241+G1242-H1242</f>
        <v>63203178</v>
      </c>
    </row>
    <row r="1243" customFormat="false" ht="12" hidden="false" customHeight="true" outlineLevel="1" collapsed="false">
      <c r="B1243" s="15" t="n">
        <v>45183</v>
      </c>
      <c r="C1243" s="15" t="n">
        <f aca="false">B1243</f>
        <v>45183</v>
      </c>
      <c r="D1243" s="16" t="s">
        <v>375</v>
      </c>
      <c r="E1243" s="16" t="s">
        <v>157</v>
      </c>
      <c r="F1243" s="16" t="s">
        <v>15</v>
      </c>
      <c r="G1243" s="17" t="n">
        <v>144248000</v>
      </c>
      <c r="H1243" s="17"/>
      <c r="I1243" s="14" t="n">
        <f aca="false">I1242+G1243-H1243</f>
        <v>207451178</v>
      </c>
    </row>
    <row r="1244" customFormat="false" ht="12" hidden="false" customHeight="true" outlineLevel="1" collapsed="false">
      <c r="B1244" s="15" t="n">
        <v>45183</v>
      </c>
      <c r="C1244" s="15" t="n">
        <f aca="false">B1244</f>
        <v>45183</v>
      </c>
      <c r="D1244" s="16" t="s">
        <v>376</v>
      </c>
      <c r="E1244" s="16" t="s">
        <v>23</v>
      </c>
      <c r="F1244" s="16" t="s">
        <v>24</v>
      </c>
      <c r="G1244" s="17"/>
      <c r="H1244" s="17" t="n">
        <v>95298142</v>
      </c>
      <c r="I1244" s="14" t="n">
        <f aca="false">I1243+G1244-H1244</f>
        <v>112153036</v>
      </c>
    </row>
    <row r="1245" customFormat="false" ht="12" hidden="false" customHeight="true" outlineLevel="1" collapsed="false">
      <c r="B1245" s="15" t="n">
        <v>45183</v>
      </c>
      <c r="C1245" s="15" t="n">
        <f aca="false">B1245</f>
        <v>45183</v>
      </c>
      <c r="D1245" s="16" t="s">
        <v>376</v>
      </c>
      <c r="E1245" s="16" t="s">
        <v>23</v>
      </c>
      <c r="F1245" s="16" t="s">
        <v>24</v>
      </c>
      <c r="G1245" s="17"/>
      <c r="H1245" s="17" t="n">
        <v>110000000</v>
      </c>
      <c r="I1245" s="14" t="n">
        <f aca="false">I1244+G1245-H1245</f>
        <v>2153036</v>
      </c>
    </row>
    <row r="1246" customFormat="false" ht="12" hidden="false" customHeight="true" outlineLevel="1" collapsed="false">
      <c r="B1246" s="15" t="n">
        <v>45187</v>
      </c>
      <c r="C1246" s="15" t="n">
        <f aca="false">B1246</f>
        <v>45187</v>
      </c>
      <c r="D1246" s="16" t="s">
        <v>375</v>
      </c>
      <c r="E1246" s="16" t="s">
        <v>157</v>
      </c>
      <c r="F1246" s="16" t="s">
        <v>15</v>
      </c>
      <c r="G1246" s="17" t="n">
        <v>118762000</v>
      </c>
      <c r="H1246" s="17"/>
      <c r="I1246" s="14" t="n">
        <f aca="false">I1245+G1246-H1246</f>
        <v>120915036</v>
      </c>
    </row>
    <row r="1247" customFormat="false" ht="12" hidden="false" customHeight="true" outlineLevel="1" collapsed="false">
      <c r="B1247" s="15" t="n">
        <v>45187</v>
      </c>
      <c r="C1247" s="15" t="n">
        <f aca="false">B1247</f>
        <v>45187</v>
      </c>
      <c r="D1247" s="16" t="s">
        <v>375</v>
      </c>
      <c r="E1247" s="16" t="s">
        <v>157</v>
      </c>
      <c r="F1247" s="16" t="s">
        <v>15</v>
      </c>
      <c r="G1247" s="17" t="n">
        <v>130792000</v>
      </c>
      <c r="H1247" s="17"/>
      <c r="I1247" s="14" t="n">
        <f aca="false">I1246+G1247-H1247</f>
        <v>251707036</v>
      </c>
    </row>
    <row r="1248" customFormat="false" ht="12" hidden="false" customHeight="true" outlineLevel="1" collapsed="false">
      <c r="B1248" s="15" t="n">
        <v>45187</v>
      </c>
      <c r="C1248" s="15" t="n">
        <f aca="false">B1248</f>
        <v>45187</v>
      </c>
      <c r="D1248" s="16" t="s">
        <v>375</v>
      </c>
      <c r="E1248" s="16" t="s">
        <v>157</v>
      </c>
      <c r="F1248" s="16" t="s">
        <v>15</v>
      </c>
      <c r="G1248" s="17" t="n">
        <v>126677000</v>
      </c>
      <c r="H1248" s="17"/>
      <c r="I1248" s="14" t="n">
        <f aca="false">I1247+G1248-H1248</f>
        <v>378384036</v>
      </c>
    </row>
    <row r="1249" customFormat="false" ht="12" hidden="false" customHeight="true" outlineLevel="1" collapsed="false">
      <c r="B1249" s="15" t="n">
        <v>45187</v>
      </c>
      <c r="C1249" s="15" t="n">
        <f aca="false">B1249</f>
        <v>45187</v>
      </c>
      <c r="D1249" s="16" t="s">
        <v>375</v>
      </c>
      <c r="E1249" s="16" t="s">
        <v>157</v>
      </c>
      <c r="F1249" s="16" t="s">
        <v>15</v>
      </c>
      <c r="G1249" s="17" t="n">
        <v>50451000</v>
      </c>
      <c r="H1249" s="17"/>
      <c r="I1249" s="14" t="n">
        <f aca="false">I1248+G1249-H1249</f>
        <v>428835036</v>
      </c>
    </row>
    <row r="1250" customFormat="false" ht="12" hidden="false" customHeight="true" outlineLevel="1" collapsed="false">
      <c r="B1250" s="15" t="n">
        <v>45187</v>
      </c>
      <c r="C1250" s="15" t="n">
        <f aca="false">B1250</f>
        <v>45187</v>
      </c>
      <c r="D1250" s="16" t="s">
        <v>375</v>
      </c>
      <c r="E1250" s="16" t="s">
        <v>157</v>
      </c>
      <c r="F1250" s="16" t="s">
        <v>15</v>
      </c>
      <c r="G1250" s="17" t="n">
        <v>61775000</v>
      </c>
      <c r="H1250" s="17"/>
      <c r="I1250" s="14" t="n">
        <f aca="false">I1249+G1250-H1250</f>
        <v>490610036</v>
      </c>
    </row>
    <row r="1251" customFormat="false" ht="12" hidden="false" customHeight="true" outlineLevel="1" collapsed="false">
      <c r="B1251" s="15" t="n">
        <v>45187</v>
      </c>
      <c r="C1251" s="15" t="n">
        <f aca="false">B1251</f>
        <v>45187</v>
      </c>
      <c r="D1251" s="16" t="s">
        <v>376</v>
      </c>
      <c r="E1251" s="16" t="s">
        <v>294</v>
      </c>
      <c r="F1251" s="16" t="s">
        <v>179</v>
      </c>
      <c r="G1251" s="17"/>
      <c r="H1251" s="17" t="n">
        <v>182262993</v>
      </c>
      <c r="I1251" s="14" t="n">
        <f aca="false">I1250+G1251-H1251</f>
        <v>308347043</v>
      </c>
    </row>
    <row r="1252" customFormat="false" ht="12" hidden="false" customHeight="true" outlineLevel="1" collapsed="false">
      <c r="B1252" s="15" t="n">
        <v>45188</v>
      </c>
      <c r="C1252" s="15" t="n">
        <f aca="false">B1252</f>
        <v>45188</v>
      </c>
      <c r="D1252" s="16" t="s">
        <v>375</v>
      </c>
      <c r="E1252" s="16" t="s">
        <v>157</v>
      </c>
      <c r="F1252" s="16" t="s">
        <v>15</v>
      </c>
      <c r="G1252" s="17" t="n">
        <v>54645000</v>
      </c>
      <c r="H1252" s="17"/>
      <c r="I1252" s="14" t="n">
        <f aca="false">I1251+G1252-H1252</f>
        <v>362992043</v>
      </c>
    </row>
    <row r="1253" customFormat="false" ht="12" hidden="false" customHeight="true" outlineLevel="1" collapsed="false">
      <c r="B1253" s="15" t="n">
        <v>45188</v>
      </c>
      <c r="C1253" s="15" t="n">
        <f aca="false">B1253</f>
        <v>45188</v>
      </c>
      <c r="D1253" s="16" t="s">
        <v>376</v>
      </c>
      <c r="E1253" s="16" t="s">
        <v>23</v>
      </c>
      <c r="F1253" s="16" t="s">
        <v>24</v>
      </c>
      <c r="G1253" s="17"/>
      <c r="H1253" s="17" t="n">
        <v>360000000</v>
      </c>
      <c r="I1253" s="14" t="n">
        <f aca="false">I1252+G1253-H1253</f>
        <v>2992043</v>
      </c>
    </row>
    <row r="1254" customFormat="false" ht="12" hidden="false" customHeight="true" outlineLevel="1" collapsed="false">
      <c r="B1254" s="15" t="n">
        <v>45190</v>
      </c>
      <c r="C1254" s="15" t="n">
        <f aca="false">B1254</f>
        <v>45190</v>
      </c>
      <c r="D1254" s="16" t="s">
        <v>376</v>
      </c>
      <c r="E1254" s="16" t="s">
        <v>57</v>
      </c>
      <c r="F1254" s="16" t="n">
        <v>635</v>
      </c>
      <c r="G1254" s="17"/>
      <c r="H1254" s="17" t="n">
        <v>11000</v>
      </c>
      <c r="I1254" s="14" t="n">
        <f aca="false">I1253+G1254-H1254</f>
        <v>2981043</v>
      </c>
    </row>
    <row r="1255" customFormat="false" ht="12" hidden="false" customHeight="true" outlineLevel="1" collapsed="false">
      <c r="B1255" s="15" t="n">
        <v>45191</v>
      </c>
      <c r="C1255" s="15" t="n">
        <f aca="false">B1255</f>
        <v>45191</v>
      </c>
      <c r="D1255" s="16" t="s">
        <v>375</v>
      </c>
      <c r="E1255" s="16" t="s">
        <v>157</v>
      </c>
      <c r="F1255" s="16" t="s">
        <v>15</v>
      </c>
      <c r="G1255" s="17" t="n">
        <v>53756000</v>
      </c>
      <c r="H1255" s="17"/>
      <c r="I1255" s="14" t="n">
        <f aca="false">I1254+G1255-H1255</f>
        <v>56737043</v>
      </c>
    </row>
    <row r="1256" customFormat="false" ht="12" hidden="false" customHeight="true" outlineLevel="1" collapsed="false">
      <c r="B1256" s="15" t="n">
        <v>45191</v>
      </c>
      <c r="C1256" s="15" t="n">
        <f aca="false">B1256</f>
        <v>45191</v>
      </c>
      <c r="D1256" s="16" t="s">
        <v>375</v>
      </c>
      <c r="E1256" s="16" t="s">
        <v>157</v>
      </c>
      <c r="F1256" s="16" t="s">
        <v>15</v>
      </c>
      <c r="G1256" s="17" t="n">
        <v>12955000</v>
      </c>
      <c r="H1256" s="17"/>
      <c r="I1256" s="14" t="n">
        <f aca="false">I1255+G1256-H1256</f>
        <v>69692043</v>
      </c>
    </row>
    <row r="1257" customFormat="false" ht="12" hidden="false" customHeight="true" outlineLevel="1" collapsed="false">
      <c r="B1257" s="15" t="n">
        <v>45191</v>
      </c>
      <c r="C1257" s="15" t="n">
        <f aca="false">B1257</f>
        <v>45191</v>
      </c>
      <c r="D1257" s="16" t="s">
        <v>375</v>
      </c>
      <c r="E1257" s="16" t="s">
        <v>157</v>
      </c>
      <c r="F1257" s="16" t="s">
        <v>15</v>
      </c>
      <c r="G1257" s="17" t="n">
        <v>30901000</v>
      </c>
      <c r="H1257" s="17"/>
      <c r="I1257" s="14" t="n">
        <f aca="false">I1256+G1257-H1257</f>
        <v>100593043</v>
      </c>
    </row>
    <row r="1258" customFormat="false" ht="12" hidden="false" customHeight="true" outlineLevel="1" collapsed="false">
      <c r="B1258" s="15" t="n">
        <v>45191</v>
      </c>
      <c r="C1258" s="15" t="n">
        <f aca="false">B1258</f>
        <v>45191</v>
      </c>
      <c r="D1258" s="16" t="s">
        <v>376</v>
      </c>
      <c r="E1258" s="16" t="s">
        <v>451</v>
      </c>
      <c r="F1258" s="16" t="n">
        <v>3334</v>
      </c>
      <c r="G1258" s="17"/>
      <c r="H1258" s="17" t="n">
        <v>65356</v>
      </c>
      <c r="I1258" s="14" t="n">
        <f aca="false">I1257+G1258-H1258</f>
        <v>100527687</v>
      </c>
    </row>
    <row r="1259" customFormat="false" ht="12" hidden="false" customHeight="true" outlineLevel="1" collapsed="false">
      <c r="B1259" s="15" t="n">
        <v>45191</v>
      </c>
      <c r="C1259" s="15" t="n">
        <f aca="false">B1259</f>
        <v>45191</v>
      </c>
      <c r="D1259" s="16" t="s">
        <v>376</v>
      </c>
      <c r="E1259" s="16" t="s">
        <v>36</v>
      </c>
      <c r="F1259" s="16" t="n">
        <v>635</v>
      </c>
      <c r="G1259" s="17"/>
      <c r="H1259" s="17" t="n">
        <v>79362</v>
      </c>
      <c r="I1259" s="14" t="n">
        <f aca="false">I1258+G1259-H1259</f>
        <v>100448325</v>
      </c>
    </row>
    <row r="1260" customFormat="false" ht="12" hidden="false" customHeight="true" outlineLevel="1" collapsed="false">
      <c r="B1260" s="15" t="n">
        <v>45191</v>
      </c>
      <c r="C1260" s="15" t="n">
        <f aca="false">B1260</f>
        <v>45191</v>
      </c>
      <c r="D1260" s="16" t="s">
        <v>376</v>
      </c>
      <c r="E1260" s="16" t="s">
        <v>23</v>
      </c>
      <c r="F1260" s="16" t="s">
        <v>24</v>
      </c>
      <c r="G1260" s="17"/>
      <c r="H1260" s="17" t="n">
        <v>98000000</v>
      </c>
      <c r="I1260" s="14" t="n">
        <f aca="false">I1259+G1260-H1260</f>
        <v>2448325</v>
      </c>
    </row>
    <row r="1261" customFormat="false" ht="12" hidden="false" customHeight="true" outlineLevel="1" collapsed="false">
      <c r="B1261" s="15" t="n">
        <v>45194</v>
      </c>
      <c r="C1261" s="15" t="n">
        <f aca="false">B1261</f>
        <v>45194</v>
      </c>
      <c r="D1261" s="16" t="s">
        <v>376</v>
      </c>
      <c r="E1261" s="16" t="s">
        <v>157</v>
      </c>
      <c r="F1261" s="16" t="s">
        <v>15</v>
      </c>
      <c r="G1261" s="17" t="n">
        <v>44060000</v>
      </c>
      <c r="H1261" s="17"/>
      <c r="I1261" s="14" t="n">
        <f aca="false">I1260+G1261-H1261</f>
        <v>46508325</v>
      </c>
    </row>
    <row r="1262" customFormat="false" ht="12" hidden="false" customHeight="true" outlineLevel="1" collapsed="false">
      <c r="B1262" s="15" t="n">
        <v>45194</v>
      </c>
      <c r="C1262" s="15" t="n">
        <f aca="false">B1262</f>
        <v>45194</v>
      </c>
      <c r="D1262" s="16" t="s">
        <v>376</v>
      </c>
      <c r="E1262" s="16" t="s">
        <v>157</v>
      </c>
      <c r="F1262" s="16" t="s">
        <v>15</v>
      </c>
      <c r="G1262" s="17" t="n">
        <v>90000000</v>
      </c>
      <c r="H1262" s="17"/>
      <c r="I1262" s="14" t="n">
        <f aca="false">I1261+G1262-H1262</f>
        <v>136508325</v>
      </c>
    </row>
    <row r="1263" customFormat="false" ht="12" hidden="false" customHeight="true" outlineLevel="1" collapsed="false">
      <c r="B1263" s="15" t="n">
        <v>45194</v>
      </c>
      <c r="C1263" s="15" t="n">
        <f aca="false">B1263</f>
        <v>45194</v>
      </c>
      <c r="D1263" s="16" t="s">
        <v>376</v>
      </c>
      <c r="E1263" s="16" t="s">
        <v>157</v>
      </c>
      <c r="F1263" s="16" t="s">
        <v>15</v>
      </c>
      <c r="G1263" s="17" t="n">
        <v>69124000</v>
      </c>
      <c r="H1263" s="17"/>
      <c r="I1263" s="14" t="n">
        <f aca="false">I1262+G1263-H1263</f>
        <v>205632325</v>
      </c>
    </row>
    <row r="1264" customFormat="false" ht="12" hidden="false" customHeight="true" outlineLevel="1" collapsed="false">
      <c r="B1264" s="15" t="n">
        <v>45194</v>
      </c>
      <c r="C1264" s="15" t="n">
        <f aca="false">B1264</f>
        <v>45194</v>
      </c>
      <c r="D1264" s="16" t="s">
        <v>376</v>
      </c>
      <c r="E1264" s="16" t="s">
        <v>157</v>
      </c>
      <c r="F1264" s="16" t="s">
        <v>15</v>
      </c>
      <c r="G1264" s="17" t="n">
        <v>156240000</v>
      </c>
      <c r="H1264" s="17"/>
      <c r="I1264" s="14" t="n">
        <f aca="false">I1263+G1264-H1264</f>
        <v>361872325</v>
      </c>
    </row>
    <row r="1265" customFormat="false" ht="12" hidden="false" customHeight="true" outlineLevel="1" collapsed="false">
      <c r="B1265" s="15" t="n">
        <v>45194</v>
      </c>
      <c r="C1265" s="15" t="n">
        <f aca="false">B1265</f>
        <v>45194</v>
      </c>
      <c r="D1265" s="16" t="s">
        <v>376</v>
      </c>
      <c r="E1265" s="16" t="s">
        <v>157</v>
      </c>
      <c r="F1265" s="16" t="s">
        <v>15</v>
      </c>
      <c r="G1265" s="17" t="n">
        <v>152152000</v>
      </c>
      <c r="H1265" s="17"/>
      <c r="I1265" s="14" t="n">
        <f aca="false">I1264+G1265-H1265</f>
        <v>514024325</v>
      </c>
    </row>
    <row r="1266" customFormat="false" ht="12" hidden="false" customHeight="true" outlineLevel="1" collapsed="false">
      <c r="B1266" s="15" t="n">
        <v>45194</v>
      </c>
      <c r="C1266" s="15" t="n">
        <f aca="false">B1266</f>
        <v>45194</v>
      </c>
      <c r="D1266" s="16" t="s">
        <v>376</v>
      </c>
      <c r="E1266" s="16" t="s">
        <v>157</v>
      </c>
      <c r="F1266" s="16" t="s">
        <v>15</v>
      </c>
      <c r="G1266" s="17" t="n">
        <v>48114000</v>
      </c>
      <c r="H1266" s="17"/>
      <c r="I1266" s="14" t="n">
        <f aca="false">I1265+G1266-H1266</f>
        <v>562138325</v>
      </c>
    </row>
    <row r="1267" customFormat="false" ht="12" hidden="false" customHeight="true" outlineLevel="1" collapsed="false">
      <c r="B1267" s="15" t="n">
        <v>45194</v>
      </c>
      <c r="C1267" s="15" t="n">
        <f aca="false">B1267</f>
        <v>45194</v>
      </c>
      <c r="D1267" s="16" t="s">
        <v>376</v>
      </c>
      <c r="E1267" s="16" t="s">
        <v>294</v>
      </c>
      <c r="F1267" s="16" t="s">
        <v>179</v>
      </c>
      <c r="G1267" s="17"/>
      <c r="H1267" s="17" t="n">
        <v>332501865</v>
      </c>
      <c r="I1267" s="14" t="n">
        <f aca="false">I1266+G1267-H1267</f>
        <v>229636460</v>
      </c>
    </row>
    <row r="1268" customFormat="false" ht="12" hidden="false" customHeight="true" outlineLevel="1" collapsed="false">
      <c r="B1268" s="15" t="n">
        <v>45194</v>
      </c>
      <c r="C1268" s="15" t="n">
        <f aca="false">B1268</f>
        <v>45194</v>
      </c>
      <c r="D1268" s="16" t="s">
        <v>452</v>
      </c>
      <c r="E1268" s="16" t="s">
        <v>23</v>
      </c>
      <c r="F1268" s="16" t="s">
        <v>24</v>
      </c>
      <c r="G1268" s="17"/>
      <c r="H1268" s="17" t="n">
        <v>225000000</v>
      </c>
      <c r="I1268" s="14" t="n">
        <f aca="false">I1267+G1268-H1268</f>
        <v>4636460</v>
      </c>
    </row>
    <row r="1269" customFormat="false" ht="12" hidden="false" customHeight="true" outlineLevel="1" collapsed="false">
      <c r="B1269" s="15" t="n">
        <v>45194</v>
      </c>
      <c r="C1269" s="15" t="n">
        <f aca="false">B1269</f>
        <v>45194</v>
      </c>
      <c r="D1269" s="16" t="s">
        <v>450</v>
      </c>
      <c r="E1269" s="16" t="s">
        <v>453</v>
      </c>
      <c r="F1269" s="16" t="n">
        <v>515</v>
      </c>
      <c r="G1269" s="17" t="n">
        <v>6761</v>
      </c>
      <c r="H1269" s="17"/>
      <c r="I1269" s="14" t="n">
        <f aca="false">I1268+G1269-H1269</f>
        <v>4643221</v>
      </c>
    </row>
    <row r="1270" customFormat="false" ht="12" hidden="false" customHeight="true" outlineLevel="1" collapsed="false">
      <c r="B1270" s="15" t="n">
        <v>45195</v>
      </c>
      <c r="C1270" s="15" t="n">
        <f aca="false">B1270</f>
        <v>45195</v>
      </c>
      <c r="D1270" s="16" t="s">
        <v>376</v>
      </c>
      <c r="E1270" s="16" t="s">
        <v>57</v>
      </c>
      <c r="F1270" s="16" t="n">
        <v>635</v>
      </c>
      <c r="G1270" s="17"/>
      <c r="H1270" s="17" t="n">
        <v>1604964</v>
      </c>
      <c r="I1270" s="14" t="n">
        <f aca="false">I1269+G1270-H1270</f>
        <v>3038257</v>
      </c>
    </row>
    <row r="1271" customFormat="false" ht="12" hidden="false" customHeight="true" outlineLevel="1" collapsed="false">
      <c r="B1271" s="15" t="n">
        <v>45195</v>
      </c>
      <c r="C1271" s="15" t="n">
        <f aca="false">B1271</f>
        <v>45195</v>
      </c>
      <c r="D1271" s="16" t="s">
        <v>376</v>
      </c>
      <c r="E1271" s="16" t="s">
        <v>57</v>
      </c>
      <c r="F1271" s="16" t="n">
        <v>635</v>
      </c>
      <c r="G1271" s="17"/>
      <c r="H1271" s="17" t="n">
        <v>768510</v>
      </c>
      <c r="I1271" s="14" t="n">
        <f aca="false">I1270+G1271-H1271</f>
        <v>2269747</v>
      </c>
    </row>
    <row r="1272" customFormat="false" ht="12" hidden="false" customHeight="true" outlineLevel="1" collapsed="false">
      <c r="B1272" s="15" t="n">
        <v>45195</v>
      </c>
      <c r="C1272" s="15" t="n">
        <f aca="false">B1272</f>
        <v>45195</v>
      </c>
      <c r="D1272" s="16" t="s">
        <v>376</v>
      </c>
      <c r="E1272" s="16" t="s">
        <v>57</v>
      </c>
      <c r="F1272" s="16" t="n">
        <v>635</v>
      </c>
      <c r="G1272" s="17"/>
      <c r="H1272" s="17" t="n">
        <v>1399451</v>
      </c>
      <c r="I1272" s="14" t="n">
        <f aca="false">I1271+G1272-H1272</f>
        <v>870296</v>
      </c>
    </row>
    <row r="1273" customFormat="false" ht="12" hidden="false" customHeight="true" outlineLevel="1" collapsed="false">
      <c r="B1273" s="15" t="n">
        <v>45195</v>
      </c>
      <c r="C1273" s="15" t="n">
        <f aca="false">B1273</f>
        <v>45195</v>
      </c>
      <c r="D1273" s="16" t="s">
        <v>376</v>
      </c>
      <c r="E1273" s="16" t="s">
        <v>57</v>
      </c>
      <c r="F1273" s="16" t="n">
        <v>635</v>
      </c>
      <c r="G1273" s="17"/>
      <c r="H1273" s="17" t="n">
        <v>870296</v>
      </c>
      <c r="I1273" s="14" t="n">
        <f aca="false">I1272+G1273-H1273</f>
        <v>0</v>
      </c>
    </row>
    <row r="1274" customFormat="false" ht="12" hidden="false" customHeight="true" outlineLevel="1" collapsed="false">
      <c r="B1274" s="15" t="n">
        <v>45196</v>
      </c>
      <c r="C1274" s="15" t="n">
        <f aca="false">B1274</f>
        <v>45196</v>
      </c>
      <c r="D1274" s="16" t="s">
        <v>376</v>
      </c>
      <c r="E1274" s="16" t="s">
        <v>157</v>
      </c>
      <c r="F1274" s="16" t="s">
        <v>15</v>
      </c>
      <c r="G1274" s="17" t="n">
        <v>49850000</v>
      </c>
      <c r="H1274" s="17"/>
      <c r="I1274" s="14" t="n">
        <f aca="false">I1273+G1274-H1274</f>
        <v>49850000</v>
      </c>
    </row>
    <row r="1275" customFormat="false" ht="12" hidden="false" customHeight="true" outlineLevel="1" collapsed="false">
      <c r="B1275" s="15" t="n">
        <v>45196</v>
      </c>
      <c r="C1275" s="15" t="n">
        <f aca="false">B1275</f>
        <v>45196</v>
      </c>
      <c r="D1275" s="16" t="s">
        <v>376</v>
      </c>
      <c r="E1275" s="16" t="s">
        <v>157</v>
      </c>
      <c r="F1275" s="16" t="s">
        <v>15</v>
      </c>
      <c r="G1275" s="17" t="n">
        <v>66519000</v>
      </c>
      <c r="H1275" s="17"/>
      <c r="I1275" s="14" t="n">
        <f aca="false">I1274+G1275-H1275</f>
        <v>116369000</v>
      </c>
    </row>
    <row r="1276" customFormat="false" ht="12" hidden="false" customHeight="true" outlineLevel="1" collapsed="false">
      <c r="B1276" s="15" t="n">
        <v>45196</v>
      </c>
      <c r="C1276" s="15" t="n">
        <f aca="false">B1276</f>
        <v>45196</v>
      </c>
      <c r="D1276" s="16" t="s">
        <v>376</v>
      </c>
      <c r="E1276" s="16" t="s">
        <v>157</v>
      </c>
      <c r="F1276" s="16" t="s">
        <v>15</v>
      </c>
      <c r="G1276" s="17" t="n">
        <v>158062000</v>
      </c>
      <c r="H1276" s="17"/>
      <c r="I1276" s="14" t="n">
        <f aca="false">I1275+G1276-H1276</f>
        <v>274431000</v>
      </c>
    </row>
    <row r="1277" customFormat="false" ht="12" hidden="false" customHeight="true" outlineLevel="1" collapsed="false">
      <c r="B1277" s="15" t="n">
        <v>45196</v>
      </c>
      <c r="C1277" s="15" t="n">
        <f aca="false">B1277</f>
        <v>45196</v>
      </c>
      <c r="D1277" s="16" t="s">
        <v>376</v>
      </c>
      <c r="E1277" s="16" t="s">
        <v>57</v>
      </c>
      <c r="F1277" s="16" t="n">
        <v>635</v>
      </c>
      <c r="G1277" s="17"/>
      <c r="H1277" s="17" t="n">
        <v>495833</v>
      </c>
      <c r="I1277" s="14" t="n">
        <f aca="false">I1276+G1277-H1277</f>
        <v>273935167</v>
      </c>
    </row>
    <row r="1278" customFormat="false" ht="12" hidden="false" customHeight="true" outlineLevel="1" collapsed="false">
      <c r="B1278" s="15" t="n">
        <v>45196</v>
      </c>
      <c r="C1278" s="15" t="n">
        <f aca="false">B1278</f>
        <v>45196</v>
      </c>
      <c r="D1278" s="16" t="s">
        <v>376</v>
      </c>
      <c r="E1278" s="16" t="s">
        <v>57</v>
      </c>
      <c r="F1278" s="16" t="n">
        <v>635</v>
      </c>
      <c r="G1278" s="17"/>
      <c r="H1278" s="17" t="n">
        <v>5339745</v>
      </c>
      <c r="I1278" s="14" t="n">
        <f aca="false">I1277+G1278-H1278</f>
        <v>268595422</v>
      </c>
    </row>
    <row r="1279" customFormat="false" ht="12" hidden="false" customHeight="true" outlineLevel="1" collapsed="false">
      <c r="B1279" s="15" t="n">
        <v>45196</v>
      </c>
      <c r="C1279" s="15" t="n">
        <f aca="false">B1279</f>
        <v>45196</v>
      </c>
      <c r="D1279" s="16" t="s">
        <v>376</v>
      </c>
      <c r="E1279" s="16" t="s">
        <v>57</v>
      </c>
      <c r="F1279" s="16" t="n">
        <v>635</v>
      </c>
      <c r="G1279" s="17"/>
      <c r="H1279" s="17" t="n">
        <v>4551739</v>
      </c>
      <c r="I1279" s="14" t="n">
        <f aca="false">I1278+G1279-H1279</f>
        <v>264043683</v>
      </c>
    </row>
    <row r="1280" customFormat="false" ht="12" hidden="false" customHeight="true" outlineLevel="1" collapsed="false">
      <c r="B1280" s="15" t="n">
        <v>45196</v>
      </c>
      <c r="C1280" s="15" t="n">
        <f aca="false">B1280</f>
        <v>45196</v>
      </c>
      <c r="D1280" s="16" t="s">
        <v>376</v>
      </c>
      <c r="E1280" s="16" t="s">
        <v>57</v>
      </c>
      <c r="F1280" s="16" t="n">
        <v>635</v>
      </c>
      <c r="G1280" s="17"/>
      <c r="H1280" s="17" t="n">
        <v>7075767</v>
      </c>
      <c r="I1280" s="14" t="n">
        <f aca="false">I1279+G1280-H1280</f>
        <v>256967916</v>
      </c>
    </row>
    <row r="1281" customFormat="false" ht="12" hidden="false" customHeight="true" outlineLevel="1" collapsed="false">
      <c r="B1281" s="15" t="n">
        <v>45196</v>
      </c>
      <c r="C1281" s="15" t="n">
        <f aca="false">B1281</f>
        <v>45196</v>
      </c>
      <c r="D1281" s="16" t="s">
        <v>376</v>
      </c>
      <c r="E1281" s="16" t="s">
        <v>57</v>
      </c>
      <c r="F1281" s="16" t="n">
        <v>635</v>
      </c>
      <c r="G1281" s="17"/>
      <c r="H1281" s="17" t="n">
        <v>2789056</v>
      </c>
      <c r="I1281" s="14" t="n">
        <f aca="false">I1280+G1281-H1281</f>
        <v>254178860</v>
      </c>
    </row>
    <row r="1282" customFormat="false" ht="12" hidden="false" customHeight="true" outlineLevel="1" collapsed="false">
      <c r="B1282" s="15" t="n">
        <v>45196</v>
      </c>
      <c r="C1282" s="15" t="n">
        <f aca="false">B1282</f>
        <v>45196</v>
      </c>
      <c r="D1282" s="16" t="s">
        <v>376</v>
      </c>
      <c r="E1282" s="16" t="s">
        <v>57</v>
      </c>
      <c r="F1282" s="16" t="n">
        <v>635</v>
      </c>
      <c r="G1282" s="17"/>
      <c r="H1282" s="17" t="n">
        <v>18234247</v>
      </c>
      <c r="I1282" s="14" t="n">
        <f aca="false">I1281+G1282-H1282</f>
        <v>235944613</v>
      </c>
    </row>
    <row r="1283" customFormat="false" ht="12" hidden="false" customHeight="true" outlineLevel="1" collapsed="false">
      <c r="B1283" s="15" t="n">
        <v>45196</v>
      </c>
      <c r="C1283" s="15" t="n">
        <f aca="false">B1283</f>
        <v>45196</v>
      </c>
      <c r="D1283" s="16" t="s">
        <v>376</v>
      </c>
      <c r="E1283" s="16" t="s">
        <v>57</v>
      </c>
      <c r="F1283" s="16" t="n">
        <v>635</v>
      </c>
      <c r="G1283" s="17"/>
      <c r="H1283" s="17" t="n">
        <v>4343935</v>
      </c>
      <c r="I1283" s="14" t="n">
        <f aca="false">I1282+G1283-H1283</f>
        <v>231600678</v>
      </c>
    </row>
    <row r="1284" customFormat="false" ht="12" hidden="false" customHeight="true" outlineLevel="1" collapsed="false">
      <c r="B1284" s="15" t="n">
        <v>45196</v>
      </c>
      <c r="C1284" s="15" t="n">
        <f aca="false">B1284</f>
        <v>45196</v>
      </c>
      <c r="D1284" s="16" t="s">
        <v>376</v>
      </c>
      <c r="E1284" s="16" t="s">
        <v>57</v>
      </c>
      <c r="F1284" s="16" t="n">
        <v>635</v>
      </c>
      <c r="G1284" s="17"/>
      <c r="H1284" s="17" t="n">
        <v>29967019</v>
      </c>
      <c r="I1284" s="14" t="n">
        <f aca="false">I1283+G1284-H1284</f>
        <v>201633659</v>
      </c>
    </row>
    <row r="1285" customFormat="false" ht="12" hidden="false" customHeight="true" outlineLevel="1" collapsed="false">
      <c r="B1285" s="15" t="n">
        <v>45196</v>
      </c>
      <c r="C1285" s="15" t="n">
        <f aca="false">B1285</f>
        <v>45196</v>
      </c>
      <c r="D1285" s="16" t="s">
        <v>376</v>
      </c>
      <c r="E1285" s="16" t="s">
        <v>57</v>
      </c>
      <c r="F1285" s="16" t="n">
        <v>635</v>
      </c>
      <c r="G1285" s="17"/>
      <c r="H1285" s="17" t="n">
        <v>3757066</v>
      </c>
      <c r="I1285" s="14" t="n">
        <f aca="false">I1284+G1285-H1285</f>
        <v>197876593</v>
      </c>
    </row>
    <row r="1286" customFormat="false" ht="12" hidden="false" customHeight="true" outlineLevel="1" collapsed="false">
      <c r="B1286" s="15" t="n">
        <v>45196</v>
      </c>
      <c r="C1286" s="15" t="n">
        <f aca="false">B1286</f>
        <v>45196</v>
      </c>
      <c r="D1286" s="16" t="s">
        <v>376</v>
      </c>
      <c r="E1286" s="16" t="s">
        <v>57</v>
      </c>
      <c r="F1286" s="16" t="n">
        <v>635</v>
      </c>
      <c r="G1286" s="17"/>
      <c r="H1286" s="17" t="n">
        <v>3220056</v>
      </c>
      <c r="I1286" s="14" t="n">
        <f aca="false">I1285+G1286-H1286</f>
        <v>194656537</v>
      </c>
    </row>
    <row r="1287" customFormat="false" ht="12" hidden="false" customHeight="true" outlineLevel="1" collapsed="false">
      <c r="B1287" s="15" t="n">
        <v>45196</v>
      </c>
      <c r="C1287" s="15" t="n">
        <f aca="false">B1287</f>
        <v>45196</v>
      </c>
      <c r="D1287" s="16" t="s">
        <v>376</v>
      </c>
      <c r="E1287" s="16" t="s">
        <v>57</v>
      </c>
      <c r="F1287" s="16" t="n">
        <v>635</v>
      </c>
      <c r="G1287" s="17"/>
      <c r="H1287" s="17" t="n">
        <v>1045089</v>
      </c>
      <c r="I1287" s="14" t="n">
        <f aca="false">I1286+G1287-H1287</f>
        <v>193611448</v>
      </c>
    </row>
    <row r="1288" customFormat="false" ht="12" hidden="false" customHeight="true" outlineLevel="1" collapsed="false">
      <c r="B1288" s="15" t="n">
        <v>45196</v>
      </c>
      <c r="C1288" s="15" t="n">
        <f aca="false">B1288</f>
        <v>45196</v>
      </c>
      <c r="D1288" s="16" t="s">
        <v>376</v>
      </c>
      <c r="E1288" s="16" t="s">
        <v>57</v>
      </c>
      <c r="F1288" s="16" t="n">
        <v>635</v>
      </c>
      <c r="G1288" s="17"/>
      <c r="H1288" s="17" t="n">
        <v>1598511</v>
      </c>
      <c r="I1288" s="14" t="n">
        <f aca="false">I1287+G1288-H1288</f>
        <v>192012937</v>
      </c>
    </row>
    <row r="1289" customFormat="false" ht="12" hidden="false" customHeight="true" outlineLevel="1" collapsed="false">
      <c r="B1289" s="15" t="n">
        <v>45196</v>
      </c>
      <c r="C1289" s="15" t="n">
        <f aca="false">B1289</f>
        <v>45196</v>
      </c>
      <c r="D1289" s="16" t="s">
        <v>376</v>
      </c>
      <c r="E1289" s="16" t="s">
        <v>57</v>
      </c>
      <c r="F1289" s="16" t="n">
        <v>635</v>
      </c>
      <c r="G1289" s="17"/>
      <c r="H1289" s="17" t="n">
        <v>2399092</v>
      </c>
      <c r="I1289" s="14" t="n">
        <f aca="false">I1288+G1289-H1289</f>
        <v>189613845</v>
      </c>
    </row>
    <row r="1290" customFormat="false" ht="12" hidden="false" customHeight="true" outlineLevel="1" collapsed="false">
      <c r="B1290" s="15" t="n">
        <v>45196</v>
      </c>
      <c r="C1290" s="15" t="n">
        <f aca="false">B1290</f>
        <v>45196</v>
      </c>
      <c r="D1290" s="16" t="s">
        <v>376</v>
      </c>
      <c r="E1290" s="16" t="s">
        <v>57</v>
      </c>
      <c r="F1290" s="16" t="n">
        <v>635</v>
      </c>
      <c r="G1290" s="17"/>
      <c r="H1290" s="17" t="n">
        <v>4027394</v>
      </c>
      <c r="I1290" s="14" t="n">
        <f aca="false">I1289+G1290-H1290</f>
        <v>185586451</v>
      </c>
    </row>
    <row r="1291" customFormat="false" ht="12" hidden="false" customHeight="true" outlineLevel="1" collapsed="false">
      <c r="B1291" s="15" t="n">
        <v>45196</v>
      </c>
      <c r="C1291" s="15" t="n">
        <f aca="false">B1291</f>
        <v>45196</v>
      </c>
      <c r="D1291" s="16" t="s">
        <v>376</v>
      </c>
      <c r="E1291" s="16" t="s">
        <v>57</v>
      </c>
      <c r="F1291" s="16" t="n">
        <v>635</v>
      </c>
      <c r="G1291" s="17"/>
      <c r="H1291" s="17" t="n">
        <v>18393185</v>
      </c>
      <c r="I1291" s="14" t="n">
        <f aca="false">I1290+G1291-H1291</f>
        <v>167193266</v>
      </c>
    </row>
    <row r="1292" customFormat="false" ht="12" hidden="false" customHeight="true" outlineLevel="1" collapsed="false">
      <c r="B1292" s="15" t="n">
        <v>45196</v>
      </c>
      <c r="C1292" s="15" t="n">
        <f aca="false">B1292</f>
        <v>45196</v>
      </c>
      <c r="D1292" s="16" t="s">
        <v>376</v>
      </c>
      <c r="E1292" s="16" t="s">
        <v>57</v>
      </c>
      <c r="F1292" s="16" t="n">
        <v>635</v>
      </c>
      <c r="G1292" s="17"/>
      <c r="H1292" s="17" t="n">
        <v>4542322</v>
      </c>
      <c r="I1292" s="14" t="n">
        <f aca="false">I1291+G1292-H1292</f>
        <v>162650944</v>
      </c>
    </row>
    <row r="1293" customFormat="false" ht="12" hidden="false" customHeight="true" outlineLevel="1" collapsed="false">
      <c r="B1293" s="15" t="n">
        <v>45196</v>
      </c>
      <c r="C1293" s="15" t="n">
        <f aca="false">B1293</f>
        <v>45196</v>
      </c>
      <c r="D1293" s="16" t="s">
        <v>376</v>
      </c>
      <c r="E1293" s="16" t="s">
        <v>57</v>
      </c>
      <c r="F1293" s="16" t="n">
        <v>635</v>
      </c>
      <c r="G1293" s="17"/>
      <c r="H1293" s="17" t="n">
        <v>5791894</v>
      </c>
      <c r="I1293" s="14" t="n">
        <f aca="false">I1292+G1293-H1293</f>
        <v>156859050</v>
      </c>
    </row>
    <row r="1294" customFormat="false" ht="12" hidden="false" customHeight="true" outlineLevel="1" collapsed="false">
      <c r="B1294" s="15" t="n">
        <v>45196</v>
      </c>
      <c r="C1294" s="15" t="n">
        <f aca="false">B1294</f>
        <v>45196</v>
      </c>
      <c r="D1294" s="16" t="s">
        <v>376</v>
      </c>
      <c r="E1294" s="16" t="s">
        <v>57</v>
      </c>
      <c r="F1294" s="16" t="n">
        <v>635</v>
      </c>
      <c r="G1294" s="17"/>
      <c r="H1294" s="17" t="n">
        <v>3648984</v>
      </c>
      <c r="I1294" s="14" t="n">
        <f aca="false">I1293+G1294-H1294</f>
        <v>153210066</v>
      </c>
    </row>
    <row r="1295" customFormat="false" ht="12" hidden="false" customHeight="true" outlineLevel="1" collapsed="false">
      <c r="B1295" s="15" t="n">
        <v>45196</v>
      </c>
      <c r="C1295" s="15" t="n">
        <f aca="false">B1295</f>
        <v>45196</v>
      </c>
      <c r="D1295" s="16" t="s">
        <v>376</v>
      </c>
      <c r="E1295" s="16" t="s">
        <v>57</v>
      </c>
      <c r="F1295" s="16" t="n">
        <v>635</v>
      </c>
      <c r="G1295" s="17"/>
      <c r="H1295" s="17" t="n">
        <v>19703558</v>
      </c>
      <c r="I1295" s="14" t="n">
        <f aca="false">I1294+G1295-H1295</f>
        <v>133506508</v>
      </c>
    </row>
    <row r="1296" customFormat="false" ht="12" hidden="false" customHeight="true" outlineLevel="1" collapsed="false">
      <c r="B1296" s="15" t="n">
        <v>44831</v>
      </c>
      <c r="C1296" s="15" t="n">
        <f aca="false">B1296</f>
        <v>44831</v>
      </c>
      <c r="D1296" s="16" t="s">
        <v>376</v>
      </c>
      <c r="E1296" s="16" t="s">
        <v>57</v>
      </c>
      <c r="F1296" s="16" t="n">
        <v>635</v>
      </c>
      <c r="G1296" s="17"/>
      <c r="H1296" s="17" t="n">
        <v>1835754</v>
      </c>
      <c r="I1296" s="14" t="n">
        <f aca="false">I1295+G1296-H1296</f>
        <v>131670754</v>
      </c>
    </row>
    <row r="1297" customFormat="false" ht="12" hidden="false" customHeight="true" outlineLevel="1" collapsed="false">
      <c r="B1297" s="15" t="n">
        <v>44831</v>
      </c>
      <c r="C1297" s="15" t="n">
        <f aca="false">B1297</f>
        <v>44831</v>
      </c>
      <c r="D1297" s="16" t="s">
        <v>376</v>
      </c>
      <c r="E1297" s="16" t="s">
        <v>57</v>
      </c>
      <c r="F1297" s="16" t="n">
        <v>635</v>
      </c>
      <c r="G1297" s="17"/>
      <c r="H1297" s="17" t="n">
        <v>380896</v>
      </c>
      <c r="I1297" s="14" t="n">
        <f aca="false">I1296+G1297-H1297</f>
        <v>131289858</v>
      </c>
    </row>
    <row r="1298" customFormat="false" ht="12" hidden="false" customHeight="true" outlineLevel="1" collapsed="false">
      <c r="B1298" s="15" t="n">
        <v>44831</v>
      </c>
      <c r="C1298" s="15" t="n">
        <f aca="false">B1298</f>
        <v>44831</v>
      </c>
      <c r="D1298" s="16" t="s">
        <v>376</v>
      </c>
      <c r="E1298" s="16" t="s">
        <v>57</v>
      </c>
      <c r="F1298" s="16" t="n">
        <v>635</v>
      </c>
      <c r="G1298" s="17"/>
      <c r="H1298" s="17" t="n">
        <v>202934</v>
      </c>
      <c r="I1298" s="14" t="n">
        <f aca="false">I1297+G1298-H1298</f>
        <v>131086924</v>
      </c>
    </row>
    <row r="1299" customFormat="false" ht="12" hidden="false" customHeight="true" outlineLevel="1" collapsed="false">
      <c r="B1299" s="15" t="n">
        <v>45197</v>
      </c>
      <c r="C1299" s="15" t="n">
        <f aca="false">B1299</f>
        <v>45197</v>
      </c>
      <c r="D1299" s="16" t="s">
        <v>376</v>
      </c>
      <c r="E1299" s="16" t="s">
        <v>157</v>
      </c>
      <c r="F1299" s="16" t="s">
        <v>15</v>
      </c>
      <c r="G1299" s="17" t="n">
        <v>54000000</v>
      </c>
      <c r="H1299" s="17"/>
      <c r="I1299" s="14" t="n">
        <f aca="false">I1298+G1299-H1299</f>
        <v>185086924</v>
      </c>
    </row>
    <row r="1300" customFormat="false" ht="12" hidden="false" customHeight="true" outlineLevel="1" collapsed="false">
      <c r="B1300" s="15" t="n">
        <v>45197</v>
      </c>
      <c r="C1300" s="15" t="n">
        <f aca="false">B1300</f>
        <v>45197</v>
      </c>
      <c r="D1300" s="16" t="s">
        <v>376</v>
      </c>
      <c r="E1300" s="16" t="s">
        <v>157</v>
      </c>
      <c r="F1300" s="16" t="s">
        <v>15</v>
      </c>
      <c r="G1300" s="17" t="n">
        <v>68872000</v>
      </c>
      <c r="H1300" s="17"/>
      <c r="I1300" s="14" t="n">
        <f aca="false">I1299+G1300-H1300</f>
        <v>253958924</v>
      </c>
    </row>
    <row r="1301" customFormat="false" ht="12" hidden="false" customHeight="true" outlineLevel="1" collapsed="false">
      <c r="B1301" s="15" t="n">
        <v>45197</v>
      </c>
      <c r="C1301" s="15" t="n">
        <f aca="false">B1301</f>
        <v>45197</v>
      </c>
      <c r="D1301" s="16" t="s">
        <v>376</v>
      </c>
      <c r="E1301" s="16" t="s">
        <v>157</v>
      </c>
      <c r="F1301" s="16" t="s">
        <v>15</v>
      </c>
      <c r="G1301" s="17" t="n">
        <v>50718000</v>
      </c>
      <c r="H1301" s="17"/>
      <c r="I1301" s="14" t="n">
        <f aca="false">I1300+G1301-H1301</f>
        <v>304676924</v>
      </c>
    </row>
    <row r="1302" customFormat="false" ht="12" hidden="false" customHeight="true" outlineLevel="1" collapsed="false">
      <c r="B1302" s="15" t="n">
        <v>45197</v>
      </c>
      <c r="C1302" s="15" t="n">
        <f aca="false">B1302</f>
        <v>45197</v>
      </c>
      <c r="D1302" s="16" t="s">
        <v>376</v>
      </c>
      <c r="E1302" s="16" t="s">
        <v>157</v>
      </c>
      <c r="F1302" s="16" t="s">
        <v>15</v>
      </c>
      <c r="G1302" s="17" t="n">
        <v>98188000</v>
      </c>
      <c r="H1302" s="17"/>
      <c r="I1302" s="14" t="n">
        <f aca="false">I1301+G1302-H1302</f>
        <v>402864924</v>
      </c>
    </row>
    <row r="1303" customFormat="false" ht="12" hidden="false" customHeight="true" outlineLevel="1" collapsed="false">
      <c r="B1303" s="15" t="n">
        <v>45197</v>
      </c>
      <c r="C1303" s="15" t="n">
        <f aca="false">B1303</f>
        <v>45197</v>
      </c>
      <c r="D1303" s="16" t="s">
        <v>376</v>
      </c>
      <c r="E1303" s="16" t="s">
        <v>454</v>
      </c>
      <c r="F1303" s="16" t="s">
        <v>179</v>
      </c>
      <c r="G1303" s="17"/>
      <c r="H1303" s="17" t="n">
        <v>14689000</v>
      </c>
      <c r="I1303" s="14" t="n">
        <f aca="false">I1302+G1303-H1303</f>
        <v>388175924</v>
      </c>
    </row>
    <row r="1304" customFormat="false" ht="12" hidden="false" customHeight="true" outlineLevel="1" collapsed="false">
      <c r="B1304" s="15" t="n">
        <v>45197</v>
      </c>
      <c r="C1304" s="15" t="n">
        <f aca="false">B1304</f>
        <v>45197</v>
      </c>
      <c r="D1304" s="16" t="s">
        <v>376</v>
      </c>
      <c r="E1304" s="16" t="s">
        <v>23</v>
      </c>
      <c r="F1304" s="16" t="s">
        <v>24</v>
      </c>
      <c r="G1304" s="17"/>
      <c r="H1304" s="17" t="n">
        <v>34679305</v>
      </c>
      <c r="I1304" s="14" t="n">
        <f aca="false">I1303+G1304-H1304</f>
        <v>353496619</v>
      </c>
    </row>
    <row r="1305" customFormat="false" ht="12" hidden="false" customHeight="true" outlineLevel="1" collapsed="false">
      <c r="B1305" s="15" t="n">
        <v>45197</v>
      </c>
      <c r="C1305" s="15" t="n">
        <f aca="false">B1305</f>
        <v>45197</v>
      </c>
      <c r="D1305" s="16" t="s">
        <v>376</v>
      </c>
      <c r="E1305" s="16" t="s">
        <v>23</v>
      </c>
      <c r="F1305" s="16" t="s">
        <v>24</v>
      </c>
      <c r="G1305" s="17"/>
      <c r="H1305" s="17" t="n">
        <v>350000000</v>
      </c>
      <c r="I1305" s="14" t="n">
        <f aca="false">I1304+G1305-H1305</f>
        <v>3496619</v>
      </c>
    </row>
    <row r="1306" customFormat="false" ht="12" hidden="false" customHeight="true" outlineLevel="1" collapsed="false">
      <c r="B1306" s="15" t="n">
        <v>45197</v>
      </c>
      <c r="C1306" s="15" t="n">
        <f aca="false">B1306</f>
        <v>45197</v>
      </c>
      <c r="D1306" s="16" t="s">
        <v>376</v>
      </c>
      <c r="E1306" s="16" t="s">
        <v>57</v>
      </c>
      <c r="F1306" s="16" t="n">
        <v>635</v>
      </c>
      <c r="G1306" s="17"/>
      <c r="H1306" s="17" t="n">
        <v>130275</v>
      </c>
      <c r="I1306" s="14" t="n">
        <f aca="false">I1305+G1306-H1306</f>
        <v>3366344</v>
      </c>
    </row>
    <row r="1307" customFormat="false" ht="12" hidden="false" customHeight="true" outlineLevel="1" collapsed="false">
      <c r="B1307" s="15" t="n">
        <v>45198</v>
      </c>
      <c r="C1307" s="15" t="n">
        <f aca="false">B1307</f>
        <v>45198</v>
      </c>
      <c r="D1307" s="16" t="s">
        <v>376</v>
      </c>
      <c r="E1307" s="16" t="s">
        <v>157</v>
      </c>
      <c r="F1307" s="16" t="s">
        <v>15</v>
      </c>
      <c r="G1307" s="17" t="n">
        <v>100000000</v>
      </c>
      <c r="H1307" s="17"/>
      <c r="I1307" s="14" t="n">
        <f aca="false">I1306+G1307-H1307</f>
        <v>103366344</v>
      </c>
    </row>
    <row r="1308" customFormat="false" ht="12" hidden="false" customHeight="true" outlineLevel="1" collapsed="false">
      <c r="B1308" s="15" t="n">
        <v>45198</v>
      </c>
      <c r="C1308" s="15" t="n">
        <f aca="false">B1308</f>
        <v>45198</v>
      </c>
      <c r="D1308" s="16" t="s">
        <v>376</v>
      </c>
      <c r="E1308" s="16" t="s">
        <v>157</v>
      </c>
      <c r="F1308" s="16" t="s">
        <v>15</v>
      </c>
      <c r="G1308" s="17" t="n">
        <v>30000000</v>
      </c>
      <c r="H1308" s="17"/>
      <c r="I1308" s="14" t="n">
        <f aca="false">I1307+G1308-H1308</f>
        <v>133366344</v>
      </c>
    </row>
    <row r="1309" customFormat="false" ht="12" hidden="false" customHeight="true" outlineLevel="1" collapsed="false">
      <c r="B1309" s="15" t="n">
        <v>45198</v>
      </c>
      <c r="C1309" s="15" t="n">
        <f aca="false">B1309</f>
        <v>45198</v>
      </c>
      <c r="D1309" s="16" t="s">
        <v>376</v>
      </c>
      <c r="E1309" s="16" t="s">
        <v>57</v>
      </c>
      <c r="F1309" s="16" t="n">
        <v>635</v>
      </c>
      <c r="G1309" s="17"/>
      <c r="H1309" s="17" t="n">
        <v>11000</v>
      </c>
      <c r="I1309" s="14" t="n">
        <f aca="false">I1308+G1309-H1309</f>
        <v>133355344</v>
      </c>
    </row>
    <row r="1310" customFormat="false" ht="12" hidden="false" customHeight="true" outlineLevel="1" collapsed="false">
      <c r="B1310" s="15" t="n">
        <v>45199</v>
      </c>
      <c r="C1310" s="15" t="n">
        <f aca="false">B1310</f>
        <v>45199</v>
      </c>
      <c r="D1310" s="16" t="s">
        <v>376</v>
      </c>
      <c r="E1310" s="16" t="s">
        <v>23</v>
      </c>
      <c r="F1310" s="16" t="s">
        <v>24</v>
      </c>
      <c r="G1310" s="17"/>
      <c r="H1310" s="17" t="n">
        <v>130000000</v>
      </c>
      <c r="I1310" s="14" t="n">
        <f aca="false">I1309+G1310-H1310</f>
        <v>3355344</v>
      </c>
    </row>
    <row r="1311" customFormat="false" ht="12" hidden="false" customHeight="true" outlineLevel="1" collapsed="false">
      <c r="B1311" s="15" t="n">
        <v>45201</v>
      </c>
      <c r="C1311" s="15" t="n">
        <f aca="false">B1311</f>
        <v>45201</v>
      </c>
      <c r="D1311" s="16" t="s">
        <v>376</v>
      </c>
      <c r="E1311" s="16" t="s">
        <v>157</v>
      </c>
      <c r="F1311" s="16" t="s">
        <v>15</v>
      </c>
      <c r="G1311" s="17" t="n">
        <v>105000000</v>
      </c>
      <c r="H1311" s="17"/>
      <c r="I1311" s="14" t="n">
        <f aca="false">I1310+G1311-H1311</f>
        <v>108355344</v>
      </c>
    </row>
    <row r="1312" customFormat="false" ht="12" hidden="false" customHeight="true" outlineLevel="1" collapsed="false">
      <c r="B1312" s="15" t="n">
        <v>45201</v>
      </c>
      <c r="C1312" s="15" t="n">
        <f aca="false">B1312</f>
        <v>45201</v>
      </c>
      <c r="D1312" s="16" t="s">
        <v>376</v>
      </c>
      <c r="E1312" s="16" t="s">
        <v>157</v>
      </c>
      <c r="F1312" s="16" t="s">
        <v>15</v>
      </c>
      <c r="G1312" s="17" t="n">
        <v>103347000</v>
      </c>
      <c r="H1312" s="17"/>
      <c r="I1312" s="14" t="n">
        <f aca="false">I1311+G1312-H1312</f>
        <v>211702344</v>
      </c>
    </row>
    <row r="1313" customFormat="false" ht="12" hidden="false" customHeight="true" outlineLevel="1" collapsed="false">
      <c r="B1313" s="15" t="n">
        <v>45201</v>
      </c>
      <c r="C1313" s="15" t="n">
        <f aca="false">B1313</f>
        <v>45201</v>
      </c>
      <c r="D1313" s="16" t="s">
        <v>376</v>
      </c>
      <c r="E1313" s="16" t="s">
        <v>157</v>
      </c>
      <c r="F1313" s="16" t="s">
        <v>15</v>
      </c>
      <c r="G1313" s="17" t="n">
        <v>105807000</v>
      </c>
      <c r="H1313" s="17"/>
      <c r="I1313" s="14" t="n">
        <f aca="false">I1312+G1313-H1313</f>
        <v>317509344</v>
      </c>
    </row>
    <row r="1314" customFormat="false" ht="12" hidden="false" customHeight="true" outlineLevel="1" collapsed="false">
      <c r="B1314" s="15" t="n">
        <v>45201</v>
      </c>
      <c r="C1314" s="15" t="n">
        <f aca="false">B1314</f>
        <v>45201</v>
      </c>
      <c r="D1314" s="16" t="s">
        <v>376</v>
      </c>
      <c r="E1314" s="16" t="s">
        <v>157</v>
      </c>
      <c r="F1314" s="16" t="s">
        <v>15</v>
      </c>
      <c r="G1314" s="17" t="n">
        <v>182144000</v>
      </c>
      <c r="H1314" s="17"/>
      <c r="I1314" s="14" t="n">
        <f aca="false">I1313+G1314-H1314</f>
        <v>499653344</v>
      </c>
    </row>
    <row r="1315" customFormat="false" ht="12" hidden="false" customHeight="true" outlineLevel="1" collapsed="false">
      <c r="B1315" s="15" t="n">
        <v>45201</v>
      </c>
      <c r="C1315" s="15" t="n">
        <f aca="false">B1315</f>
        <v>45201</v>
      </c>
      <c r="D1315" s="16" t="s">
        <v>376</v>
      </c>
      <c r="E1315" s="16" t="s">
        <v>157</v>
      </c>
      <c r="F1315" s="16" t="s">
        <v>15</v>
      </c>
      <c r="G1315" s="17" t="n">
        <v>72289000</v>
      </c>
      <c r="H1315" s="17"/>
      <c r="I1315" s="14" t="n">
        <f aca="false">I1314+G1315-H1315</f>
        <v>571942344</v>
      </c>
    </row>
    <row r="1316" customFormat="false" ht="12" hidden="false" customHeight="true" outlineLevel="1" collapsed="false">
      <c r="B1316" s="15" t="n">
        <v>45201</v>
      </c>
      <c r="C1316" s="15" t="n">
        <f aca="false">B1316</f>
        <v>45201</v>
      </c>
      <c r="D1316" s="16" t="s">
        <v>376</v>
      </c>
      <c r="E1316" s="16" t="s">
        <v>157</v>
      </c>
      <c r="F1316" s="16" t="s">
        <v>15</v>
      </c>
      <c r="G1316" s="17" t="n">
        <v>61778000</v>
      </c>
      <c r="H1316" s="17"/>
      <c r="I1316" s="14" t="n">
        <f aca="false">I1315+G1316-H1316</f>
        <v>633720344</v>
      </c>
    </row>
    <row r="1317" customFormat="false" ht="12" hidden="false" customHeight="true" outlineLevel="1" collapsed="false">
      <c r="B1317" s="15" t="n">
        <v>45201</v>
      </c>
      <c r="C1317" s="15" t="n">
        <f aca="false">B1317</f>
        <v>45201</v>
      </c>
      <c r="D1317" s="16" t="s">
        <v>376</v>
      </c>
      <c r="E1317" s="16" t="s">
        <v>178</v>
      </c>
      <c r="F1317" s="16" t="s">
        <v>179</v>
      </c>
      <c r="G1317" s="17"/>
      <c r="H1317" s="17" t="n">
        <v>344633057</v>
      </c>
      <c r="I1317" s="14" t="n">
        <f aca="false">I1316+G1317-H1317</f>
        <v>289087287</v>
      </c>
    </row>
    <row r="1318" customFormat="false" ht="12" hidden="false" customHeight="true" outlineLevel="1" collapsed="false">
      <c r="B1318" s="15" t="n">
        <v>45201</v>
      </c>
      <c r="C1318" s="15" t="n">
        <f aca="false">B1318</f>
        <v>45201</v>
      </c>
      <c r="D1318" s="16" t="s">
        <v>376</v>
      </c>
      <c r="E1318" s="16" t="s">
        <v>294</v>
      </c>
      <c r="F1318" s="16" t="s">
        <v>179</v>
      </c>
      <c r="G1318" s="17"/>
      <c r="H1318" s="17" t="n">
        <v>2054052</v>
      </c>
      <c r="I1318" s="14" t="n">
        <f aca="false">I1317+G1318-H1318</f>
        <v>287033235</v>
      </c>
    </row>
    <row r="1319" customFormat="false" ht="12" hidden="false" customHeight="true" outlineLevel="1" collapsed="false">
      <c r="B1319" s="15" t="n">
        <v>45201</v>
      </c>
      <c r="C1319" s="15" t="n">
        <f aca="false">B1319</f>
        <v>45201</v>
      </c>
      <c r="D1319" s="16" t="s">
        <v>376</v>
      </c>
      <c r="E1319" s="16" t="s">
        <v>178</v>
      </c>
      <c r="F1319" s="16" t="s">
        <v>179</v>
      </c>
      <c r="G1319" s="17"/>
      <c r="H1319" s="17" t="n">
        <v>4108104</v>
      </c>
      <c r="I1319" s="14" t="n">
        <f aca="false">I1318+G1319-H1319</f>
        <v>282925131</v>
      </c>
    </row>
    <row r="1320" customFormat="false" ht="12" hidden="false" customHeight="true" outlineLevel="1" collapsed="false">
      <c r="B1320" s="15" t="n">
        <v>45201</v>
      </c>
      <c r="C1320" s="15" t="n">
        <f aca="false">B1320</f>
        <v>45201</v>
      </c>
      <c r="D1320" s="16" t="s">
        <v>376</v>
      </c>
      <c r="E1320" s="16" t="s">
        <v>23</v>
      </c>
      <c r="F1320" s="16" t="s">
        <v>24</v>
      </c>
      <c r="G1320" s="17"/>
      <c r="H1320" s="17" t="n">
        <v>280000000</v>
      </c>
      <c r="I1320" s="14" t="n">
        <f aca="false">I1319+G1320-H1320</f>
        <v>2925131</v>
      </c>
    </row>
    <row r="1321" customFormat="false" ht="12" hidden="false" customHeight="true" outlineLevel="1" collapsed="false">
      <c r="B1321" s="15" t="n">
        <v>45203</v>
      </c>
      <c r="C1321" s="25" t="n">
        <f aca="false">B1321</f>
        <v>45203</v>
      </c>
      <c r="D1321" s="16" t="s">
        <v>376</v>
      </c>
      <c r="E1321" s="16" t="s">
        <v>157</v>
      </c>
      <c r="F1321" s="16" t="s">
        <v>15</v>
      </c>
      <c r="G1321" s="17" t="n">
        <v>28000000</v>
      </c>
      <c r="H1321" s="17"/>
      <c r="I1321" s="14" t="n">
        <f aca="false">I1320+G1321-H1321</f>
        <v>30925131</v>
      </c>
    </row>
    <row r="1322" customFormat="false" ht="12" hidden="false" customHeight="true" outlineLevel="1" collapsed="false">
      <c r="B1322" s="15" t="n">
        <v>45203</v>
      </c>
      <c r="C1322" s="15" t="n">
        <f aca="false">B1322</f>
        <v>45203</v>
      </c>
      <c r="D1322" s="16" t="s">
        <v>376</v>
      </c>
      <c r="E1322" s="16" t="s">
        <v>178</v>
      </c>
      <c r="F1322" s="16" t="s">
        <v>179</v>
      </c>
      <c r="G1322" s="17"/>
      <c r="H1322" s="17" t="n">
        <v>4712293</v>
      </c>
      <c r="I1322" s="14" t="n">
        <f aca="false">I1321+G1322-H1322</f>
        <v>26212838</v>
      </c>
    </row>
    <row r="1323" customFormat="false" ht="12" hidden="false" customHeight="true" outlineLevel="1" collapsed="false">
      <c r="B1323" s="15" t="n">
        <v>45204</v>
      </c>
      <c r="C1323" s="15" t="n">
        <f aca="false">B1323</f>
        <v>45204</v>
      </c>
      <c r="D1323" s="16" t="s">
        <v>375</v>
      </c>
      <c r="E1323" s="16" t="s">
        <v>157</v>
      </c>
      <c r="F1323" s="16" t="s">
        <v>15</v>
      </c>
      <c r="G1323" s="17" t="n">
        <v>67430000</v>
      </c>
      <c r="H1323" s="17"/>
      <c r="I1323" s="14" t="n">
        <f aca="false">I1322+G1323-H1323</f>
        <v>93642838</v>
      </c>
    </row>
    <row r="1324" customFormat="false" ht="12" hidden="false" customHeight="true" outlineLevel="1" collapsed="false">
      <c r="B1324" s="15" t="n">
        <v>45204</v>
      </c>
      <c r="C1324" s="15" t="n">
        <f aca="false">B1324</f>
        <v>45204</v>
      </c>
      <c r="D1324" s="16" t="s">
        <v>375</v>
      </c>
      <c r="E1324" s="16" t="s">
        <v>157</v>
      </c>
      <c r="F1324" s="16" t="s">
        <v>15</v>
      </c>
      <c r="G1324" s="17" t="n">
        <v>40384000</v>
      </c>
      <c r="H1324" s="17"/>
      <c r="I1324" s="14" t="n">
        <f aca="false">I1323+G1324-H1324</f>
        <v>134026838</v>
      </c>
    </row>
    <row r="1325" customFormat="false" ht="12" hidden="false" customHeight="true" outlineLevel="1" collapsed="false">
      <c r="B1325" s="15" t="n">
        <v>45204</v>
      </c>
      <c r="C1325" s="15" t="n">
        <f aca="false">B1325</f>
        <v>45204</v>
      </c>
      <c r="D1325" s="16" t="s">
        <v>375</v>
      </c>
      <c r="E1325" s="16" t="s">
        <v>157</v>
      </c>
      <c r="F1325" s="16" t="s">
        <v>15</v>
      </c>
      <c r="G1325" s="17" t="n">
        <v>40300000</v>
      </c>
      <c r="H1325" s="17"/>
      <c r="I1325" s="14" t="n">
        <f aca="false">I1324+G1325-H1325</f>
        <v>174326838</v>
      </c>
    </row>
    <row r="1326" customFormat="false" ht="12" hidden="false" customHeight="true" outlineLevel="1" collapsed="false">
      <c r="B1326" s="15" t="n">
        <v>45204</v>
      </c>
      <c r="C1326" s="15" t="n">
        <f aca="false">B1326</f>
        <v>45204</v>
      </c>
      <c r="D1326" s="16" t="s">
        <v>375</v>
      </c>
      <c r="E1326" s="16" t="s">
        <v>157</v>
      </c>
      <c r="F1326" s="16" t="s">
        <v>15</v>
      </c>
      <c r="G1326" s="17" t="n">
        <v>136727000</v>
      </c>
      <c r="H1326" s="17"/>
      <c r="I1326" s="14" t="n">
        <f aca="false">I1325+G1326-H1326</f>
        <v>311053838</v>
      </c>
    </row>
    <row r="1327" customFormat="false" ht="12" hidden="false" customHeight="true" outlineLevel="1" collapsed="false">
      <c r="B1327" s="15" t="n">
        <v>45204</v>
      </c>
      <c r="C1327" s="15" t="n">
        <f aca="false">B1327</f>
        <v>45204</v>
      </c>
      <c r="D1327" s="16" t="s">
        <v>375</v>
      </c>
      <c r="E1327" s="16" t="s">
        <v>157</v>
      </c>
      <c r="F1327" s="16" t="s">
        <v>15</v>
      </c>
      <c r="G1327" s="17" t="n">
        <v>42705000</v>
      </c>
      <c r="H1327" s="17"/>
      <c r="I1327" s="14" t="n">
        <f aca="false">I1326+G1327-H1327</f>
        <v>353758838</v>
      </c>
    </row>
    <row r="1328" customFormat="false" ht="12" hidden="false" customHeight="true" outlineLevel="1" collapsed="false">
      <c r="B1328" s="15" t="n">
        <v>45204</v>
      </c>
      <c r="C1328" s="15" t="n">
        <f aca="false">B1328</f>
        <v>45204</v>
      </c>
      <c r="D1328" s="16" t="s">
        <v>375</v>
      </c>
      <c r="E1328" s="16" t="s">
        <v>157</v>
      </c>
      <c r="F1328" s="16" t="s">
        <v>15</v>
      </c>
      <c r="G1328" s="17" t="n">
        <v>91000000</v>
      </c>
      <c r="H1328" s="17"/>
      <c r="I1328" s="14" t="n">
        <f aca="false">I1327+G1328-H1328</f>
        <v>444758838</v>
      </c>
    </row>
    <row r="1329" customFormat="false" ht="12" hidden="false" customHeight="true" outlineLevel="1" collapsed="false">
      <c r="B1329" s="15" t="n">
        <v>45204</v>
      </c>
      <c r="C1329" s="15" t="n">
        <f aca="false">B1329</f>
        <v>45204</v>
      </c>
      <c r="D1329" s="16" t="s">
        <v>376</v>
      </c>
      <c r="E1329" s="16" t="s">
        <v>178</v>
      </c>
      <c r="F1329" s="16" t="s">
        <v>179</v>
      </c>
      <c r="G1329" s="17"/>
      <c r="H1329" s="17" t="n">
        <v>326505920</v>
      </c>
      <c r="I1329" s="14" t="n">
        <f aca="false">I1328+G1329-H1329</f>
        <v>118252918</v>
      </c>
    </row>
    <row r="1330" customFormat="false" ht="12" hidden="false" customHeight="true" outlineLevel="1" collapsed="false">
      <c r="B1330" s="15" t="n">
        <v>45204</v>
      </c>
      <c r="C1330" s="15" t="n">
        <f aca="false">B1330</f>
        <v>45204</v>
      </c>
      <c r="D1330" s="16" t="s">
        <v>376</v>
      </c>
      <c r="E1330" s="16" t="s">
        <v>178</v>
      </c>
      <c r="F1330" s="16" t="s">
        <v>179</v>
      </c>
      <c r="G1330" s="17"/>
      <c r="H1330" s="17" t="n">
        <v>833953</v>
      </c>
      <c r="I1330" s="14" t="n">
        <f aca="false">I1329+G1330-H1330</f>
        <v>117418965</v>
      </c>
    </row>
    <row r="1331" customFormat="false" ht="12" hidden="false" customHeight="true" outlineLevel="1" collapsed="false">
      <c r="B1331" s="15" t="n">
        <v>45205</v>
      </c>
      <c r="C1331" s="15" t="n">
        <f aca="false">B1331</f>
        <v>45205</v>
      </c>
      <c r="D1331" s="16" t="s">
        <v>375</v>
      </c>
      <c r="E1331" s="16" t="s">
        <v>157</v>
      </c>
      <c r="F1331" s="16" t="s">
        <v>15</v>
      </c>
      <c r="G1331" s="17" t="n">
        <v>101031000</v>
      </c>
      <c r="H1331" s="17"/>
      <c r="I1331" s="14" t="n">
        <f aca="false">I1330+G1331-H1331</f>
        <v>218449965</v>
      </c>
    </row>
    <row r="1332" customFormat="false" ht="12" hidden="false" customHeight="true" outlineLevel="1" collapsed="false">
      <c r="B1332" s="15" t="n">
        <v>45205</v>
      </c>
      <c r="C1332" s="15" t="n">
        <f aca="false">B1332</f>
        <v>45205</v>
      </c>
      <c r="D1332" s="16" t="s">
        <v>375</v>
      </c>
      <c r="E1332" s="16" t="s">
        <v>157</v>
      </c>
      <c r="F1332" s="16" t="s">
        <v>15</v>
      </c>
      <c r="G1332" s="17" t="n">
        <v>43668000</v>
      </c>
      <c r="H1332" s="17"/>
      <c r="I1332" s="14" t="n">
        <f aca="false">I1331+G1332-H1332</f>
        <v>262117965</v>
      </c>
    </row>
    <row r="1333" customFormat="false" ht="12" hidden="false" customHeight="true" outlineLevel="1" collapsed="false">
      <c r="B1333" s="15" t="n">
        <v>45206</v>
      </c>
      <c r="C1333" s="15" t="n">
        <f aca="false">B1333</f>
        <v>45206</v>
      </c>
      <c r="D1333" s="16" t="s">
        <v>376</v>
      </c>
      <c r="E1333" s="16" t="s">
        <v>57</v>
      </c>
      <c r="F1333" s="16" t="n">
        <v>635</v>
      </c>
      <c r="G1333" s="17"/>
      <c r="H1333" s="17" t="n">
        <v>55000</v>
      </c>
      <c r="I1333" s="14" t="n">
        <f aca="false">I1332+G1333-H1333</f>
        <v>262062965</v>
      </c>
    </row>
    <row r="1334" customFormat="false" ht="12" hidden="false" customHeight="true" outlineLevel="1" collapsed="false">
      <c r="B1334" s="15" t="n">
        <v>45206</v>
      </c>
      <c r="C1334" s="15" t="n">
        <f aca="false">B1334</f>
        <v>45206</v>
      </c>
      <c r="D1334" s="16" t="s">
        <v>376</v>
      </c>
      <c r="E1334" s="16" t="s">
        <v>178</v>
      </c>
      <c r="F1334" s="16" t="s">
        <v>179</v>
      </c>
      <c r="G1334" s="17"/>
      <c r="H1334" s="17" t="n">
        <v>3312000</v>
      </c>
      <c r="I1334" s="14" t="n">
        <f aca="false">I1333+G1334-H1334</f>
        <v>258750965</v>
      </c>
    </row>
    <row r="1335" customFormat="false" ht="12" hidden="false" customHeight="true" outlineLevel="1" collapsed="false">
      <c r="B1335" s="15" t="n">
        <v>45206</v>
      </c>
      <c r="C1335" s="15" t="n">
        <f aca="false">B1335</f>
        <v>45206</v>
      </c>
      <c r="D1335" s="16" t="s">
        <v>376</v>
      </c>
      <c r="E1335" s="16" t="s">
        <v>23</v>
      </c>
      <c r="F1335" s="16" t="s">
        <v>24</v>
      </c>
      <c r="G1335" s="17"/>
      <c r="H1335" s="17" t="n">
        <v>258000000</v>
      </c>
      <c r="I1335" s="14" t="n">
        <f aca="false">I1334+G1335-H1335</f>
        <v>750965</v>
      </c>
    </row>
    <row r="1336" customFormat="false" ht="12" hidden="false" customHeight="true" outlineLevel="1" collapsed="false">
      <c r="B1336" s="15" t="n">
        <v>45208</v>
      </c>
      <c r="C1336" s="15" t="n">
        <f aca="false">B1336</f>
        <v>45208</v>
      </c>
      <c r="D1336" s="16" t="s">
        <v>375</v>
      </c>
      <c r="E1336" s="16" t="s">
        <v>157</v>
      </c>
      <c r="F1336" s="16" t="s">
        <v>15</v>
      </c>
      <c r="G1336" s="17" t="n">
        <v>12551000</v>
      </c>
      <c r="H1336" s="17"/>
      <c r="I1336" s="14" t="n">
        <f aca="false">I1335+G1336-H1336</f>
        <v>13301965</v>
      </c>
    </row>
    <row r="1337" customFormat="false" ht="12" hidden="false" customHeight="true" outlineLevel="1" collapsed="false">
      <c r="B1337" s="15" t="n">
        <v>45208</v>
      </c>
      <c r="C1337" s="15" t="n">
        <f aca="false">B1337</f>
        <v>45208</v>
      </c>
      <c r="D1337" s="16" t="s">
        <v>375</v>
      </c>
      <c r="E1337" s="16" t="s">
        <v>157</v>
      </c>
      <c r="F1337" s="16" t="s">
        <v>15</v>
      </c>
      <c r="G1337" s="17" t="n">
        <v>31539000</v>
      </c>
      <c r="H1337" s="17"/>
      <c r="I1337" s="14" t="n">
        <f aca="false">I1336+G1337-H1337</f>
        <v>44840965</v>
      </c>
    </row>
    <row r="1338" customFormat="false" ht="12" hidden="false" customHeight="true" outlineLevel="1" collapsed="false">
      <c r="B1338" s="15" t="n">
        <v>45208</v>
      </c>
      <c r="C1338" s="15" t="n">
        <f aca="false">B1338</f>
        <v>45208</v>
      </c>
      <c r="D1338" s="16" t="s">
        <v>375</v>
      </c>
      <c r="E1338" s="16" t="s">
        <v>157</v>
      </c>
      <c r="F1338" s="16" t="s">
        <v>15</v>
      </c>
      <c r="G1338" s="17" t="n">
        <v>30582000</v>
      </c>
      <c r="H1338" s="17"/>
      <c r="I1338" s="14" t="n">
        <f aca="false">I1337+G1338-H1338</f>
        <v>75422965</v>
      </c>
    </row>
    <row r="1339" customFormat="false" ht="12" hidden="false" customHeight="true" outlineLevel="1" collapsed="false">
      <c r="B1339" s="15" t="n">
        <v>45208</v>
      </c>
      <c r="C1339" s="15" t="n">
        <f aca="false">B1339</f>
        <v>45208</v>
      </c>
      <c r="D1339" s="16" t="s">
        <v>375</v>
      </c>
      <c r="E1339" s="16" t="s">
        <v>157</v>
      </c>
      <c r="F1339" s="16" t="s">
        <v>15</v>
      </c>
      <c r="G1339" s="17" t="n">
        <v>87499000</v>
      </c>
      <c r="H1339" s="17"/>
      <c r="I1339" s="14" t="n">
        <f aca="false">I1338+G1339-H1339</f>
        <v>162921965</v>
      </c>
    </row>
    <row r="1340" customFormat="false" ht="12" hidden="false" customHeight="true" outlineLevel="1" collapsed="false">
      <c r="B1340" s="15" t="n">
        <v>45208</v>
      </c>
      <c r="C1340" s="15" t="n">
        <f aca="false">B1340</f>
        <v>45208</v>
      </c>
      <c r="D1340" s="16" t="s">
        <v>375</v>
      </c>
      <c r="E1340" s="16" t="s">
        <v>157</v>
      </c>
      <c r="F1340" s="16" t="s">
        <v>15</v>
      </c>
      <c r="G1340" s="17" t="n">
        <v>34988000</v>
      </c>
      <c r="H1340" s="17"/>
      <c r="I1340" s="14" t="n">
        <f aca="false">I1339+G1340-H1340</f>
        <v>197909965</v>
      </c>
    </row>
    <row r="1341" customFormat="false" ht="12" hidden="false" customHeight="true" outlineLevel="1" collapsed="false">
      <c r="B1341" s="15" t="n">
        <v>45208</v>
      </c>
      <c r="C1341" s="15" t="n">
        <f aca="false">B1341</f>
        <v>45208</v>
      </c>
      <c r="D1341" s="16" t="s">
        <v>375</v>
      </c>
      <c r="E1341" s="16" t="s">
        <v>157</v>
      </c>
      <c r="F1341" s="16" t="s">
        <v>15</v>
      </c>
      <c r="G1341" s="17" t="n">
        <v>64078000</v>
      </c>
      <c r="H1341" s="17"/>
      <c r="I1341" s="14" t="n">
        <f aca="false">I1340+G1341-H1341</f>
        <v>261987965</v>
      </c>
    </row>
    <row r="1342" customFormat="false" ht="12" hidden="false" customHeight="true" outlineLevel="1" collapsed="false">
      <c r="B1342" s="15" t="n">
        <v>45208</v>
      </c>
      <c r="C1342" s="15" t="n">
        <f aca="false">B1342</f>
        <v>45208</v>
      </c>
      <c r="D1342" s="16" t="s">
        <v>375</v>
      </c>
      <c r="E1342" s="16" t="s">
        <v>157</v>
      </c>
      <c r="F1342" s="16" t="s">
        <v>15</v>
      </c>
      <c r="G1342" s="17" t="n">
        <v>146606000</v>
      </c>
      <c r="H1342" s="17"/>
      <c r="I1342" s="14" t="n">
        <f aca="false">I1341+G1342-H1342</f>
        <v>408593965</v>
      </c>
    </row>
    <row r="1343" customFormat="false" ht="12" hidden="false" customHeight="true" outlineLevel="1" collapsed="false">
      <c r="B1343" s="15" t="n">
        <v>45208</v>
      </c>
      <c r="C1343" s="15" t="n">
        <f aca="false">B1343</f>
        <v>45208</v>
      </c>
      <c r="D1343" s="16" t="s">
        <v>376</v>
      </c>
      <c r="E1343" s="16" t="s">
        <v>178</v>
      </c>
      <c r="F1343" s="16" t="s">
        <v>179</v>
      </c>
      <c r="G1343" s="17"/>
      <c r="H1343" s="17" t="n">
        <v>112290669</v>
      </c>
      <c r="I1343" s="14" t="n">
        <f aca="false">I1342+G1343-H1343</f>
        <v>296303296</v>
      </c>
    </row>
    <row r="1344" customFormat="false" ht="12" hidden="false" customHeight="true" outlineLevel="1" collapsed="false">
      <c r="B1344" s="15" t="n">
        <v>45209</v>
      </c>
      <c r="C1344" s="15" t="n">
        <f aca="false">B1344</f>
        <v>45209</v>
      </c>
      <c r="D1344" s="16" t="s">
        <v>376</v>
      </c>
      <c r="E1344" s="16" t="s">
        <v>23</v>
      </c>
      <c r="F1344" s="16" t="s">
        <v>24</v>
      </c>
      <c r="G1344" s="17"/>
      <c r="H1344" s="17" t="n">
        <v>29730300</v>
      </c>
      <c r="I1344" s="14" t="n">
        <f aca="false">I1343+G1344-H1344</f>
        <v>266572996</v>
      </c>
    </row>
    <row r="1345" customFormat="false" ht="12" hidden="false" customHeight="true" outlineLevel="1" collapsed="false">
      <c r="B1345" s="15" t="n">
        <v>44844</v>
      </c>
      <c r="C1345" s="15" t="n">
        <f aca="false">B1345</f>
        <v>44844</v>
      </c>
      <c r="D1345" s="16" t="s">
        <v>376</v>
      </c>
      <c r="E1345" s="16" t="s">
        <v>23</v>
      </c>
      <c r="F1345" s="16" t="s">
        <v>24</v>
      </c>
      <c r="G1345" s="17"/>
      <c r="H1345" s="17" t="n">
        <v>265000000</v>
      </c>
      <c r="I1345" s="14" t="n">
        <f aca="false">I1344+G1345-H1345</f>
        <v>1572996</v>
      </c>
    </row>
    <row r="1346" customFormat="false" ht="12" hidden="false" customHeight="true" outlineLevel="1" collapsed="false">
      <c r="B1346" s="15" t="n">
        <v>45210</v>
      </c>
      <c r="C1346" s="15" t="n">
        <f aca="false">B1346</f>
        <v>45210</v>
      </c>
      <c r="D1346" s="16" t="s">
        <v>376</v>
      </c>
      <c r="E1346" s="16" t="s">
        <v>57</v>
      </c>
      <c r="F1346" s="16" t="n">
        <v>635</v>
      </c>
      <c r="G1346" s="17"/>
      <c r="H1346" s="17" t="n">
        <v>60106</v>
      </c>
      <c r="I1346" s="14" t="n">
        <f aca="false">I1345+G1346-H1346</f>
        <v>1512890</v>
      </c>
    </row>
    <row r="1347" customFormat="false" ht="12" hidden="false" customHeight="true" outlineLevel="1" collapsed="false">
      <c r="B1347" s="15" t="n">
        <v>45211</v>
      </c>
      <c r="C1347" s="15" t="n">
        <f aca="false">B1347</f>
        <v>45211</v>
      </c>
      <c r="D1347" s="16" t="s">
        <v>375</v>
      </c>
      <c r="E1347" s="16" t="s">
        <v>157</v>
      </c>
      <c r="F1347" s="16" t="s">
        <v>15</v>
      </c>
      <c r="G1347" s="17" t="n">
        <v>41258000</v>
      </c>
      <c r="H1347" s="17"/>
      <c r="I1347" s="14" t="n">
        <f aca="false">I1346+G1347-H1347</f>
        <v>42770890</v>
      </c>
    </row>
    <row r="1348" customFormat="false" ht="12" hidden="false" customHeight="true" outlineLevel="1" collapsed="false">
      <c r="B1348" s="15" t="n">
        <v>45211</v>
      </c>
      <c r="C1348" s="15" t="n">
        <f aca="false">B1348</f>
        <v>45211</v>
      </c>
      <c r="D1348" s="16" t="s">
        <v>375</v>
      </c>
      <c r="E1348" s="16" t="s">
        <v>157</v>
      </c>
      <c r="F1348" s="16" t="s">
        <v>15</v>
      </c>
      <c r="G1348" s="17" t="n">
        <v>24292000</v>
      </c>
      <c r="H1348" s="17"/>
      <c r="I1348" s="14" t="n">
        <f aca="false">I1347+G1348-H1348</f>
        <v>67062890</v>
      </c>
    </row>
    <row r="1349" customFormat="false" ht="12" hidden="false" customHeight="true" outlineLevel="1" collapsed="false">
      <c r="B1349" s="15" t="n">
        <v>45211</v>
      </c>
      <c r="C1349" s="15" t="n">
        <f aca="false">B1349</f>
        <v>45211</v>
      </c>
      <c r="D1349" s="16" t="s">
        <v>375</v>
      </c>
      <c r="E1349" s="16" t="s">
        <v>157</v>
      </c>
      <c r="F1349" s="16" t="s">
        <v>15</v>
      </c>
      <c r="G1349" s="17" t="n">
        <v>58171000</v>
      </c>
      <c r="H1349" s="17"/>
      <c r="I1349" s="14" t="n">
        <f aca="false">I1348+G1349-H1349</f>
        <v>125233890</v>
      </c>
    </row>
    <row r="1350" customFormat="false" ht="12" hidden="false" customHeight="true" outlineLevel="1" collapsed="false">
      <c r="B1350" s="15" t="n">
        <v>45211</v>
      </c>
      <c r="C1350" s="15" t="n">
        <f aca="false">B1350</f>
        <v>45211</v>
      </c>
      <c r="D1350" s="16" t="s">
        <v>375</v>
      </c>
      <c r="E1350" s="16" t="s">
        <v>157</v>
      </c>
      <c r="F1350" s="16" t="s">
        <v>15</v>
      </c>
      <c r="G1350" s="17" t="n">
        <v>44225000</v>
      </c>
      <c r="H1350" s="17"/>
      <c r="I1350" s="14" t="n">
        <f aca="false">I1349+G1350-H1350</f>
        <v>169458890</v>
      </c>
    </row>
    <row r="1351" customFormat="false" ht="12" hidden="false" customHeight="true" outlineLevel="1" collapsed="false">
      <c r="B1351" s="15" t="n">
        <v>45211</v>
      </c>
      <c r="C1351" s="15" t="n">
        <f aca="false">B1351</f>
        <v>45211</v>
      </c>
      <c r="D1351" s="16" t="s">
        <v>375</v>
      </c>
      <c r="E1351" s="16" t="s">
        <v>157</v>
      </c>
      <c r="F1351" s="16" t="s">
        <v>15</v>
      </c>
      <c r="G1351" s="17" t="n">
        <v>106027000</v>
      </c>
      <c r="H1351" s="17"/>
      <c r="I1351" s="14" t="n">
        <f aca="false">I1350+G1351-H1351</f>
        <v>275485890</v>
      </c>
    </row>
    <row r="1352" customFormat="false" ht="12" hidden="false" customHeight="true" outlineLevel="1" collapsed="false">
      <c r="B1352" s="15" t="n">
        <v>45211</v>
      </c>
      <c r="C1352" s="15" t="n">
        <f aca="false">B1352</f>
        <v>45211</v>
      </c>
      <c r="D1352" s="16" t="s">
        <v>376</v>
      </c>
      <c r="E1352" s="16" t="s">
        <v>57</v>
      </c>
      <c r="F1352" s="16" t="n">
        <v>635</v>
      </c>
      <c r="G1352" s="17"/>
      <c r="H1352" s="17" t="n">
        <v>137102</v>
      </c>
      <c r="I1352" s="14" t="n">
        <f aca="false">I1351+G1352-H1352</f>
        <v>275348788</v>
      </c>
    </row>
    <row r="1353" customFormat="false" ht="12" hidden="false" customHeight="true" outlineLevel="1" collapsed="false">
      <c r="B1353" s="15" t="n">
        <v>45211</v>
      </c>
      <c r="C1353" s="15" t="n">
        <f aca="false">B1353</f>
        <v>45211</v>
      </c>
      <c r="D1353" s="16" t="s">
        <v>376</v>
      </c>
      <c r="E1353" s="16" t="s">
        <v>23</v>
      </c>
      <c r="F1353" s="16" t="s">
        <v>24</v>
      </c>
      <c r="G1353" s="17"/>
      <c r="H1353" s="17" t="n">
        <v>147983932</v>
      </c>
      <c r="I1353" s="14" t="n">
        <f aca="false">I1352+G1353-H1353</f>
        <v>127364856</v>
      </c>
    </row>
    <row r="1354" customFormat="false" ht="12" hidden="false" customHeight="true" outlineLevel="1" collapsed="false">
      <c r="B1354" s="15" t="n">
        <v>45211</v>
      </c>
      <c r="C1354" s="15" t="n">
        <f aca="false">B1354</f>
        <v>45211</v>
      </c>
      <c r="D1354" s="16" t="s">
        <v>376</v>
      </c>
      <c r="E1354" s="16" t="s">
        <v>23</v>
      </c>
      <c r="F1354" s="16" t="s">
        <v>24</v>
      </c>
      <c r="G1354" s="17"/>
      <c r="H1354" s="17" t="n">
        <v>125000000</v>
      </c>
      <c r="I1354" s="14" t="n">
        <f aca="false">I1353+G1354-H1354</f>
        <v>2364856</v>
      </c>
    </row>
    <row r="1355" customFormat="false" ht="12" hidden="false" customHeight="true" outlineLevel="1" collapsed="false">
      <c r="B1355" s="15" t="n">
        <v>45212</v>
      </c>
      <c r="C1355" s="15" t="n">
        <f aca="false">B1355</f>
        <v>45212</v>
      </c>
      <c r="D1355" s="16" t="s">
        <v>375</v>
      </c>
      <c r="E1355" s="16" t="s">
        <v>157</v>
      </c>
      <c r="F1355" s="16" t="s">
        <v>15</v>
      </c>
      <c r="G1355" s="17" t="n">
        <v>75684000</v>
      </c>
      <c r="H1355" s="17"/>
      <c r="I1355" s="14" t="n">
        <f aca="false">I1354+G1355-H1355</f>
        <v>78048856</v>
      </c>
    </row>
    <row r="1356" customFormat="false" ht="12" hidden="false" customHeight="true" outlineLevel="1" collapsed="false">
      <c r="B1356" s="15" t="n">
        <v>45212</v>
      </c>
      <c r="C1356" s="15" t="n">
        <f aca="false">B1356</f>
        <v>45212</v>
      </c>
      <c r="D1356" s="16" t="s">
        <v>375</v>
      </c>
      <c r="E1356" s="16" t="s">
        <v>157</v>
      </c>
      <c r="F1356" s="16" t="s">
        <v>15</v>
      </c>
      <c r="G1356" s="17" t="n">
        <v>44525000</v>
      </c>
      <c r="H1356" s="17"/>
      <c r="I1356" s="14" t="n">
        <f aca="false">I1355+G1356-H1356</f>
        <v>122573856</v>
      </c>
    </row>
    <row r="1357" customFormat="false" ht="12" hidden="false" customHeight="true" outlineLevel="1" collapsed="false">
      <c r="B1357" s="15" t="n">
        <v>45212</v>
      </c>
      <c r="C1357" s="15" t="n">
        <f aca="false">B1357</f>
        <v>45212</v>
      </c>
      <c r="D1357" s="16" t="s">
        <v>375</v>
      </c>
      <c r="E1357" s="16" t="s">
        <v>157</v>
      </c>
      <c r="F1357" s="16" t="s">
        <v>15</v>
      </c>
      <c r="G1357" s="17" t="n">
        <v>15567000</v>
      </c>
      <c r="H1357" s="17"/>
      <c r="I1357" s="14" t="n">
        <f aca="false">I1356+G1357-H1357</f>
        <v>138140856</v>
      </c>
    </row>
    <row r="1358" customFormat="false" ht="12" hidden="false" customHeight="true" outlineLevel="1" collapsed="false">
      <c r="B1358" s="15" t="n">
        <v>45212</v>
      </c>
      <c r="C1358" s="15" t="n">
        <f aca="false">B1358</f>
        <v>45212</v>
      </c>
      <c r="D1358" s="16" t="s">
        <v>449</v>
      </c>
      <c r="E1358" s="16" t="s">
        <v>455</v>
      </c>
      <c r="F1358" s="16" t="n">
        <v>515</v>
      </c>
      <c r="G1358" s="17" t="n">
        <v>3117000</v>
      </c>
      <c r="H1358" s="17"/>
      <c r="I1358" s="14" t="n">
        <f aca="false">I1357+G1358-H1358</f>
        <v>141257856</v>
      </c>
    </row>
    <row r="1359" customFormat="false" ht="12" hidden="false" customHeight="true" outlineLevel="1" collapsed="false">
      <c r="B1359" s="15" t="n">
        <v>45212</v>
      </c>
      <c r="C1359" s="15" t="n">
        <f aca="false">B1359</f>
        <v>45212</v>
      </c>
      <c r="D1359" s="16" t="s">
        <v>376</v>
      </c>
      <c r="E1359" s="16" t="s">
        <v>178</v>
      </c>
      <c r="F1359" s="16" t="s">
        <v>179</v>
      </c>
      <c r="G1359" s="17"/>
      <c r="H1359" s="17" t="n">
        <v>14875074</v>
      </c>
      <c r="I1359" s="14" t="n">
        <f aca="false">I1358+G1359-H1359</f>
        <v>126382782</v>
      </c>
    </row>
    <row r="1360" customFormat="false" ht="12" hidden="false" customHeight="true" outlineLevel="1" collapsed="false">
      <c r="B1360" s="15" t="n">
        <v>45212</v>
      </c>
      <c r="C1360" s="15" t="n">
        <f aca="false">B1360</f>
        <v>45212</v>
      </c>
      <c r="D1360" s="16" t="s">
        <v>376</v>
      </c>
      <c r="E1360" s="16" t="s">
        <v>23</v>
      </c>
      <c r="F1360" s="16" t="s">
        <v>24</v>
      </c>
      <c r="G1360" s="17"/>
      <c r="H1360" s="17" t="n">
        <v>125000000</v>
      </c>
      <c r="I1360" s="14" t="n">
        <f aca="false">I1359+G1360-H1360</f>
        <v>1382782</v>
      </c>
    </row>
    <row r="1361" customFormat="false" ht="12" hidden="false" customHeight="true" outlineLevel="1" collapsed="false">
      <c r="B1361" s="15" t="n">
        <v>45215</v>
      </c>
      <c r="C1361" s="15" t="n">
        <f aca="false">B1361</f>
        <v>45215</v>
      </c>
      <c r="D1361" s="16" t="s">
        <v>375</v>
      </c>
      <c r="E1361" s="16" t="s">
        <v>157</v>
      </c>
      <c r="F1361" s="16" t="s">
        <v>15</v>
      </c>
      <c r="G1361" s="17" t="n">
        <v>81747000</v>
      </c>
      <c r="H1361" s="17"/>
      <c r="I1361" s="14" t="n">
        <f aca="false">I1360+G1361-H1361</f>
        <v>83129782</v>
      </c>
    </row>
    <row r="1362" customFormat="false" ht="12" hidden="false" customHeight="true" outlineLevel="1" collapsed="false">
      <c r="B1362" s="15" t="n">
        <v>45215</v>
      </c>
      <c r="C1362" s="15" t="n">
        <f aca="false">B1362</f>
        <v>45215</v>
      </c>
      <c r="D1362" s="16" t="s">
        <v>375</v>
      </c>
      <c r="E1362" s="16" t="s">
        <v>157</v>
      </c>
      <c r="F1362" s="16" t="s">
        <v>15</v>
      </c>
      <c r="G1362" s="17" t="n">
        <v>34418000</v>
      </c>
      <c r="H1362" s="17"/>
      <c r="I1362" s="14" t="n">
        <f aca="false">I1361+G1362-H1362</f>
        <v>117547782</v>
      </c>
    </row>
    <row r="1363" customFormat="false" ht="12" hidden="false" customHeight="true" outlineLevel="1" collapsed="false">
      <c r="B1363" s="15" t="n">
        <v>45215</v>
      </c>
      <c r="C1363" s="15" t="n">
        <f aca="false">B1363</f>
        <v>45215</v>
      </c>
      <c r="D1363" s="16" t="s">
        <v>375</v>
      </c>
      <c r="E1363" s="16" t="s">
        <v>157</v>
      </c>
      <c r="F1363" s="16" t="s">
        <v>15</v>
      </c>
      <c r="G1363" s="17" t="n">
        <v>53197000</v>
      </c>
      <c r="H1363" s="17"/>
      <c r="I1363" s="14" t="n">
        <f aca="false">I1362+G1363-H1363</f>
        <v>170744782</v>
      </c>
    </row>
    <row r="1364" customFormat="false" ht="12" hidden="false" customHeight="true" outlineLevel="1" collapsed="false">
      <c r="B1364" s="15" t="n">
        <v>45215</v>
      </c>
      <c r="C1364" s="15" t="n">
        <f aca="false">B1364</f>
        <v>45215</v>
      </c>
      <c r="D1364" s="16" t="s">
        <v>375</v>
      </c>
      <c r="E1364" s="16" t="s">
        <v>157</v>
      </c>
      <c r="F1364" s="16" t="s">
        <v>15</v>
      </c>
      <c r="G1364" s="17" t="n">
        <v>17732000</v>
      </c>
      <c r="H1364" s="17"/>
      <c r="I1364" s="14" t="n">
        <f aca="false">I1363+G1364-H1364</f>
        <v>188476782</v>
      </c>
    </row>
    <row r="1365" customFormat="false" ht="12" hidden="false" customHeight="true" outlineLevel="1" collapsed="false">
      <c r="B1365" s="15" t="n">
        <v>45215</v>
      </c>
      <c r="C1365" s="15" t="n">
        <f aca="false">B1365</f>
        <v>45215</v>
      </c>
      <c r="D1365" s="16" t="s">
        <v>375</v>
      </c>
      <c r="E1365" s="16" t="s">
        <v>157</v>
      </c>
      <c r="F1365" s="16" t="s">
        <v>15</v>
      </c>
      <c r="G1365" s="17" t="n">
        <v>165500000</v>
      </c>
      <c r="H1365" s="17"/>
      <c r="I1365" s="14" t="n">
        <f aca="false">I1364+G1365-H1365</f>
        <v>353976782</v>
      </c>
    </row>
    <row r="1366" customFormat="false" ht="12" hidden="false" customHeight="true" outlineLevel="1" collapsed="false">
      <c r="B1366" s="15" t="n">
        <v>45215</v>
      </c>
      <c r="C1366" s="15" t="n">
        <f aca="false">B1366</f>
        <v>45215</v>
      </c>
      <c r="D1366" s="16" t="s">
        <v>375</v>
      </c>
      <c r="E1366" s="16" t="s">
        <v>157</v>
      </c>
      <c r="F1366" s="16" t="s">
        <v>15</v>
      </c>
      <c r="G1366" s="17" t="n">
        <v>175890000</v>
      </c>
      <c r="H1366" s="17"/>
      <c r="I1366" s="14" t="n">
        <f aca="false">I1365+G1366-H1366</f>
        <v>529866782</v>
      </c>
    </row>
    <row r="1367" customFormat="false" ht="12" hidden="false" customHeight="true" outlineLevel="1" collapsed="false">
      <c r="B1367" s="15" t="n">
        <v>45215</v>
      </c>
      <c r="C1367" s="15" t="n">
        <f aca="false">B1367</f>
        <v>45215</v>
      </c>
      <c r="D1367" s="16" t="s">
        <v>375</v>
      </c>
      <c r="E1367" s="16" t="s">
        <v>157</v>
      </c>
      <c r="F1367" s="16" t="s">
        <v>15</v>
      </c>
      <c r="G1367" s="17" t="n">
        <v>63520000</v>
      </c>
      <c r="H1367" s="17"/>
      <c r="I1367" s="14" t="n">
        <f aca="false">I1366+G1367-H1367</f>
        <v>593386782</v>
      </c>
    </row>
    <row r="1368" customFormat="false" ht="12" hidden="false" customHeight="true" outlineLevel="1" collapsed="false">
      <c r="B1368" s="15" t="n">
        <v>45215</v>
      </c>
      <c r="C1368" s="15" t="n">
        <f aca="false">B1368</f>
        <v>45215</v>
      </c>
      <c r="D1368" s="16" t="s">
        <v>376</v>
      </c>
      <c r="E1368" s="16" t="s">
        <v>178</v>
      </c>
      <c r="F1368" s="16" t="s">
        <v>179</v>
      </c>
      <c r="G1368" s="17"/>
      <c r="H1368" s="17" t="n">
        <v>161558306</v>
      </c>
      <c r="I1368" s="14" t="n">
        <f aca="false">I1367+G1368-H1368</f>
        <v>431828476</v>
      </c>
    </row>
    <row r="1369" customFormat="false" ht="12" hidden="false" customHeight="true" outlineLevel="1" collapsed="false">
      <c r="B1369" s="15" t="n">
        <v>45215</v>
      </c>
      <c r="C1369" s="15" t="n">
        <f aca="false">B1369</f>
        <v>45215</v>
      </c>
      <c r="D1369" s="16" t="s">
        <v>376</v>
      </c>
      <c r="E1369" s="16" t="s">
        <v>36</v>
      </c>
      <c r="F1369" s="16" t="n">
        <v>635</v>
      </c>
      <c r="G1369" s="17"/>
      <c r="H1369" s="17" t="n">
        <v>16152</v>
      </c>
      <c r="I1369" s="14" t="n">
        <f aca="false">I1368+G1369-H1369</f>
        <v>431812324</v>
      </c>
    </row>
    <row r="1370" customFormat="false" ht="12" hidden="false" customHeight="true" outlineLevel="1" collapsed="false">
      <c r="B1370" s="15" t="n">
        <v>45216</v>
      </c>
      <c r="C1370" s="15" t="n">
        <f aca="false">B1370</f>
        <v>45216</v>
      </c>
      <c r="D1370" s="16" t="s">
        <v>376</v>
      </c>
      <c r="E1370" s="16" t="s">
        <v>23</v>
      </c>
      <c r="F1370" s="16" t="s">
        <v>24</v>
      </c>
      <c r="G1370" s="17"/>
      <c r="H1370" s="17" t="n">
        <v>430000000</v>
      </c>
      <c r="I1370" s="14" t="n">
        <f aca="false">I1369+G1370-H1370</f>
        <v>1812324</v>
      </c>
    </row>
    <row r="1371" customFormat="false" ht="12" hidden="false" customHeight="true" outlineLevel="1" collapsed="false">
      <c r="B1371" s="15" t="n">
        <v>45217</v>
      </c>
      <c r="C1371" s="15" t="n">
        <f aca="false">B1371</f>
        <v>45217</v>
      </c>
      <c r="D1371" s="16" t="s">
        <v>375</v>
      </c>
      <c r="E1371" s="16" t="s">
        <v>157</v>
      </c>
      <c r="F1371" s="16" t="s">
        <v>15</v>
      </c>
      <c r="G1371" s="17" t="n">
        <v>74000000</v>
      </c>
      <c r="H1371" s="17"/>
      <c r="I1371" s="14" t="n">
        <f aca="false">I1370+G1371-H1371</f>
        <v>75812324</v>
      </c>
    </row>
    <row r="1372" customFormat="false" ht="12" hidden="false" customHeight="true" outlineLevel="1" collapsed="false">
      <c r="B1372" s="15" t="n">
        <v>45217</v>
      </c>
      <c r="C1372" s="15" t="n">
        <f aca="false">B1372</f>
        <v>45217</v>
      </c>
      <c r="D1372" s="16" t="s">
        <v>376</v>
      </c>
      <c r="E1372" s="16" t="s">
        <v>23</v>
      </c>
      <c r="F1372" s="16" t="s">
        <v>24</v>
      </c>
      <c r="G1372" s="17"/>
      <c r="H1372" s="17" t="n">
        <v>74000000</v>
      </c>
      <c r="I1372" s="14" t="n">
        <f aca="false">I1371+G1372-H1372</f>
        <v>1812324</v>
      </c>
    </row>
    <row r="1373" customFormat="false" ht="12" hidden="false" customHeight="true" outlineLevel="1" collapsed="false">
      <c r="B1373" s="15" t="n">
        <v>45219</v>
      </c>
      <c r="C1373" s="15" t="n">
        <f aca="false">B1373</f>
        <v>45219</v>
      </c>
      <c r="D1373" s="16" t="s">
        <v>375</v>
      </c>
      <c r="E1373" s="16" t="s">
        <v>157</v>
      </c>
      <c r="F1373" s="16" t="s">
        <v>15</v>
      </c>
      <c r="G1373" s="17" t="n">
        <v>37029000</v>
      </c>
      <c r="H1373" s="17"/>
      <c r="I1373" s="14" t="n">
        <f aca="false">I1372+G1373-H1373</f>
        <v>38841324</v>
      </c>
    </row>
    <row r="1374" customFormat="false" ht="12" hidden="false" customHeight="true" outlineLevel="1" collapsed="false">
      <c r="B1374" s="15" t="n">
        <v>45219</v>
      </c>
      <c r="C1374" s="15" t="n">
        <f aca="false">B1374</f>
        <v>45219</v>
      </c>
      <c r="D1374" s="16" t="s">
        <v>375</v>
      </c>
      <c r="E1374" s="16" t="s">
        <v>157</v>
      </c>
      <c r="F1374" s="16" t="s">
        <v>15</v>
      </c>
      <c r="G1374" s="17" t="n">
        <v>9702000</v>
      </c>
      <c r="H1374" s="17"/>
      <c r="I1374" s="14" t="n">
        <f aca="false">I1373+G1374-H1374</f>
        <v>48543324</v>
      </c>
    </row>
    <row r="1375" customFormat="false" ht="12" hidden="false" customHeight="true" outlineLevel="1" collapsed="false">
      <c r="B1375" s="15" t="n">
        <v>45219</v>
      </c>
      <c r="C1375" s="15" t="n">
        <f aca="false">B1375</f>
        <v>45219</v>
      </c>
      <c r="D1375" s="16" t="s">
        <v>375</v>
      </c>
      <c r="E1375" s="16" t="s">
        <v>157</v>
      </c>
      <c r="F1375" s="16" t="s">
        <v>15</v>
      </c>
      <c r="G1375" s="17" t="n">
        <v>198956000</v>
      </c>
      <c r="H1375" s="17"/>
      <c r="I1375" s="14" t="n">
        <f aca="false">I1374+G1375-H1375</f>
        <v>247499324</v>
      </c>
    </row>
    <row r="1376" customFormat="false" ht="12" hidden="false" customHeight="true" outlineLevel="1" collapsed="false">
      <c r="B1376" s="15" t="n">
        <v>45219</v>
      </c>
      <c r="C1376" s="15" t="n">
        <f aca="false">B1376</f>
        <v>45219</v>
      </c>
      <c r="D1376" s="16" t="s">
        <v>375</v>
      </c>
      <c r="E1376" s="16" t="s">
        <v>157</v>
      </c>
      <c r="F1376" s="16" t="s">
        <v>15</v>
      </c>
      <c r="G1376" s="17" t="n">
        <v>110000000</v>
      </c>
      <c r="H1376" s="17"/>
      <c r="I1376" s="14" t="n">
        <f aca="false">I1375+G1376-H1376</f>
        <v>357499324</v>
      </c>
    </row>
    <row r="1377" customFormat="false" ht="12" hidden="false" customHeight="true" outlineLevel="1" collapsed="false">
      <c r="B1377" s="15" t="n">
        <v>45219</v>
      </c>
      <c r="C1377" s="15" t="n">
        <f aca="false">B1377</f>
        <v>45219</v>
      </c>
      <c r="D1377" s="16" t="s">
        <v>376</v>
      </c>
      <c r="E1377" s="16" t="s">
        <v>23</v>
      </c>
      <c r="F1377" s="16" t="s">
        <v>24</v>
      </c>
      <c r="G1377" s="17"/>
      <c r="H1377" s="17" t="n">
        <v>356000000</v>
      </c>
      <c r="I1377" s="14" t="n">
        <f aca="false">I1376+G1377-H1377</f>
        <v>1499324</v>
      </c>
    </row>
    <row r="1378" customFormat="false" ht="12" hidden="false" customHeight="true" outlineLevel="1" collapsed="false">
      <c r="B1378" s="15" t="n">
        <v>45222</v>
      </c>
      <c r="C1378" s="15" t="n">
        <f aca="false">B1378</f>
        <v>45222</v>
      </c>
      <c r="D1378" s="16" t="s">
        <v>375</v>
      </c>
      <c r="E1378" s="16" t="s">
        <v>157</v>
      </c>
      <c r="F1378" s="16" t="s">
        <v>15</v>
      </c>
      <c r="G1378" s="17" t="n">
        <v>24642000</v>
      </c>
      <c r="H1378" s="17"/>
      <c r="I1378" s="14" t="n">
        <f aca="false">I1377+G1378-H1378</f>
        <v>26141324</v>
      </c>
    </row>
    <row r="1379" customFormat="false" ht="12" hidden="false" customHeight="true" outlineLevel="1" collapsed="false">
      <c r="B1379" s="15" t="n">
        <v>45222</v>
      </c>
      <c r="C1379" s="15" t="n">
        <f aca="false">B1379</f>
        <v>45222</v>
      </c>
      <c r="D1379" s="16" t="s">
        <v>375</v>
      </c>
      <c r="E1379" s="16" t="s">
        <v>157</v>
      </c>
      <c r="F1379" s="16" t="s">
        <v>15</v>
      </c>
      <c r="G1379" s="17" t="n">
        <v>55344000</v>
      </c>
      <c r="H1379" s="17"/>
      <c r="I1379" s="14" t="n">
        <f aca="false">I1378+G1379-H1379</f>
        <v>81485324</v>
      </c>
    </row>
    <row r="1380" customFormat="false" ht="12" hidden="false" customHeight="true" outlineLevel="1" collapsed="false">
      <c r="B1380" s="15" t="n">
        <v>45222</v>
      </c>
      <c r="C1380" s="15" t="n">
        <f aca="false">B1380</f>
        <v>45222</v>
      </c>
      <c r="D1380" s="16" t="s">
        <v>375</v>
      </c>
      <c r="E1380" s="16" t="s">
        <v>157</v>
      </c>
      <c r="F1380" s="16" t="s">
        <v>15</v>
      </c>
      <c r="G1380" s="17" t="n">
        <v>12486000</v>
      </c>
      <c r="H1380" s="17"/>
      <c r="I1380" s="14" t="n">
        <f aca="false">I1379+G1380-H1380</f>
        <v>93971324</v>
      </c>
    </row>
    <row r="1381" customFormat="false" ht="12" hidden="false" customHeight="true" outlineLevel="1" collapsed="false">
      <c r="B1381" s="15" t="n">
        <v>45222</v>
      </c>
      <c r="C1381" s="15" t="n">
        <f aca="false">B1381</f>
        <v>45222</v>
      </c>
      <c r="D1381" s="16" t="s">
        <v>375</v>
      </c>
      <c r="E1381" s="16" t="s">
        <v>157</v>
      </c>
      <c r="F1381" s="16" t="s">
        <v>15</v>
      </c>
      <c r="G1381" s="17" t="n">
        <v>48747000</v>
      </c>
      <c r="H1381" s="17"/>
      <c r="I1381" s="14" t="n">
        <f aca="false">I1380+G1381-H1381</f>
        <v>142718324</v>
      </c>
    </row>
    <row r="1382" customFormat="false" ht="12" hidden="false" customHeight="true" outlineLevel="1" collapsed="false">
      <c r="B1382" s="15" t="n">
        <v>45222</v>
      </c>
      <c r="C1382" s="15" t="n">
        <f aca="false">B1382</f>
        <v>45222</v>
      </c>
      <c r="D1382" s="16" t="s">
        <v>375</v>
      </c>
      <c r="E1382" s="16" t="s">
        <v>157</v>
      </c>
      <c r="F1382" s="16" t="s">
        <v>15</v>
      </c>
      <c r="G1382" s="17" t="n">
        <v>217973000</v>
      </c>
      <c r="H1382" s="17"/>
      <c r="I1382" s="14" t="n">
        <f aca="false">I1381+G1382-H1382</f>
        <v>360691324</v>
      </c>
    </row>
    <row r="1383" customFormat="false" ht="12" hidden="false" customHeight="true" outlineLevel="1" collapsed="false">
      <c r="B1383" s="15" t="n">
        <v>45222</v>
      </c>
      <c r="C1383" s="15" t="n">
        <f aca="false">B1383</f>
        <v>45222</v>
      </c>
      <c r="D1383" s="16" t="s">
        <v>375</v>
      </c>
      <c r="E1383" s="16" t="s">
        <v>157</v>
      </c>
      <c r="F1383" s="16" t="s">
        <v>15</v>
      </c>
      <c r="G1383" s="17" t="n">
        <v>152726000</v>
      </c>
      <c r="H1383" s="17"/>
      <c r="I1383" s="14" t="n">
        <f aca="false">I1382+G1383-H1383</f>
        <v>513417324</v>
      </c>
    </row>
    <row r="1384" customFormat="false" ht="12" hidden="false" customHeight="true" outlineLevel="1" collapsed="false">
      <c r="B1384" s="15" t="n">
        <v>45222</v>
      </c>
      <c r="C1384" s="15" t="n">
        <f aca="false">B1384</f>
        <v>45222</v>
      </c>
      <c r="D1384" s="16" t="s">
        <v>375</v>
      </c>
      <c r="E1384" s="16" t="s">
        <v>157</v>
      </c>
      <c r="F1384" s="16" t="s">
        <v>15</v>
      </c>
      <c r="G1384" s="17" t="n">
        <v>86365000</v>
      </c>
      <c r="H1384" s="17"/>
      <c r="I1384" s="14" t="n">
        <f aca="false">I1383+G1384-H1384</f>
        <v>599782324</v>
      </c>
    </row>
    <row r="1385" customFormat="false" ht="12" hidden="false" customHeight="true" outlineLevel="1" collapsed="false">
      <c r="B1385" s="15" t="n">
        <v>45222</v>
      </c>
      <c r="C1385" s="15" t="n">
        <f aca="false">B1385</f>
        <v>45222</v>
      </c>
      <c r="D1385" s="16" t="s">
        <v>375</v>
      </c>
      <c r="E1385" s="16" t="s">
        <v>157</v>
      </c>
      <c r="F1385" s="16" t="s">
        <v>15</v>
      </c>
      <c r="G1385" s="17" t="n">
        <v>100000000</v>
      </c>
      <c r="H1385" s="17"/>
      <c r="I1385" s="14" t="n">
        <f aca="false">I1384+G1385-H1385</f>
        <v>699782324</v>
      </c>
    </row>
    <row r="1386" customFormat="false" ht="12" hidden="false" customHeight="true" outlineLevel="1" collapsed="false">
      <c r="B1386" s="15" t="n">
        <v>45222</v>
      </c>
      <c r="C1386" s="15" t="n">
        <f aca="false">B1386</f>
        <v>45222</v>
      </c>
      <c r="D1386" s="16" t="s">
        <v>376</v>
      </c>
      <c r="E1386" s="16" t="s">
        <v>23</v>
      </c>
      <c r="F1386" s="16" t="s">
        <v>24</v>
      </c>
      <c r="G1386" s="17"/>
      <c r="H1386" s="17" t="n">
        <v>697000000</v>
      </c>
      <c r="I1386" s="14" t="n">
        <f aca="false">I1385+G1386-H1386</f>
        <v>2782324</v>
      </c>
    </row>
    <row r="1387" customFormat="false" ht="12" hidden="false" customHeight="true" outlineLevel="1" collapsed="false">
      <c r="B1387" s="15" t="n">
        <v>45223</v>
      </c>
      <c r="C1387" s="15" t="n">
        <f aca="false">B1387</f>
        <v>45223</v>
      </c>
      <c r="D1387" s="16" t="s">
        <v>375</v>
      </c>
      <c r="E1387" s="16" t="s">
        <v>157</v>
      </c>
      <c r="F1387" s="16" t="s">
        <v>15</v>
      </c>
      <c r="G1387" s="17" t="n">
        <v>31132000</v>
      </c>
      <c r="H1387" s="17"/>
      <c r="I1387" s="14" t="n">
        <f aca="false">I1386+G1387-H1387</f>
        <v>33914324</v>
      </c>
    </row>
    <row r="1388" customFormat="false" ht="12" hidden="false" customHeight="true" outlineLevel="1" collapsed="false">
      <c r="B1388" s="15" t="n">
        <v>45223</v>
      </c>
      <c r="C1388" s="15" t="n">
        <f aca="false">B1388</f>
        <v>45223</v>
      </c>
      <c r="D1388" s="16" t="s">
        <v>375</v>
      </c>
      <c r="E1388" s="16" t="s">
        <v>157</v>
      </c>
      <c r="F1388" s="16" t="s">
        <v>15</v>
      </c>
      <c r="G1388" s="17" t="n">
        <v>61001000</v>
      </c>
      <c r="H1388" s="17"/>
      <c r="I1388" s="14" t="n">
        <f aca="false">I1387+G1388-H1388</f>
        <v>94915324</v>
      </c>
    </row>
    <row r="1389" customFormat="false" ht="12" hidden="false" customHeight="true" outlineLevel="1" collapsed="false">
      <c r="B1389" s="15" t="n">
        <v>45223</v>
      </c>
      <c r="C1389" s="15" t="n">
        <f aca="false">B1389</f>
        <v>45223</v>
      </c>
      <c r="D1389" s="16" t="s">
        <v>375</v>
      </c>
      <c r="E1389" s="16" t="s">
        <v>157</v>
      </c>
      <c r="F1389" s="16" t="s">
        <v>15</v>
      </c>
      <c r="G1389" s="17" t="n">
        <v>153376000</v>
      </c>
      <c r="H1389" s="17"/>
      <c r="I1389" s="14" t="n">
        <f aca="false">I1388+G1389-H1389</f>
        <v>248291324</v>
      </c>
    </row>
    <row r="1390" customFormat="false" ht="12" hidden="false" customHeight="true" outlineLevel="1" collapsed="false">
      <c r="B1390" s="15" t="n">
        <v>45223</v>
      </c>
      <c r="C1390" s="15" t="n">
        <f aca="false">B1390</f>
        <v>45223</v>
      </c>
      <c r="D1390" s="16" t="s">
        <v>375</v>
      </c>
      <c r="E1390" s="16" t="s">
        <v>157</v>
      </c>
      <c r="F1390" s="16" t="s">
        <v>15</v>
      </c>
      <c r="G1390" s="17" t="n">
        <v>500000</v>
      </c>
      <c r="H1390" s="17"/>
      <c r="I1390" s="14" t="n">
        <f aca="false">I1389+G1390-H1390</f>
        <v>248791324</v>
      </c>
    </row>
    <row r="1391" customFormat="false" ht="12" hidden="false" customHeight="true" outlineLevel="1" collapsed="false">
      <c r="B1391" s="15" t="n">
        <v>45223</v>
      </c>
      <c r="C1391" s="15" t="n">
        <f aca="false">B1391</f>
        <v>45223</v>
      </c>
      <c r="D1391" s="16" t="s">
        <v>375</v>
      </c>
      <c r="E1391" s="16" t="s">
        <v>157</v>
      </c>
      <c r="F1391" s="16" t="s">
        <v>15</v>
      </c>
      <c r="G1391" s="17" t="n">
        <v>34000000</v>
      </c>
      <c r="H1391" s="17"/>
      <c r="I1391" s="14" t="n">
        <f aca="false">I1390+G1391-H1391</f>
        <v>282791324</v>
      </c>
    </row>
    <row r="1392" customFormat="false" ht="12" hidden="false" customHeight="true" outlineLevel="1" collapsed="false">
      <c r="B1392" s="15" t="n">
        <v>45223</v>
      </c>
      <c r="C1392" s="15" t="n">
        <f aca="false">B1392</f>
        <v>45223</v>
      </c>
      <c r="D1392" s="16" t="s">
        <v>376</v>
      </c>
      <c r="E1392" s="16" t="s">
        <v>57</v>
      </c>
      <c r="F1392" s="16" t="n">
        <v>635</v>
      </c>
      <c r="G1392" s="17"/>
      <c r="H1392" s="17" t="n">
        <v>106318</v>
      </c>
      <c r="I1392" s="14" t="n">
        <f aca="false">I1391+G1392-H1392</f>
        <v>282685006</v>
      </c>
    </row>
    <row r="1393" customFormat="false" ht="12" hidden="false" customHeight="true" outlineLevel="1" collapsed="false">
      <c r="B1393" s="15" t="n">
        <v>45223</v>
      </c>
      <c r="C1393" s="15" t="n">
        <f aca="false">B1393</f>
        <v>45223</v>
      </c>
      <c r="D1393" s="16" t="s">
        <v>376</v>
      </c>
      <c r="E1393" s="16" t="s">
        <v>23</v>
      </c>
      <c r="F1393" s="16" t="s">
        <v>24</v>
      </c>
      <c r="G1393" s="17"/>
      <c r="H1393" s="17" t="n">
        <v>280000000</v>
      </c>
      <c r="I1393" s="14" t="n">
        <f aca="false">I1392+G1393-H1393</f>
        <v>2685006</v>
      </c>
    </row>
    <row r="1394" customFormat="false" ht="12" hidden="false" customHeight="true" outlineLevel="1" collapsed="false">
      <c r="B1394" s="15" t="n">
        <v>45223</v>
      </c>
      <c r="C1394" s="15" t="n">
        <f aca="false">B1394</f>
        <v>45223</v>
      </c>
      <c r="D1394" s="16" t="s">
        <v>376</v>
      </c>
      <c r="E1394" s="16" t="s">
        <v>57</v>
      </c>
      <c r="F1394" s="16" t="n">
        <v>635</v>
      </c>
      <c r="G1394" s="17"/>
      <c r="H1394" s="17" t="n">
        <v>1433176</v>
      </c>
      <c r="I1394" s="14" t="n">
        <f aca="false">I1393+G1394-H1394</f>
        <v>1251830</v>
      </c>
    </row>
    <row r="1395" customFormat="false" ht="12" hidden="false" customHeight="true" outlineLevel="1" collapsed="false">
      <c r="B1395" s="15" t="n">
        <v>45224</v>
      </c>
      <c r="C1395" s="15" t="n">
        <f aca="false">B1395</f>
        <v>45224</v>
      </c>
      <c r="D1395" s="16" t="s">
        <v>375</v>
      </c>
      <c r="E1395" s="16" t="s">
        <v>157</v>
      </c>
      <c r="F1395" s="16" t="s">
        <v>15</v>
      </c>
      <c r="G1395" s="17" t="n">
        <v>57000000</v>
      </c>
      <c r="H1395" s="17"/>
      <c r="I1395" s="14" t="n">
        <f aca="false">I1394+G1395-H1395</f>
        <v>58251830</v>
      </c>
    </row>
    <row r="1396" customFormat="false" ht="12" hidden="false" customHeight="true" outlineLevel="1" collapsed="false">
      <c r="B1396" s="15" t="n">
        <v>45224</v>
      </c>
      <c r="C1396" s="15" t="n">
        <f aca="false">B1396</f>
        <v>45224</v>
      </c>
      <c r="D1396" s="16" t="s">
        <v>375</v>
      </c>
      <c r="E1396" s="16" t="s">
        <v>157</v>
      </c>
      <c r="F1396" s="16" t="s">
        <v>15</v>
      </c>
      <c r="G1396" s="17" t="n">
        <v>39746000</v>
      </c>
      <c r="H1396" s="17"/>
      <c r="I1396" s="14" t="n">
        <f aca="false">I1395+G1396-H1396</f>
        <v>97997830</v>
      </c>
    </row>
    <row r="1397" customFormat="false" ht="12" hidden="false" customHeight="true" outlineLevel="1" collapsed="false">
      <c r="B1397" s="15" t="n">
        <v>45224</v>
      </c>
      <c r="C1397" s="15" t="n">
        <f aca="false">B1397</f>
        <v>45224</v>
      </c>
      <c r="D1397" s="16" t="s">
        <v>375</v>
      </c>
      <c r="E1397" s="16" t="s">
        <v>157</v>
      </c>
      <c r="F1397" s="16" t="s">
        <v>15</v>
      </c>
      <c r="G1397" s="17" t="n">
        <v>53696000</v>
      </c>
      <c r="H1397" s="17"/>
      <c r="I1397" s="14" t="n">
        <f aca="false">I1396+G1397-H1397</f>
        <v>151693830</v>
      </c>
    </row>
    <row r="1398" customFormat="false" ht="12" hidden="false" customHeight="true" outlineLevel="1" collapsed="false">
      <c r="B1398" s="15" t="n">
        <v>45224</v>
      </c>
      <c r="C1398" s="15" t="n">
        <f aca="false">B1398</f>
        <v>45224</v>
      </c>
      <c r="D1398" s="16" t="s">
        <v>375</v>
      </c>
      <c r="E1398" s="16" t="s">
        <v>157</v>
      </c>
      <c r="F1398" s="16" t="s">
        <v>15</v>
      </c>
      <c r="G1398" s="17" t="n">
        <v>149901000</v>
      </c>
      <c r="H1398" s="17"/>
      <c r="I1398" s="14" t="n">
        <f aca="false">I1397+G1398-H1398</f>
        <v>301594830</v>
      </c>
    </row>
    <row r="1399" customFormat="false" ht="12" hidden="false" customHeight="true" outlineLevel="1" collapsed="false">
      <c r="B1399" s="15" t="n">
        <v>45224</v>
      </c>
      <c r="C1399" s="15" t="n">
        <f aca="false">B1399</f>
        <v>45224</v>
      </c>
      <c r="D1399" s="16" t="s">
        <v>376</v>
      </c>
      <c r="E1399" s="16" t="s">
        <v>57</v>
      </c>
      <c r="F1399" s="16" t="n">
        <v>635</v>
      </c>
      <c r="G1399" s="17"/>
      <c r="H1399" s="17" t="n">
        <v>77235</v>
      </c>
      <c r="I1399" s="14" t="n">
        <f aca="false">I1398+G1399-H1399</f>
        <v>301517595</v>
      </c>
    </row>
    <row r="1400" customFormat="false" ht="12" hidden="false" customHeight="true" outlineLevel="1" collapsed="false">
      <c r="B1400" s="15" t="n">
        <v>45224</v>
      </c>
      <c r="C1400" s="15" t="n">
        <f aca="false">B1400</f>
        <v>45224</v>
      </c>
      <c r="D1400" s="16" t="s">
        <v>376</v>
      </c>
      <c r="E1400" s="16" t="s">
        <v>23</v>
      </c>
      <c r="F1400" s="16" t="s">
        <v>24</v>
      </c>
      <c r="G1400" s="17"/>
      <c r="H1400" s="17" t="n">
        <v>300000000</v>
      </c>
      <c r="I1400" s="14" t="n">
        <f aca="false">I1399+G1400-H1400</f>
        <v>1517595</v>
      </c>
    </row>
    <row r="1401" customFormat="false" ht="12" hidden="false" customHeight="true" outlineLevel="1" collapsed="false">
      <c r="B1401" s="15" t="n">
        <v>45224</v>
      </c>
      <c r="C1401" s="15" t="n">
        <f aca="false">B1401</f>
        <v>45224</v>
      </c>
      <c r="D1401" s="16" t="s">
        <v>449</v>
      </c>
      <c r="E1401" s="16" t="s">
        <v>453</v>
      </c>
      <c r="F1401" s="16" t="n">
        <v>515</v>
      </c>
      <c r="G1401" s="17" t="n">
        <v>7917</v>
      </c>
      <c r="H1401" s="17"/>
      <c r="I1401" s="14" t="n">
        <f aca="false">I1400+G1401-H1401</f>
        <v>1525512</v>
      </c>
    </row>
    <row r="1402" customFormat="false" ht="12" hidden="false" customHeight="true" outlineLevel="1" collapsed="false">
      <c r="B1402" s="15" t="n">
        <v>45225</v>
      </c>
      <c r="C1402" s="15" t="n">
        <f aca="false">B1402</f>
        <v>45225</v>
      </c>
      <c r="D1402" s="16" t="s">
        <v>375</v>
      </c>
      <c r="E1402" s="16" t="s">
        <v>157</v>
      </c>
      <c r="F1402" s="16" t="s">
        <v>15</v>
      </c>
      <c r="G1402" s="17" t="n">
        <v>42739000</v>
      </c>
      <c r="H1402" s="17"/>
      <c r="I1402" s="14" t="n">
        <f aca="false">I1401+G1402-H1402</f>
        <v>44264512</v>
      </c>
    </row>
    <row r="1403" customFormat="false" ht="12" hidden="false" customHeight="true" outlineLevel="1" collapsed="false">
      <c r="B1403" s="15" t="n">
        <v>45225</v>
      </c>
      <c r="C1403" s="15" t="n">
        <f aca="false">B1403</f>
        <v>45225</v>
      </c>
      <c r="D1403" s="16" t="s">
        <v>375</v>
      </c>
      <c r="E1403" s="16" t="s">
        <v>157</v>
      </c>
      <c r="F1403" s="16" t="s">
        <v>15</v>
      </c>
      <c r="G1403" s="17" t="n">
        <v>35111000</v>
      </c>
      <c r="H1403" s="17"/>
      <c r="I1403" s="14" t="n">
        <f aca="false">I1402+G1403-H1403</f>
        <v>79375512</v>
      </c>
    </row>
    <row r="1404" customFormat="false" ht="12" hidden="false" customHeight="true" outlineLevel="1" collapsed="false">
      <c r="B1404" s="15" t="n">
        <v>45225</v>
      </c>
      <c r="C1404" s="15" t="n">
        <f aca="false">B1404</f>
        <v>45225</v>
      </c>
      <c r="D1404" s="16" t="s">
        <v>375</v>
      </c>
      <c r="E1404" s="16" t="s">
        <v>157</v>
      </c>
      <c r="F1404" s="16" t="s">
        <v>15</v>
      </c>
      <c r="G1404" s="17" t="n">
        <v>46463000</v>
      </c>
      <c r="H1404" s="17"/>
      <c r="I1404" s="14" t="n">
        <f aca="false">I1403+G1404-H1404</f>
        <v>125838512</v>
      </c>
    </row>
    <row r="1405" customFormat="false" ht="12" hidden="false" customHeight="true" outlineLevel="1" collapsed="false">
      <c r="B1405" s="15" t="n">
        <v>45225</v>
      </c>
      <c r="C1405" s="15" t="n">
        <f aca="false">B1405</f>
        <v>45225</v>
      </c>
      <c r="D1405" s="16" t="s">
        <v>375</v>
      </c>
      <c r="E1405" s="16" t="s">
        <v>157</v>
      </c>
      <c r="F1405" s="16" t="s">
        <v>15</v>
      </c>
      <c r="G1405" s="17" t="n">
        <v>51617000</v>
      </c>
      <c r="H1405" s="17"/>
      <c r="I1405" s="14" t="n">
        <f aca="false">I1404+G1405-H1405</f>
        <v>177455512</v>
      </c>
    </row>
    <row r="1406" customFormat="false" ht="12" hidden="false" customHeight="true" outlineLevel="1" collapsed="false">
      <c r="B1406" s="15" t="n">
        <v>45225</v>
      </c>
      <c r="C1406" s="15" t="n">
        <f aca="false">B1406</f>
        <v>45225</v>
      </c>
      <c r="D1406" s="16" t="s">
        <v>375</v>
      </c>
      <c r="E1406" s="16" t="s">
        <v>157</v>
      </c>
      <c r="F1406" s="16" t="s">
        <v>15</v>
      </c>
      <c r="G1406" s="17" t="n">
        <v>140221000</v>
      </c>
      <c r="H1406" s="17"/>
      <c r="I1406" s="14" t="n">
        <f aca="false">I1405+G1406-H1406</f>
        <v>317676512</v>
      </c>
    </row>
    <row r="1407" customFormat="false" ht="12" hidden="false" customHeight="true" outlineLevel="1" collapsed="false">
      <c r="B1407" s="15" t="n">
        <v>45225</v>
      </c>
      <c r="C1407" s="15" t="n">
        <f aca="false">B1407</f>
        <v>45225</v>
      </c>
      <c r="D1407" s="16" t="s">
        <v>376</v>
      </c>
      <c r="E1407" s="16" t="s">
        <v>23</v>
      </c>
      <c r="F1407" s="16" t="s">
        <v>24</v>
      </c>
      <c r="G1407" s="17"/>
      <c r="H1407" s="17" t="n">
        <v>310000000</v>
      </c>
      <c r="I1407" s="14" t="n">
        <f aca="false">I1406+G1407-H1407</f>
        <v>7676512</v>
      </c>
    </row>
    <row r="1408" customFormat="false" ht="12" hidden="false" customHeight="true" outlineLevel="1" collapsed="false">
      <c r="B1408" s="15" t="n">
        <v>45225</v>
      </c>
      <c r="C1408" s="15" t="n">
        <f aca="false">B1408</f>
        <v>45225</v>
      </c>
      <c r="D1408" s="16" t="s">
        <v>376</v>
      </c>
      <c r="E1408" s="16" t="s">
        <v>57</v>
      </c>
      <c r="F1408" s="16" t="n">
        <v>635</v>
      </c>
      <c r="G1408" s="17"/>
      <c r="H1408" s="17" t="n">
        <v>1415365</v>
      </c>
      <c r="I1408" s="14" t="n">
        <f aca="false">I1407+G1408-H1408</f>
        <v>6261147</v>
      </c>
    </row>
    <row r="1409" customFormat="false" ht="12" hidden="false" customHeight="true" outlineLevel="1" collapsed="false">
      <c r="B1409" s="15" t="n">
        <v>45225</v>
      </c>
      <c r="C1409" s="15" t="n">
        <f aca="false">B1409</f>
        <v>45225</v>
      </c>
      <c r="D1409" s="16" t="s">
        <v>376</v>
      </c>
      <c r="E1409" s="16" t="s">
        <v>57</v>
      </c>
      <c r="F1409" s="16" t="n">
        <v>635</v>
      </c>
      <c r="G1409" s="17"/>
      <c r="H1409" s="17" t="n">
        <v>91576</v>
      </c>
      <c r="I1409" s="14" t="n">
        <f aca="false">I1408+G1409-H1409</f>
        <v>6169571</v>
      </c>
    </row>
    <row r="1410" customFormat="false" ht="12" hidden="false" customHeight="true" outlineLevel="1" collapsed="false">
      <c r="B1410" s="15" t="n">
        <v>45225</v>
      </c>
      <c r="C1410" s="15" t="n">
        <f aca="false">B1410</f>
        <v>45225</v>
      </c>
      <c r="D1410" s="16" t="s">
        <v>376</v>
      </c>
      <c r="E1410" s="16" t="s">
        <v>57</v>
      </c>
      <c r="F1410" s="16" t="n">
        <v>635</v>
      </c>
      <c r="G1410" s="17"/>
      <c r="H1410" s="17" t="n">
        <v>4698955</v>
      </c>
      <c r="I1410" s="14" t="n">
        <f aca="false">I1409+G1410-H1410</f>
        <v>1470616</v>
      </c>
    </row>
    <row r="1411" customFormat="false" ht="12" hidden="false" customHeight="true" outlineLevel="1" collapsed="false">
      <c r="B1411" s="15" t="n">
        <v>45225</v>
      </c>
      <c r="C1411" s="15" t="n">
        <f aca="false">B1411</f>
        <v>45225</v>
      </c>
      <c r="D1411" s="16" t="s">
        <v>376</v>
      </c>
      <c r="E1411" s="16" t="s">
        <v>57</v>
      </c>
      <c r="F1411" s="16" t="n">
        <v>635</v>
      </c>
      <c r="G1411" s="17"/>
      <c r="H1411" s="17" t="n">
        <v>1470616</v>
      </c>
      <c r="I1411" s="14" t="n">
        <f aca="false">I1410+G1411-H1411</f>
        <v>0</v>
      </c>
    </row>
    <row r="1412" customFormat="false" ht="12" hidden="false" customHeight="true" outlineLevel="1" collapsed="false">
      <c r="B1412" s="15" t="n">
        <v>45226</v>
      </c>
      <c r="C1412" s="15" t="n">
        <f aca="false">B1412</f>
        <v>45226</v>
      </c>
      <c r="D1412" s="16" t="s">
        <v>375</v>
      </c>
      <c r="E1412" s="16" t="s">
        <v>157</v>
      </c>
      <c r="F1412" s="16" t="s">
        <v>15</v>
      </c>
      <c r="G1412" s="17" t="n">
        <v>39000000</v>
      </c>
      <c r="H1412" s="17"/>
      <c r="I1412" s="14" t="n">
        <f aca="false">I1411+G1412-H1412</f>
        <v>39000000</v>
      </c>
    </row>
    <row r="1413" customFormat="false" ht="12" hidden="false" customHeight="true" outlineLevel="1" collapsed="false">
      <c r="B1413" s="15" t="n">
        <v>45226</v>
      </c>
      <c r="C1413" s="15" t="n">
        <f aca="false">B1413</f>
        <v>45226</v>
      </c>
      <c r="D1413" s="16" t="s">
        <v>376</v>
      </c>
      <c r="E1413" s="16" t="s">
        <v>23</v>
      </c>
      <c r="F1413" s="16" t="s">
        <v>24</v>
      </c>
      <c r="G1413" s="17"/>
      <c r="H1413" s="17" t="n">
        <v>18854013</v>
      </c>
      <c r="I1413" s="14" t="n">
        <f aca="false">I1412+G1413-H1413</f>
        <v>20145987</v>
      </c>
    </row>
    <row r="1414" customFormat="false" ht="12" hidden="false" customHeight="true" outlineLevel="1" collapsed="false">
      <c r="B1414" s="15" t="n">
        <v>45226</v>
      </c>
      <c r="C1414" s="15" t="n">
        <f aca="false">B1414</f>
        <v>45226</v>
      </c>
      <c r="D1414" s="16" t="s">
        <v>376</v>
      </c>
      <c r="E1414" s="16" t="s">
        <v>36</v>
      </c>
      <c r="F1414" s="16" t="n">
        <v>635</v>
      </c>
      <c r="G1414" s="17"/>
      <c r="H1414" s="17" t="n">
        <v>84090</v>
      </c>
      <c r="I1414" s="14" t="n">
        <f aca="false">I1413+G1414-H1414</f>
        <v>20061897</v>
      </c>
    </row>
    <row r="1415" customFormat="false" ht="12" hidden="false" customHeight="true" outlineLevel="1" collapsed="false">
      <c r="B1415" s="15" t="n">
        <v>45226</v>
      </c>
      <c r="C1415" s="15" t="n">
        <f aca="false">B1415</f>
        <v>45226</v>
      </c>
      <c r="D1415" s="16" t="s">
        <v>376</v>
      </c>
      <c r="E1415" s="16" t="s">
        <v>23</v>
      </c>
      <c r="F1415" s="16" t="s">
        <v>24</v>
      </c>
      <c r="G1415" s="17"/>
      <c r="H1415" s="17" t="n">
        <v>4493726</v>
      </c>
      <c r="I1415" s="14" t="n">
        <f aca="false">I1414+G1415-H1415</f>
        <v>15568171</v>
      </c>
    </row>
    <row r="1416" customFormat="false" ht="12" hidden="false" customHeight="true" outlineLevel="1" collapsed="false">
      <c r="B1416" s="15" t="n">
        <v>45226</v>
      </c>
      <c r="C1416" s="15" t="n">
        <f aca="false">B1416</f>
        <v>45226</v>
      </c>
      <c r="D1416" s="16" t="s">
        <v>376</v>
      </c>
      <c r="E1416" s="16" t="s">
        <v>23</v>
      </c>
      <c r="F1416" s="16" t="s">
        <v>24</v>
      </c>
      <c r="G1416" s="17"/>
      <c r="H1416" s="17" t="n">
        <v>15568171</v>
      </c>
      <c r="I1416" s="14" t="n">
        <f aca="false">I1415+G1416-H1416</f>
        <v>0</v>
      </c>
    </row>
    <row r="1417" customFormat="false" ht="12" hidden="false" customHeight="true" outlineLevel="1" collapsed="false">
      <c r="B1417" s="15" t="n">
        <v>45229</v>
      </c>
      <c r="C1417" s="15" t="n">
        <f aca="false">B1417</f>
        <v>45229</v>
      </c>
      <c r="D1417" s="16" t="s">
        <v>375</v>
      </c>
      <c r="E1417" s="16" t="s">
        <v>157</v>
      </c>
      <c r="F1417" s="16" t="s">
        <v>15</v>
      </c>
      <c r="G1417" s="23" t="n">
        <v>5000000</v>
      </c>
      <c r="H1417" s="23"/>
      <c r="I1417" s="14" t="n">
        <f aca="false">I1416+G1417-H1417</f>
        <v>5000000</v>
      </c>
    </row>
    <row r="1418" customFormat="false" ht="12" hidden="false" customHeight="true" outlineLevel="1" collapsed="false">
      <c r="B1418" s="15" t="n">
        <v>45229</v>
      </c>
      <c r="C1418" s="15" t="n">
        <f aca="false">B1418</f>
        <v>45229</v>
      </c>
      <c r="D1418" s="16" t="s">
        <v>376</v>
      </c>
      <c r="E1418" s="16" t="s">
        <v>57</v>
      </c>
      <c r="F1418" s="16" t="n">
        <v>635</v>
      </c>
      <c r="G1418" s="23"/>
      <c r="H1418" s="23" t="n">
        <v>45475</v>
      </c>
      <c r="I1418" s="14" t="n">
        <f aca="false">I1417+G1418-H1418</f>
        <v>4954525</v>
      </c>
    </row>
    <row r="1419" customFormat="false" ht="12" hidden="false" customHeight="true" outlineLevel="1" collapsed="false">
      <c r="B1419" s="15" t="n">
        <v>45229</v>
      </c>
      <c r="C1419" s="15" t="n">
        <f aca="false">B1419</f>
        <v>45229</v>
      </c>
      <c r="D1419" s="16" t="s">
        <v>376</v>
      </c>
      <c r="E1419" s="16" t="s">
        <v>23</v>
      </c>
      <c r="F1419" s="16" t="s">
        <v>24</v>
      </c>
      <c r="G1419" s="17"/>
      <c r="H1419" s="17" t="n">
        <v>4954525</v>
      </c>
      <c r="I1419" s="14" t="n">
        <f aca="false">I1418+G1419-H1419</f>
        <v>0</v>
      </c>
    </row>
    <row r="1420" customFormat="false" ht="12" hidden="false" customHeight="true" outlineLevel="1" collapsed="false">
      <c r="B1420" s="15" t="n">
        <v>45230</v>
      </c>
      <c r="C1420" s="15" t="n">
        <f aca="false">B1420</f>
        <v>45230</v>
      </c>
      <c r="D1420" s="16" t="s">
        <v>375</v>
      </c>
      <c r="E1420" s="16" t="s">
        <v>157</v>
      </c>
      <c r="F1420" s="16" t="s">
        <v>15</v>
      </c>
      <c r="G1420" s="17" t="n">
        <v>105000000</v>
      </c>
      <c r="H1420" s="17"/>
      <c r="I1420" s="14" t="n">
        <f aca="false">I1419+G1420-H1420</f>
        <v>105000000</v>
      </c>
    </row>
    <row r="1421" customFormat="false" ht="12" hidden="false" customHeight="true" outlineLevel="1" collapsed="false">
      <c r="B1421" s="15" t="n">
        <v>45230</v>
      </c>
      <c r="C1421" s="15" t="n">
        <f aca="false">B1421</f>
        <v>45230</v>
      </c>
      <c r="D1421" s="16" t="s">
        <v>375</v>
      </c>
      <c r="E1421" s="16" t="s">
        <v>157</v>
      </c>
      <c r="F1421" s="16" t="s">
        <v>15</v>
      </c>
      <c r="G1421" s="17" t="n">
        <v>46569978</v>
      </c>
      <c r="H1421" s="17"/>
      <c r="I1421" s="14" t="n">
        <f aca="false">I1420+G1421-H1421</f>
        <v>151569978</v>
      </c>
    </row>
    <row r="1422" customFormat="false" ht="12" hidden="false" customHeight="true" outlineLevel="1" collapsed="false">
      <c r="B1422" s="15" t="n">
        <v>45230</v>
      </c>
      <c r="C1422" s="15" t="n">
        <f aca="false">B1422</f>
        <v>45230</v>
      </c>
      <c r="D1422" s="16" t="s">
        <v>376</v>
      </c>
      <c r="E1422" s="16" t="s">
        <v>57</v>
      </c>
      <c r="F1422" s="16" t="n">
        <v>635</v>
      </c>
      <c r="G1422" s="17"/>
      <c r="H1422" s="17" t="n">
        <v>99393</v>
      </c>
      <c r="I1422" s="14" t="n">
        <f aca="false">I1421+G1422-H1422</f>
        <v>151470585</v>
      </c>
    </row>
    <row r="1423" customFormat="false" ht="12" hidden="false" customHeight="true" outlineLevel="1" collapsed="false">
      <c r="B1423" s="15" t="n">
        <v>45230</v>
      </c>
      <c r="C1423" s="15" t="n">
        <f aca="false">B1423</f>
        <v>45230</v>
      </c>
      <c r="D1423" s="16" t="s">
        <v>376</v>
      </c>
      <c r="E1423" s="16" t="s">
        <v>57</v>
      </c>
      <c r="F1423" s="16" t="n">
        <v>635</v>
      </c>
      <c r="G1423" s="17"/>
      <c r="H1423" s="17" t="n">
        <v>22000</v>
      </c>
      <c r="I1423" s="14" t="n">
        <f aca="false">I1422+G1423-H1423</f>
        <v>151448585</v>
      </c>
    </row>
    <row r="1424" customFormat="false" ht="12" hidden="false" customHeight="true" outlineLevel="1" collapsed="false">
      <c r="B1424" s="15" t="n">
        <v>45230</v>
      </c>
      <c r="C1424" s="15" t="n">
        <f aca="false">B1424</f>
        <v>45230</v>
      </c>
      <c r="D1424" s="16" t="s">
        <v>376</v>
      </c>
      <c r="E1424" s="16" t="s">
        <v>57</v>
      </c>
      <c r="F1424" s="16" t="n">
        <v>635</v>
      </c>
      <c r="G1424" s="17"/>
      <c r="H1424" s="17" t="n">
        <v>11712950</v>
      </c>
      <c r="I1424" s="14" t="n">
        <f aca="false">I1423+G1424-H1424</f>
        <v>139735635</v>
      </c>
    </row>
    <row r="1425" customFormat="false" ht="12" hidden="false" customHeight="true" outlineLevel="1" collapsed="false">
      <c r="B1425" s="15" t="n">
        <v>45230</v>
      </c>
      <c r="C1425" s="15" t="n">
        <f aca="false">B1425</f>
        <v>45230</v>
      </c>
      <c r="D1425" s="16" t="s">
        <v>376</v>
      </c>
      <c r="E1425" s="16" t="s">
        <v>57</v>
      </c>
      <c r="F1425" s="16" t="n">
        <v>635</v>
      </c>
      <c r="G1425" s="17"/>
      <c r="H1425" s="17" t="n">
        <v>10477668</v>
      </c>
      <c r="I1425" s="14" t="n">
        <f aca="false">I1424+G1425-H1425</f>
        <v>129257967</v>
      </c>
    </row>
    <row r="1426" customFormat="false" ht="12" hidden="false" customHeight="true" outlineLevel="1" collapsed="false">
      <c r="B1426" s="15" t="n">
        <v>45230</v>
      </c>
      <c r="C1426" s="15" t="n">
        <f aca="false">B1426</f>
        <v>45230</v>
      </c>
      <c r="D1426" s="16" t="s">
        <v>376</v>
      </c>
      <c r="E1426" s="16" t="s">
        <v>57</v>
      </c>
      <c r="F1426" s="16" t="n">
        <v>635</v>
      </c>
      <c r="G1426" s="17"/>
      <c r="H1426" s="17" t="n">
        <v>3886621</v>
      </c>
      <c r="I1426" s="14" t="n">
        <f aca="false">I1425+G1426-H1426</f>
        <v>125371346</v>
      </c>
    </row>
    <row r="1427" customFormat="false" ht="12" hidden="false" customHeight="true" outlineLevel="1" collapsed="false">
      <c r="B1427" s="15" t="n">
        <v>45230</v>
      </c>
      <c r="C1427" s="15" t="n">
        <f aca="false">B1427</f>
        <v>45230</v>
      </c>
      <c r="D1427" s="16" t="s">
        <v>376</v>
      </c>
      <c r="E1427" s="16" t="s">
        <v>57</v>
      </c>
      <c r="F1427" s="16" t="n">
        <v>635</v>
      </c>
      <c r="G1427" s="17"/>
      <c r="H1427" s="17" t="n">
        <v>3331092</v>
      </c>
      <c r="I1427" s="14" t="n">
        <f aca="false">I1426+G1427-H1427</f>
        <v>122040254</v>
      </c>
    </row>
    <row r="1428" customFormat="false" ht="12" hidden="false" customHeight="true" outlineLevel="1" collapsed="false">
      <c r="B1428" s="15" t="n">
        <v>45230</v>
      </c>
      <c r="C1428" s="15" t="n">
        <f aca="false">B1428</f>
        <v>45230</v>
      </c>
      <c r="D1428" s="16" t="s">
        <v>376</v>
      </c>
      <c r="E1428" s="16" t="s">
        <v>57</v>
      </c>
      <c r="F1428" s="16" t="n">
        <v>635</v>
      </c>
      <c r="G1428" s="17"/>
      <c r="H1428" s="17" t="n">
        <v>1081127</v>
      </c>
      <c r="I1428" s="14" t="n">
        <f aca="false">I1427+G1428-H1428</f>
        <v>120959127</v>
      </c>
    </row>
    <row r="1429" customFormat="false" ht="12" hidden="false" customHeight="true" outlineLevel="1" collapsed="false">
      <c r="B1429" s="15" t="n">
        <v>45230</v>
      </c>
      <c r="C1429" s="15" t="n">
        <f aca="false">B1429</f>
        <v>45230</v>
      </c>
      <c r="D1429" s="16" t="s">
        <v>376</v>
      </c>
      <c r="E1429" s="16" t="s">
        <v>57</v>
      </c>
      <c r="F1429" s="16" t="n">
        <v>635</v>
      </c>
      <c r="G1429" s="17"/>
      <c r="H1429" s="17" t="n">
        <v>1653632</v>
      </c>
      <c r="I1429" s="14" t="n">
        <f aca="false">I1428+G1429-H1429</f>
        <v>119305495</v>
      </c>
    </row>
    <row r="1430" customFormat="false" ht="12" hidden="false" customHeight="true" outlineLevel="1" collapsed="false">
      <c r="B1430" s="15" t="n">
        <v>45230</v>
      </c>
      <c r="C1430" s="15" t="n">
        <f aca="false">B1430</f>
        <v>45230</v>
      </c>
      <c r="D1430" s="16" t="s">
        <v>376</v>
      </c>
      <c r="E1430" s="16" t="s">
        <v>57</v>
      </c>
      <c r="F1430" s="16" t="n">
        <v>635</v>
      </c>
      <c r="G1430" s="17"/>
      <c r="H1430" s="17" t="n">
        <v>3382125</v>
      </c>
      <c r="I1430" s="14" t="n">
        <f aca="false">I1429+G1430-H1430</f>
        <v>115923370</v>
      </c>
    </row>
    <row r="1431" customFormat="false" ht="12" hidden="false" customHeight="true" outlineLevel="1" collapsed="false">
      <c r="B1431" s="15" t="n">
        <v>45230</v>
      </c>
      <c r="C1431" s="15" t="n">
        <f aca="false">B1431</f>
        <v>45230</v>
      </c>
      <c r="D1431" s="16" t="s">
        <v>376</v>
      </c>
      <c r="E1431" s="16" t="s">
        <v>57</v>
      </c>
      <c r="F1431" s="16" t="n">
        <v>635</v>
      </c>
      <c r="G1431" s="17"/>
      <c r="H1431" s="17" t="n">
        <v>2695654</v>
      </c>
      <c r="I1431" s="14" t="n">
        <f aca="false">I1430+G1431-H1431</f>
        <v>113227716</v>
      </c>
    </row>
    <row r="1432" customFormat="false" ht="12" hidden="false" customHeight="true" outlineLevel="1" collapsed="false">
      <c r="B1432" s="15" t="n">
        <v>45230</v>
      </c>
      <c r="C1432" s="15" t="n">
        <f aca="false">B1432</f>
        <v>45230</v>
      </c>
      <c r="D1432" s="16" t="s">
        <v>376</v>
      </c>
      <c r="E1432" s="16" t="s">
        <v>57</v>
      </c>
      <c r="F1432" s="16" t="n">
        <v>635</v>
      </c>
      <c r="G1432" s="17"/>
      <c r="H1432" s="17" t="n">
        <v>19027434</v>
      </c>
      <c r="I1432" s="14" t="n">
        <f aca="false">I1431+G1432-H1432</f>
        <v>94200282</v>
      </c>
    </row>
    <row r="1433" customFormat="false" ht="12" hidden="false" customHeight="true" outlineLevel="1" collapsed="false">
      <c r="B1433" s="15" t="n">
        <v>45230</v>
      </c>
      <c r="C1433" s="15" t="n">
        <f aca="false">B1433</f>
        <v>45230</v>
      </c>
      <c r="D1433" s="16" t="s">
        <v>376</v>
      </c>
      <c r="E1433" s="16" t="s">
        <v>57</v>
      </c>
      <c r="F1433" s="16" t="n">
        <v>635</v>
      </c>
      <c r="G1433" s="17"/>
      <c r="H1433" s="17" t="n">
        <v>1660307</v>
      </c>
      <c r="I1433" s="14" t="n">
        <f aca="false">I1432+G1433-H1433</f>
        <v>92539975</v>
      </c>
    </row>
    <row r="1434" customFormat="false" ht="12" hidden="false" customHeight="true" outlineLevel="1" collapsed="false">
      <c r="B1434" s="15" t="n">
        <v>45230</v>
      </c>
      <c r="C1434" s="15" t="n">
        <f aca="false">B1434</f>
        <v>45230</v>
      </c>
      <c r="D1434" s="16" t="s">
        <v>376</v>
      </c>
      <c r="E1434" s="16" t="s">
        <v>57</v>
      </c>
      <c r="F1434" s="16" t="n">
        <v>635</v>
      </c>
      <c r="G1434" s="17"/>
      <c r="H1434" s="17" t="n">
        <v>5991613</v>
      </c>
      <c r="I1434" s="14" t="n">
        <f aca="false">I1433+G1434-H1434</f>
        <v>86548362</v>
      </c>
    </row>
    <row r="1435" customFormat="false" ht="12" hidden="false" customHeight="true" outlineLevel="1" collapsed="false">
      <c r="B1435" s="15" t="n">
        <v>45230</v>
      </c>
      <c r="C1435" s="15" t="n">
        <f aca="false">B1435</f>
        <v>45230</v>
      </c>
      <c r="D1435" s="16" t="s">
        <v>376</v>
      </c>
      <c r="E1435" s="16" t="s">
        <v>57</v>
      </c>
      <c r="F1435" s="16" t="n">
        <v>635</v>
      </c>
      <c r="G1435" s="17"/>
      <c r="H1435" s="17" t="n">
        <v>3774811</v>
      </c>
      <c r="I1435" s="14" t="n">
        <f aca="false">I1434+G1435-H1435</f>
        <v>82773551</v>
      </c>
    </row>
    <row r="1436" customFormat="false" ht="12" hidden="false" customHeight="true" outlineLevel="1" collapsed="false">
      <c r="B1436" s="15" t="n">
        <v>45230</v>
      </c>
      <c r="C1436" s="15" t="n">
        <f aca="false">B1436</f>
        <v>45230</v>
      </c>
      <c r="D1436" s="16" t="s">
        <v>376</v>
      </c>
      <c r="E1436" s="16" t="s">
        <v>57</v>
      </c>
      <c r="F1436" s="16" t="n">
        <v>635</v>
      </c>
      <c r="G1436" s="17"/>
      <c r="H1436" s="17" t="n">
        <v>22734875</v>
      </c>
      <c r="I1436" s="14" t="n">
        <f aca="false">I1435+G1436-H1436</f>
        <v>60038676</v>
      </c>
    </row>
    <row r="1437" customFormat="false" ht="12" hidden="false" customHeight="true" outlineLevel="1" collapsed="false">
      <c r="B1437" s="15" t="n">
        <v>45230</v>
      </c>
      <c r="C1437" s="15" t="n">
        <f aca="false">B1437</f>
        <v>45230</v>
      </c>
      <c r="D1437" s="16" t="s">
        <v>376</v>
      </c>
      <c r="E1437" s="16" t="s">
        <v>57</v>
      </c>
      <c r="F1437" s="16" t="n">
        <v>635</v>
      </c>
      <c r="G1437" s="17"/>
      <c r="H1437" s="17" t="n">
        <v>2099177</v>
      </c>
      <c r="I1437" s="14" t="n">
        <f aca="false">I1436+G1437-H1437</f>
        <v>57939499</v>
      </c>
    </row>
    <row r="1438" customFormat="false" ht="12" hidden="false" customHeight="true" outlineLevel="1" collapsed="false">
      <c r="B1438" s="15" t="n">
        <v>45230</v>
      </c>
      <c r="C1438" s="15" t="n">
        <f aca="false">B1438</f>
        <v>45230</v>
      </c>
      <c r="D1438" s="16" t="s">
        <v>376</v>
      </c>
      <c r="E1438" s="16" t="s">
        <v>57</v>
      </c>
      <c r="F1438" s="16" t="n">
        <v>635</v>
      </c>
      <c r="G1438" s="17"/>
      <c r="H1438" s="17" t="n">
        <v>3671508</v>
      </c>
      <c r="I1438" s="14" t="n">
        <f aca="false">I1437+G1438-H1438</f>
        <v>54267991</v>
      </c>
    </row>
    <row r="1439" customFormat="false" ht="12" hidden="false" customHeight="true" outlineLevel="1" collapsed="false">
      <c r="B1439" s="15" t="n">
        <v>45230</v>
      </c>
      <c r="C1439" s="15" t="n">
        <f aca="false">B1439</f>
        <v>45230</v>
      </c>
      <c r="D1439" s="16" t="s">
        <v>376</v>
      </c>
      <c r="E1439" s="16" t="s">
        <v>57</v>
      </c>
      <c r="F1439" s="16" t="n">
        <v>635</v>
      </c>
      <c r="G1439" s="17"/>
      <c r="H1439" s="17" t="n">
        <v>2285375</v>
      </c>
      <c r="I1439" s="14" t="n">
        <f aca="false">I1438+G1439-H1439</f>
        <v>51982616</v>
      </c>
    </row>
    <row r="1440" customFormat="false" ht="12" hidden="false" customHeight="true" outlineLevel="1" collapsed="false">
      <c r="B1440" s="15" t="n">
        <v>45230</v>
      </c>
      <c r="C1440" s="15" t="n">
        <f aca="false">B1440</f>
        <v>45230</v>
      </c>
      <c r="D1440" s="16" t="s">
        <v>376</v>
      </c>
      <c r="E1440" s="16" t="s">
        <v>57</v>
      </c>
      <c r="F1440" s="16" t="n">
        <v>635</v>
      </c>
      <c r="G1440" s="17"/>
      <c r="H1440" s="17" t="n">
        <v>1522005</v>
      </c>
      <c r="I1440" s="14" t="n">
        <f aca="false">I1439+G1440-H1440</f>
        <v>50460611</v>
      </c>
    </row>
    <row r="1441" customFormat="false" ht="12" hidden="false" customHeight="true" outlineLevel="1" collapsed="false">
      <c r="B1441" s="15" t="n">
        <v>45230</v>
      </c>
      <c r="C1441" s="15" t="n">
        <f aca="false">B1441</f>
        <v>45230</v>
      </c>
      <c r="D1441" s="16" t="s">
        <v>376</v>
      </c>
      <c r="E1441" s="16" t="s">
        <v>57</v>
      </c>
      <c r="F1441" s="16" t="n">
        <v>635</v>
      </c>
      <c r="G1441" s="17"/>
      <c r="H1441" s="17" t="n">
        <v>2331869</v>
      </c>
      <c r="I1441" s="14" t="n">
        <f aca="false">I1440+G1441-H1441</f>
        <v>48128742</v>
      </c>
    </row>
    <row r="1442" customFormat="false" ht="12" hidden="false" customHeight="true" outlineLevel="1" collapsed="false">
      <c r="B1442" s="15" t="n">
        <v>45230</v>
      </c>
      <c r="C1442" s="15" t="n">
        <f aca="false">B1442</f>
        <v>45230</v>
      </c>
      <c r="D1442" s="16" t="s">
        <v>376</v>
      </c>
      <c r="E1442" s="16" t="s">
        <v>57</v>
      </c>
      <c r="F1442" s="16" t="n">
        <v>635</v>
      </c>
      <c r="G1442" s="17"/>
      <c r="H1442" s="17" t="n">
        <v>3641065</v>
      </c>
      <c r="I1442" s="14" t="n">
        <f aca="false">I1441+G1442-H1442</f>
        <v>44487677</v>
      </c>
    </row>
    <row r="1443" customFormat="false" ht="12" hidden="false" customHeight="true" outlineLevel="1" collapsed="false">
      <c r="B1443" s="15" t="n">
        <v>45230</v>
      </c>
      <c r="C1443" s="15" t="n">
        <f aca="false">B1443</f>
        <v>45230</v>
      </c>
      <c r="D1443" s="16" t="s">
        <v>376</v>
      </c>
      <c r="E1443" s="16" t="s">
        <v>57</v>
      </c>
      <c r="F1443" s="16" t="n">
        <v>635</v>
      </c>
      <c r="G1443" s="17"/>
      <c r="H1443" s="17" t="n">
        <v>553901</v>
      </c>
      <c r="I1443" s="14" t="n">
        <f aca="false">I1442+G1443-H1443</f>
        <v>43933776</v>
      </c>
    </row>
    <row r="1444" customFormat="false" ht="12" hidden="false" customHeight="true" outlineLevel="1" collapsed="false">
      <c r="B1444" s="15" t="n">
        <v>45230</v>
      </c>
      <c r="C1444" s="15" t="n">
        <f aca="false">B1444</f>
        <v>45230</v>
      </c>
      <c r="D1444" s="16" t="s">
        <v>376</v>
      </c>
      <c r="E1444" s="16" t="s">
        <v>57</v>
      </c>
      <c r="F1444" s="16" t="n">
        <v>635</v>
      </c>
      <c r="G1444" s="17"/>
      <c r="H1444" s="17" t="n">
        <v>1179223</v>
      </c>
      <c r="I1444" s="14" t="n">
        <f aca="false">I1443+G1444-H1444</f>
        <v>42754553</v>
      </c>
    </row>
    <row r="1445" customFormat="false" ht="12" hidden="false" customHeight="true" outlineLevel="1" collapsed="false">
      <c r="B1445" s="15" t="n">
        <v>45230</v>
      </c>
      <c r="C1445" s="15" t="n">
        <f aca="false">B1445</f>
        <v>45230</v>
      </c>
      <c r="D1445" s="16" t="s">
        <v>376</v>
      </c>
      <c r="E1445" s="16" t="s">
        <v>57</v>
      </c>
      <c r="F1445" s="16" t="n">
        <v>635</v>
      </c>
      <c r="G1445" s="17"/>
      <c r="H1445" s="17" t="n">
        <v>130635</v>
      </c>
      <c r="I1445" s="14" t="n">
        <f aca="false">I1444+G1445-H1445</f>
        <v>42623918</v>
      </c>
    </row>
    <row r="1446" customFormat="false" ht="12" hidden="false" customHeight="true" outlineLevel="1" collapsed="false">
      <c r="B1446" s="15" t="n">
        <v>45231</v>
      </c>
      <c r="C1446" s="15" t="n">
        <f aca="false">B1446</f>
        <v>45231</v>
      </c>
      <c r="D1446" s="16" t="s">
        <v>375</v>
      </c>
      <c r="E1446" s="16" t="s">
        <v>157</v>
      </c>
      <c r="F1446" s="16" t="s">
        <v>15</v>
      </c>
      <c r="G1446" s="17" t="n">
        <v>50729000</v>
      </c>
      <c r="H1446" s="17"/>
      <c r="I1446" s="14" t="n">
        <f aca="false">I1445+G1446-H1446</f>
        <v>93352918</v>
      </c>
    </row>
    <row r="1447" customFormat="false" ht="12" hidden="false" customHeight="true" outlineLevel="1" collapsed="false">
      <c r="B1447" s="15" t="n">
        <v>45231</v>
      </c>
      <c r="C1447" s="15" t="n">
        <f aca="false">B1447</f>
        <v>45231</v>
      </c>
      <c r="D1447" s="16" t="s">
        <v>375</v>
      </c>
      <c r="E1447" s="16" t="s">
        <v>157</v>
      </c>
      <c r="F1447" s="16" t="s">
        <v>15</v>
      </c>
      <c r="G1447" s="17" t="n">
        <v>243268000</v>
      </c>
      <c r="H1447" s="17"/>
      <c r="I1447" s="14" t="n">
        <f aca="false">I1446+G1447-H1447</f>
        <v>336620918</v>
      </c>
    </row>
    <row r="1448" customFormat="false" ht="12" hidden="false" customHeight="true" outlineLevel="1" collapsed="false">
      <c r="B1448" s="15" t="n">
        <v>45231</v>
      </c>
      <c r="C1448" s="15" t="n">
        <f aca="false">B1448</f>
        <v>45231</v>
      </c>
      <c r="D1448" s="16" t="s">
        <v>375</v>
      </c>
      <c r="E1448" s="16" t="s">
        <v>157</v>
      </c>
      <c r="F1448" s="16" t="s">
        <v>15</v>
      </c>
      <c r="G1448" s="17" t="n">
        <v>51442000</v>
      </c>
      <c r="H1448" s="17"/>
      <c r="I1448" s="14" t="n">
        <f aca="false">I1447+G1448-H1448</f>
        <v>388062918</v>
      </c>
    </row>
    <row r="1449" customFormat="false" ht="12" hidden="false" customHeight="true" outlineLevel="1" collapsed="false">
      <c r="B1449" s="15" t="n">
        <v>45231</v>
      </c>
      <c r="C1449" s="15" t="n">
        <f aca="false">B1449</f>
        <v>45231</v>
      </c>
      <c r="D1449" s="16" t="s">
        <v>375</v>
      </c>
      <c r="E1449" s="16" t="s">
        <v>157</v>
      </c>
      <c r="F1449" s="16" t="s">
        <v>15</v>
      </c>
      <c r="G1449" s="17" t="n">
        <v>105000000</v>
      </c>
      <c r="H1449" s="17"/>
      <c r="I1449" s="14" t="n">
        <f aca="false">I1448+G1449-H1449</f>
        <v>493062918</v>
      </c>
    </row>
    <row r="1450" customFormat="false" ht="12" hidden="false" customHeight="true" outlineLevel="1" collapsed="false">
      <c r="B1450" s="15" t="n">
        <v>45231</v>
      </c>
      <c r="C1450" s="15" t="n">
        <f aca="false">B1450</f>
        <v>45231</v>
      </c>
      <c r="D1450" s="16" t="s">
        <v>376</v>
      </c>
      <c r="E1450" s="16" t="s">
        <v>57</v>
      </c>
      <c r="F1450" s="16" t="n">
        <v>635</v>
      </c>
      <c r="G1450" s="17"/>
      <c r="H1450" s="17" t="n">
        <v>110846</v>
      </c>
      <c r="I1450" s="14" t="n">
        <f aca="false">I1449+G1450-H1450</f>
        <v>492952072</v>
      </c>
    </row>
    <row r="1451" customFormat="false" ht="12" hidden="false" customHeight="true" outlineLevel="1" collapsed="false">
      <c r="B1451" s="15" t="n">
        <v>45231</v>
      </c>
      <c r="C1451" s="15" t="n">
        <f aca="false">B1451</f>
        <v>45231</v>
      </c>
      <c r="D1451" s="16" t="s">
        <v>376</v>
      </c>
      <c r="E1451" s="16" t="s">
        <v>23</v>
      </c>
      <c r="F1451" s="16" t="s">
        <v>24</v>
      </c>
      <c r="G1451" s="17"/>
      <c r="H1451" s="17" t="n">
        <v>490000000</v>
      </c>
      <c r="I1451" s="14" t="n">
        <f aca="false">I1450+G1451-H1451</f>
        <v>2952072</v>
      </c>
    </row>
    <row r="1452" customFormat="false" ht="12" hidden="false" customHeight="true" outlineLevel="1" collapsed="false">
      <c r="B1452" s="15" t="n">
        <v>45232</v>
      </c>
      <c r="C1452" s="15" t="n">
        <f aca="false">B1452</f>
        <v>45232</v>
      </c>
      <c r="D1452" s="16" t="s">
        <v>375</v>
      </c>
      <c r="E1452" s="16" t="s">
        <v>157</v>
      </c>
      <c r="F1452" s="16" t="s">
        <v>15</v>
      </c>
      <c r="G1452" s="17" t="n">
        <v>35648000</v>
      </c>
      <c r="H1452" s="17"/>
      <c r="I1452" s="14" t="n">
        <f aca="false">I1451+G1452-H1452</f>
        <v>38600072</v>
      </c>
    </row>
    <row r="1453" customFormat="false" ht="12" hidden="false" customHeight="true" outlineLevel="1" collapsed="false">
      <c r="B1453" s="15" t="n">
        <v>45232</v>
      </c>
      <c r="C1453" s="15" t="n">
        <f aca="false">B1453</f>
        <v>45232</v>
      </c>
      <c r="D1453" s="16" t="s">
        <v>375</v>
      </c>
      <c r="E1453" s="16" t="s">
        <v>157</v>
      </c>
      <c r="F1453" s="16" t="s">
        <v>15</v>
      </c>
      <c r="G1453" s="17" t="n">
        <v>46887000</v>
      </c>
      <c r="H1453" s="17"/>
      <c r="I1453" s="14" t="n">
        <f aca="false">I1452+G1453-H1453</f>
        <v>85487072</v>
      </c>
    </row>
    <row r="1454" customFormat="false" ht="12" hidden="false" customHeight="true" outlineLevel="1" collapsed="false">
      <c r="B1454" s="15" t="n">
        <v>45232</v>
      </c>
      <c r="C1454" s="15" t="n">
        <f aca="false">B1454</f>
        <v>45232</v>
      </c>
      <c r="D1454" s="16" t="s">
        <v>375</v>
      </c>
      <c r="E1454" s="16" t="s">
        <v>157</v>
      </c>
      <c r="F1454" s="16" t="s">
        <v>15</v>
      </c>
      <c r="G1454" s="17" t="n">
        <v>27880000</v>
      </c>
      <c r="H1454" s="17"/>
      <c r="I1454" s="14" t="n">
        <f aca="false">I1453+G1454-H1454</f>
        <v>113367072</v>
      </c>
    </row>
    <row r="1455" customFormat="false" ht="12" hidden="false" customHeight="true" outlineLevel="1" collapsed="false">
      <c r="B1455" s="15" t="n">
        <v>45232</v>
      </c>
      <c r="C1455" s="15" t="n">
        <f aca="false">B1455</f>
        <v>45232</v>
      </c>
      <c r="D1455" s="16" t="s">
        <v>375</v>
      </c>
      <c r="E1455" s="16" t="s">
        <v>157</v>
      </c>
      <c r="F1455" s="16" t="s">
        <v>15</v>
      </c>
      <c r="G1455" s="17" t="n">
        <v>45000000</v>
      </c>
      <c r="H1455" s="17"/>
      <c r="I1455" s="14" t="n">
        <f aca="false">I1454+G1455-H1455</f>
        <v>158367072</v>
      </c>
    </row>
    <row r="1456" customFormat="false" ht="12" hidden="false" customHeight="true" outlineLevel="1" collapsed="false">
      <c r="B1456" s="15" t="n">
        <v>45232</v>
      </c>
      <c r="C1456" s="15" t="n">
        <f aca="false">B1456</f>
        <v>45232</v>
      </c>
      <c r="D1456" s="16" t="s">
        <v>375</v>
      </c>
      <c r="E1456" s="16" t="s">
        <v>157</v>
      </c>
      <c r="F1456" s="16" t="s">
        <v>15</v>
      </c>
      <c r="G1456" s="17" t="n">
        <v>179967000</v>
      </c>
      <c r="H1456" s="17"/>
      <c r="I1456" s="14" t="n">
        <f aca="false">I1455+G1456-H1456</f>
        <v>338334072</v>
      </c>
    </row>
    <row r="1457" customFormat="false" ht="12" hidden="false" customHeight="true" outlineLevel="1" collapsed="false">
      <c r="B1457" s="15" t="n">
        <v>45232</v>
      </c>
      <c r="C1457" s="15" t="n">
        <f aca="false">B1457</f>
        <v>45232</v>
      </c>
      <c r="D1457" s="16" t="s">
        <v>375</v>
      </c>
      <c r="E1457" s="16" t="s">
        <v>157</v>
      </c>
      <c r="F1457" s="16" t="s">
        <v>15</v>
      </c>
      <c r="G1457" s="17" t="n">
        <v>69256000</v>
      </c>
      <c r="H1457" s="17"/>
      <c r="I1457" s="14" t="n">
        <f aca="false">I1456+G1457-H1457</f>
        <v>407590072</v>
      </c>
    </row>
    <row r="1458" customFormat="false" ht="12" hidden="false" customHeight="true" outlineLevel="1" collapsed="false">
      <c r="B1458" s="15" t="n">
        <v>45232</v>
      </c>
      <c r="C1458" s="15" t="n">
        <f aca="false">B1458</f>
        <v>45232</v>
      </c>
      <c r="D1458" s="16" t="s">
        <v>376</v>
      </c>
      <c r="E1458" s="16" t="s">
        <v>454</v>
      </c>
      <c r="F1458" s="16" t="s">
        <v>179</v>
      </c>
      <c r="G1458" s="17"/>
      <c r="H1458" s="17" t="n">
        <v>3022000</v>
      </c>
      <c r="I1458" s="14" t="n">
        <f aca="false">I1457+G1458-H1458</f>
        <v>404568072</v>
      </c>
    </row>
    <row r="1459" customFormat="false" ht="12" hidden="false" customHeight="true" outlineLevel="1" collapsed="false">
      <c r="B1459" s="15" t="n">
        <v>45232</v>
      </c>
      <c r="C1459" s="15" t="n">
        <f aca="false">B1459</f>
        <v>45232</v>
      </c>
      <c r="D1459" s="16" t="s">
        <v>376</v>
      </c>
      <c r="E1459" s="16" t="s">
        <v>23</v>
      </c>
      <c r="F1459" s="16" t="s">
        <v>24</v>
      </c>
      <c r="G1459" s="17"/>
      <c r="H1459" s="17" t="n">
        <v>153219572</v>
      </c>
      <c r="I1459" s="14" t="n">
        <f aca="false">I1458+G1459-H1459</f>
        <v>251348500</v>
      </c>
    </row>
    <row r="1460" customFormat="false" ht="12" hidden="false" customHeight="true" outlineLevel="1" collapsed="false">
      <c r="B1460" s="15" t="n">
        <v>45232</v>
      </c>
      <c r="C1460" s="15" t="n">
        <f aca="false">B1460</f>
        <v>45232</v>
      </c>
      <c r="D1460" s="16" t="s">
        <v>376</v>
      </c>
      <c r="E1460" s="16" t="s">
        <v>23</v>
      </c>
      <c r="F1460" s="16" t="s">
        <v>24</v>
      </c>
      <c r="G1460" s="17"/>
      <c r="H1460" s="17" t="n">
        <v>250000000</v>
      </c>
      <c r="I1460" s="14" t="n">
        <f aca="false">I1459+G1460-H1460</f>
        <v>1348500</v>
      </c>
    </row>
    <row r="1461" customFormat="false" ht="12" hidden="false" customHeight="true" outlineLevel="1" collapsed="false">
      <c r="B1461" s="15" t="n">
        <v>45233</v>
      </c>
      <c r="C1461" s="15" t="n">
        <f aca="false">B1461</f>
        <v>45233</v>
      </c>
      <c r="D1461" s="16" t="s">
        <v>375</v>
      </c>
      <c r="E1461" s="16" t="s">
        <v>157</v>
      </c>
      <c r="F1461" s="16" t="s">
        <v>15</v>
      </c>
      <c r="G1461" s="17" t="n">
        <v>10067000</v>
      </c>
      <c r="H1461" s="17"/>
      <c r="I1461" s="14" t="n">
        <f aca="false">I1460+G1461-H1461</f>
        <v>11415500</v>
      </c>
    </row>
    <row r="1462" customFormat="false" ht="12" hidden="false" customHeight="true" outlineLevel="1" collapsed="false">
      <c r="B1462" s="15" t="n">
        <v>45233</v>
      </c>
      <c r="C1462" s="15" t="n">
        <f aca="false">B1462</f>
        <v>45233</v>
      </c>
      <c r="D1462" s="16" t="s">
        <v>375</v>
      </c>
      <c r="E1462" s="16" t="s">
        <v>157</v>
      </c>
      <c r="F1462" s="16" t="s">
        <v>15</v>
      </c>
      <c r="G1462" s="17" t="n">
        <v>38000000</v>
      </c>
      <c r="H1462" s="17"/>
      <c r="I1462" s="14" t="n">
        <f aca="false">I1461+G1462-H1462</f>
        <v>49415500</v>
      </c>
    </row>
    <row r="1463" customFormat="false" ht="12" hidden="false" customHeight="true" outlineLevel="1" collapsed="false">
      <c r="B1463" s="15" t="n">
        <v>45233</v>
      </c>
      <c r="C1463" s="15" t="n">
        <f aca="false">B1463</f>
        <v>45233</v>
      </c>
      <c r="D1463" s="16" t="s">
        <v>375</v>
      </c>
      <c r="E1463" s="16" t="s">
        <v>157</v>
      </c>
      <c r="F1463" s="16" t="s">
        <v>15</v>
      </c>
      <c r="G1463" s="17" t="n">
        <v>20000000</v>
      </c>
      <c r="H1463" s="17"/>
      <c r="I1463" s="14" t="n">
        <f aca="false">I1462+G1463-H1463</f>
        <v>69415500</v>
      </c>
    </row>
    <row r="1464" customFormat="false" ht="12" hidden="false" customHeight="true" outlineLevel="1" collapsed="false">
      <c r="B1464" s="15" t="n">
        <v>45233</v>
      </c>
      <c r="C1464" s="15" t="n">
        <f aca="false">B1464</f>
        <v>45233</v>
      </c>
      <c r="D1464" s="16" t="s">
        <v>375</v>
      </c>
      <c r="E1464" s="16" t="s">
        <v>157</v>
      </c>
      <c r="F1464" s="16" t="s">
        <v>15</v>
      </c>
      <c r="G1464" s="17" t="n">
        <v>47823000</v>
      </c>
      <c r="H1464" s="17"/>
      <c r="I1464" s="14" t="n">
        <f aca="false">I1463+G1464-H1464</f>
        <v>117238500</v>
      </c>
    </row>
    <row r="1465" customFormat="false" ht="12" hidden="false" customHeight="true" outlineLevel="1" collapsed="false">
      <c r="B1465" s="15" t="n">
        <v>45233</v>
      </c>
      <c r="C1465" s="15" t="n">
        <f aca="false">B1465</f>
        <v>45233</v>
      </c>
      <c r="D1465" s="16" t="s">
        <v>375</v>
      </c>
      <c r="E1465" s="16" t="s">
        <v>157</v>
      </c>
      <c r="F1465" s="16" t="s">
        <v>15</v>
      </c>
      <c r="G1465" s="17" t="n">
        <v>168988000</v>
      </c>
      <c r="H1465" s="17"/>
      <c r="I1465" s="14" t="n">
        <f aca="false">I1464+G1465-H1465</f>
        <v>286226500</v>
      </c>
    </row>
    <row r="1466" customFormat="false" ht="12" hidden="false" customHeight="true" outlineLevel="1" collapsed="false">
      <c r="B1466" s="15" t="n">
        <v>45233</v>
      </c>
      <c r="C1466" s="15" t="n">
        <f aca="false">B1466</f>
        <v>45233</v>
      </c>
      <c r="D1466" s="16" t="s">
        <v>376</v>
      </c>
      <c r="E1466" s="16" t="s">
        <v>456</v>
      </c>
      <c r="F1466" s="16" t="n">
        <v>635</v>
      </c>
      <c r="G1466" s="17"/>
      <c r="H1466" s="17" t="n">
        <v>934426</v>
      </c>
      <c r="I1466" s="14" t="n">
        <f aca="false">I1465+G1466-H1466</f>
        <v>285292074</v>
      </c>
    </row>
    <row r="1467" customFormat="false" ht="12" hidden="false" customHeight="true" outlineLevel="1" collapsed="false">
      <c r="B1467" s="15" t="n">
        <v>45233</v>
      </c>
      <c r="C1467" s="15" t="n">
        <f aca="false">B1467</f>
        <v>45233</v>
      </c>
      <c r="D1467" s="16" t="s">
        <v>376</v>
      </c>
      <c r="E1467" s="16" t="s">
        <v>457</v>
      </c>
      <c r="F1467" s="16" t="n">
        <v>635</v>
      </c>
      <c r="G1467" s="17"/>
      <c r="H1467" s="17" t="n">
        <v>11000</v>
      </c>
      <c r="I1467" s="14" t="n">
        <f aca="false">I1466+G1467-H1467</f>
        <v>285281074</v>
      </c>
    </row>
    <row r="1468" customFormat="false" ht="12" hidden="false" customHeight="true" outlineLevel="1" collapsed="false">
      <c r="B1468" s="15" t="n">
        <v>45233</v>
      </c>
      <c r="C1468" s="15" t="n">
        <f aca="false">B1468</f>
        <v>45233</v>
      </c>
      <c r="D1468" s="16" t="s">
        <v>376</v>
      </c>
      <c r="E1468" s="16" t="s">
        <v>23</v>
      </c>
      <c r="F1468" s="16" t="s">
        <v>24</v>
      </c>
      <c r="G1468" s="17"/>
      <c r="H1468" s="17" t="n">
        <v>284000000</v>
      </c>
      <c r="I1468" s="14" t="n">
        <f aca="false">I1467+G1468-H1468</f>
        <v>1281074</v>
      </c>
    </row>
    <row r="1469" customFormat="false" ht="12" hidden="false" customHeight="true" outlineLevel="1" collapsed="false">
      <c r="B1469" s="15" t="n">
        <v>45234</v>
      </c>
      <c r="C1469" s="15" t="n">
        <f aca="false">B1469</f>
        <v>45234</v>
      </c>
      <c r="D1469" s="16" t="s">
        <v>376</v>
      </c>
      <c r="E1469" s="16" t="s">
        <v>456</v>
      </c>
      <c r="F1469" s="16" t="n">
        <v>635</v>
      </c>
      <c r="G1469" s="17"/>
      <c r="H1469" s="17" t="n">
        <v>55000</v>
      </c>
      <c r="I1469" s="14" t="n">
        <f aca="false">I1468+G1469-H1469</f>
        <v>1226074</v>
      </c>
    </row>
    <row r="1470" customFormat="false" ht="12" hidden="false" customHeight="true" outlineLevel="1" collapsed="false">
      <c r="B1470" s="15" t="n">
        <v>45237</v>
      </c>
      <c r="C1470" s="15" t="n">
        <f aca="false">B1470</f>
        <v>45237</v>
      </c>
      <c r="D1470" s="16" t="s">
        <v>375</v>
      </c>
      <c r="E1470" s="16" t="s">
        <v>157</v>
      </c>
      <c r="F1470" s="16" t="s">
        <v>15</v>
      </c>
      <c r="G1470" s="17" t="n">
        <v>66000000</v>
      </c>
      <c r="H1470" s="17"/>
      <c r="I1470" s="14" t="n">
        <f aca="false">I1469+G1470-H1470</f>
        <v>67226074</v>
      </c>
    </row>
    <row r="1471" customFormat="false" ht="12" hidden="false" customHeight="true" outlineLevel="1" collapsed="false">
      <c r="B1471" s="15" t="n">
        <v>45237</v>
      </c>
      <c r="C1471" s="15" t="n">
        <f aca="false">B1471</f>
        <v>45237</v>
      </c>
      <c r="D1471" s="16" t="s">
        <v>375</v>
      </c>
      <c r="E1471" s="16" t="s">
        <v>157</v>
      </c>
      <c r="F1471" s="16" t="s">
        <v>15</v>
      </c>
      <c r="G1471" s="17" t="n">
        <v>29734000</v>
      </c>
      <c r="H1471" s="17"/>
      <c r="I1471" s="14" t="n">
        <f aca="false">I1470+G1471-H1471</f>
        <v>96960074</v>
      </c>
    </row>
    <row r="1472" customFormat="false" ht="12" hidden="false" customHeight="true" outlineLevel="1" collapsed="false">
      <c r="B1472" s="15" t="n">
        <v>45237</v>
      </c>
      <c r="C1472" s="15" t="n">
        <f aca="false">B1472</f>
        <v>45237</v>
      </c>
      <c r="D1472" s="16" t="s">
        <v>376</v>
      </c>
      <c r="E1472" s="16" t="s">
        <v>458</v>
      </c>
      <c r="F1472" s="16" t="s">
        <v>459</v>
      </c>
      <c r="G1472" s="17"/>
      <c r="H1472" s="17" t="n">
        <v>42433834</v>
      </c>
      <c r="I1472" s="14" t="n">
        <f aca="false">I1471+G1472-H1472</f>
        <v>54526240</v>
      </c>
    </row>
    <row r="1473" customFormat="false" ht="12" hidden="false" customHeight="true" outlineLevel="1" collapsed="false">
      <c r="B1473" s="15" t="n">
        <v>45237</v>
      </c>
      <c r="C1473" s="15" t="n">
        <f aca="false">B1473</f>
        <v>45237</v>
      </c>
      <c r="D1473" s="16" t="s">
        <v>376</v>
      </c>
      <c r="E1473" s="16" t="s">
        <v>458</v>
      </c>
      <c r="F1473" s="16" t="s">
        <v>459</v>
      </c>
      <c r="G1473" s="17"/>
      <c r="H1473" s="17" t="n">
        <v>4338463</v>
      </c>
      <c r="I1473" s="14" t="n">
        <f aca="false">I1472+G1473-H1473</f>
        <v>50187777</v>
      </c>
    </row>
    <row r="1474" customFormat="false" ht="12" hidden="false" customHeight="true" outlineLevel="1" collapsed="false">
      <c r="B1474" s="15" t="n">
        <v>45237</v>
      </c>
      <c r="C1474" s="15" t="n">
        <f aca="false">B1473</f>
        <v>45237</v>
      </c>
      <c r="D1474" s="16" t="s">
        <v>376</v>
      </c>
      <c r="E1474" s="16" t="s">
        <v>458</v>
      </c>
      <c r="F1474" s="16" t="s">
        <v>459</v>
      </c>
      <c r="G1474" s="17"/>
      <c r="H1474" s="17" t="n">
        <v>14247824</v>
      </c>
      <c r="I1474" s="14" t="n">
        <f aca="false">I1473+G1474-H1474</f>
        <v>35939953</v>
      </c>
    </row>
    <row r="1475" customFormat="false" ht="12" hidden="false" customHeight="true" outlineLevel="1" collapsed="false">
      <c r="B1475" s="15" t="n">
        <v>45238</v>
      </c>
      <c r="C1475" s="15" t="n">
        <f aca="false">B1475</f>
        <v>45238</v>
      </c>
      <c r="D1475" s="16" t="s">
        <v>376</v>
      </c>
      <c r="E1475" s="16" t="s">
        <v>178</v>
      </c>
      <c r="F1475" s="16" t="s">
        <v>179</v>
      </c>
      <c r="G1475" s="17"/>
      <c r="H1475" s="17" t="n">
        <v>14022000</v>
      </c>
      <c r="I1475" s="14" t="n">
        <f aca="false">I1474+G1475-H1475</f>
        <v>21917953</v>
      </c>
    </row>
    <row r="1476" customFormat="false" ht="12" hidden="false" customHeight="true" outlineLevel="1" collapsed="false">
      <c r="B1476" s="15" t="n">
        <v>45238</v>
      </c>
      <c r="C1476" s="15" t="n">
        <f aca="false">B1476</f>
        <v>45238</v>
      </c>
      <c r="D1476" s="16" t="s">
        <v>376</v>
      </c>
      <c r="E1476" s="16" t="s">
        <v>36</v>
      </c>
      <c r="F1476" s="16" t="n">
        <v>635</v>
      </c>
      <c r="G1476" s="17"/>
      <c r="H1476" s="17" t="n">
        <v>122472</v>
      </c>
      <c r="I1476" s="14" t="n">
        <f aca="false">I1475+G1476-H1476</f>
        <v>21795481</v>
      </c>
    </row>
    <row r="1477" customFormat="false" ht="12" hidden="false" customHeight="true" outlineLevel="1" collapsed="false">
      <c r="B1477" s="15" t="n">
        <v>45238</v>
      </c>
      <c r="C1477" s="15" t="n">
        <f aca="false">B1477</f>
        <v>45238</v>
      </c>
      <c r="D1477" s="16" t="s">
        <v>376</v>
      </c>
      <c r="E1477" s="16" t="s">
        <v>178</v>
      </c>
      <c r="F1477" s="16" t="s">
        <v>179</v>
      </c>
      <c r="G1477" s="17"/>
      <c r="H1477" s="17" t="n">
        <v>5500000</v>
      </c>
      <c r="I1477" s="14" t="n">
        <f aca="false">I1476+G1477-H1477</f>
        <v>16295481</v>
      </c>
    </row>
    <row r="1478" customFormat="false" ht="12" hidden="false" customHeight="true" outlineLevel="1" collapsed="false">
      <c r="B1478" s="15" t="n">
        <v>45240</v>
      </c>
      <c r="C1478" s="15" t="n">
        <f aca="false">B1478</f>
        <v>45240</v>
      </c>
      <c r="D1478" s="16" t="s">
        <v>376</v>
      </c>
      <c r="E1478" s="16" t="s">
        <v>36</v>
      </c>
      <c r="F1478" s="16" t="n">
        <v>635</v>
      </c>
      <c r="G1478" s="17"/>
      <c r="H1478" s="17" t="n">
        <v>95444</v>
      </c>
      <c r="I1478" s="14" t="n">
        <f aca="false">I1477+G1478-H1478</f>
        <v>16200037</v>
      </c>
    </row>
    <row r="1479" customFormat="false" ht="12" hidden="false" customHeight="true" outlineLevel="1" collapsed="false">
      <c r="B1479" s="15" t="n">
        <v>45243</v>
      </c>
      <c r="C1479" s="15" t="n">
        <f aca="false">B1479</f>
        <v>45243</v>
      </c>
      <c r="D1479" s="16" t="s">
        <v>375</v>
      </c>
      <c r="E1479" s="16" t="s">
        <v>157</v>
      </c>
      <c r="F1479" s="16" t="s">
        <v>15</v>
      </c>
      <c r="G1479" s="17" t="n">
        <v>40701000</v>
      </c>
      <c r="H1479" s="17"/>
      <c r="I1479" s="14" t="n">
        <f aca="false">I1478+G1479-H1479</f>
        <v>56901037</v>
      </c>
    </row>
    <row r="1480" customFormat="false" ht="12" hidden="false" customHeight="true" outlineLevel="1" collapsed="false">
      <c r="B1480" s="15" t="n">
        <v>45243</v>
      </c>
      <c r="C1480" s="15" t="n">
        <f aca="false">B1480</f>
        <v>45243</v>
      </c>
      <c r="D1480" s="16" t="s">
        <v>375</v>
      </c>
      <c r="E1480" s="16" t="s">
        <v>157</v>
      </c>
      <c r="F1480" s="16" t="s">
        <v>15</v>
      </c>
      <c r="G1480" s="17" t="n">
        <v>35810000</v>
      </c>
      <c r="H1480" s="17"/>
      <c r="I1480" s="14" t="n">
        <f aca="false">I1479+G1480-H1480</f>
        <v>92711037</v>
      </c>
    </row>
    <row r="1481" customFormat="false" ht="12" hidden="false" customHeight="true" outlineLevel="1" collapsed="false">
      <c r="B1481" s="15" t="n">
        <v>45243</v>
      </c>
      <c r="C1481" s="15" t="n">
        <f aca="false">B1481</f>
        <v>45243</v>
      </c>
      <c r="D1481" s="16" t="s">
        <v>375</v>
      </c>
      <c r="E1481" s="16" t="s">
        <v>157</v>
      </c>
      <c r="F1481" s="16" t="s">
        <v>15</v>
      </c>
      <c r="G1481" s="17" t="n">
        <v>13794000</v>
      </c>
      <c r="H1481" s="17"/>
      <c r="I1481" s="14" t="n">
        <f aca="false">I1480+G1481-H1481</f>
        <v>106505037</v>
      </c>
    </row>
    <row r="1482" customFormat="false" ht="12" hidden="false" customHeight="true" outlineLevel="1" collapsed="false">
      <c r="B1482" s="15" t="n">
        <v>45243</v>
      </c>
      <c r="C1482" s="15" t="n">
        <f aca="false">B1482</f>
        <v>45243</v>
      </c>
      <c r="D1482" s="16" t="s">
        <v>375</v>
      </c>
      <c r="E1482" s="16" t="s">
        <v>157</v>
      </c>
      <c r="F1482" s="16" t="s">
        <v>15</v>
      </c>
      <c r="G1482" s="17" t="n">
        <v>53518000</v>
      </c>
      <c r="H1482" s="17"/>
      <c r="I1482" s="14" t="n">
        <f aca="false">I1481+G1482-H1482</f>
        <v>160023037</v>
      </c>
    </row>
    <row r="1483" customFormat="false" ht="12" hidden="false" customHeight="true" outlineLevel="1" collapsed="false">
      <c r="B1483" s="15" t="n">
        <v>45243</v>
      </c>
      <c r="C1483" s="15" t="n">
        <f aca="false">B1483</f>
        <v>45243</v>
      </c>
      <c r="D1483" s="16" t="s">
        <v>375</v>
      </c>
      <c r="E1483" s="16" t="s">
        <v>157</v>
      </c>
      <c r="F1483" s="16" t="s">
        <v>15</v>
      </c>
      <c r="G1483" s="17" t="n">
        <v>239429000</v>
      </c>
      <c r="H1483" s="17"/>
      <c r="I1483" s="14" t="n">
        <f aca="false">I1482+G1483-H1483</f>
        <v>399452037</v>
      </c>
    </row>
    <row r="1484" customFormat="false" ht="12" hidden="false" customHeight="true" outlineLevel="1" collapsed="false">
      <c r="B1484" s="15" t="n">
        <v>45243</v>
      </c>
      <c r="C1484" s="15" t="n">
        <f aca="false">B1484</f>
        <v>45243</v>
      </c>
      <c r="D1484" s="16" t="s">
        <v>375</v>
      </c>
      <c r="E1484" s="16" t="s">
        <v>157</v>
      </c>
      <c r="F1484" s="16" t="s">
        <v>15</v>
      </c>
      <c r="G1484" s="17" t="n">
        <v>132874000</v>
      </c>
      <c r="H1484" s="17"/>
      <c r="I1484" s="14" t="n">
        <f aca="false">I1483+G1484-H1484</f>
        <v>532326037</v>
      </c>
    </row>
    <row r="1485" customFormat="false" ht="12" hidden="false" customHeight="true" outlineLevel="1" collapsed="false">
      <c r="B1485" s="15" t="n">
        <v>45243</v>
      </c>
      <c r="C1485" s="15" t="n">
        <f aca="false">B1485</f>
        <v>45243</v>
      </c>
      <c r="D1485" s="16" t="s">
        <v>375</v>
      </c>
      <c r="E1485" s="16" t="s">
        <v>157</v>
      </c>
      <c r="F1485" s="16" t="s">
        <v>15</v>
      </c>
      <c r="G1485" s="17" t="n">
        <v>110313000</v>
      </c>
      <c r="H1485" s="17"/>
      <c r="I1485" s="14" t="n">
        <f aca="false">I1484+G1485-H1485</f>
        <v>642639037</v>
      </c>
    </row>
    <row r="1486" customFormat="false" ht="12" hidden="false" customHeight="true" outlineLevel="1" collapsed="false">
      <c r="B1486" s="15" t="n">
        <v>45243</v>
      </c>
      <c r="C1486" s="15" t="n">
        <f aca="false">B1486</f>
        <v>45243</v>
      </c>
      <c r="D1486" s="16" t="s">
        <v>376</v>
      </c>
      <c r="E1486" s="16" t="s">
        <v>178</v>
      </c>
      <c r="F1486" s="16" t="s">
        <v>179</v>
      </c>
      <c r="G1486" s="17"/>
      <c r="H1486" s="17" t="n">
        <v>186706443</v>
      </c>
      <c r="I1486" s="14" t="n">
        <f aca="false">I1485+G1486-H1486</f>
        <v>455932594</v>
      </c>
    </row>
    <row r="1487" customFormat="false" ht="12" hidden="false" customHeight="true" outlineLevel="1" collapsed="false">
      <c r="B1487" s="15" t="n">
        <v>45243</v>
      </c>
      <c r="C1487" s="15" t="n">
        <f aca="false">B1487</f>
        <v>45243</v>
      </c>
      <c r="D1487" s="16" t="s">
        <v>376</v>
      </c>
      <c r="E1487" s="16" t="s">
        <v>23</v>
      </c>
      <c r="F1487" s="16" t="s">
        <v>24</v>
      </c>
      <c r="G1487" s="17"/>
      <c r="H1487" s="17" t="n">
        <v>450000000</v>
      </c>
      <c r="I1487" s="14" t="n">
        <f aca="false">I1486+G1487-H1487</f>
        <v>5932594</v>
      </c>
    </row>
    <row r="1488" customFormat="false" ht="12" hidden="false" customHeight="true" outlineLevel="1" collapsed="false">
      <c r="B1488" s="15" t="n">
        <v>45243</v>
      </c>
      <c r="C1488" s="15" t="n">
        <f aca="false">B1488</f>
        <v>45243</v>
      </c>
      <c r="D1488" s="16" t="s">
        <v>450</v>
      </c>
      <c r="E1488" s="16" t="s">
        <v>450</v>
      </c>
      <c r="F1488" s="16" t="n">
        <v>515</v>
      </c>
      <c r="G1488" s="17" t="n">
        <v>2814000</v>
      </c>
      <c r="H1488" s="17"/>
      <c r="I1488" s="14" t="n">
        <f aca="false">I1487+G1488-H1488</f>
        <v>8746594</v>
      </c>
    </row>
    <row r="1489" customFormat="false" ht="12" hidden="false" customHeight="true" outlineLevel="1" collapsed="false">
      <c r="B1489" s="15" t="n">
        <v>45244</v>
      </c>
      <c r="C1489" s="15" t="n">
        <f aca="false">B1489</f>
        <v>45244</v>
      </c>
      <c r="D1489" s="16" t="s">
        <v>375</v>
      </c>
      <c r="E1489" s="16" t="s">
        <v>157</v>
      </c>
      <c r="F1489" s="16" t="s">
        <v>15</v>
      </c>
      <c r="G1489" s="17" t="n">
        <v>216656000</v>
      </c>
      <c r="H1489" s="17"/>
      <c r="I1489" s="14" t="n">
        <f aca="false">I1488+G1489-H1489</f>
        <v>225402594</v>
      </c>
    </row>
    <row r="1490" customFormat="false" ht="12" hidden="false" customHeight="true" outlineLevel="1" collapsed="false">
      <c r="B1490" s="15" t="n">
        <v>45244</v>
      </c>
      <c r="C1490" s="15" t="n">
        <f aca="false">B1490</f>
        <v>45244</v>
      </c>
      <c r="D1490" s="16" t="s">
        <v>375</v>
      </c>
      <c r="E1490" s="16" t="s">
        <v>157</v>
      </c>
      <c r="F1490" s="16" t="s">
        <v>15</v>
      </c>
      <c r="G1490" s="17" t="n">
        <v>69336000</v>
      </c>
      <c r="H1490" s="17"/>
      <c r="I1490" s="14" t="n">
        <f aca="false">I1489+G1490-H1490</f>
        <v>294738594</v>
      </c>
    </row>
    <row r="1491" customFormat="false" ht="12" hidden="false" customHeight="true" outlineLevel="1" collapsed="false">
      <c r="B1491" s="15" t="n">
        <v>45244</v>
      </c>
      <c r="C1491" s="15" t="n">
        <f aca="false">B1491</f>
        <v>45244</v>
      </c>
      <c r="D1491" s="16" t="s">
        <v>375</v>
      </c>
      <c r="E1491" s="16" t="s">
        <v>157</v>
      </c>
      <c r="F1491" s="16" t="s">
        <v>15</v>
      </c>
      <c r="G1491" s="17" t="n">
        <v>39244000</v>
      </c>
      <c r="H1491" s="17"/>
      <c r="I1491" s="14" t="n">
        <f aca="false">I1490+G1491-H1491</f>
        <v>333982594</v>
      </c>
    </row>
    <row r="1492" customFormat="false" ht="12" hidden="false" customHeight="true" outlineLevel="1" collapsed="false">
      <c r="B1492" s="15" t="n">
        <v>45244</v>
      </c>
      <c r="C1492" s="15" t="n">
        <f aca="false">B1492</f>
        <v>45244</v>
      </c>
      <c r="D1492" s="16" t="s">
        <v>375</v>
      </c>
      <c r="E1492" s="16" t="s">
        <v>157</v>
      </c>
      <c r="F1492" s="16" t="s">
        <v>15</v>
      </c>
      <c r="G1492" s="17" t="n">
        <v>117288000</v>
      </c>
      <c r="H1492" s="17"/>
      <c r="I1492" s="14" t="n">
        <f aca="false">I1491+G1492-H1492</f>
        <v>451270594</v>
      </c>
    </row>
    <row r="1493" customFormat="false" ht="12" hidden="false" customHeight="true" outlineLevel="1" collapsed="false">
      <c r="B1493" s="15" t="n">
        <v>45244</v>
      </c>
      <c r="C1493" s="15" t="n">
        <f aca="false">B1493</f>
        <v>45244</v>
      </c>
      <c r="D1493" s="16" t="s">
        <v>376</v>
      </c>
      <c r="E1493" s="16" t="s">
        <v>57</v>
      </c>
      <c r="F1493" s="16" t="n">
        <v>635</v>
      </c>
      <c r="G1493" s="17"/>
      <c r="H1493" s="17" t="n">
        <v>11000</v>
      </c>
      <c r="I1493" s="14" t="n">
        <f aca="false">I1492+G1493-H1493</f>
        <v>451259594</v>
      </c>
    </row>
    <row r="1494" customFormat="false" ht="12" hidden="false" customHeight="true" outlineLevel="1" collapsed="false">
      <c r="B1494" s="15" t="n">
        <v>45244</v>
      </c>
      <c r="C1494" s="15" t="n">
        <f aca="false">B1494</f>
        <v>45244</v>
      </c>
      <c r="D1494" s="16" t="s">
        <v>376</v>
      </c>
      <c r="E1494" s="16" t="s">
        <v>23</v>
      </c>
      <c r="F1494" s="16" t="s">
        <v>24</v>
      </c>
      <c r="G1494" s="17"/>
      <c r="H1494" s="17" t="n">
        <v>325000000</v>
      </c>
      <c r="I1494" s="14" t="n">
        <f aca="false">I1493+G1494-H1494</f>
        <v>126259594</v>
      </c>
    </row>
    <row r="1495" customFormat="false" ht="12" hidden="false" customHeight="true" outlineLevel="1" collapsed="false">
      <c r="B1495" s="15" t="n">
        <v>45245</v>
      </c>
      <c r="C1495" s="15" t="n">
        <f aca="false">B1495</f>
        <v>45245</v>
      </c>
      <c r="D1495" s="16" t="s">
        <v>375</v>
      </c>
      <c r="E1495" s="16" t="s">
        <v>157</v>
      </c>
      <c r="F1495" s="16" t="s">
        <v>15</v>
      </c>
      <c r="G1495" s="17" t="n">
        <v>94000000</v>
      </c>
      <c r="H1495" s="17"/>
      <c r="I1495" s="14" t="n">
        <f aca="false">I1494+G1495-H1495</f>
        <v>220259594</v>
      </c>
    </row>
    <row r="1496" customFormat="false" ht="12" hidden="false" customHeight="true" outlineLevel="1" collapsed="false">
      <c r="B1496" s="15" t="n">
        <v>45245</v>
      </c>
      <c r="C1496" s="15" t="n">
        <f aca="false">B1496</f>
        <v>45245</v>
      </c>
      <c r="D1496" s="16" t="s">
        <v>376</v>
      </c>
      <c r="E1496" s="16" t="s">
        <v>178</v>
      </c>
      <c r="F1496" s="16" t="s">
        <v>179</v>
      </c>
      <c r="G1496" s="17"/>
      <c r="H1496" s="17" t="n">
        <v>203182323</v>
      </c>
      <c r="I1496" s="14" t="n">
        <f aca="false">I1495+G1496-H1496</f>
        <v>17077271</v>
      </c>
    </row>
    <row r="1497" customFormat="false" ht="12" hidden="false" customHeight="true" outlineLevel="1" collapsed="false">
      <c r="B1497" s="15" t="n">
        <v>45246</v>
      </c>
      <c r="C1497" s="15" t="n">
        <f aca="false">B1497</f>
        <v>45246</v>
      </c>
      <c r="D1497" s="16" t="s">
        <v>375</v>
      </c>
      <c r="E1497" s="16" t="s">
        <v>157</v>
      </c>
      <c r="F1497" s="16" t="s">
        <v>15</v>
      </c>
      <c r="G1497" s="17" t="n">
        <v>57609000</v>
      </c>
      <c r="H1497" s="17"/>
      <c r="I1497" s="14" t="n">
        <f aca="false">I1496+G1497-H1497</f>
        <v>74686271</v>
      </c>
    </row>
    <row r="1498" customFormat="false" ht="12" hidden="false" customHeight="true" outlineLevel="1" collapsed="false">
      <c r="B1498" s="15" t="n">
        <v>45246</v>
      </c>
      <c r="C1498" s="15" t="n">
        <f aca="false">B1498</f>
        <v>45246</v>
      </c>
      <c r="D1498" s="16" t="s">
        <v>375</v>
      </c>
      <c r="E1498" s="16" t="s">
        <v>157</v>
      </c>
      <c r="F1498" s="16" t="s">
        <v>15</v>
      </c>
      <c r="G1498" s="17" t="n">
        <v>54660000</v>
      </c>
      <c r="H1498" s="17"/>
      <c r="I1498" s="14" t="n">
        <f aca="false">I1497+G1498-H1498</f>
        <v>129346271</v>
      </c>
    </row>
    <row r="1499" customFormat="false" ht="12" hidden="false" customHeight="true" outlineLevel="1" collapsed="false">
      <c r="B1499" s="15" t="n">
        <v>45246</v>
      </c>
      <c r="C1499" s="15" t="n">
        <f aca="false">B1499</f>
        <v>45246</v>
      </c>
      <c r="D1499" s="16" t="s">
        <v>375</v>
      </c>
      <c r="E1499" s="16" t="s">
        <v>157</v>
      </c>
      <c r="F1499" s="16" t="s">
        <v>15</v>
      </c>
      <c r="G1499" s="17" t="n">
        <v>69376000</v>
      </c>
      <c r="H1499" s="17"/>
      <c r="I1499" s="14" t="n">
        <f aca="false">I1498+G1499-H1499</f>
        <v>198722271</v>
      </c>
    </row>
    <row r="1500" customFormat="false" ht="12" hidden="false" customHeight="true" outlineLevel="1" collapsed="false">
      <c r="B1500" s="15" t="n">
        <v>45246</v>
      </c>
      <c r="C1500" s="15" t="n">
        <f aca="false">B1500</f>
        <v>45246</v>
      </c>
      <c r="D1500" s="16" t="s">
        <v>375</v>
      </c>
      <c r="E1500" s="16" t="s">
        <v>157</v>
      </c>
      <c r="F1500" s="16" t="s">
        <v>15</v>
      </c>
      <c r="G1500" s="17" t="n">
        <v>133411000</v>
      </c>
      <c r="H1500" s="17"/>
      <c r="I1500" s="14" t="n">
        <f aca="false">I1499+G1500-H1500</f>
        <v>332133271</v>
      </c>
    </row>
    <row r="1501" customFormat="false" ht="12" hidden="false" customHeight="true" outlineLevel="1" collapsed="false">
      <c r="B1501" s="15" t="n">
        <v>45246</v>
      </c>
      <c r="C1501" s="15" t="n">
        <f aca="false">B1501</f>
        <v>45246</v>
      </c>
      <c r="D1501" s="16" t="s">
        <v>375</v>
      </c>
      <c r="E1501" s="16" t="s">
        <v>157</v>
      </c>
      <c r="F1501" s="16" t="s">
        <v>15</v>
      </c>
      <c r="G1501" s="17" t="n">
        <v>79406000</v>
      </c>
      <c r="H1501" s="17"/>
      <c r="I1501" s="14" t="n">
        <f aca="false">I1500+G1501-H1501</f>
        <v>411539271</v>
      </c>
    </row>
    <row r="1502" customFormat="false" ht="12" hidden="false" customHeight="true" outlineLevel="1" collapsed="false">
      <c r="B1502" s="15" t="n">
        <v>45246</v>
      </c>
      <c r="C1502" s="15" t="n">
        <f aca="false">B1502</f>
        <v>45246</v>
      </c>
      <c r="D1502" s="16" t="s">
        <v>375</v>
      </c>
      <c r="E1502" s="16" t="s">
        <v>157</v>
      </c>
      <c r="F1502" s="16" t="s">
        <v>15</v>
      </c>
      <c r="G1502" s="17" t="n">
        <v>86000000</v>
      </c>
      <c r="H1502" s="17"/>
      <c r="I1502" s="14" t="n">
        <f aca="false">I1501+G1502-H1502</f>
        <v>497539271</v>
      </c>
    </row>
    <row r="1503" customFormat="false" ht="12" hidden="false" customHeight="true" outlineLevel="1" collapsed="false">
      <c r="B1503" s="15" t="n">
        <v>45246</v>
      </c>
      <c r="C1503" s="15" t="n">
        <f aca="false">B1503</f>
        <v>45246</v>
      </c>
      <c r="D1503" s="16" t="s">
        <v>376</v>
      </c>
      <c r="E1503" s="16" t="s">
        <v>23</v>
      </c>
      <c r="F1503" s="16" t="s">
        <v>24</v>
      </c>
      <c r="G1503" s="17"/>
      <c r="H1503" s="17" t="n">
        <v>495000000</v>
      </c>
      <c r="I1503" s="14" t="n">
        <f aca="false">I1502+G1503-H1503</f>
        <v>2539271</v>
      </c>
    </row>
    <row r="1504" customFormat="false" ht="12" hidden="false" customHeight="true" outlineLevel="1" collapsed="false">
      <c r="B1504" s="15" t="n">
        <v>45247</v>
      </c>
      <c r="C1504" s="15" t="n">
        <f aca="false">B1504</f>
        <v>45247</v>
      </c>
      <c r="D1504" s="16" t="s">
        <v>375</v>
      </c>
      <c r="E1504" s="16" t="s">
        <v>157</v>
      </c>
      <c r="F1504" s="16" t="s">
        <v>15</v>
      </c>
      <c r="G1504" s="17" t="n">
        <v>100000000</v>
      </c>
      <c r="H1504" s="17"/>
      <c r="I1504" s="14" t="n">
        <f aca="false">I1503+G1504-H1504</f>
        <v>102539271</v>
      </c>
    </row>
    <row r="1505" customFormat="false" ht="12" hidden="false" customHeight="true" outlineLevel="1" collapsed="false">
      <c r="B1505" s="15" t="n">
        <v>45247</v>
      </c>
      <c r="C1505" s="15" t="n">
        <f aca="false">B1505</f>
        <v>45247</v>
      </c>
      <c r="D1505" s="16" t="s">
        <v>375</v>
      </c>
      <c r="E1505" s="16" t="s">
        <v>157</v>
      </c>
      <c r="F1505" s="16" t="s">
        <v>15</v>
      </c>
      <c r="G1505" s="17" t="n">
        <v>43568000</v>
      </c>
      <c r="H1505" s="17"/>
      <c r="I1505" s="14" t="n">
        <f aca="false">I1504+G1505-H1505</f>
        <v>146107271</v>
      </c>
    </row>
    <row r="1506" customFormat="false" ht="12" hidden="false" customHeight="true" outlineLevel="1" collapsed="false">
      <c r="B1506" s="15" t="n">
        <v>45247</v>
      </c>
      <c r="C1506" s="15" t="n">
        <f aca="false">B1506</f>
        <v>45247</v>
      </c>
      <c r="D1506" s="16" t="s">
        <v>375</v>
      </c>
      <c r="E1506" s="16" t="s">
        <v>157</v>
      </c>
      <c r="F1506" s="16" t="s">
        <v>15</v>
      </c>
      <c r="G1506" s="17" t="n">
        <v>25379000</v>
      </c>
      <c r="H1506" s="17"/>
      <c r="I1506" s="14" t="n">
        <f aca="false">I1505+G1506-H1506</f>
        <v>171486271</v>
      </c>
    </row>
    <row r="1507" customFormat="false" ht="12" hidden="false" customHeight="true" outlineLevel="1" collapsed="false">
      <c r="B1507" s="15" t="n">
        <v>45247</v>
      </c>
      <c r="C1507" s="15" t="n">
        <f aca="false">B1507</f>
        <v>45247</v>
      </c>
      <c r="D1507" s="16" t="s">
        <v>376</v>
      </c>
      <c r="E1507" s="16" t="s">
        <v>36</v>
      </c>
      <c r="F1507" s="16" t="n">
        <v>635</v>
      </c>
      <c r="G1507" s="17"/>
      <c r="H1507" s="17" t="n">
        <v>98690</v>
      </c>
      <c r="I1507" s="14" t="n">
        <f aca="false">I1506+G1507-H1507</f>
        <v>171387581</v>
      </c>
    </row>
    <row r="1508" customFormat="false" ht="12" hidden="false" customHeight="true" outlineLevel="1" collapsed="false">
      <c r="B1508" s="15" t="n">
        <v>45247</v>
      </c>
      <c r="C1508" s="15" t="n">
        <f aca="false">B1508</f>
        <v>45247</v>
      </c>
      <c r="D1508" s="16" t="s">
        <v>376</v>
      </c>
      <c r="E1508" s="16" t="s">
        <v>23</v>
      </c>
      <c r="F1508" s="16" t="s">
        <v>24</v>
      </c>
      <c r="G1508" s="17"/>
      <c r="H1508" s="17" t="n">
        <v>170000000</v>
      </c>
      <c r="I1508" s="14" t="n">
        <f aca="false">I1507+G1508-H1508</f>
        <v>1387581</v>
      </c>
    </row>
    <row r="1509" customFormat="false" ht="12" hidden="false" customHeight="true" outlineLevel="1" collapsed="false">
      <c r="B1509" s="15" t="n">
        <v>45250</v>
      </c>
      <c r="C1509" s="15" t="n">
        <f aca="false">B1509</f>
        <v>45250</v>
      </c>
      <c r="D1509" s="16" t="s">
        <v>375</v>
      </c>
      <c r="E1509" s="16" t="s">
        <v>157</v>
      </c>
      <c r="F1509" s="16" t="s">
        <v>15</v>
      </c>
      <c r="G1509" s="17" t="n">
        <v>16710000</v>
      </c>
      <c r="H1509" s="17"/>
      <c r="I1509" s="14" t="n">
        <f aca="false">I1508+G1509-H1509</f>
        <v>18097581</v>
      </c>
    </row>
    <row r="1510" customFormat="false" ht="12" hidden="false" customHeight="true" outlineLevel="1" collapsed="false">
      <c r="B1510" s="15" t="n">
        <v>45250</v>
      </c>
      <c r="C1510" s="15" t="n">
        <f aca="false">B1510</f>
        <v>45250</v>
      </c>
      <c r="D1510" s="16" t="s">
        <v>375</v>
      </c>
      <c r="E1510" s="16" t="s">
        <v>157</v>
      </c>
      <c r="F1510" s="16" t="s">
        <v>15</v>
      </c>
      <c r="G1510" s="17" t="n">
        <v>56010000</v>
      </c>
      <c r="H1510" s="17"/>
      <c r="I1510" s="14" t="n">
        <f aca="false">I1509+G1510-H1510</f>
        <v>74107581</v>
      </c>
    </row>
    <row r="1511" customFormat="false" ht="12" hidden="false" customHeight="true" outlineLevel="1" collapsed="false">
      <c r="B1511" s="15" t="n">
        <v>45250</v>
      </c>
      <c r="C1511" s="15" t="n">
        <f aca="false">B1511</f>
        <v>45250</v>
      </c>
      <c r="D1511" s="16" t="s">
        <v>375</v>
      </c>
      <c r="E1511" s="16" t="s">
        <v>157</v>
      </c>
      <c r="F1511" s="16" t="s">
        <v>15</v>
      </c>
      <c r="G1511" s="17" t="n">
        <v>51064000</v>
      </c>
      <c r="H1511" s="17"/>
      <c r="I1511" s="14" t="n">
        <f aca="false">I1510+G1511-H1511</f>
        <v>125171581</v>
      </c>
    </row>
    <row r="1512" customFormat="false" ht="12" hidden="false" customHeight="true" outlineLevel="1" collapsed="false">
      <c r="B1512" s="15" t="n">
        <v>45250</v>
      </c>
      <c r="C1512" s="15" t="n">
        <f aca="false">B1512</f>
        <v>45250</v>
      </c>
      <c r="D1512" s="16" t="s">
        <v>375</v>
      </c>
      <c r="E1512" s="16" t="s">
        <v>157</v>
      </c>
      <c r="F1512" s="16" t="s">
        <v>15</v>
      </c>
      <c r="G1512" s="17" t="n">
        <v>86684000</v>
      </c>
      <c r="H1512" s="17"/>
      <c r="I1512" s="14" t="n">
        <f aca="false">I1511+G1512-H1512</f>
        <v>211855581</v>
      </c>
    </row>
    <row r="1513" customFormat="false" ht="12" hidden="false" customHeight="true" outlineLevel="1" collapsed="false">
      <c r="B1513" s="15" t="n">
        <v>45250</v>
      </c>
      <c r="C1513" s="15" t="n">
        <f aca="false">B1513</f>
        <v>45250</v>
      </c>
      <c r="D1513" s="16" t="s">
        <v>375</v>
      </c>
      <c r="E1513" s="16" t="s">
        <v>157</v>
      </c>
      <c r="F1513" s="16" t="s">
        <v>15</v>
      </c>
      <c r="G1513" s="17" t="n">
        <v>48893000</v>
      </c>
      <c r="H1513" s="17"/>
      <c r="I1513" s="14" t="n">
        <f aca="false">I1512+G1513-H1513</f>
        <v>260748581</v>
      </c>
    </row>
    <row r="1514" customFormat="false" ht="12" hidden="false" customHeight="true" outlineLevel="1" collapsed="false">
      <c r="B1514" s="15" t="n">
        <v>45250</v>
      </c>
      <c r="C1514" s="15" t="n">
        <f aca="false">B1514</f>
        <v>45250</v>
      </c>
      <c r="D1514" s="16" t="s">
        <v>375</v>
      </c>
      <c r="E1514" s="16" t="s">
        <v>157</v>
      </c>
      <c r="F1514" s="16" t="s">
        <v>15</v>
      </c>
      <c r="G1514" s="17" t="n">
        <v>155383000</v>
      </c>
      <c r="H1514" s="17"/>
      <c r="I1514" s="14" t="n">
        <f aca="false">I1513+G1514-H1514</f>
        <v>416131581</v>
      </c>
    </row>
    <row r="1515" customFormat="false" ht="12" hidden="false" customHeight="true" outlineLevel="1" collapsed="false">
      <c r="B1515" s="15" t="n">
        <v>45250</v>
      </c>
      <c r="C1515" s="15" t="n">
        <f aca="false">B1515</f>
        <v>45250</v>
      </c>
      <c r="D1515" s="16" t="s">
        <v>375</v>
      </c>
      <c r="E1515" s="16" t="s">
        <v>157</v>
      </c>
      <c r="F1515" s="16" t="s">
        <v>15</v>
      </c>
      <c r="G1515" s="17" t="n">
        <v>56172000</v>
      </c>
      <c r="H1515" s="17"/>
      <c r="I1515" s="14" t="n">
        <f aca="false">I1514+G1515-H1515</f>
        <v>472303581</v>
      </c>
    </row>
    <row r="1516" customFormat="false" ht="12" hidden="false" customHeight="true" outlineLevel="1" collapsed="false">
      <c r="B1516" s="15" t="n">
        <v>45250</v>
      </c>
      <c r="C1516" s="15" t="n">
        <f aca="false">B1516</f>
        <v>45250</v>
      </c>
      <c r="D1516" s="16" t="s">
        <v>375</v>
      </c>
      <c r="E1516" s="16" t="s">
        <v>157</v>
      </c>
      <c r="F1516" s="16" t="s">
        <v>15</v>
      </c>
      <c r="G1516" s="17" t="n">
        <v>132000000</v>
      </c>
      <c r="H1516" s="17"/>
      <c r="I1516" s="14" t="n">
        <f aca="false">I1515+G1516-H1516</f>
        <v>604303581</v>
      </c>
    </row>
    <row r="1517" customFormat="false" ht="12" hidden="false" customHeight="true" outlineLevel="1" collapsed="false">
      <c r="B1517" s="15" t="n">
        <v>45250</v>
      </c>
      <c r="C1517" s="15" t="n">
        <f aca="false">B1517</f>
        <v>45250</v>
      </c>
      <c r="D1517" s="16" t="s">
        <v>376</v>
      </c>
      <c r="E1517" s="16" t="s">
        <v>36</v>
      </c>
      <c r="F1517" s="16" t="n">
        <v>635</v>
      </c>
      <c r="G1517" s="17"/>
      <c r="H1517" s="17" t="n">
        <v>81787</v>
      </c>
      <c r="I1517" s="14" t="n">
        <f aca="false">I1516+G1517-H1517</f>
        <v>604221794</v>
      </c>
    </row>
    <row r="1518" customFormat="false" ht="12" hidden="false" customHeight="true" outlineLevel="1" collapsed="false">
      <c r="B1518" s="15" t="n">
        <v>45250</v>
      </c>
      <c r="C1518" s="15" t="n">
        <f aca="false">B1518</f>
        <v>45250</v>
      </c>
      <c r="D1518" s="16" t="s">
        <v>376</v>
      </c>
      <c r="E1518" s="16" t="s">
        <v>23</v>
      </c>
      <c r="F1518" s="16" t="s">
        <v>24</v>
      </c>
      <c r="G1518" s="17"/>
      <c r="H1518" s="17" t="n">
        <v>600000000</v>
      </c>
      <c r="I1518" s="14" t="n">
        <f aca="false">I1517+G1518-H1518</f>
        <v>4221794</v>
      </c>
    </row>
    <row r="1519" customFormat="false" ht="12" hidden="false" customHeight="true" outlineLevel="1" collapsed="false">
      <c r="B1519" s="15" t="n">
        <v>45251</v>
      </c>
      <c r="C1519" s="15" t="n">
        <f aca="false">B1519</f>
        <v>45251</v>
      </c>
      <c r="D1519" s="16" t="s">
        <v>375</v>
      </c>
      <c r="E1519" s="16" t="s">
        <v>157</v>
      </c>
      <c r="F1519" s="16" t="s">
        <v>15</v>
      </c>
      <c r="G1519" s="17" t="n">
        <v>31818000</v>
      </c>
      <c r="H1519" s="17"/>
      <c r="I1519" s="14" t="n">
        <f aca="false">I1518+G1519-H1519</f>
        <v>36039794</v>
      </c>
    </row>
    <row r="1520" customFormat="false" ht="12" hidden="false" customHeight="true" outlineLevel="1" collapsed="false">
      <c r="B1520" s="15" t="n">
        <v>45251</v>
      </c>
      <c r="C1520" s="15" t="n">
        <f aca="false">B1520</f>
        <v>45251</v>
      </c>
      <c r="D1520" s="16" t="s">
        <v>375</v>
      </c>
      <c r="E1520" s="16" t="s">
        <v>157</v>
      </c>
      <c r="F1520" s="16" t="s">
        <v>15</v>
      </c>
      <c r="G1520" s="17" t="n">
        <v>279228000</v>
      </c>
      <c r="H1520" s="17"/>
      <c r="I1520" s="14" t="n">
        <f aca="false">I1519+G1520-H1520</f>
        <v>315267794</v>
      </c>
    </row>
    <row r="1521" customFormat="false" ht="12" hidden="false" customHeight="true" outlineLevel="1" collapsed="false">
      <c r="B1521" s="15" t="n">
        <v>45251</v>
      </c>
      <c r="C1521" s="15" t="n">
        <f aca="false">B1521</f>
        <v>45251</v>
      </c>
      <c r="D1521" s="16" t="s">
        <v>375</v>
      </c>
      <c r="E1521" s="16" t="s">
        <v>157</v>
      </c>
      <c r="F1521" s="16" t="s">
        <v>15</v>
      </c>
      <c r="G1521" s="17" t="n">
        <v>106633000</v>
      </c>
      <c r="H1521" s="17"/>
      <c r="I1521" s="14" t="n">
        <f aca="false">I1520+G1521-H1521</f>
        <v>421900794</v>
      </c>
    </row>
    <row r="1522" customFormat="false" ht="12" hidden="false" customHeight="true" outlineLevel="1" collapsed="false">
      <c r="B1522" s="15" t="n">
        <v>45251</v>
      </c>
      <c r="C1522" s="15" t="n">
        <f aca="false">B1522</f>
        <v>45251</v>
      </c>
      <c r="D1522" s="16" t="s">
        <v>375</v>
      </c>
      <c r="E1522" s="16" t="s">
        <v>157</v>
      </c>
      <c r="F1522" s="16" t="s">
        <v>15</v>
      </c>
      <c r="G1522" s="17" t="n">
        <v>78000000</v>
      </c>
      <c r="H1522" s="17"/>
      <c r="I1522" s="14" t="n">
        <f aca="false">I1521+G1522-H1522</f>
        <v>499900794</v>
      </c>
    </row>
    <row r="1523" customFormat="false" ht="12" hidden="false" customHeight="true" outlineLevel="1" collapsed="false">
      <c r="B1523" s="15" t="n">
        <v>45251</v>
      </c>
      <c r="C1523" s="15" t="n">
        <f aca="false">B1523</f>
        <v>45251</v>
      </c>
      <c r="D1523" s="16" t="s">
        <v>376</v>
      </c>
      <c r="E1523" s="16" t="s">
        <v>36</v>
      </c>
      <c r="F1523" s="16" t="n">
        <v>635</v>
      </c>
      <c r="G1523" s="17"/>
      <c r="H1523" s="17" t="n">
        <v>11000</v>
      </c>
      <c r="I1523" s="14" t="n">
        <f aca="false">I1522+G1523-H1523</f>
        <v>499889794</v>
      </c>
    </row>
    <row r="1524" customFormat="false" ht="12" hidden="false" customHeight="true" outlineLevel="1" collapsed="false">
      <c r="B1524" s="15" t="n">
        <v>45251</v>
      </c>
      <c r="C1524" s="15" t="n">
        <f aca="false">B1524</f>
        <v>45251</v>
      </c>
      <c r="D1524" s="16" t="s">
        <v>376</v>
      </c>
      <c r="E1524" s="16" t="s">
        <v>23</v>
      </c>
      <c r="F1524" s="16" t="s">
        <v>24</v>
      </c>
      <c r="G1524" s="17"/>
      <c r="H1524" s="17" t="n">
        <v>498000000</v>
      </c>
      <c r="I1524" s="14" t="n">
        <f aca="false">I1523+G1524-H1524</f>
        <v>1889794</v>
      </c>
    </row>
    <row r="1525" customFormat="false" ht="12" hidden="false" customHeight="true" outlineLevel="1" collapsed="false">
      <c r="B1525" s="15" t="n">
        <v>45252</v>
      </c>
      <c r="C1525" s="15" t="n">
        <f aca="false">B1525</f>
        <v>45252</v>
      </c>
      <c r="D1525" s="16" t="s">
        <v>375</v>
      </c>
      <c r="E1525" s="16" t="s">
        <v>157</v>
      </c>
      <c r="F1525" s="16" t="s">
        <v>15</v>
      </c>
      <c r="G1525" s="17" t="n">
        <v>37948000</v>
      </c>
      <c r="H1525" s="17"/>
      <c r="I1525" s="14" t="n">
        <f aca="false">I1524+G1525-H1525</f>
        <v>39837794</v>
      </c>
    </row>
    <row r="1526" customFormat="false" ht="12" hidden="false" customHeight="true" outlineLevel="1" collapsed="false">
      <c r="B1526" s="15" t="n">
        <v>45252</v>
      </c>
      <c r="C1526" s="15" t="n">
        <f aca="false">B1526</f>
        <v>45252</v>
      </c>
      <c r="D1526" s="16" t="s">
        <v>375</v>
      </c>
      <c r="E1526" s="16" t="s">
        <v>157</v>
      </c>
      <c r="F1526" s="16" t="s">
        <v>15</v>
      </c>
      <c r="G1526" s="17" t="n">
        <v>53263000</v>
      </c>
      <c r="H1526" s="17"/>
      <c r="I1526" s="14" t="n">
        <f aca="false">I1525+G1526-H1526</f>
        <v>93100794</v>
      </c>
    </row>
    <row r="1527" customFormat="false" ht="12" hidden="false" customHeight="true" outlineLevel="1" collapsed="false">
      <c r="B1527" s="15" t="n">
        <v>45252</v>
      </c>
      <c r="C1527" s="15" t="n">
        <f aca="false">B1527</f>
        <v>45252</v>
      </c>
      <c r="D1527" s="16" t="s">
        <v>375</v>
      </c>
      <c r="E1527" s="16" t="s">
        <v>157</v>
      </c>
      <c r="F1527" s="16" t="s">
        <v>15</v>
      </c>
      <c r="G1527" s="17" t="n">
        <v>75000000</v>
      </c>
      <c r="H1527" s="17"/>
      <c r="I1527" s="14" t="n">
        <f aca="false">I1526+G1527-H1527</f>
        <v>168100794</v>
      </c>
    </row>
    <row r="1528" customFormat="false" ht="12" hidden="false" customHeight="true" outlineLevel="1" collapsed="false">
      <c r="B1528" s="15" t="n">
        <v>45252</v>
      </c>
      <c r="C1528" s="15" t="n">
        <f aca="false">B1528</f>
        <v>45252</v>
      </c>
      <c r="D1528" s="16" t="s">
        <v>375</v>
      </c>
      <c r="E1528" s="16" t="s">
        <v>157</v>
      </c>
      <c r="F1528" s="16" t="s">
        <v>15</v>
      </c>
      <c r="G1528" s="17" t="n">
        <v>179514000</v>
      </c>
      <c r="H1528" s="17"/>
      <c r="I1528" s="14" t="n">
        <f aca="false">I1527+G1528-H1528</f>
        <v>347614794</v>
      </c>
    </row>
    <row r="1529" customFormat="false" ht="12" hidden="false" customHeight="true" outlineLevel="1" collapsed="false">
      <c r="B1529" s="15" t="n">
        <v>45252</v>
      </c>
      <c r="C1529" s="15" t="n">
        <f aca="false">B1529</f>
        <v>45252</v>
      </c>
      <c r="D1529" s="16" t="s">
        <v>376</v>
      </c>
      <c r="E1529" s="16" t="s">
        <v>36</v>
      </c>
      <c r="F1529" s="16" t="n">
        <v>635</v>
      </c>
      <c r="G1529" s="17"/>
      <c r="H1529" s="17" t="n">
        <v>230701</v>
      </c>
      <c r="I1529" s="14" t="n">
        <f aca="false">I1528+G1529-H1529</f>
        <v>347384093</v>
      </c>
    </row>
    <row r="1530" customFormat="false" ht="12" hidden="false" customHeight="true" outlineLevel="1" collapsed="false">
      <c r="B1530" s="15" t="n">
        <v>45252</v>
      </c>
      <c r="C1530" s="15" t="n">
        <f aca="false">B1530</f>
        <v>45252</v>
      </c>
      <c r="D1530" s="16" t="s">
        <v>376</v>
      </c>
      <c r="E1530" s="16" t="s">
        <v>23</v>
      </c>
      <c r="F1530" s="16" t="s">
        <v>24</v>
      </c>
      <c r="G1530" s="17"/>
      <c r="H1530" s="17" t="n">
        <v>345000000</v>
      </c>
      <c r="I1530" s="14" t="n">
        <f aca="false">I1529+G1530-H1530</f>
        <v>2384093</v>
      </c>
    </row>
    <row r="1531" customFormat="false" ht="12" hidden="false" customHeight="true" outlineLevel="1" collapsed="false">
      <c r="B1531" s="15" t="n">
        <v>45253</v>
      </c>
      <c r="C1531" s="15" t="n">
        <f aca="false">B1531</f>
        <v>45253</v>
      </c>
      <c r="D1531" s="16" t="s">
        <v>375</v>
      </c>
      <c r="E1531" s="16" t="s">
        <v>157</v>
      </c>
      <c r="F1531" s="16" t="s">
        <v>15</v>
      </c>
      <c r="G1531" s="17" t="n">
        <v>49963000</v>
      </c>
      <c r="H1531" s="17"/>
      <c r="I1531" s="14" t="n">
        <f aca="false">I1530+G1531-H1531</f>
        <v>52347093</v>
      </c>
    </row>
    <row r="1532" customFormat="false" ht="12" hidden="false" customHeight="true" outlineLevel="1" collapsed="false">
      <c r="B1532" s="15" t="n">
        <v>45253</v>
      </c>
      <c r="C1532" s="15" t="n">
        <f aca="false">B1532</f>
        <v>45253</v>
      </c>
      <c r="D1532" s="16" t="s">
        <v>375</v>
      </c>
      <c r="E1532" s="16" t="s">
        <v>157</v>
      </c>
      <c r="F1532" s="16" t="s">
        <v>15</v>
      </c>
      <c r="G1532" s="17" t="n">
        <v>58528000</v>
      </c>
      <c r="H1532" s="17"/>
      <c r="I1532" s="14" t="n">
        <f aca="false">I1531+G1532-H1532</f>
        <v>110875093</v>
      </c>
    </row>
    <row r="1533" customFormat="false" ht="12" hidden="false" customHeight="true" outlineLevel="1" collapsed="false">
      <c r="B1533" s="15" t="n">
        <v>45253</v>
      </c>
      <c r="C1533" s="15" t="n">
        <f aca="false">B1533</f>
        <v>45253</v>
      </c>
      <c r="D1533" s="16" t="s">
        <v>375</v>
      </c>
      <c r="E1533" s="16" t="s">
        <v>157</v>
      </c>
      <c r="F1533" s="16" t="s">
        <v>15</v>
      </c>
      <c r="G1533" s="17" t="n">
        <v>42655000</v>
      </c>
      <c r="H1533" s="17"/>
      <c r="I1533" s="14" t="n">
        <f aca="false">I1532+G1533-H1533</f>
        <v>153530093</v>
      </c>
    </row>
    <row r="1534" customFormat="false" ht="12" hidden="false" customHeight="true" outlineLevel="1" collapsed="false">
      <c r="B1534" s="15" t="n">
        <v>45253</v>
      </c>
      <c r="C1534" s="15" t="n">
        <f aca="false">B1534</f>
        <v>45253</v>
      </c>
      <c r="D1534" s="16" t="s">
        <v>375</v>
      </c>
      <c r="E1534" s="16" t="s">
        <v>157</v>
      </c>
      <c r="F1534" s="16" t="s">
        <v>15</v>
      </c>
      <c r="G1534" s="17" t="n">
        <v>54381000</v>
      </c>
      <c r="H1534" s="17"/>
      <c r="I1534" s="14" t="n">
        <f aca="false">I1533+G1534-H1534</f>
        <v>207911093</v>
      </c>
    </row>
    <row r="1535" customFormat="false" ht="12" hidden="false" customHeight="true" outlineLevel="1" collapsed="false">
      <c r="B1535" s="15" t="n">
        <v>45253</v>
      </c>
      <c r="C1535" s="15" t="n">
        <f aca="false">B1535</f>
        <v>45253</v>
      </c>
      <c r="D1535" s="16" t="s">
        <v>375</v>
      </c>
      <c r="E1535" s="16" t="s">
        <v>157</v>
      </c>
      <c r="F1535" s="16" t="s">
        <v>15</v>
      </c>
      <c r="G1535" s="17" t="n">
        <v>151518000</v>
      </c>
      <c r="H1535" s="17"/>
      <c r="I1535" s="14" t="n">
        <f aca="false">I1534+G1535-H1535</f>
        <v>359429093</v>
      </c>
    </row>
    <row r="1536" customFormat="false" ht="12" hidden="false" customHeight="true" outlineLevel="1" collapsed="false">
      <c r="B1536" s="15" t="n">
        <v>45253</v>
      </c>
      <c r="C1536" s="15" t="n">
        <f aca="false">B1536</f>
        <v>45253</v>
      </c>
      <c r="D1536" s="16" t="s">
        <v>375</v>
      </c>
      <c r="E1536" s="16" t="s">
        <v>157</v>
      </c>
      <c r="F1536" s="16" t="s">
        <v>15</v>
      </c>
      <c r="G1536" s="17" t="n">
        <v>86000000</v>
      </c>
      <c r="H1536" s="17"/>
      <c r="I1536" s="14" t="n">
        <f aca="false">I1535+G1536-H1536</f>
        <v>445429093</v>
      </c>
    </row>
    <row r="1537" customFormat="false" ht="12" hidden="false" customHeight="true" outlineLevel="1" collapsed="false">
      <c r="B1537" s="15" t="n">
        <v>45253</v>
      </c>
      <c r="C1537" s="15" t="n">
        <f aca="false">B1537</f>
        <v>45253</v>
      </c>
      <c r="D1537" s="16" t="s">
        <v>376</v>
      </c>
      <c r="E1537" s="16" t="s">
        <v>23</v>
      </c>
      <c r="F1537" s="16" t="s">
        <v>24</v>
      </c>
      <c r="G1537" s="17"/>
      <c r="H1537" s="17" t="n">
        <v>357000000</v>
      </c>
      <c r="I1537" s="14" t="n">
        <f aca="false">I1536+G1537-H1537</f>
        <v>88429093</v>
      </c>
    </row>
    <row r="1538" customFormat="false" ht="12" hidden="false" customHeight="true" outlineLevel="1" collapsed="false">
      <c r="B1538" s="15" t="n">
        <v>45253</v>
      </c>
      <c r="C1538" s="15" t="n">
        <f aca="false">B1538</f>
        <v>45253</v>
      </c>
      <c r="D1538" s="16" t="s">
        <v>376</v>
      </c>
      <c r="E1538" s="16" t="s">
        <v>36</v>
      </c>
      <c r="F1538" s="16" t="n">
        <v>635</v>
      </c>
      <c r="G1538" s="17"/>
      <c r="H1538" s="17" t="n">
        <v>66052</v>
      </c>
      <c r="I1538" s="14" t="n">
        <f aca="false">I1537+G1538-H1538</f>
        <v>88363041</v>
      </c>
    </row>
    <row r="1539" customFormat="false" ht="12" hidden="false" customHeight="true" outlineLevel="1" collapsed="false">
      <c r="B1539" s="15" t="n">
        <v>45254</v>
      </c>
      <c r="C1539" s="15" t="n">
        <f aca="false">B1539</f>
        <v>45254</v>
      </c>
      <c r="D1539" s="16" t="s">
        <v>376</v>
      </c>
      <c r="E1539" s="16" t="s">
        <v>36</v>
      </c>
      <c r="F1539" s="16" t="n">
        <v>635</v>
      </c>
      <c r="G1539" s="17"/>
      <c r="H1539" s="17" t="n">
        <v>58128</v>
      </c>
      <c r="I1539" s="14" t="n">
        <f aca="false">I1538+G1539-H1539</f>
        <v>88304913</v>
      </c>
    </row>
    <row r="1540" customFormat="false" ht="12" hidden="false" customHeight="true" outlineLevel="1" collapsed="false">
      <c r="B1540" s="15" t="n">
        <v>45254</v>
      </c>
      <c r="C1540" s="15" t="n">
        <f aca="false">B1540</f>
        <v>45254</v>
      </c>
      <c r="D1540" s="16" t="s">
        <v>375</v>
      </c>
      <c r="E1540" s="16" t="s">
        <v>157</v>
      </c>
      <c r="F1540" s="16" t="s">
        <v>15</v>
      </c>
      <c r="G1540" s="17" t="n">
        <v>239127000</v>
      </c>
      <c r="H1540" s="17"/>
      <c r="I1540" s="14" t="n">
        <f aca="false">I1539+G1540-H1540</f>
        <v>327431913</v>
      </c>
    </row>
    <row r="1541" customFormat="false" ht="12" hidden="false" customHeight="true" outlineLevel="1" collapsed="false">
      <c r="B1541" s="15" t="n">
        <v>45254</v>
      </c>
      <c r="C1541" s="15" t="n">
        <f aca="false">B1541</f>
        <v>45254</v>
      </c>
      <c r="D1541" s="16" t="s">
        <v>375</v>
      </c>
      <c r="E1541" s="16" t="s">
        <v>157</v>
      </c>
      <c r="F1541" s="16" t="s">
        <v>15</v>
      </c>
      <c r="G1541" s="17" t="n">
        <v>20296000</v>
      </c>
      <c r="H1541" s="17"/>
      <c r="I1541" s="14" t="n">
        <f aca="false">I1540+G1541-H1541</f>
        <v>347727913</v>
      </c>
    </row>
    <row r="1542" customFormat="false" ht="12" hidden="false" customHeight="true" outlineLevel="1" collapsed="false">
      <c r="B1542" s="15" t="n">
        <v>45254</v>
      </c>
      <c r="C1542" s="15" t="n">
        <f aca="false">B1542</f>
        <v>45254</v>
      </c>
      <c r="D1542" s="16" t="s">
        <v>375</v>
      </c>
      <c r="E1542" s="16" t="s">
        <v>157</v>
      </c>
      <c r="F1542" s="16" t="s">
        <v>15</v>
      </c>
      <c r="G1542" s="17" t="n">
        <v>85000000</v>
      </c>
      <c r="H1542" s="17"/>
      <c r="I1542" s="14" t="n">
        <f aca="false">I1541+G1542-H1542</f>
        <v>432727913</v>
      </c>
    </row>
    <row r="1543" customFormat="false" ht="12" hidden="false" customHeight="true" outlineLevel="1" collapsed="false">
      <c r="B1543" s="15" t="n">
        <v>45254</v>
      </c>
      <c r="C1543" s="15" t="n">
        <f aca="false">B1543</f>
        <v>45254</v>
      </c>
      <c r="D1543" s="16" t="s">
        <v>375</v>
      </c>
      <c r="E1543" s="16" t="s">
        <v>157</v>
      </c>
      <c r="F1543" s="16" t="s">
        <v>15</v>
      </c>
      <c r="G1543" s="17" t="n">
        <v>63434000</v>
      </c>
      <c r="H1543" s="17"/>
      <c r="I1543" s="14" t="n">
        <f aca="false">I1542+G1543-H1543</f>
        <v>496161913</v>
      </c>
    </row>
    <row r="1544" customFormat="false" ht="12" hidden="false" customHeight="true" outlineLevel="1" collapsed="false">
      <c r="B1544" s="15" t="n">
        <v>45254</v>
      </c>
      <c r="C1544" s="15" t="n">
        <f aca="false">B1544</f>
        <v>45254</v>
      </c>
      <c r="D1544" s="16" t="s">
        <v>376</v>
      </c>
      <c r="E1544" s="16" t="s">
        <v>178</v>
      </c>
      <c r="F1544" s="16" t="s">
        <v>179</v>
      </c>
      <c r="G1544" s="17"/>
      <c r="H1544" s="17" t="n">
        <v>20565160</v>
      </c>
      <c r="I1544" s="14" t="n">
        <f aca="false">I1543+G1544-H1544</f>
        <v>475596753</v>
      </c>
    </row>
    <row r="1545" customFormat="false" ht="12" hidden="false" customHeight="true" outlineLevel="1" collapsed="false">
      <c r="B1545" s="15" t="n">
        <v>45254</v>
      </c>
      <c r="C1545" s="15" t="n">
        <f aca="false">B1545</f>
        <v>45254</v>
      </c>
      <c r="D1545" s="16" t="s">
        <v>376</v>
      </c>
      <c r="E1545" s="16" t="s">
        <v>178</v>
      </c>
      <c r="F1545" s="16" t="s">
        <v>179</v>
      </c>
      <c r="G1545" s="17"/>
      <c r="H1545" s="17" t="n">
        <v>3000000</v>
      </c>
      <c r="I1545" s="14" t="n">
        <f aca="false">I1544+G1545-H1545</f>
        <v>472596753</v>
      </c>
    </row>
    <row r="1546" customFormat="false" ht="12" hidden="false" customHeight="true" outlineLevel="1" collapsed="false">
      <c r="B1546" s="15" t="n">
        <v>45254</v>
      </c>
      <c r="C1546" s="15" t="n">
        <f aca="false">B1546</f>
        <v>45254</v>
      </c>
      <c r="D1546" s="16" t="s">
        <v>376</v>
      </c>
      <c r="E1546" s="16" t="s">
        <v>23</v>
      </c>
      <c r="F1546" s="16" t="s">
        <v>24</v>
      </c>
      <c r="G1546" s="17"/>
      <c r="H1546" s="17" t="n">
        <v>470000000</v>
      </c>
      <c r="I1546" s="14" t="n">
        <f aca="false">I1545+G1546-H1546</f>
        <v>2596753</v>
      </c>
    </row>
    <row r="1547" customFormat="false" ht="12" hidden="false" customHeight="true" outlineLevel="1" collapsed="false">
      <c r="B1547" s="15" t="n">
        <v>45255</v>
      </c>
      <c r="C1547" s="15" t="n">
        <f aca="false">B1547</f>
        <v>45255</v>
      </c>
      <c r="D1547" s="16" t="s">
        <v>450</v>
      </c>
      <c r="E1547" s="16" t="s">
        <v>460</v>
      </c>
      <c r="F1547" s="16" t="n">
        <v>515</v>
      </c>
      <c r="G1547" s="17" t="n">
        <v>2349</v>
      </c>
      <c r="H1547" s="17"/>
      <c r="I1547" s="14" t="n">
        <f aca="false">I1546+G1547-H1547</f>
        <v>2599102</v>
      </c>
    </row>
    <row r="1548" customFormat="false" ht="12" hidden="false" customHeight="true" outlineLevel="1" collapsed="false">
      <c r="B1548" s="15" t="n">
        <v>45257</v>
      </c>
      <c r="C1548" s="15" t="n">
        <f aca="false">B1548</f>
        <v>45257</v>
      </c>
      <c r="D1548" s="16" t="s">
        <v>375</v>
      </c>
      <c r="E1548" s="16" t="s">
        <v>157</v>
      </c>
      <c r="F1548" s="16" t="s">
        <v>15</v>
      </c>
      <c r="G1548" s="17" t="n">
        <v>23370000</v>
      </c>
      <c r="H1548" s="17"/>
      <c r="I1548" s="14" t="n">
        <f aca="false">I1547+G1548-H1548</f>
        <v>25969102</v>
      </c>
    </row>
    <row r="1549" customFormat="false" ht="12" hidden="false" customHeight="true" outlineLevel="1" collapsed="false">
      <c r="B1549" s="15" t="n">
        <v>45257</v>
      </c>
      <c r="C1549" s="15" t="n">
        <f aca="false">B1549</f>
        <v>45257</v>
      </c>
      <c r="D1549" s="16" t="s">
        <v>375</v>
      </c>
      <c r="E1549" s="16" t="s">
        <v>157</v>
      </c>
      <c r="F1549" s="16" t="s">
        <v>15</v>
      </c>
      <c r="G1549" s="17" t="n">
        <v>25395000</v>
      </c>
      <c r="H1549" s="17"/>
      <c r="I1549" s="14" t="n">
        <f aca="false">I1548+G1549-H1549</f>
        <v>51364102</v>
      </c>
    </row>
    <row r="1550" customFormat="false" ht="12" hidden="false" customHeight="true" outlineLevel="1" collapsed="false">
      <c r="B1550" s="15" t="n">
        <v>45257</v>
      </c>
      <c r="C1550" s="15" t="n">
        <f aca="false">B1550</f>
        <v>45257</v>
      </c>
      <c r="D1550" s="16" t="s">
        <v>375</v>
      </c>
      <c r="E1550" s="16" t="s">
        <v>157</v>
      </c>
      <c r="F1550" s="16" t="s">
        <v>15</v>
      </c>
      <c r="G1550" s="17" t="n">
        <v>89482000</v>
      </c>
      <c r="H1550" s="17"/>
      <c r="I1550" s="14" t="n">
        <f aca="false">I1549+G1550-H1550</f>
        <v>140846102</v>
      </c>
    </row>
    <row r="1551" customFormat="false" ht="12" hidden="false" customHeight="true" outlineLevel="1" collapsed="false">
      <c r="B1551" s="15" t="n">
        <v>45257</v>
      </c>
      <c r="C1551" s="15" t="n">
        <f aca="false">B1551</f>
        <v>45257</v>
      </c>
      <c r="D1551" s="16" t="s">
        <v>375</v>
      </c>
      <c r="E1551" s="16" t="s">
        <v>157</v>
      </c>
      <c r="F1551" s="16" t="s">
        <v>15</v>
      </c>
      <c r="G1551" s="17" t="n">
        <v>87350000</v>
      </c>
      <c r="H1551" s="17"/>
      <c r="I1551" s="14" t="n">
        <f aca="false">I1550+G1551-H1551</f>
        <v>228196102</v>
      </c>
    </row>
    <row r="1552" customFormat="false" ht="12" hidden="false" customHeight="true" outlineLevel="1" collapsed="false">
      <c r="B1552" s="15" t="n">
        <v>45257</v>
      </c>
      <c r="C1552" s="15" t="n">
        <f aca="false">B1552</f>
        <v>45257</v>
      </c>
      <c r="D1552" s="16" t="s">
        <v>375</v>
      </c>
      <c r="E1552" s="16" t="s">
        <v>157</v>
      </c>
      <c r="F1552" s="16" t="s">
        <v>15</v>
      </c>
      <c r="G1552" s="17" t="n">
        <v>188622000</v>
      </c>
      <c r="H1552" s="17"/>
      <c r="I1552" s="14" t="n">
        <f aca="false">I1551+G1552-H1552</f>
        <v>416818102</v>
      </c>
    </row>
    <row r="1553" customFormat="false" ht="12" hidden="false" customHeight="true" outlineLevel="1" collapsed="false">
      <c r="B1553" s="15" t="n">
        <v>45257</v>
      </c>
      <c r="C1553" s="15" t="n">
        <f aca="false">B1553</f>
        <v>45257</v>
      </c>
      <c r="D1553" s="16" t="s">
        <v>375</v>
      </c>
      <c r="E1553" s="16" t="s">
        <v>157</v>
      </c>
      <c r="F1553" s="16" t="s">
        <v>15</v>
      </c>
      <c r="G1553" s="17" t="n">
        <v>201921000</v>
      </c>
      <c r="H1553" s="17"/>
      <c r="I1553" s="14" t="n">
        <f aca="false">I1552+G1553-H1553</f>
        <v>618739102</v>
      </c>
    </row>
    <row r="1554" customFormat="false" ht="12" hidden="false" customHeight="true" outlineLevel="1" collapsed="false">
      <c r="B1554" s="15" t="n">
        <v>45257</v>
      </c>
      <c r="C1554" s="15" t="n">
        <f aca="false">B1554</f>
        <v>45257</v>
      </c>
      <c r="D1554" s="16" t="s">
        <v>376</v>
      </c>
      <c r="E1554" s="16" t="s">
        <v>178</v>
      </c>
      <c r="F1554" s="16" t="s">
        <v>179</v>
      </c>
      <c r="G1554" s="17"/>
      <c r="H1554" s="17" t="n">
        <v>12496385</v>
      </c>
      <c r="I1554" s="14" t="n">
        <f aca="false">I1553+G1554-H1554</f>
        <v>606242717</v>
      </c>
    </row>
    <row r="1555" customFormat="false" ht="12" hidden="false" customHeight="true" outlineLevel="1" collapsed="false">
      <c r="B1555" s="15" t="n">
        <v>45257</v>
      </c>
      <c r="C1555" s="15" t="n">
        <f aca="false">B1555</f>
        <v>45257</v>
      </c>
      <c r="D1555" s="16" t="s">
        <v>376</v>
      </c>
      <c r="E1555" s="16" t="s">
        <v>23</v>
      </c>
      <c r="F1555" s="16" t="s">
        <v>24</v>
      </c>
      <c r="G1555" s="17"/>
      <c r="H1555" s="17" t="n">
        <v>470638720</v>
      </c>
      <c r="I1555" s="14" t="n">
        <f aca="false">I1554+G1555-H1555</f>
        <v>135603997</v>
      </c>
    </row>
    <row r="1556" customFormat="false" ht="12" hidden="false" customHeight="true" outlineLevel="1" collapsed="false">
      <c r="B1556" s="15" t="n">
        <v>45257</v>
      </c>
      <c r="C1556" s="15" t="n">
        <f aca="false">B1556</f>
        <v>45257</v>
      </c>
      <c r="D1556" s="16" t="s">
        <v>376</v>
      </c>
      <c r="E1556" s="16" t="s">
        <v>23</v>
      </c>
      <c r="F1556" s="16" t="s">
        <v>24</v>
      </c>
      <c r="G1556" s="17"/>
      <c r="H1556" s="17" t="n">
        <v>133000000</v>
      </c>
      <c r="I1556" s="14" t="n">
        <f aca="false">I1555+G1556-H1556</f>
        <v>2603997</v>
      </c>
    </row>
    <row r="1557" customFormat="false" ht="12" hidden="false" customHeight="true" outlineLevel="1" collapsed="false">
      <c r="B1557" s="15" t="n">
        <v>45257</v>
      </c>
      <c r="C1557" s="15" t="n">
        <f aca="false">B1557</f>
        <v>45257</v>
      </c>
      <c r="D1557" s="16" t="s">
        <v>376</v>
      </c>
      <c r="E1557" s="16" t="s">
        <v>447</v>
      </c>
      <c r="F1557" s="16" t="n">
        <v>635</v>
      </c>
      <c r="G1557" s="17"/>
      <c r="H1557" s="17" t="n">
        <v>81787</v>
      </c>
      <c r="I1557" s="14" t="n">
        <f aca="false">I1556+G1557-H1557</f>
        <v>2522210</v>
      </c>
    </row>
    <row r="1558" customFormat="false" ht="12" hidden="false" customHeight="true" outlineLevel="1" collapsed="false">
      <c r="B1558" s="15" t="n">
        <v>45257</v>
      </c>
      <c r="C1558" s="15" t="n">
        <f aca="false">B1558</f>
        <v>45257</v>
      </c>
      <c r="D1558" s="16" t="s">
        <v>376</v>
      </c>
      <c r="E1558" s="16" t="s">
        <v>447</v>
      </c>
      <c r="F1558" s="16" t="n">
        <v>635</v>
      </c>
      <c r="G1558" s="17"/>
      <c r="H1558" s="17" t="n">
        <v>2090167</v>
      </c>
      <c r="I1558" s="14" t="n">
        <f aca="false">I1557+G1558-H1558</f>
        <v>432043</v>
      </c>
    </row>
    <row r="1559" customFormat="false" ht="12" hidden="false" customHeight="true" outlineLevel="1" collapsed="false">
      <c r="B1559" s="15" t="n">
        <v>45257</v>
      </c>
      <c r="C1559" s="15" t="n">
        <f aca="false">B1559</f>
        <v>45257</v>
      </c>
      <c r="D1559" s="16" t="s">
        <v>376</v>
      </c>
      <c r="E1559" s="16" t="s">
        <v>447</v>
      </c>
      <c r="F1559" s="16" t="n">
        <v>635</v>
      </c>
      <c r="G1559" s="17"/>
      <c r="H1559" s="17" t="n">
        <v>432043</v>
      </c>
      <c r="I1559" s="14" t="n">
        <f aca="false">I1558+G1559-H1559</f>
        <v>0</v>
      </c>
    </row>
    <row r="1560" customFormat="false" ht="12" hidden="false" customHeight="true" outlineLevel="1" collapsed="false">
      <c r="B1560" s="15" t="n">
        <v>45258</v>
      </c>
      <c r="C1560" s="15" t="n">
        <f aca="false">B1560</f>
        <v>45258</v>
      </c>
      <c r="D1560" s="16" t="s">
        <v>375</v>
      </c>
      <c r="E1560" s="16" t="s">
        <v>157</v>
      </c>
      <c r="F1560" s="16" t="s">
        <v>15</v>
      </c>
      <c r="G1560" s="17" t="n">
        <v>28736000</v>
      </c>
      <c r="H1560" s="17"/>
      <c r="I1560" s="14" t="n">
        <f aca="false">I1559+G1560-H1560</f>
        <v>28736000</v>
      </c>
    </row>
    <row r="1561" customFormat="false" ht="12" hidden="false" customHeight="true" outlineLevel="1" collapsed="false">
      <c r="B1561" s="15" t="n">
        <v>45258</v>
      </c>
      <c r="C1561" s="15" t="n">
        <f aca="false">B1561</f>
        <v>45258</v>
      </c>
      <c r="D1561" s="16" t="s">
        <v>375</v>
      </c>
      <c r="E1561" s="16" t="s">
        <v>157</v>
      </c>
      <c r="F1561" s="16" t="s">
        <v>15</v>
      </c>
      <c r="G1561" s="17" t="n">
        <v>63000000</v>
      </c>
      <c r="H1561" s="17"/>
      <c r="I1561" s="14" t="n">
        <f aca="false">I1560+G1561-H1561</f>
        <v>91736000</v>
      </c>
    </row>
    <row r="1562" customFormat="false" ht="12" hidden="false" customHeight="true" outlineLevel="1" collapsed="false">
      <c r="B1562" s="15" t="n">
        <v>45258</v>
      </c>
      <c r="C1562" s="15" t="n">
        <f aca="false">B1562</f>
        <v>45258</v>
      </c>
      <c r="D1562" s="16" t="s">
        <v>375</v>
      </c>
      <c r="E1562" s="16" t="s">
        <v>157</v>
      </c>
      <c r="F1562" s="16" t="s">
        <v>15</v>
      </c>
      <c r="G1562" s="17" t="n">
        <v>65376000</v>
      </c>
      <c r="H1562" s="17"/>
      <c r="I1562" s="14" t="n">
        <f aca="false">I1561+G1562-H1562</f>
        <v>157112000</v>
      </c>
    </row>
    <row r="1563" customFormat="false" ht="12" hidden="false" customHeight="true" outlineLevel="1" collapsed="false">
      <c r="B1563" s="15" t="n">
        <v>45258</v>
      </c>
      <c r="C1563" s="15" t="n">
        <f aca="false">B1563</f>
        <v>45258</v>
      </c>
      <c r="D1563" s="16" t="s">
        <v>375</v>
      </c>
      <c r="E1563" s="16" t="s">
        <v>157</v>
      </c>
      <c r="F1563" s="16" t="s">
        <v>15</v>
      </c>
      <c r="G1563" s="17" t="n">
        <v>252267000</v>
      </c>
      <c r="H1563" s="17"/>
      <c r="I1563" s="14" t="n">
        <f aca="false">I1562+G1563-H1563</f>
        <v>409379000</v>
      </c>
    </row>
    <row r="1564" customFormat="false" ht="12" hidden="false" customHeight="true" outlineLevel="1" collapsed="false">
      <c r="B1564" s="15" t="n">
        <v>45258</v>
      </c>
      <c r="C1564" s="15" t="n">
        <f aca="false">B1564</f>
        <v>45258</v>
      </c>
      <c r="D1564" s="16" t="s">
        <v>375</v>
      </c>
      <c r="E1564" s="16" t="s">
        <v>157</v>
      </c>
      <c r="F1564" s="16" t="s">
        <v>15</v>
      </c>
      <c r="G1564" s="17" t="n">
        <v>27088000</v>
      </c>
      <c r="H1564" s="17"/>
      <c r="I1564" s="14" t="n">
        <f aca="false">I1563+G1564-H1564</f>
        <v>436467000</v>
      </c>
    </row>
    <row r="1565" customFormat="false" ht="12" hidden="false" customHeight="true" outlineLevel="1" collapsed="false">
      <c r="B1565" s="15" t="n">
        <v>45258</v>
      </c>
      <c r="C1565" s="15" t="n">
        <f aca="false">B1565</f>
        <v>45258</v>
      </c>
      <c r="D1565" s="16" t="s">
        <v>375</v>
      </c>
      <c r="E1565" s="16" t="s">
        <v>157</v>
      </c>
      <c r="F1565" s="16" t="s">
        <v>15</v>
      </c>
      <c r="G1565" s="17" t="n">
        <v>33557000</v>
      </c>
      <c r="H1565" s="17"/>
      <c r="I1565" s="14" t="n">
        <f aca="false">I1564+G1565-H1565</f>
        <v>470024000</v>
      </c>
    </row>
    <row r="1566" customFormat="false" ht="12" hidden="false" customHeight="true" outlineLevel="1" collapsed="false">
      <c r="B1566" s="15" t="n">
        <v>45258</v>
      </c>
      <c r="C1566" s="15" t="n">
        <f aca="false">B1566</f>
        <v>45258</v>
      </c>
      <c r="D1566" s="16" t="s">
        <v>376</v>
      </c>
      <c r="E1566" s="16" t="s">
        <v>23</v>
      </c>
      <c r="F1566" s="16" t="s">
        <v>24</v>
      </c>
      <c r="G1566" s="17"/>
      <c r="H1566" s="17" t="n">
        <v>458090198</v>
      </c>
      <c r="I1566" s="14" t="n">
        <f aca="false">I1565+G1566-H1566</f>
        <v>11933802</v>
      </c>
    </row>
    <row r="1567" customFormat="false" ht="12" hidden="false" customHeight="true" outlineLevel="1" collapsed="false">
      <c r="B1567" s="15" t="n">
        <v>45258</v>
      </c>
      <c r="C1567" s="15" t="n">
        <f aca="false">B1567</f>
        <v>45258</v>
      </c>
      <c r="D1567" s="16" t="s">
        <v>376</v>
      </c>
      <c r="E1567" s="16" t="s">
        <v>23</v>
      </c>
      <c r="F1567" s="16" t="s">
        <v>24</v>
      </c>
      <c r="G1567" s="17"/>
      <c r="H1567" s="17" t="n">
        <v>11933802</v>
      </c>
      <c r="I1567" s="14" t="n">
        <f aca="false">I1566+G1567-H1567</f>
        <v>0</v>
      </c>
    </row>
    <row r="1568" customFormat="false" ht="12" hidden="false" customHeight="true" outlineLevel="1" collapsed="false">
      <c r="B1568" s="15" t="n">
        <v>45259</v>
      </c>
      <c r="C1568" s="15" t="n">
        <f aca="false">B1568</f>
        <v>45259</v>
      </c>
      <c r="D1568" s="16" t="s">
        <v>375</v>
      </c>
      <c r="E1568" s="16" t="s">
        <v>157</v>
      </c>
      <c r="F1568" s="16" t="s">
        <v>15</v>
      </c>
      <c r="G1568" s="17" t="n">
        <v>500000</v>
      </c>
      <c r="H1568" s="17"/>
      <c r="I1568" s="14" t="n">
        <f aca="false">I1567+G1568-H1568</f>
        <v>500000</v>
      </c>
    </row>
    <row r="1569" customFormat="false" ht="12" hidden="false" customHeight="true" outlineLevel="1" collapsed="false">
      <c r="B1569" s="15" t="n">
        <v>45259</v>
      </c>
      <c r="C1569" s="15" t="n">
        <f aca="false">B1569</f>
        <v>45259</v>
      </c>
      <c r="D1569" s="16" t="s">
        <v>376</v>
      </c>
      <c r="E1569" s="16" t="s">
        <v>36</v>
      </c>
      <c r="F1569" s="16" t="n">
        <v>635</v>
      </c>
      <c r="G1569" s="17"/>
      <c r="H1569" s="17" t="n">
        <v>252764</v>
      </c>
      <c r="I1569" s="14" t="n">
        <f aca="false">I1568+G1569-H1569</f>
        <v>247236</v>
      </c>
    </row>
    <row r="1570" customFormat="false" ht="12" hidden="false" customHeight="true" outlineLevel="1" collapsed="false">
      <c r="B1570" s="15" t="n">
        <v>45259</v>
      </c>
      <c r="C1570" s="15" t="n">
        <f aca="false">B1570</f>
        <v>45259</v>
      </c>
      <c r="D1570" s="16" t="s">
        <v>376</v>
      </c>
      <c r="E1570" s="16" t="s">
        <v>36</v>
      </c>
      <c r="F1570" s="16" t="n">
        <v>635</v>
      </c>
      <c r="G1570" s="17"/>
      <c r="H1570" s="17" t="n">
        <v>247236</v>
      </c>
      <c r="I1570" s="14" t="n">
        <f aca="false">I1569+G1570-H1570</f>
        <v>0</v>
      </c>
    </row>
    <row r="1571" customFormat="false" ht="12" hidden="false" customHeight="true" outlineLevel="1" collapsed="false">
      <c r="B1571" s="15" t="n">
        <v>45260</v>
      </c>
      <c r="C1571" s="15" t="n">
        <f aca="false">B1571</f>
        <v>45260</v>
      </c>
      <c r="D1571" s="16" t="s">
        <v>375</v>
      </c>
      <c r="E1571" s="16" t="s">
        <v>157</v>
      </c>
      <c r="F1571" s="16" t="s">
        <v>15</v>
      </c>
      <c r="G1571" s="17" t="n">
        <v>37392000</v>
      </c>
      <c r="H1571" s="17"/>
      <c r="I1571" s="14" t="n">
        <f aca="false">I1570+G1571-H1571</f>
        <v>37392000</v>
      </c>
    </row>
    <row r="1572" customFormat="false" ht="12" hidden="false" customHeight="true" outlineLevel="1" collapsed="false">
      <c r="B1572" s="15" t="n">
        <v>45260</v>
      </c>
      <c r="C1572" s="15" t="n">
        <f aca="false">B1572</f>
        <v>45260</v>
      </c>
      <c r="D1572" s="16" t="s">
        <v>376</v>
      </c>
      <c r="E1572" s="16" t="s">
        <v>178</v>
      </c>
      <c r="F1572" s="16" t="s">
        <v>179</v>
      </c>
      <c r="G1572" s="17"/>
      <c r="H1572" s="17" t="n">
        <v>4458057</v>
      </c>
      <c r="I1572" s="14" t="n">
        <f aca="false">I1571+G1572-H1572</f>
        <v>32933943</v>
      </c>
    </row>
    <row r="1573" customFormat="false" ht="12" hidden="false" customHeight="true" outlineLevel="1" collapsed="false">
      <c r="B1573" s="15" t="n">
        <v>45260</v>
      </c>
      <c r="C1573" s="15" t="n">
        <f aca="false">B1573</f>
        <v>45260</v>
      </c>
      <c r="D1573" s="16" t="s">
        <v>375</v>
      </c>
      <c r="E1573" s="16" t="s">
        <v>157</v>
      </c>
      <c r="F1573" s="16" t="s">
        <v>15</v>
      </c>
      <c r="G1573" s="17" t="n">
        <v>100000000</v>
      </c>
      <c r="H1573" s="17"/>
      <c r="I1573" s="14" t="n">
        <f aca="false">I1572+G1573-H1573</f>
        <v>132933943</v>
      </c>
    </row>
    <row r="1574" customFormat="false" ht="12" hidden="false" customHeight="true" outlineLevel="1" collapsed="false">
      <c r="B1574" s="15" t="n">
        <v>45260</v>
      </c>
      <c r="C1574" s="15" t="n">
        <f aca="false">B1574</f>
        <v>45260</v>
      </c>
      <c r="D1574" s="16" t="s">
        <v>461</v>
      </c>
      <c r="E1574" s="16" t="s">
        <v>447</v>
      </c>
      <c r="F1574" s="16" t="n">
        <v>635</v>
      </c>
      <c r="G1574" s="17"/>
      <c r="H1574" s="17" t="n">
        <v>11000</v>
      </c>
      <c r="I1574" s="14" t="n">
        <f aca="false">I1573+G1574-H1574</f>
        <v>132922943</v>
      </c>
    </row>
    <row r="1575" customFormat="false" ht="12" hidden="false" customHeight="true" outlineLevel="1" collapsed="false">
      <c r="B1575" s="15" t="n">
        <v>45260</v>
      </c>
      <c r="C1575" s="15" t="n">
        <f aca="false">B1575</f>
        <v>45260</v>
      </c>
      <c r="D1575" s="16" t="s">
        <v>376</v>
      </c>
      <c r="E1575" s="16" t="s">
        <v>447</v>
      </c>
      <c r="F1575" s="16" t="n">
        <v>635</v>
      </c>
      <c r="G1575" s="17"/>
      <c r="H1575" s="17" t="n">
        <v>142982</v>
      </c>
      <c r="I1575" s="14" t="n">
        <f aca="false">I1574+G1575-H1575</f>
        <v>132779961</v>
      </c>
    </row>
    <row r="1576" customFormat="false" ht="12" hidden="false" customHeight="true" outlineLevel="1" collapsed="false">
      <c r="B1576" s="15" t="n">
        <v>45260</v>
      </c>
      <c r="C1576" s="15" t="n">
        <f aca="false">B1576</f>
        <v>45260</v>
      </c>
      <c r="D1576" s="16" t="s">
        <v>376</v>
      </c>
      <c r="E1576" s="16" t="s">
        <v>447</v>
      </c>
      <c r="F1576" s="16" t="n">
        <v>635</v>
      </c>
      <c r="G1576" s="17"/>
      <c r="H1576" s="17" t="n">
        <v>11573798</v>
      </c>
      <c r="I1576" s="14" t="n">
        <f aca="false">I1575+G1576-H1576</f>
        <v>121206163</v>
      </c>
    </row>
    <row r="1577" customFormat="false" ht="12" hidden="false" customHeight="true" outlineLevel="1" collapsed="false">
      <c r="B1577" s="15" t="n">
        <v>45260</v>
      </c>
      <c r="C1577" s="15" t="n">
        <f aca="false">B1577</f>
        <v>45260</v>
      </c>
      <c r="D1577" s="16" t="s">
        <v>376</v>
      </c>
      <c r="E1577" s="16" t="s">
        <v>447</v>
      </c>
      <c r="F1577" s="16" t="n">
        <v>635</v>
      </c>
      <c r="G1577" s="17"/>
      <c r="H1577" s="17" t="n">
        <v>3553166</v>
      </c>
      <c r="I1577" s="14" t="n">
        <f aca="false">I1576+G1577-H1577</f>
        <v>117652997</v>
      </c>
    </row>
    <row r="1578" customFormat="false" ht="12" hidden="false" customHeight="true" outlineLevel="1" collapsed="false">
      <c r="B1578" s="15" t="n">
        <v>45260</v>
      </c>
      <c r="C1578" s="15" t="n">
        <f aca="false">B1578</f>
        <v>45260</v>
      </c>
      <c r="D1578" s="16" t="s">
        <v>376</v>
      </c>
      <c r="E1578" s="16" t="s">
        <v>447</v>
      </c>
      <c r="F1578" s="16" t="n">
        <v>635</v>
      </c>
      <c r="G1578" s="17"/>
      <c r="H1578" s="17" t="n">
        <v>1153203</v>
      </c>
      <c r="I1578" s="14" t="n">
        <f aca="false">I1577+G1578-H1578</f>
        <v>116499794</v>
      </c>
    </row>
    <row r="1579" customFormat="false" ht="12" hidden="false" customHeight="true" outlineLevel="1" collapsed="false">
      <c r="B1579" s="15" t="n">
        <v>45260</v>
      </c>
      <c r="C1579" s="15" t="n">
        <f aca="false">B1579</f>
        <v>45260</v>
      </c>
      <c r="D1579" s="16" t="s">
        <v>376</v>
      </c>
      <c r="E1579" s="16" t="s">
        <v>447</v>
      </c>
      <c r="F1579" s="16" t="n">
        <v>635</v>
      </c>
      <c r="G1579" s="17"/>
      <c r="H1579" s="17" t="n">
        <v>1763874</v>
      </c>
      <c r="I1579" s="14" t="n">
        <f aca="false">I1578+G1579-H1579</f>
        <v>114735920</v>
      </c>
    </row>
    <row r="1580" customFormat="false" ht="12" hidden="false" customHeight="true" outlineLevel="1" collapsed="false">
      <c r="B1580" s="15" t="n">
        <v>45260</v>
      </c>
      <c r="C1580" s="15" t="n">
        <f aca="false">B1580</f>
        <v>45260</v>
      </c>
      <c r="D1580" s="16" t="s">
        <v>376</v>
      </c>
      <c r="E1580" s="16" t="s">
        <v>447</v>
      </c>
      <c r="F1580" s="16" t="n">
        <v>635</v>
      </c>
      <c r="G1580" s="17"/>
      <c r="H1580" s="17" t="n">
        <v>3607601</v>
      </c>
      <c r="I1580" s="14" t="n">
        <f aca="false">I1579+G1580-H1580</f>
        <v>111128319</v>
      </c>
    </row>
    <row r="1581" customFormat="false" ht="12" hidden="false" customHeight="true" outlineLevel="1" collapsed="false">
      <c r="B1581" s="15" t="n">
        <v>45260</v>
      </c>
      <c r="C1581" s="15" t="n">
        <f aca="false">B1581</f>
        <v>45260</v>
      </c>
      <c r="D1581" s="16" t="s">
        <v>376</v>
      </c>
      <c r="E1581" s="16" t="s">
        <v>447</v>
      </c>
      <c r="F1581" s="16" t="n">
        <v>635</v>
      </c>
      <c r="G1581" s="17"/>
      <c r="H1581" s="17" t="n">
        <v>4444022</v>
      </c>
      <c r="I1581" s="14" t="n">
        <f aca="false">I1580+G1581-H1581</f>
        <v>106684297</v>
      </c>
    </row>
    <row r="1582" customFormat="false" ht="12" hidden="false" customHeight="true" outlineLevel="1" collapsed="false">
      <c r="B1582" s="15" t="n">
        <v>45260</v>
      </c>
      <c r="C1582" s="15" t="n">
        <f aca="false">B1582</f>
        <v>45260</v>
      </c>
      <c r="D1582" s="16" t="s">
        <v>376</v>
      </c>
      <c r="E1582" s="16" t="s">
        <v>447</v>
      </c>
      <c r="F1582" s="16" t="n">
        <v>635</v>
      </c>
      <c r="G1582" s="17"/>
      <c r="H1582" s="17" t="n">
        <v>20295928</v>
      </c>
      <c r="I1582" s="14" t="n">
        <f aca="false">I1581+G1582-H1582</f>
        <v>86388369</v>
      </c>
    </row>
    <row r="1583" customFormat="false" ht="12" hidden="false" customHeight="true" outlineLevel="1" collapsed="false">
      <c r="B1583" s="15" t="n">
        <v>45260</v>
      </c>
      <c r="C1583" s="15" t="n">
        <f aca="false">B1583</f>
        <v>45260</v>
      </c>
      <c r="D1583" s="16" t="s">
        <v>376</v>
      </c>
      <c r="E1583" s="16" t="s">
        <v>447</v>
      </c>
      <c r="F1583" s="16" t="n">
        <v>635</v>
      </c>
      <c r="G1583" s="17"/>
      <c r="H1583" s="17" t="n">
        <v>5012218</v>
      </c>
      <c r="I1583" s="14" t="n">
        <f aca="false">I1582+G1583-H1583</f>
        <v>81376151</v>
      </c>
    </row>
    <row r="1584" customFormat="false" ht="12" hidden="false" customHeight="true" outlineLevel="1" collapsed="false">
      <c r="B1584" s="15" t="n">
        <v>45260</v>
      </c>
      <c r="C1584" s="15" t="n">
        <f aca="false">B1584</f>
        <v>45260</v>
      </c>
      <c r="D1584" s="16" t="s">
        <v>376</v>
      </c>
      <c r="E1584" s="16" t="s">
        <v>447</v>
      </c>
      <c r="F1584" s="16" t="n">
        <v>635</v>
      </c>
      <c r="G1584" s="17"/>
      <c r="H1584" s="17" t="n">
        <v>1770995</v>
      </c>
      <c r="I1584" s="14" t="n">
        <f aca="false">I1583+G1584-H1584</f>
        <v>79605156</v>
      </c>
    </row>
    <row r="1585" customFormat="false" ht="12" hidden="false" customHeight="true" outlineLevel="1" collapsed="false">
      <c r="B1585" s="15" t="n">
        <v>45260</v>
      </c>
      <c r="C1585" s="15" t="n">
        <f aca="false">B1585</f>
        <v>45260</v>
      </c>
      <c r="D1585" s="16" t="s">
        <v>376</v>
      </c>
      <c r="E1585" s="16" t="s">
        <v>447</v>
      </c>
      <c r="F1585" s="16" t="n">
        <v>635</v>
      </c>
      <c r="G1585" s="17"/>
      <c r="H1585" s="17" t="n">
        <v>6391055</v>
      </c>
      <c r="I1585" s="14" t="n">
        <f aca="false">I1584+G1585-H1585</f>
        <v>73214101</v>
      </c>
    </row>
    <row r="1586" customFormat="false" ht="12" hidden="false" customHeight="true" outlineLevel="1" collapsed="false">
      <c r="B1586" s="15" t="n">
        <v>45260</v>
      </c>
      <c r="C1586" s="15" t="n">
        <f aca="false">B1586</f>
        <v>45260</v>
      </c>
      <c r="D1586" s="16" t="s">
        <v>376</v>
      </c>
      <c r="E1586" s="16" t="s">
        <v>447</v>
      </c>
      <c r="F1586" s="16" t="n">
        <v>635</v>
      </c>
      <c r="G1586" s="17"/>
      <c r="H1586" s="17" t="n">
        <v>4026465</v>
      </c>
      <c r="I1586" s="14" t="n">
        <f aca="false">I1585+G1586-H1586</f>
        <v>69187636</v>
      </c>
    </row>
    <row r="1587" customFormat="false" ht="12" hidden="false" customHeight="true" outlineLevel="1" collapsed="false">
      <c r="B1587" s="15" t="n">
        <v>45260</v>
      </c>
      <c r="C1587" s="15" t="n">
        <f aca="false">B1587</f>
        <v>45260</v>
      </c>
      <c r="D1587" s="16" t="s">
        <v>376</v>
      </c>
      <c r="E1587" s="16" t="s">
        <v>447</v>
      </c>
      <c r="F1587" s="16" t="n">
        <v>635</v>
      </c>
      <c r="G1587" s="17"/>
      <c r="H1587" s="17" t="n">
        <v>24250533</v>
      </c>
      <c r="I1587" s="14" t="n">
        <f aca="false">I1586+G1587-H1587</f>
        <v>44937103</v>
      </c>
    </row>
    <row r="1588" customFormat="false" ht="12" hidden="false" customHeight="true" outlineLevel="1" collapsed="false">
      <c r="B1588" s="15" t="n">
        <v>45260</v>
      </c>
      <c r="C1588" s="15" t="n">
        <f aca="false">B1588</f>
        <v>45260</v>
      </c>
      <c r="D1588" s="16" t="s">
        <v>376</v>
      </c>
      <c r="E1588" s="16" t="s">
        <v>447</v>
      </c>
      <c r="F1588" s="16" t="n">
        <v>635</v>
      </c>
      <c r="G1588" s="17"/>
      <c r="H1588" s="17" t="n">
        <v>2239122</v>
      </c>
      <c r="I1588" s="14" t="n">
        <f aca="false">I1587+G1588-H1588</f>
        <v>42697981</v>
      </c>
    </row>
    <row r="1589" customFormat="false" ht="12" hidden="false" customHeight="true" outlineLevel="1" collapsed="false">
      <c r="B1589" s="15" t="n">
        <v>45260</v>
      </c>
      <c r="C1589" s="15" t="n">
        <f aca="false">B1589</f>
        <v>45260</v>
      </c>
      <c r="D1589" s="16" t="s">
        <v>376</v>
      </c>
      <c r="E1589" s="16" t="s">
        <v>447</v>
      </c>
      <c r="F1589" s="16" t="n">
        <v>635</v>
      </c>
      <c r="G1589" s="17"/>
      <c r="H1589" s="17" t="n">
        <v>3916275</v>
      </c>
      <c r="I1589" s="14" t="n">
        <f aca="false">I1588+G1589-H1589</f>
        <v>38781706</v>
      </c>
    </row>
    <row r="1590" customFormat="false" ht="12" hidden="false" customHeight="true" outlineLevel="1" collapsed="false">
      <c r="B1590" s="15" t="n">
        <v>45260</v>
      </c>
      <c r="C1590" s="15" t="n">
        <f aca="false">B1590</f>
        <v>45260</v>
      </c>
      <c r="D1590" s="16" t="s">
        <v>376</v>
      </c>
      <c r="E1590" s="16" t="s">
        <v>447</v>
      </c>
      <c r="F1590" s="16" t="n">
        <v>635</v>
      </c>
      <c r="G1590" s="17"/>
      <c r="H1590" s="17" t="n">
        <v>2437733</v>
      </c>
      <c r="I1590" s="14" t="n">
        <f aca="false">I1589+G1590-H1590</f>
        <v>36343973</v>
      </c>
    </row>
    <row r="1591" customFormat="false" ht="12" hidden="false" customHeight="true" outlineLevel="1" collapsed="false">
      <c r="B1591" s="15" t="n">
        <v>45260</v>
      </c>
      <c r="C1591" s="15" t="n">
        <f aca="false">B1591</f>
        <v>45260</v>
      </c>
      <c r="D1591" s="16" t="s">
        <v>376</v>
      </c>
      <c r="E1591" s="16" t="s">
        <v>447</v>
      </c>
      <c r="F1591" s="16" t="n">
        <v>635</v>
      </c>
      <c r="G1591" s="17"/>
      <c r="H1591" s="17" t="n">
        <v>1623471</v>
      </c>
      <c r="I1591" s="14" t="n">
        <f aca="false">I1590+G1591-H1591</f>
        <v>34720502</v>
      </c>
    </row>
    <row r="1592" customFormat="false" ht="12" hidden="false" customHeight="true" outlineLevel="1" collapsed="false">
      <c r="B1592" s="15" t="n">
        <v>45260</v>
      </c>
      <c r="C1592" s="15" t="n">
        <f aca="false">B1592</f>
        <v>45260</v>
      </c>
      <c r="D1592" s="16" t="s">
        <v>376</v>
      </c>
      <c r="E1592" s="16" t="s">
        <v>447</v>
      </c>
      <c r="F1592" s="16" t="n">
        <v>635</v>
      </c>
      <c r="G1592" s="17"/>
      <c r="H1592" s="17" t="n">
        <v>2664993</v>
      </c>
      <c r="I1592" s="14" t="n">
        <f aca="false">I1591+G1592-H1592</f>
        <v>32055509</v>
      </c>
    </row>
    <row r="1593" customFormat="false" ht="12" hidden="false" customHeight="true" outlineLevel="1" collapsed="false">
      <c r="B1593" s="15" t="n">
        <v>45260</v>
      </c>
      <c r="C1593" s="15" t="n">
        <f aca="false">B1593</f>
        <v>45260</v>
      </c>
      <c r="D1593" s="16" t="s">
        <v>376</v>
      </c>
      <c r="E1593" s="16" t="s">
        <v>447</v>
      </c>
      <c r="F1593" s="16" t="n">
        <v>635</v>
      </c>
      <c r="G1593" s="17"/>
      <c r="H1593" s="17" t="n">
        <v>4315336</v>
      </c>
      <c r="I1593" s="14" t="n">
        <f aca="false">I1592+G1593-H1593</f>
        <v>27740173</v>
      </c>
    </row>
    <row r="1594" customFormat="false" ht="12" hidden="false" customHeight="true" outlineLevel="1" collapsed="false">
      <c r="B1594" s="15" t="n">
        <v>45260</v>
      </c>
      <c r="C1594" s="15" t="n">
        <f aca="false">B1594</f>
        <v>45260</v>
      </c>
      <c r="D1594" s="16" t="s">
        <v>376</v>
      </c>
      <c r="E1594" s="16" t="s">
        <v>447</v>
      </c>
      <c r="F1594" s="16" t="n">
        <v>635</v>
      </c>
      <c r="G1594" s="17"/>
      <c r="H1594" s="17" t="n">
        <v>1181655</v>
      </c>
      <c r="I1594" s="14" t="n">
        <f aca="false">I1593+G1594-H1594</f>
        <v>26558518</v>
      </c>
    </row>
    <row r="1595" customFormat="false" ht="12" hidden="false" customHeight="true" outlineLevel="1" collapsed="false">
      <c r="B1595" s="15" t="n">
        <v>45260</v>
      </c>
      <c r="C1595" s="15" t="n">
        <f aca="false">B1595</f>
        <v>45260</v>
      </c>
      <c r="D1595" s="16" t="s">
        <v>376</v>
      </c>
      <c r="E1595" s="16" t="s">
        <v>447</v>
      </c>
      <c r="F1595" s="16" t="n">
        <v>635</v>
      </c>
      <c r="G1595" s="17"/>
      <c r="H1595" s="17" t="n">
        <v>2695366</v>
      </c>
      <c r="I1595" s="14" t="n">
        <f aca="false">I1594+G1595-H1595</f>
        <v>23863152</v>
      </c>
    </row>
    <row r="1596" customFormat="false" ht="12" hidden="false" customHeight="true" outlineLevel="1" collapsed="false">
      <c r="B1596" s="15" t="n">
        <v>45260</v>
      </c>
      <c r="C1596" s="15" t="n">
        <f aca="false">B1596</f>
        <v>45260</v>
      </c>
      <c r="D1596" s="16" t="s">
        <v>376</v>
      </c>
      <c r="E1596" s="16" t="s">
        <v>447</v>
      </c>
      <c r="F1596" s="16" t="n">
        <v>635</v>
      </c>
      <c r="G1596" s="17"/>
      <c r="H1596" s="17" t="n">
        <v>2930419</v>
      </c>
      <c r="I1596" s="14" t="n">
        <f aca="false">I1595+G1596-H1596</f>
        <v>20932733</v>
      </c>
    </row>
    <row r="1597" customFormat="false" ht="12" hidden="false" customHeight="true" outlineLevel="1" collapsed="false">
      <c r="B1597" s="15" t="n">
        <v>45260</v>
      </c>
      <c r="C1597" s="15" t="n">
        <f aca="false">B1597</f>
        <v>45260</v>
      </c>
      <c r="D1597" s="16" t="s">
        <v>376</v>
      </c>
      <c r="E1597" s="16" t="s">
        <v>447</v>
      </c>
      <c r="F1597" s="16" t="n">
        <v>635</v>
      </c>
      <c r="G1597" s="17"/>
      <c r="H1597" s="17" t="n">
        <v>1601496</v>
      </c>
      <c r="I1597" s="14" t="n">
        <f aca="false">I1596+G1597-H1597</f>
        <v>19331237</v>
      </c>
    </row>
    <row r="1598" customFormat="false" ht="12" hidden="false" customHeight="true" outlineLevel="1" collapsed="false">
      <c r="B1598" s="15" t="n">
        <v>45260</v>
      </c>
      <c r="C1598" s="15" t="n">
        <f aca="false">B1598</f>
        <v>45260</v>
      </c>
      <c r="D1598" s="16" t="s">
        <v>376</v>
      </c>
      <c r="E1598" s="16" t="s">
        <v>447</v>
      </c>
      <c r="F1598" s="16" t="n">
        <v>635</v>
      </c>
      <c r="G1598" s="17"/>
      <c r="H1598" s="17" t="n">
        <v>782270</v>
      </c>
      <c r="I1598" s="14" t="n">
        <f aca="false">I1597+G1598-H1598</f>
        <v>18548967</v>
      </c>
    </row>
    <row r="1599" customFormat="false" ht="12" hidden="false" customHeight="true" outlineLevel="1" collapsed="false">
      <c r="B1599" s="15" t="n">
        <v>45260</v>
      </c>
      <c r="C1599" s="15" t="n">
        <f aca="false">B1599</f>
        <v>45260</v>
      </c>
      <c r="D1599" s="16" t="s">
        <v>376</v>
      </c>
      <c r="E1599" s="16" t="s">
        <v>447</v>
      </c>
      <c r="F1599" s="16" t="n">
        <v>635</v>
      </c>
      <c r="G1599" s="17"/>
      <c r="H1599" s="17" t="n">
        <v>1648698</v>
      </c>
      <c r="I1599" s="14" t="n">
        <f aca="false">I1598+G1599-H1599</f>
        <v>16900269</v>
      </c>
    </row>
    <row r="1600" customFormat="false" ht="12" hidden="false" customHeight="true" outlineLevel="1" collapsed="false">
      <c r="B1600" s="15" t="n">
        <v>45260</v>
      </c>
      <c r="C1600" s="15" t="n">
        <f aca="false">B1600</f>
        <v>45260</v>
      </c>
      <c r="D1600" s="16" t="s">
        <v>376</v>
      </c>
      <c r="E1600" s="16" t="s">
        <v>447</v>
      </c>
      <c r="F1600" s="16" t="n">
        <v>635</v>
      </c>
      <c r="G1600" s="17"/>
      <c r="H1600" s="17" t="n">
        <v>15863978</v>
      </c>
      <c r="I1600" s="14" t="n">
        <f aca="false">I1599+G1600-H1600</f>
        <v>1036291</v>
      </c>
    </row>
    <row r="1601" customFormat="false" ht="12" hidden="false" customHeight="true" outlineLevel="1" collapsed="false">
      <c r="B1601" s="15" t="n">
        <v>45260</v>
      </c>
      <c r="C1601" s="15" t="n">
        <f aca="false">B1601</f>
        <v>45260</v>
      </c>
      <c r="D1601" s="16" t="s">
        <v>376</v>
      </c>
      <c r="E1601" s="16" t="s">
        <v>447</v>
      </c>
      <c r="F1601" s="16" t="n">
        <v>635</v>
      </c>
      <c r="G1601" s="17"/>
      <c r="H1601" s="17" t="n">
        <v>1036291</v>
      </c>
      <c r="I1601" s="14" t="n">
        <f aca="false">I1600+G1601-H1601</f>
        <v>0</v>
      </c>
    </row>
    <row r="1602" customFormat="false" ht="12" hidden="false" customHeight="true" outlineLevel="1" collapsed="false">
      <c r="B1602" s="15" t="n">
        <v>45261</v>
      </c>
      <c r="C1602" s="15" t="n">
        <f aca="false">B1602</f>
        <v>45261</v>
      </c>
      <c r="D1602" s="16" t="s">
        <v>375</v>
      </c>
      <c r="E1602" s="16" t="s">
        <v>157</v>
      </c>
      <c r="F1602" s="16" t="s">
        <v>15</v>
      </c>
      <c r="G1602" s="17" t="n">
        <v>24846000</v>
      </c>
      <c r="H1602" s="17"/>
      <c r="I1602" s="14" t="n">
        <f aca="false">I1601+G1602-H1602</f>
        <v>24846000</v>
      </c>
    </row>
    <row r="1603" customFormat="false" ht="12" hidden="false" customHeight="true" outlineLevel="1" collapsed="false">
      <c r="B1603" s="15" t="n">
        <v>45261</v>
      </c>
      <c r="C1603" s="15" t="n">
        <f aca="false">B1603</f>
        <v>45261</v>
      </c>
      <c r="D1603" s="16" t="s">
        <v>375</v>
      </c>
      <c r="E1603" s="16" t="s">
        <v>157</v>
      </c>
      <c r="F1603" s="16" t="s">
        <v>15</v>
      </c>
      <c r="G1603" s="17" t="n">
        <v>191628000</v>
      </c>
      <c r="H1603" s="17"/>
      <c r="I1603" s="14" t="n">
        <f aca="false">I1602+G1603-H1603</f>
        <v>216474000</v>
      </c>
    </row>
    <row r="1604" customFormat="false" ht="12" hidden="false" customHeight="true" outlineLevel="1" collapsed="false">
      <c r="B1604" s="15" t="n">
        <v>45261</v>
      </c>
      <c r="C1604" s="15" t="n">
        <f aca="false">B1604</f>
        <v>45261</v>
      </c>
      <c r="D1604" s="16" t="s">
        <v>375</v>
      </c>
      <c r="E1604" s="16" t="s">
        <v>157</v>
      </c>
      <c r="F1604" s="16" t="s">
        <v>15</v>
      </c>
      <c r="G1604" s="17" t="n">
        <v>92099000</v>
      </c>
      <c r="H1604" s="17"/>
      <c r="I1604" s="14" t="n">
        <f aca="false">I1603+G1604-H1604</f>
        <v>308573000</v>
      </c>
    </row>
    <row r="1605" customFormat="false" ht="12" hidden="false" customHeight="true" outlineLevel="1" collapsed="false">
      <c r="B1605" s="15" t="n">
        <v>45261</v>
      </c>
      <c r="C1605" s="15" t="n">
        <f aca="false">B1605</f>
        <v>45261</v>
      </c>
      <c r="D1605" s="16" t="s">
        <v>376</v>
      </c>
      <c r="E1605" s="16" t="s">
        <v>23</v>
      </c>
      <c r="F1605" s="16" t="s">
        <v>24</v>
      </c>
      <c r="G1605" s="17"/>
      <c r="H1605" s="17" t="n">
        <v>305000000</v>
      </c>
      <c r="I1605" s="14" t="n">
        <f aca="false">I1604+G1605-H1605</f>
        <v>3573000</v>
      </c>
    </row>
    <row r="1606" customFormat="false" ht="12" hidden="false" customHeight="true" outlineLevel="1" collapsed="false">
      <c r="B1606" s="15" t="n">
        <v>45261</v>
      </c>
      <c r="C1606" s="15" t="n">
        <f aca="false">B1606</f>
        <v>45261</v>
      </c>
      <c r="D1606" s="16" t="s">
        <v>376</v>
      </c>
      <c r="E1606" s="16" t="s">
        <v>447</v>
      </c>
      <c r="F1606" s="16" t="n">
        <v>635</v>
      </c>
      <c r="G1606" s="17"/>
      <c r="H1606" s="17" t="n">
        <v>734291</v>
      </c>
      <c r="I1606" s="14" t="n">
        <f aca="false">I1605+G1606-H1606</f>
        <v>2838709</v>
      </c>
    </row>
    <row r="1607" customFormat="false" ht="12" hidden="false" customHeight="true" outlineLevel="1" collapsed="false">
      <c r="B1607" s="15" t="n">
        <v>45261</v>
      </c>
      <c r="C1607" s="15" t="n">
        <f aca="false">B1607</f>
        <v>45261</v>
      </c>
      <c r="D1607" s="16" t="s">
        <v>376</v>
      </c>
      <c r="E1607" s="16" t="s">
        <v>447</v>
      </c>
      <c r="F1607" s="16" t="n">
        <v>635</v>
      </c>
      <c r="G1607" s="17"/>
      <c r="H1607" s="17" t="n">
        <v>999607</v>
      </c>
      <c r="I1607" s="14" t="n">
        <f aca="false">I1606+G1607-H1607</f>
        <v>1839102</v>
      </c>
    </row>
    <row r="1608" customFormat="false" ht="12" hidden="false" customHeight="true" outlineLevel="1" collapsed="false">
      <c r="B1608" s="15" t="n">
        <v>45261</v>
      </c>
      <c r="C1608" s="15" t="n">
        <f aca="false">B1608</f>
        <v>45261</v>
      </c>
      <c r="D1608" s="16" t="s">
        <v>376</v>
      </c>
      <c r="E1608" s="16" t="s">
        <v>447</v>
      </c>
      <c r="F1608" s="16" t="n">
        <v>635</v>
      </c>
      <c r="G1608" s="17"/>
      <c r="H1608" s="17" t="n">
        <v>1429600</v>
      </c>
      <c r="I1608" s="14" t="n">
        <f aca="false">I1607+G1608-H1608</f>
        <v>409502</v>
      </c>
    </row>
    <row r="1609" customFormat="false" ht="12" hidden="false" customHeight="true" outlineLevel="1" collapsed="false">
      <c r="B1609" s="15" t="n">
        <v>45261</v>
      </c>
      <c r="C1609" s="15" t="n">
        <f aca="false">B1609</f>
        <v>45261</v>
      </c>
      <c r="D1609" s="16" t="s">
        <v>376</v>
      </c>
      <c r="E1609" s="16" t="s">
        <v>447</v>
      </c>
      <c r="F1609" s="16" t="n">
        <v>635</v>
      </c>
      <c r="G1609" s="17"/>
      <c r="H1609" s="17" t="n">
        <v>409502</v>
      </c>
      <c r="I1609" s="14" t="n">
        <f aca="false">I1608+G1609-H1609</f>
        <v>0</v>
      </c>
    </row>
    <row r="1610" customFormat="false" ht="12" hidden="false" customHeight="true" outlineLevel="1" collapsed="false">
      <c r="B1610" s="15" t="n">
        <v>45264</v>
      </c>
      <c r="C1610" s="15" t="n">
        <f aca="false">B1610</f>
        <v>45264</v>
      </c>
      <c r="D1610" s="16" t="s">
        <v>375</v>
      </c>
      <c r="E1610" s="16" t="s">
        <v>157</v>
      </c>
      <c r="F1610" s="16" t="s">
        <v>15</v>
      </c>
      <c r="G1610" s="17" t="n">
        <v>9192000</v>
      </c>
      <c r="H1610" s="17"/>
      <c r="I1610" s="14" t="n">
        <f aca="false">I1609+G1610-H1610</f>
        <v>9192000</v>
      </c>
    </row>
    <row r="1611" customFormat="false" ht="12" hidden="false" customHeight="true" outlineLevel="1" collapsed="false">
      <c r="B1611" s="15" t="n">
        <v>45264</v>
      </c>
      <c r="C1611" s="15" t="n">
        <f aca="false">B1611</f>
        <v>45264</v>
      </c>
      <c r="D1611" s="16" t="s">
        <v>375</v>
      </c>
      <c r="E1611" s="16" t="s">
        <v>157</v>
      </c>
      <c r="F1611" s="16" t="s">
        <v>15</v>
      </c>
      <c r="G1611" s="17" t="n">
        <v>23751000</v>
      </c>
      <c r="H1611" s="17"/>
      <c r="I1611" s="14" t="n">
        <f aca="false">I1610+G1611-H1611</f>
        <v>32943000</v>
      </c>
    </row>
    <row r="1612" customFormat="false" ht="12" hidden="false" customHeight="true" outlineLevel="1" collapsed="false">
      <c r="B1612" s="15" t="n">
        <v>45264</v>
      </c>
      <c r="C1612" s="15" t="n">
        <f aca="false">B1612</f>
        <v>45264</v>
      </c>
      <c r="D1612" s="16" t="s">
        <v>375</v>
      </c>
      <c r="E1612" s="16" t="s">
        <v>157</v>
      </c>
      <c r="F1612" s="16" t="s">
        <v>15</v>
      </c>
      <c r="G1612" s="17" t="n">
        <v>36455000</v>
      </c>
      <c r="H1612" s="17"/>
      <c r="I1612" s="14" t="n">
        <f aca="false">I1611+G1612-H1612</f>
        <v>69398000</v>
      </c>
    </row>
    <row r="1613" customFormat="false" ht="12" hidden="false" customHeight="true" outlineLevel="1" collapsed="false">
      <c r="B1613" s="15" t="n">
        <v>45264</v>
      </c>
      <c r="C1613" s="15" t="n">
        <f aca="false">B1613</f>
        <v>45264</v>
      </c>
      <c r="D1613" s="16" t="s">
        <v>375</v>
      </c>
      <c r="E1613" s="16" t="s">
        <v>157</v>
      </c>
      <c r="F1613" s="16" t="s">
        <v>15</v>
      </c>
      <c r="G1613" s="17" t="n">
        <v>167250000</v>
      </c>
      <c r="H1613" s="17"/>
      <c r="I1613" s="14" t="n">
        <f aca="false">I1612+G1613-H1613</f>
        <v>236648000</v>
      </c>
    </row>
    <row r="1614" customFormat="false" ht="12" hidden="false" customHeight="true" outlineLevel="1" collapsed="false">
      <c r="B1614" s="15" t="n">
        <v>45264</v>
      </c>
      <c r="C1614" s="15" t="n">
        <f aca="false">B1614</f>
        <v>45264</v>
      </c>
      <c r="D1614" s="16" t="s">
        <v>375</v>
      </c>
      <c r="E1614" s="16" t="s">
        <v>157</v>
      </c>
      <c r="F1614" s="16" t="s">
        <v>15</v>
      </c>
      <c r="G1614" s="17" t="n">
        <v>69706000</v>
      </c>
      <c r="H1614" s="17"/>
      <c r="I1614" s="14" t="n">
        <f aca="false">I1613+G1614-H1614</f>
        <v>306354000</v>
      </c>
    </row>
    <row r="1615" customFormat="false" ht="12" hidden="false" customHeight="true" outlineLevel="1" collapsed="false">
      <c r="B1615" s="15" t="n">
        <v>45264</v>
      </c>
      <c r="C1615" s="15" t="n">
        <f aca="false">B1615</f>
        <v>45264</v>
      </c>
      <c r="D1615" s="16" t="s">
        <v>375</v>
      </c>
      <c r="E1615" s="16" t="s">
        <v>157</v>
      </c>
      <c r="F1615" s="16" t="s">
        <v>15</v>
      </c>
      <c r="G1615" s="17" t="n">
        <v>68078000</v>
      </c>
      <c r="H1615" s="17"/>
      <c r="I1615" s="14" t="n">
        <f aca="false">I1614+G1615-H1615</f>
        <v>374432000</v>
      </c>
    </row>
    <row r="1616" customFormat="false" ht="12" hidden="false" customHeight="true" outlineLevel="1" collapsed="false">
      <c r="B1616" s="15" t="n">
        <v>45264</v>
      </c>
      <c r="C1616" s="15" t="n">
        <f aca="false">B1616</f>
        <v>45264</v>
      </c>
      <c r="D1616" s="16" t="s">
        <v>375</v>
      </c>
      <c r="E1616" s="16" t="s">
        <v>157</v>
      </c>
      <c r="F1616" s="16" t="s">
        <v>15</v>
      </c>
      <c r="G1616" s="17" t="n">
        <v>166908000</v>
      </c>
      <c r="H1616" s="17"/>
      <c r="I1616" s="14" t="n">
        <f aca="false">I1615+G1616-H1616</f>
        <v>541340000</v>
      </c>
    </row>
    <row r="1617" customFormat="false" ht="12" hidden="false" customHeight="true" outlineLevel="1" collapsed="false">
      <c r="B1617" s="15" t="n">
        <v>45264</v>
      </c>
      <c r="C1617" s="15" t="n">
        <f aca="false">B1617</f>
        <v>45264</v>
      </c>
      <c r="D1617" s="16" t="s">
        <v>375</v>
      </c>
      <c r="E1617" s="16" t="s">
        <v>157</v>
      </c>
      <c r="F1617" s="16" t="s">
        <v>15</v>
      </c>
      <c r="G1617" s="17" t="n">
        <v>144000000</v>
      </c>
      <c r="H1617" s="17"/>
      <c r="I1617" s="14" t="n">
        <f aca="false">I1616+G1617-H1617</f>
        <v>685340000</v>
      </c>
    </row>
    <row r="1618" customFormat="false" ht="12" hidden="false" customHeight="true" outlineLevel="1" collapsed="false">
      <c r="B1618" s="15" t="n">
        <v>45264</v>
      </c>
      <c r="C1618" s="15" t="n">
        <f aca="false">B1618</f>
        <v>45264</v>
      </c>
      <c r="D1618" s="16" t="s">
        <v>376</v>
      </c>
      <c r="E1618" s="16" t="s">
        <v>23</v>
      </c>
      <c r="F1618" s="16" t="s">
        <v>24</v>
      </c>
      <c r="G1618" s="17"/>
      <c r="H1618" s="17" t="n">
        <v>201603663</v>
      </c>
      <c r="I1618" s="14" t="n">
        <f aca="false">I1617+G1618-H1618</f>
        <v>483736337</v>
      </c>
    </row>
    <row r="1619" customFormat="false" ht="12" hidden="false" customHeight="true" outlineLevel="1" collapsed="false">
      <c r="B1619" s="15" t="n">
        <v>45264</v>
      </c>
      <c r="C1619" s="15" t="n">
        <f aca="false">B1619</f>
        <v>45264</v>
      </c>
      <c r="D1619" s="16" t="s">
        <v>376</v>
      </c>
      <c r="E1619" s="16" t="s">
        <v>447</v>
      </c>
      <c r="F1619" s="16" t="n">
        <v>635</v>
      </c>
      <c r="G1619" s="17"/>
      <c r="H1619" s="17" t="n">
        <v>164421425</v>
      </c>
      <c r="I1619" s="14" t="n">
        <f aca="false">I1618+G1619-H1619</f>
        <v>319314912</v>
      </c>
    </row>
    <row r="1620" customFormat="false" ht="12" hidden="false" customHeight="true" outlineLevel="1" collapsed="false">
      <c r="B1620" s="15" t="n">
        <v>45264</v>
      </c>
      <c r="C1620" s="15" t="n">
        <f aca="false">B1620</f>
        <v>45264</v>
      </c>
      <c r="D1620" s="16" t="s">
        <v>376</v>
      </c>
      <c r="E1620" s="16" t="s">
        <v>447</v>
      </c>
      <c r="F1620" s="16" t="n">
        <v>635</v>
      </c>
      <c r="G1620" s="17"/>
      <c r="H1620" s="17" t="n">
        <v>587325</v>
      </c>
      <c r="I1620" s="14" t="n">
        <f aca="false">I1619+G1620-H1620</f>
        <v>318727587</v>
      </c>
    </row>
    <row r="1621" customFormat="false" ht="12" hidden="false" customHeight="true" outlineLevel="1" collapsed="false">
      <c r="B1621" s="15" t="n">
        <v>45264</v>
      </c>
      <c r="C1621" s="15" t="n">
        <f aca="false">B1621</f>
        <v>45264</v>
      </c>
      <c r="D1621" s="16" t="s">
        <v>376</v>
      </c>
      <c r="E1621" s="16" t="s">
        <v>447</v>
      </c>
      <c r="F1621" s="16" t="n">
        <v>635</v>
      </c>
      <c r="G1621" s="17"/>
      <c r="H1621" s="17" t="n">
        <v>1799350</v>
      </c>
      <c r="I1621" s="14" t="n">
        <f aca="false">I1620+G1621-H1621</f>
        <v>316928237</v>
      </c>
    </row>
    <row r="1622" customFormat="false" ht="12" hidden="false" customHeight="true" outlineLevel="1" collapsed="false">
      <c r="B1622" s="15" t="n">
        <v>45264</v>
      </c>
      <c r="C1622" s="15" t="n">
        <f aca="false">B1622</f>
        <v>45264</v>
      </c>
      <c r="D1622" s="16" t="s">
        <v>376</v>
      </c>
      <c r="E1622" s="16" t="s">
        <v>447</v>
      </c>
      <c r="F1622" s="16" t="n">
        <v>635</v>
      </c>
      <c r="G1622" s="17"/>
      <c r="H1622" s="17" t="n">
        <v>606312</v>
      </c>
      <c r="I1622" s="14" t="n">
        <f aca="false">I1621+G1622-H1622</f>
        <v>316321925</v>
      </c>
    </row>
    <row r="1623" customFormat="false" ht="12" hidden="false" customHeight="true" outlineLevel="1" collapsed="false">
      <c r="B1623" s="15" t="n">
        <v>45264</v>
      </c>
      <c r="C1623" s="15" t="n">
        <f aca="false">B1623</f>
        <v>45264</v>
      </c>
      <c r="D1623" s="16" t="s">
        <v>376</v>
      </c>
      <c r="E1623" s="16" t="s">
        <v>447</v>
      </c>
      <c r="F1623" s="16" t="n">
        <v>635</v>
      </c>
      <c r="G1623" s="17"/>
      <c r="H1623" s="17" t="n">
        <v>351729</v>
      </c>
      <c r="I1623" s="14" t="n">
        <f aca="false">I1622+G1623-H1623</f>
        <v>315970196</v>
      </c>
    </row>
    <row r="1624" customFormat="false" ht="12" hidden="false" customHeight="true" outlineLevel="1" collapsed="false">
      <c r="B1624" s="15" t="n">
        <v>45264</v>
      </c>
      <c r="C1624" s="15" t="n">
        <f aca="false">B1624</f>
        <v>45264</v>
      </c>
      <c r="D1624" s="16" t="s">
        <v>376</v>
      </c>
      <c r="E1624" s="16" t="s">
        <v>447</v>
      </c>
      <c r="F1624" s="16" t="n">
        <v>635</v>
      </c>
      <c r="G1624" s="17"/>
      <c r="H1624" s="17" t="n">
        <v>204074</v>
      </c>
      <c r="I1624" s="14" t="n">
        <f aca="false">I1623+G1624-H1624</f>
        <v>315766122</v>
      </c>
    </row>
    <row r="1625" customFormat="false" ht="12" hidden="false" customHeight="true" outlineLevel="1" collapsed="false">
      <c r="B1625" s="15" t="n">
        <v>45264</v>
      </c>
      <c r="C1625" s="15" t="n">
        <f aca="false">B1625</f>
        <v>45264</v>
      </c>
      <c r="D1625" s="16" t="s">
        <v>376</v>
      </c>
      <c r="E1625" s="16" t="s">
        <v>447</v>
      </c>
      <c r="F1625" s="16" t="n">
        <v>635</v>
      </c>
      <c r="G1625" s="17"/>
      <c r="H1625" s="17" t="n">
        <v>679942</v>
      </c>
      <c r="I1625" s="14" t="n">
        <f aca="false">I1624+G1625-H1625</f>
        <v>315086180</v>
      </c>
    </row>
    <row r="1626" customFormat="false" ht="12" hidden="false" customHeight="true" outlineLevel="1" collapsed="false">
      <c r="B1626" s="15" t="n">
        <v>45264</v>
      </c>
      <c r="C1626" s="15" t="n">
        <f aca="false">B1626</f>
        <v>45264</v>
      </c>
      <c r="D1626" s="16" t="s">
        <v>376</v>
      </c>
      <c r="E1626" s="16" t="s">
        <v>447</v>
      </c>
      <c r="F1626" s="16" t="n">
        <v>635</v>
      </c>
      <c r="G1626" s="17"/>
      <c r="H1626" s="17" t="n">
        <v>155737</v>
      </c>
      <c r="I1626" s="14" t="n">
        <f aca="false">I1625+G1626-H1626</f>
        <v>314930443</v>
      </c>
    </row>
    <row r="1627" customFormat="false" ht="12" hidden="false" customHeight="true" outlineLevel="1" collapsed="false">
      <c r="B1627" s="15" t="n">
        <v>45264</v>
      </c>
      <c r="C1627" s="15" t="n">
        <f aca="false">B1627</f>
        <v>45264</v>
      </c>
      <c r="D1627" s="16" t="s">
        <v>376</v>
      </c>
      <c r="E1627" s="16" t="s">
        <v>447</v>
      </c>
      <c r="F1627" s="16" t="n">
        <v>635</v>
      </c>
      <c r="G1627" s="17"/>
      <c r="H1627" s="17" t="n">
        <v>102793</v>
      </c>
      <c r="I1627" s="14" t="n">
        <f aca="false">I1626+G1627-H1627</f>
        <v>314827650</v>
      </c>
    </row>
    <row r="1628" customFormat="false" ht="12" hidden="false" customHeight="true" outlineLevel="1" collapsed="false">
      <c r="B1628" s="15" t="n">
        <v>45264</v>
      </c>
      <c r="C1628" s="15" t="n">
        <f aca="false">B1628</f>
        <v>45264</v>
      </c>
      <c r="D1628" s="16" t="s">
        <v>376</v>
      </c>
      <c r="E1628" s="16" t="s">
        <v>447</v>
      </c>
      <c r="F1628" s="16" t="n">
        <v>635</v>
      </c>
      <c r="G1628" s="17"/>
      <c r="H1628" s="17" t="n">
        <v>4246132</v>
      </c>
      <c r="I1628" s="14" t="n">
        <f aca="false">I1627+G1628-H1628</f>
        <v>310581518</v>
      </c>
    </row>
    <row r="1629" customFormat="false" ht="12" hidden="false" customHeight="true" outlineLevel="1" collapsed="false">
      <c r="B1629" s="15" t="n">
        <v>45265</v>
      </c>
      <c r="C1629" s="15" t="n">
        <f aca="false">B1629</f>
        <v>45265</v>
      </c>
      <c r="D1629" s="16" t="s">
        <v>375</v>
      </c>
      <c r="E1629" s="16" t="s">
        <v>157</v>
      </c>
      <c r="F1629" s="16" t="s">
        <v>15</v>
      </c>
      <c r="G1629" s="17" t="n">
        <v>165838000</v>
      </c>
      <c r="H1629" s="17"/>
      <c r="I1629" s="14" t="n">
        <f aca="false">I1628+G1629-H1629</f>
        <v>476419518</v>
      </c>
    </row>
    <row r="1630" customFormat="false" ht="12" hidden="false" customHeight="true" outlineLevel="1" collapsed="false">
      <c r="B1630" s="15" t="n">
        <v>45265</v>
      </c>
      <c r="C1630" s="15" t="n">
        <f aca="false">B1630</f>
        <v>45265</v>
      </c>
      <c r="D1630" s="16" t="s">
        <v>375</v>
      </c>
      <c r="E1630" s="16" t="s">
        <v>157</v>
      </c>
      <c r="F1630" s="16" t="s">
        <v>15</v>
      </c>
      <c r="G1630" s="17" t="n">
        <v>34000000</v>
      </c>
      <c r="H1630" s="17"/>
      <c r="I1630" s="14" t="n">
        <f aca="false">I1629+G1630-H1630</f>
        <v>510419518</v>
      </c>
    </row>
    <row r="1631" customFormat="false" ht="12" hidden="false" customHeight="true" outlineLevel="1" collapsed="false">
      <c r="B1631" s="15" t="n">
        <v>45265</v>
      </c>
      <c r="C1631" s="15" t="n">
        <f aca="false">B1631</f>
        <v>45265</v>
      </c>
      <c r="D1631" s="16" t="s">
        <v>375</v>
      </c>
      <c r="E1631" s="16" t="s">
        <v>157</v>
      </c>
      <c r="F1631" s="16" t="s">
        <v>15</v>
      </c>
      <c r="G1631" s="17" t="n">
        <v>45335000</v>
      </c>
      <c r="H1631" s="17"/>
      <c r="I1631" s="14" t="n">
        <f aca="false">I1630+G1631-H1631</f>
        <v>555754518</v>
      </c>
    </row>
    <row r="1632" customFormat="false" ht="12" hidden="false" customHeight="true" outlineLevel="1" collapsed="false">
      <c r="B1632" s="15" t="n">
        <v>45265</v>
      </c>
      <c r="C1632" s="15" t="n">
        <f aca="false">B1632</f>
        <v>45265</v>
      </c>
      <c r="D1632" s="16" t="s">
        <v>375</v>
      </c>
      <c r="E1632" s="16" t="s">
        <v>157</v>
      </c>
      <c r="F1632" s="16" t="s">
        <v>15</v>
      </c>
      <c r="G1632" s="17" t="n">
        <v>18496000</v>
      </c>
      <c r="H1632" s="17"/>
      <c r="I1632" s="14" t="n">
        <f aca="false">I1631+G1632-H1632</f>
        <v>574250518</v>
      </c>
    </row>
    <row r="1633" customFormat="false" ht="12" hidden="false" customHeight="true" outlineLevel="1" collapsed="false">
      <c r="B1633" s="15" t="n">
        <v>45265</v>
      </c>
      <c r="C1633" s="15" t="n">
        <f aca="false">B1633</f>
        <v>45265</v>
      </c>
      <c r="D1633" s="16" t="s">
        <v>376</v>
      </c>
      <c r="E1633" s="16" t="s">
        <v>23</v>
      </c>
      <c r="F1633" s="16" t="s">
        <v>24</v>
      </c>
      <c r="G1633" s="17"/>
      <c r="H1633" s="17" t="n">
        <v>289707815</v>
      </c>
      <c r="I1633" s="14" t="n">
        <f aca="false">I1632+G1633-H1633</f>
        <v>284542703</v>
      </c>
    </row>
    <row r="1634" customFormat="false" ht="12" hidden="false" customHeight="true" outlineLevel="1" collapsed="false">
      <c r="B1634" s="15" t="n">
        <v>45265</v>
      </c>
      <c r="C1634" s="15" t="n">
        <f aca="false">B1634</f>
        <v>45265</v>
      </c>
      <c r="D1634" s="16" t="s">
        <v>376</v>
      </c>
      <c r="E1634" s="16" t="s">
        <v>454</v>
      </c>
      <c r="F1634" s="16" t="s">
        <v>179</v>
      </c>
      <c r="G1634" s="17"/>
      <c r="H1634" s="17" t="n">
        <v>3022000</v>
      </c>
      <c r="I1634" s="14" t="n">
        <f aca="false">I1633+G1634-H1634</f>
        <v>281520703</v>
      </c>
    </row>
    <row r="1635" customFormat="false" ht="12" hidden="false" customHeight="true" outlineLevel="1" collapsed="false">
      <c r="B1635" s="15" t="n">
        <v>45265</v>
      </c>
      <c r="C1635" s="15" t="n">
        <f aca="false">B1635</f>
        <v>45265</v>
      </c>
      <c r="D1635" s="16" t="s">
        <v>376</v>
      </c>
      <c r="E1635" s="16" t="s">
        <v>23</v>
      </c>
      <c r="F1635" s="16" t="s">
        <v>24</v>
      </c>
      <c r="G1635" s="17"/>
      <c r="H1635" s="17" t="n">
        <v>251489857</v>
      </c>
      <c r="I1635" s="14" t="n">
        <f aca="false">I1634+G1635-H1635</f>
        <v>30030846</v>
      </c>
    </row>
    <row r="1636" customFormat="false" ht="12" hidden="false" customHeight="true" outlineLevel="1" collapsed="false">
      <c r="B1636" s="15" t="n">
        <v>45266</v>
      </c>
      <c r="C1636" s="15" t="n">
        <f aca="false">B1636</f>
        <v>45266</v>
      </c>
      <c r="D1636" s="16" t="s">
        <v>375</v>
      </c>
      <c r="E1636" s="16" t="s">
        <v>157</v>
      </c>
      <c r="F1636" s="16" t="s">
        <v>15</v>
      </c>
      <c r="G1636" s="17" t="n">
        <v>30296000</v>
      </c>
      <c r="H1636" s="17"/>
      <c r="I1636" s="14" t="n">
        <f aca="false">I1635+G1636-H1636</f>
        <v>60326846</v>
      </c>
    </row>
    <row r="1637" customFormat="false" ht="12" hidden="false" customHeight="true" outlineLevel="1" collapsed="false">
      <c r="B1637" s="15" t="n">
        <v>45266</v>
      </c>
      <c r="C1637" s="15" t="n">
        <f aca="false">B1637</f>
        <v>45266</v>
      </c>
      <c r="D1637" s="16" t="s">
        <v>375</v>
      </c>
      <c r="E1637" s="16" t="s">
        <v>157</v>
      </c>
      <c r="F1637" s="16" t="s">
        <v>15</v>
      </c>
      <c r="G1637" s="17" t="n">
        <v>57683000</v>
      </c>
      <c r="H1637" s="17"/>
      <c r="I1637" s="14" t="n">
        <f aca="false">I1636+G1637-H1637</f>
        <v>118009846</v>
      </c>
    </row>
    <row r="1638" customFormat="false" ht="12" hidden="false" customHeight="true" outlineLevel="1" collapsed="false">
      <c r="B1638" s="15" t="n">
        <v>45266</v>
      </c>
      <c r="C1638" s="15" t="n">
        <f aca="false">B1638</f>
        <v>45266</v>
      </c>
      <c r="D1638" s="16" t="s">
        <v>375</v>
      </c>
      <c r="E1638" s="16" t="s">
        <v>157</v>
      </c>
      <c r="F1638" s="16" t="s">
        <v>15</v>
      </c>
      <c r="G1638" s="17" t="n">
        <v>315000</v>
      </c>
      <c r="H1638" s="17"/>
      <c r="I1638" s="14" t="n">
        <f aca="false">I1637+G1638-H1638</f>
        <v>118324846</v>
      </c>
    </row>
    <row r="1639" customFormat="false" ht="12" hidden="false" customHeight="true" outlineLevel="1" collapsed="false">
      <c r="B1639" s="15" t="n">
        <v>45267</v>
      </c>
      <c r="C1639" s="15" t="n">
        <f aca="false">B1639</f>
        <v>45267</v>
      </c>
      <c r="D1639" s="16" t="s">
        <v>375</v>
      </c>
      <c r="E1639" s="16" t="s">
        <v>157</v>
      </c>
      <c r="F1639" s="16" t="s">
        <v>15</v>
      </c>
      <c r="G1639" s="17" t="n">
        <v>142399000</v>
      </c>
      <c r="H1639" s="17"/>
      <c r="I1639" s="14" t="n">
        <f aca="false">I1638+G1639-H1639</f>
        <v>260723846</v>
      </c>
    </row>
    <row r="1640" customFormat="false" ht="12" hidden="false" customHeight="true" outlineLevel="1" collapsed="false">
      <c r="B1640" s="15" t="n">
        <v>45267</v>
      </c>
      <c r="C1640" s="15" t="n">
        <f aca="false">B1640</f>
        <v>45267</v>
      </c>
      <c r="D1640" s="16" t="s">
        <v>375</v>
      </c>
      <c r="E1640" s="16" t="s">
        <v>157</v>
      </c>
      <c r="F1640" s="16" t="s">
        <v>15</v>
      </c>
      <c r="G1640" s="17" t="n">
        <v>43949000</v>
      </c>
      <c r="H1640" s="17"/>
      <c r="I1640" s="14" t="n">
        <f aca="false">I1639+G1640-H1640</f>
        <v>304672846</v>
      </c>
    </row>
    <row r="1641" customFormat="false" ht="12" hidden="false" customHeight="true" outlineLevel="1" collapsed="false">
      <c r="B1641" s="15" t="n">
        <v>45267</v>
      </c>
      <c r="C1641" s="15" t="n">
        <f aca="false">B1641</f>
        <v>45267</v>
      </c>
      <c r="D1641" s="16" t="s">
        <v>375</v>
      </c>
      <c r="E1641" s="16" t="s">
        <v>157</v>
      </c>
      <c r="F1641" s="16" t="s">
        <v>15</v>
      </c>
      <c r="G1641" s="17" t="n">
        <v>62000000</v>
      </c>
      <c r="H1641" s="17"/>
      <c r="I1641" s="14" t="n">
        <f aca="false">I1640+G1641-H1641</f>
        <v>366672846</v>
      </c>
    </row>
    <row r="1642" customFormat="false" ht="12" hidden="false" customHeight="true" outlineLevel="1" collapsed="false">
      <c r="B1642" s="15" t="n">
        <v>45267</v>
      </c>
      <c r="C1642" s="15" t="n">
        <f aca="false">B1642</f>
        <v>45267</v>
      </c>
      <c r="D1642" s="16" t="s">
        <v>375</v>
      </c>
      <c r="E1642" s="16" t="s">
        <v>157</v>
      </c>
      <c r="F1642" s="16" t="s">
        <v>15</v>
      </c>
      <c r="G1642" s="17" t="n">
        <v>63326000</v>
      </c>
      <c r="H1642" s="17"/>
      <c r="I1642" s="14" t="n">
        <f aca="false">I1641+G1642-H1642</f>
        <v>429998846</v>
      </c>
    </row>
    <row r="1643" customFormat="false" ht="12" hidden="false" customHeight="true" outlineLevel="1" collapsed="false">
      <c r="B1643" s="15" t="n">
        <v>45267</v>
      </c>
      <c r="C1643" s="15" t="n">
        <f aca="false">B1643</f>
        <v>45267</v>
      </c>
      <c r="D1643" s="16" t="s">
        <v>375</v>
      </c>
      <c r="E1643" s="16" t="s">
        <v>157</v>
      </c>
      <c r="F1643" s="16" t="s">
        <v>15</v>
      </c>
      <c r="G1643" s="17" t="n">
        <v>61959000</v>
      </c>
      <c r="H1643" s="17"/>
      <c r="I1643" s="14" t="n">
        <f aca="false">I1642+G1643-H1643</f>
        <v>491957846</v>
      </c>
    </row>
    <row r="1644" customFormat="false" ht="12" hidden="false" customHeight="true" outlineLevel="1" collapsed="false">
      <c r="B1644" s="15" t="n">
        <v>45267</v>
      </c>
      <c r="C1644" s="15" t="n">
        <f aca="false">B1644</f>
        <v>45267</v>
      </c>
      <c r="D1644" s="16" t="s">
        <v>375</v>
      </c>
      <c r="E1644" s="16" t="s">
        <v>157</v>
      </c>
      <c r="F1644" s="16" t="s">
        <v>15</v>
      </c>
      <c r="G1644" s="17" t="n">
        <v>47224000</v>
      </c>
      <c r="H1644" s="17"/>
      <c r="I1644" s="14" t="n">
        <f aca="false">I1643+G1644-H1644</f>
        <v>539181846</v>
      </c>
    </row>
    <row r="1645" customFormat="false" ht="12" hidden="false" customHeight="true" outlineLevel="1" collapsed="false">
      <c r="B1645" s="15" t="n">
        <v>45268</v>
      </c>
      <c r="C1645" s="15" t="n">
        <f aca="false">B1645</f>
        <v>45268</v>
      </c>
      <c r="D1645" s="16" t="s">
        <v>375</v>
      </c>
      <c r="E1645" s="16" t="s">
        <v>157</v>
      </c>
      <c r="F1645" s="16" t="s">
        <v>15</v>
      </c>
      <c r="G1645" s="17" t="n">
        <v>14050000</v>
      </c>
      <c r="H1645" s="17"/>
      <c r="I1645" s="14" t="n">
        <f aca="false">I1644+G1645-H1645</f>
        <v>553231846</v>
      </c>
    </row>
    <row r="1646" customFormat="false" ht="12" hidden="false" customHeight="true" outlineLevel="1" collapsed="false">
      <c r="B1646" s="15" t="n">
        <v>45268</v>
      </c>
      <c r="C1646" s="15" t="n">
        <f aca="false">B1646</f>
        <v>45268</v>
      </c>
      <c r="D1646" s="16" t="s">
        <v>375</v>
      </c>
      <c r="E1646" s="16" t="s">
        <v>157</v>
      </c>
      <c r="F1646" s="16" t="s">
        <v>15</v>
      </c>
      <c r="G1646" s="17" t="n">
        <v>80000000</v>
      </c>
      <c r="H1646" s="17"/>
      <c r="I1646" s="14" t="n">
        <f aca="false">I1645+G1646-H1646</f>
        <v>633231846</v>
      </c>
    </row>
    <row r="1647" customFormat="false" ht="12" hidden="false" customHeight="true" outlineLevel="1" collapsed="false">
      <c r="B1647" s="15" t="n">
        <v>45268</v>
      </c>
      <c r="C1647" s="15" t="n">
        <f aca="false">B1647</f>
        <v>45268</v>
      </c>
      <c r="D1647" s="16" t="s">
        <v>375</v>
      </c>
      <c r="E1647" s="16" t="s">
        <v>157</v>
      </c>
      <c r="F1647" s="16" t="s">
        <v>15</v>
      </c>
      <c r="G1647" s="17" t="n">
        <v>51976000</v>
      </c>
      <c r="H1647" s="17"/>
      <c r="I1647" s="14" t="n">
        <f aca="false">I1646+G1647-H1647</f>
        <v>685207846</v>
      </c>
    </row>
    <row r="1648" customFormat="false" ht="12" hidden="false" customHeight="true" outlineLevel="1" collapsed="false">
      <c r="B1648" s="15" t="n">
        <v>45268</v>
      </c>
      <c r="C1648" s="15" t="n">
        <f aca="false">B1648</f>
        <v>45268</v>
      </c>
      <c r="D1648" s="16" t="s">
        <v>376</v>
      </c>
      <c r="E1648" s="16" t="s">
        <v>23</v>
      </c>
      <c r="F1648" s="16" t="s">
        <v>24</v>
      </c>
      <c r="G1648" s="17"/>
      <c r="H1648" s="17" t="n">
        <v>514364926</v>
      </c>
      <c r="I1648" s="14" t="n">
        <f aca="false">I1647+G1648-H1648</f>
        <v>170842920</v>
      </c>
    </row>
    <row r="1649" customFormat="false" ht="12" hidden="false" customHeight="true" outlineLevel="1" collapsed="false">
      <c r="B1649" s="15" t="n">
        <v>45268</v>
      </c>
      <c r="C1649" s="15" t="n">
        <f aca="false">B1649</f>
        <v>45268</v>
      </c>
      <c r="D1649" s="16" t="s">
        <v>376</v>
      </c>
      <c r="E1649" s="16" t="s">
        <v>23</v>
      </c>
      <c r="F1649" s="16" t="s">
        <v>24</v>
      </c>
      <c r="G1649" s="17"/>
      <c r="H1649" s="17" t="n">
        <v>168000000</v>
      </c>
      <c r="I1649" s="14" t="n">
        <f aca="false">I1648+G1649-H1649</f>
        <v>2842920</v>
      </c>
    </row>
    <row r="1650" customFormat="false" ht="12" hidden="false" customHeight="true" outlineLevel="1" collapsed="false">
      <c r="B1650" s="15" t="n">
        <v>45269</v>
      </c>
      <c r="C1650" s="15" t="n">
        <f aca="false">B1650</f>
        <v>45269</v>
      </c>
      <c r="D1650" s="16" t="s">
        <v>376</v>
      </c>
      <c r="E1650" s="16" t="s">
        <v>36</v>
      </c>
      <c r="F1650" s="16" t="n">
        <v>635</v>
      </c>
      <c r="G1650" s="17"/>
      <c r="H1650" s="17" t="n">
        <v>55000</v>
      </c>
      <c r="I1650" s="14" t="n">
        <f aca="false">I1649+G1650-H1650</f>
        <v>2787920</v>
      </c>
    </row>
    <row r="1651" customFormat="false" ht="12" hidden="false" customHeight="true" outlineLevel="1" collapsed="false">
      <c r="B1651" s="15" t="n">
        <v>45271</v>
      </c>
      <c r="C1651" s="15" t="n">
        <f aca="false">B1651</f>
        <v>45271</v>
      </c>
      <c r="D1651" s="16" t="s">
        <v>375</v>
      </c>
      <c r="E1651" s="16" t="s">
        <v>157</v>
      </c>
      <c r="F1651" s="16" t="s">
        <v>15</v>
      </c>
      <c r="G1651" s="17" t="n">
        <v>39377000</v>
      </c>
      <c r="H1651" s="17"/>
      <c r="I1651" s="14" t="n">
        <f aca="false">I1650+G1651-H1651</f>
        <v>42164920</v>
      </c>
    </row>
    <row r="1652" customFormat="false" ht="12" hidden="false" customHeight="true" outlineLevel="1" collapsed="false">
      <c r="B1652" s="15" t="n">
        <v>45271</v>
      </c>
      <c r="C1652" s="15" t="n">
        <f aca="false">B1652</f>
        <v>45271</v>
      </c>
      <c r="D1652" s="16" t="s">
        <v>375</v>
      </c>
      <c r="E1652" s="16" t="s">
        <v>157</v>
      </c>
      <c r="F1652" s="16" t="s">
        <v>15</v>
      </c>
      <c r="G1652" s="17" t="n">
        <v>56803000</v>
      </c>
      <c r="H1652" s="17"/>
      <c r="I1652" s="14" t="n">
        <f aca="false">I1651+G1652-H1652</f>
        <v>98967920</v>
      </c>
    </row>
    <row r="1653" customFormat="false" ht="12" hidden="false" customHeight="true" outlineLevel="1" collapsed="false">
      <c r="B1653" s="15" t="n">
        <v>45271</v>
      </c>
      <c r="C1653" s="15" t="n">
        <f aca="false">B1653</f>
        <v>45271</v>
      </c>
      <c r="D1653" s="16" t="s">
        <v>375</v>
      </c>
      <c r="E1653" s="16" t="s">
        <v>157</v>
      </c>
      <c r="F1653" s="16" t="s">
        <v>15</v>
      </c>
      <c r="G1653" s="17" t="n">
        <v>28541000</v>
      </c>
      <c r="H1653" s="17"/>
      <c r="I1653" s="14" t="n">
        <f aca="false">I1652+G1653-H1653</f>
        <v>127508920</v>
      </c>
    </row>
    <row r="1654" customFormat="false" ht="12" hidden="false" customHeight="true" outlineLevel="1" collapsed="false">
      <c r="B1654" s="15" t="n">
        <v>45271</v>
      </c>
      <c r="C1654" s="15" t="n">
        <f aca="false">B1654</f>
        <v>45271</v>
      </c>
      <c r="D1654" s="16" t="s">
        <v>375</v>
      </c>
      <c r="E1654" s="16" t="s">
        <v>157</v>
      </c>
      <c r="F1654" s="16" t="s">
        <v>15</v>
      </c>
      <c r="G1654" s="17" t="n">
        <v>56273000</v>
      </c>
      <c r="H1654" s="17"/>
      <c r="I1654" s="14" t="n">
        <f aca="false">I1653+G1654-H1654</f>
        <v>183781920</v>
      </c>
    </row>
    <row r="1655" customFormat="false" ht="12" hidden="false" customHeight="true" outlineLevel="1" collapsed="false">
      <c r="B1655" s="15" t="n">
        <v>45271</v>
      </c>
      <c r="C1655" s="15" t="n">
        <f aca="false">B1655</f>
        <v>45271</v>
      </c>
      <c r="D1655" s="16" t="s">
        <v>375</v>
      </c>
      <c r="E1655" s="16" t="s">
        <v>157</v>
      </c>
      <c r="F1655" s="16" t="s">
        <v>15</v>
      </c>
      <c r="G1655" s="17" t="n">
        <v>210204000</v>
      </c>
      <c r="H1655" s="17"/>
      <c r="I1655" s="14" t="n">
        <f aca="false">I1654+G1655-H1655</f>
        <v>393985920</v>
      </c>
    </row>
    <row r="1656" customFormat="false" ht="12" hidden="false" customHeight="true" outlineLevel="1" collapsed="false">
      <c r="B1656" s="15" t="n">
        <v>45271</v>
      </c>
      <c r="C1656" s="15" t="n">
        <f aca="false">B1656</f>
        <v>45271</v>
      </c>
      <c r="D1656" s="16" t="s">
        <v>375</v>
      </c>
      <c r="E1656" s="16" t="s">
        <v>157</v>
      </c>
      <c r="F1656" s="16" t="s">
        <v>15</v>
      </c>
      <c r="G1656" s="17" t="n">
        <v>66234000</v>
      </c>
      <c r="H1656" s="17"/>
      <c r="I1656" s="14" t="n">
        <f aca="false">I1655+G1656-H1656</f>
        <v>460219920</v>
      </c>
    </row>
    <row r="1657" customFormat="false" ht="12" hidden="false" customHeight="true" outlineLevel="1" collapsed="false">
      <c r="B1657" s="15" t="n">
        <v>45271</v>
      </c>
      <c r="C1657" s="15" t="n">
        <f aca="false">B1657</f>
        <v>45271</v>
      </c>
      <c r="D1657" s="16" t="s">
        <v>375</v>
      </c>
      <c r="E1657" s="16" t="s">
        <v>157</v>
      </c>
      <c r="F1657" s="16" t="s">
        <v>15</v>
      </c>
      <c r="G1657" s="17" t="n">
        <v>225826000</v>
      </c>
      <c r="H1657" s="17"/>
      <c r="I1657" s="14" t="n">
        <f aca="false">I1656+G1657-H1657</f>
        <v>686045920</v>
      </c>
    </row>
    <row r="1658" customFormat="false" ht="12" hidden="false" customHeight="true" outlineLevel="1" collapsed="false">
      <c r="B1658" s="15" t="n">
        <v>45271</v>
      </c>
      <c r="C1658" s="15" t="n">
        <f aca="false">B1658</f>
        <v>45271</v>
      </c>
      <c r="D1658" s="16" t="s">
        <v>376</v>
      </c>
      <c r="E1658" s="16" t="s">
        <v>454</v>
      </c>
      <c r="F1658" s="16" t="s">
        <v>179</v>
      </c>
      <c r="G1658" s="17"/>
      <c r="H1658" s="17" t="n">
        <v>146565256</v>
      </c>
      <c r="I1658" s="14" t="n">
        <f aca="false">I1657+G1658-H1658</f>
        <v>539480664</v>
      </c>
    </row>
    <row r="1659" customFormat="false" ht="12" hidden="false" customHeight="true" outlineLevel="1" collapsed="false">
      <c r="B1659" s="15" t="n">
        <v>45271</v>
      </c>
      <c r="C1659" s="15" t="n">
        <f aca="false">B1659</f>
        <v>45271</v>
      </c>
      <c r="D1659" s="16" t="s">
        <v>376</v>
      </c>
      <c r="E1659" s="16" t="s">
        <v>23</v>
      </c>
      <c r="F1659" s="16" t="s">
        <v>24</v>
      </c>
      <c r="G1659" s="17"/>
      <c r="H1659" s="17" t="n">
        <v>435447845</v>
      </c>
      <c r="I1659" s="14" t="n">
        <f aca="false">I1658+G1659-H1659</f>
        <v>104032819</v>
      </c>
    </row>
    <row r="1660" customFormat="false" ht="12" hidden="false" customHeight="true" outlineLevel="1" collapsed="false">
      <c r="B1660" s="15" t="n">
        <v>45272</v>
      </c>
      <c r="C1660" s="15" t="n">
        <f aca="false">B1660</f>
        <v>45272</v>
      </c>
      <c r="D1660" s="16" t="s">
        <v>375</v>
      </c>
      <c r="E1660" s="16" t="s">
        <v>157</v>
      </c>
      <c r="F1660" s="16" t="s">
        <v>15</v>
      </c>
      <c r="G1660" s="17" t="n">
        <v>121673000</v>
      </c>
      <c r="H1660" s="17"/>
      <c r="I1660" s="14" t="n">
        <f aca="false">I1659+G1660-H1660</f>
        <v>225705819</v>
      </c>
    </row>
    <row r="1661" customFormat="false" ht="12" hidden="false" customHeight="true" outlineLevel="1" collapsed="false">
      <c r="B1661" s="15" t="n">
        <v>45272</v>
      </c>
      <c r="C1661" s="15" t="n">
        <f aca="false">B1661</f>
        <v>45272</v>
      </c>
      <c r="D1661" s="16" t="s">
        <v>375</v>
      </c>
      <c r="E1661" s="16" t="s">
        <v>157</v>
      </c>
      <c r="F1661" s="16" t="s">
        <v>15</v>
      </c>
      <c r="G1661" s="17" t="n">
        <v>150197000</v>
      </c>
      <c r="H1661" s="17"/>
      <c r="I1661" s="14" t="n">
        <f aca="false">I1660+G1661-H1661</f>
        <v>375902819</v>
      </c>
    </row>
    <row r="1662" customFormat="false" ht="12" hidden="false" customHeight="true" outlineLevel="1" collapsed="false">
      <c r="B1662" s="15" t="n">
        <v>45272</v>
      </c>
      <c r="C1662" s="15" t="n">
        <f aca="false">B1662</f>
        <v>45272</v>
      </c>
      <c r="D1662" s="16" t="s">
        <v>375</v>
      </c>
      <c r="E1662" s="16" t="s">
        <v>157</v>
      </c>
      <c r="F1662" s="16" t="s">
        <v>15</v>
      </c>
      <c r="G1662" s="17" t="n">
        <v>42851000</v>
      </c>
      <c r="H1662" s="17"/>
      <c r="I1662" s="14" t="n">
        <f aca="false">I1661+G1662-H1662</f>
        <v>418753819</v>
      </c>
    </row>
    <row r="1663" customFormat="false" ht="12" hidden="false" customHeight="true" outlineLevel="1" collapsed="false">
      <c r="B1663" s="15" t="n">
        <v>45272</v>
      </c>
      <c r="C1663" s="15" t="n">
        <f aca="false">B1663</f>
        <v>45272</v>
      </c>
      <c r="D1663" s="16" t="s">
        <v>376</v>
      </c>
      <c r="E1663" s="16" t="s">
        <v>23</v>
      </c>
      <c r="F1663" s="16" t="s">
        <v>24</v>
      </c>
      <c r="G1663" s="17"/>
      <c r="H1663" s="17" t="n">
        <v>416000000</v>
      </c>
      <c r="I1663" s="14" t="n">
        <f aca="false">I1662+G1663-H1663</f>
        <v>2753819</v>
      </c>
    </row>
    <row r="1664" customFormat="false" ht="12" hidden="false" customHeight="true" outlineLevel="1" collapsed="false">
      <c r="B1664" s="15" t="n">
        <v>45272</v>
      </c>
      <c r="C1664" s="15" t="n">
        <f aca="false">B1664</f>
        <v>45272</v>
      </c>
      <c r="D1664" s="16" t="s">
        <v>376</v>
      </c>
      <c r="E1664" s="16" t="s">
        <v>447</v>
      </c>
      <c r="F1664" s="16" t="n">
        <v>635</v>
      </c>
      <c r="G1664" s="17"/>
      <c r="H1664" s="17" t="n">
        <v>576707</v>
      </c>
      <c r="I1664" s="14" t="n">
        <f aca="false">I1663+G1664-H1664</f>
        <v>2177112</v>
      </c>
    </row>
    <row r="1665" customFormat="false" ht="12" hidden="false" customHeight="true" outlineLevel="1" collapsed="false">
      <c r="B1665" s="15" t="n">
        <v>45273</v>
      </c>
      <c r="C1665" s="15" t="n">
        <f aca="false">B1665</f>
        <v>45273</v>
      </c>
      <c r="D1665" s="16" t="s">
        <v>375</v>
      </c>
      <c r="E1665" s="16" t="s">
        <v>157</v>
      </c>
      <c r="F1665" s="16" t="s">
        <v>15</v>
      </c>
      <c r="G1665" s="17" t="n">
        <v>85000000</v>
      </c>
      <c r="H1665" s="17"/>
      <c r="I1665" s="14" t="n">
        <f aca="false">I1664+G1665-H1665</f>
        <v>87177112</v>
      </c>
    </row>
    <row r="1666" customFormat="false" ht="12" hidden="false" customHeight="true" outlineLevel="1" collapsed="false">
      <c r="B1666" s="15" t="n">
        <v>45273</v>
      </c>
      <c r="C1666" s="15" t="n">
        <f aca="false">B1666</f>
        <v>45273</v>
      </c>
      <c r="D1666" s="16" t="s">
        <v>376</v>
      </c>
      <c r="E1666" s="16" t="s">
        <v>36</v>
      </c>
      <c r="F1666" s="16" t="n">
        <v>635</v>
      </c>
      <c r="G1666" s="17"/>
      <c r="H1666" s="17" t="n">
        <v>11000</v>
      </c>
      <c r="I1666" s="14" t="n">
        <f aca="false">I1665+G1666-H1666</f>
        <v>87166112</v>
      </c>
    </row>
    <row r="1667" customFormat="false" ht="12" hidden="false" customHeight="true" outlineLevel="1" collapsed="false">
      <c r="B1667" s="15" t="n">
        <v>45273</v>
      </c>
      <c r="C1667" s="15" t="n">
        <f aca="false">B1667</f>
        <v>45273</v>
      </c>
      <c r="D1667" s="16" t="s">
        <v>376</v>
      </c>
      <c r="E1667" s="16" t="s">
        <v>454</v>
      </c>
      <c r="F1667" s="16" t="s">
        <v>179</v>
      </c>
      <c r="G1667" s="17"/>
      <c r="H1667" s="17" t="n">
        <v>19819821</v>
      </c>
      <c r="I1667" s="14" t="n">
        <f aca="false">I1666+G1667-H1667</f>
        <v>67346291</v>
      </c>
    </row>
    <row r="1668" customFormat="false" ht="12" hidden="false" customHeight="true" outlineLevel="1" collapsed="false">
      <c r="B1668" s="15" t="n">
        <v>45273</v>
      </c>
      <c r="C1668" s="15" t="n">
        <f aca="false">B1668</f>
        <v>45273</v>
      </c>
      <c r="D1668" s="16" t="s">
        <v>376</v>
      </c>
      <c r="E1668" s="16" t="s">
        <v>23</v>
      </c>
      <c r="F1668" s="16" t="s">
        <v>24</v>
      </c>
      <c r="G1668" s="17"/>
      <c r="H1668" s="17" t="n">
        <v>62000000</v>
      </c>
      <c r="I1668" s="14" t="n">
        <f aca="false">I1667+G1668-H1668</f>
        <v>5346291</v>
      </c>
    </row>
    <row r="1669" customFormat="false" ht="12" hidden="false" customHeight="true" outlineLevel="1" collapsed="false">
      <c r="B1669" s="15" t="n">
        <v>45273</v>
      </c>
      <c r="C1669" s="15" t="n">
        <f aca="false">B1669</f>
        <v>45273</v>
      </c>
      <c r="D1669" s="16" t="s">
        <v>376</v>
      </c>
      <c r="E1669" s="16" t="s">
        <v>447</v>
      </c>
      <c r="F1669" s="16" t="n">
        <v>635</v>
      </c>
      <c r="G1669" s="17"/>
      <c r="H1669" s="17" t="n">
        <v>252263</v>
      </c>
      <c r="I1669" s="14" t="n">
        <f aca="false">I1668+G1669-H1669</f>
        <v>5094028</v>
      </c>
    </row>
    <row r="1670" customFormat="false" ht="12" hidden="false" customHeight="true" outlineLevel="1" collapsed="false">
      <c r="B1670" s="15" t="n">
        <v>45273</v>
      </c>
      <c r="C1670" s="15" t="n">
        <f aca="false">B1670</f>
        <v>45273</v>
      </c>
      <c r="D1670" s="16" t="s">
        <v>376</v>
      </c>
      <c r="E1670" s="16" t="s">
        <v>447</v>
      </c>
      <c r="F1670" s="16" t="n">
        <v>635</v>
      </c>
      <c r="G1670" s="17"/>
      <c r="H1670" s="17" t="n">
        <v>440969</v>
      </c>
      <c r="I1670" s="14" t="n">
        <f aca="false">I1669+G1670-H1670</f>
        <v>4653059</v>
      </c>
    </row>
    <row r="1671" customFormat="false" ht="12" hidden="false" customHeight="true" outlineLevel="1" collapsed="false">
      <c r="B1671" s="15" t="n">
        <v>45273</v>
      </c>
      <c r="C1671" s="15" t="n">
        <f aca="false">B1671</f>
        <v>45273</v>
      </c>
      <c r="D1671" s="16" t="s">
        <v>376</v>
      </c>
      <c r="E1671" s="16" t="s">
        <v>447</v>
      </c>
      <c r="F1671" s="16" t="n">
        <v>635</v>
      </c>
      <c r="G1671" s="17"/>
      <c r="H1671" s="17" t="n">
        <v>1240113</v>
      </c>
      <c r="I1671" s="14" t="n">
        <f aca="false">I1670+G1671-H1671</f>
        <v>3412946</v>
      </c>
    </row>
    <row r="1672" customFormat="false" ht="12" hidden="false" customHeight="true" outlineLevel="1" collapsed="false">
      <c r="B1672" s="15" t="n">
        <v>45273</v>
      </c>
      <c r="C1672" s="15" t="n">
        <f aca="false">B1672</f>
        <v>45273</v>
      </c>
      <c r="D1672" s="16" t="s">
        <v>376</v>
      </c>
      <c r="E1672" s="16" t="s">
        <v>447</v>
      </c>
      <c r="F1672" s="16" t="n">
        <v>635</v>
      </c>
      <c r="G1672" s="17"/>
      <c r="H1672" s="17" t="n">
        <v>1828270</v>
      </c>
      <c r="I1672" s="14" t="n">
        <f aca="false">I1671+G1672-H1672</f>
        <v>1584676</v>
      </c>
    </row>
    <row r="1673" customFormat="false" ht="12" hidden="false" customHeight="true" outlineLevel="1" collapsed="false">
      <c r="B1673" s="15" t="n">
        <v>45273</v>
      </c>
      <c r="C1673" s="15" t="n">
        <f aca="false">B1673</f>
        <v>45273</v>
      </c>
      <c r="D1673" s="16" t="s">
        <v>376</v>
      </c>
      <c r="E1673" s="16" t="s">
        <v>447</v>
      </c>
      <c r="F1673" s="16" t="n">
        <v>635</v>
      </c>
      <c r="G1673" s="17"/>
      <c r="H1673" s="17" t="n">
        <v>115749</v>
      </c>
      <c r="I1673" s="14" t="n">
        <f aca="false">I1672+G1673-H1673</f>
        <v>1468927</v>
      </c>
    </row>
    <row r="1674" customFormat="false" ht="12" hidden="false" customHeight="true" outlineLevel="1" collapsed="false">
      <c r="B1674" s="15" t="n">
        <v>45274</v>
      </c>
      <c r="C1674" s="15" t="n">
        <f aca="false">B1674</f>
        <v>45274</v>
      </c>
      <c r="D1674" s="16" t="s">
        <v>375</v>
      </c>
      <c r="E1674" s="16" t="s">
        <v>157</v>
      </c>
      <c r="F1674" s="16" t="s">
        <v>15</v>
      </c>
      <c r="G1674" s="17" t="n">
        <v>49892000</v>
      </c>
      <c r="H1674" s="17"/>
      <c r="I1674" s="14" t="n">
        <f aca="false">I1673+G1674-H1674</f>
        <v>51360927</v>
      </c>
    </row>
    <row r="1675" customFormat="false" ht="12" hidden="false" customHeight="true" outlineLevel="1" collapsed="false">
      <c r="B1675" s="15" t="n">
        <v>45274</v>
      </c>
      <c r="C1675" s="15" t="n">
        <f aca="false">B1675</f>
        <v>45274</v>
      </c>
      <c r="D1675" s="16" t="s">
        <v>375</v>
      </c>
      <c r="E1675" s="16" t="s">
        <v>157</v>
      </c>
      <c r="F1675" s="16" t="s">
        <v>15</v>
      </c>
      <c r="G1675" s="17" t="n">
        <v>73000000</v>
      </c>
      <c r="H1675" s="17"/>
      <c r="I1675" s="14" t="n">
        <f aca="false">I1674+G1675-H1675</f>
        <v>124360927</v>
      </c>
    </row>
    <row r="1676" customFormat="false" ht="12" hidden="false" customHeight="true" outlineLevel="1" collapsed="false">
      <c r="B1676" s="15" t="n">
        <v>45274</v>
      </c>
      <c r="C1676" s="15" t="n">
        <f aca="false">B1676</f>
        <v>45274</v>
      </c>
      <c r="D1676" s="16" t="s">
        <v>375</v>
      </c>
      <c r="E1676" s="16" t="s">
        <v>157</v>
      </c>
      <c r="F1676" s="16" t="s">
        <v>15</v>
      </c>
      <c r="G1676" s="17" t="n">
        <v>48052000</v>
      </c>
      <c r="H1676" s="17"/>
      <c r="I1676" s="14" t="n">
        <f aca="false">I1675+G1676-H1676</f>
        <v>172412927</v>
      </c>
    </row>
    <row r="1677" customFormat="false" ht="12" hidden="false" customHeight="true" outlineLevel="1" collapsed="false">
      <c r="B1677" s="15" t="n">
        <v>45274</v>
      </c>
      <c r="C1677" s="15" t="n">
        <f aca="false">B1677</f>
        <v>45274</v>
      </c>
      <c r="D1677" s="16" t="s">
        <v>375</v>
      </c>
      <c r="E1677" s="16" t="s">
        <v>157</v>
      </c>
      <c r="F1677" s="16" t="s">
        <v>15</v>
      </c>
      <c r="G1677" s="17" t="n">
        <v>46898000</v>
      </c>
      <c r="H1677" s="17"/>
      <c r="I1677" s="14" t="n">
        <f aca="false">I1676+G1677-H1677</f>
        <v>219310927</v>
      </c>
    </row>
    <row r="1678" customFormat="false" ht="12" hidden="false" customHeight="true" outlineLevel="1" collapsed="false">
      <c r="B1678" s="15" t="n">
        <v>45274</v>
      </c>
      <c r="C1678" s="15" t="n">
        <f aca="false">B1678</f>
        <v>45274</v>
      </c>
      <c r="D1678" s="16" t="s">
        <v>375</v>
      </c>
      <c r="E1678" s="16" t="s">
        <v>157</v>
      </c>
      <c r="F1678" s="16" t="s">
        <v>15</v>
      </c>
      <c r="G1678" s="17" t="n">
        <v>58229000</v>
      </c>
      <c r="H1678" s="17"/>
      <c r="I1678" s="14" t="n">
        <f aca="false">I1677+G1678-H1678</f>
        <v>277539927</v>
      </c>
    </row>
    <row r="1679" customFormat="false" ht="12" hidden="false" customHeight="true" outlineLevel="1" collapsed="false">
      <c r="B1679" s="15" t="n">
        <v>45274</v>
      </c>
      <c r="C1679" s="15" t="n">
        <f aca="false">B1679</f>
        <v>45274</v>
      </c>
      <c r="D1679" s="16" t="s">
        <v>375</v>
      </c>
      <c r="E1679" s="16" t="s">
        <v>157</v>
      </c>
      <c r="F1679" s="16" t="s">
        <v>15</v>
      </c>
      <c r="G1679" s="17" t="n">
        <v>104380000</v>
      </c>
      <c r="H1679" s="17"/>
      <c r="I1679" s="14" t="n">
        <f aca="false">I1678+G1679-H1679</f>
        <v>381919927</v>
      </c>
    </row>
    <row r="1680" customFormat="false" ht="12" hidden="false" customHeight="true" outlineLevel="1" collapsed="false">
      <c r="B1680" s="15" t="n">
        <v>45274</v>
      </c>
      <c r="C1680" s="15" t="n">
        <f aca="false">B1680</f>
        <v>45274</v>
      </c>
      <c r="D1680" s="16" t="s">
        <v>376</v>
      </c>
      <c r="E1680" s="16" t="s">
        <v>23</v>
      </c>
      <c r="F1680" s="16" t="s">
        <v>24</v>
      </c>
      <c r="G1680" s="17"/>
      <c r="H1680" s="17" t="n">
        <v>380000000</v>
      </c>
      <c r="I1680" s="14" t="n">
        <f aca="false">I1679+G1680-H1680</f>
        <v>1919927</v>
      </c>
    </row>
    <row r="1681" customFormat="false" ht="12" hidden="false" customHeight="true" outlineLevel="1" collapsed="false">
      <c r="B1681" s="15" t="n">
        <v>45275</v>
      </c>
      <c r="C1681" s="15" t="n">
        <f aca="false">B1681</f>
        <v>45275</v>
      </c>
      <c r="D1681" s="16" t="s">
        <v>450</v>
      </c>
      <c r="E1681" s="16" t="s">
        <v>453</v>
      </c>
      <c r="F1681" s="16" t="n">
        <v>515</v>
      </c>
      <c r="G1681" s="17" t="n">
        <v>1837500</v>
      </c>
      <c r="H1681" s="17"/>
      <c r="I1681" s="14" t="n">
        <f aca="false">I1680+G1681-H1681</f>
        <v>3757427</v>
      </c>
    </row>
    <row r="1682" customFormat="false" ht="12" hidden="false" customHeight="true" outlineLevel="1" collapsed="false">
      <c r="B1682" s="15" t="n">
        <v>45277</v>
      </c>
      <c r="C1682" s="15" t="n">
        <f aca="false">B1682</f>
        <v>45277</v>
      </c>
      <c r="D1682" s="16" t="s">
        <v>462</v>
      </c>
      <c r="E1682" s="16" t="s">
        <v>463</v>
      </c>
      <c r="F1682" s="16" t="n">
        <v>711</v>
      </c>
      <c r="G1682" s="17" t="n">
        <v>3534400</v>
      </c>
      <c r="H1682" s="17"/>
      <c r="I1682" s="14" t="n">
        <f aca="false">I1681+G1682-H1682</f>
        <v>7291827</v>
      </c>
    </row>
    <row r="1683" customFormat="false" ht="12" hidden="false" customHeight="true" outlineLevel="1" collapsed="false">
      <c r="B1683" s="15" t="n">
        <v>45278</v>
      </c>
      <c r="C1683" s="15" t="n">
        <f aca="false">B1683</f>
        <v>45278</v>
      </c>
      <c r="D1683" s="16" t="s">
        <v>375</v>
      </c>
      <c r="E1683" s="16" t="s">
        <v>157</v>
      </c>
      <c r="F1683" s="16" t="s">
        <v>15</v>
      </c>
      <c r="G1683" s="17" t="n">
        <v>41854000</v>
      </c>
      <c r="H1683" s="17"/>
      <c r="I1683" s="14" t="n">
        <f aca="false">I1682+G1683-H1683</f>
        <v>49145827</v>
      </c>
    </row>
    <row r="1684" customFormat="false" ht="12" hidden="false" customHeight="true" outlineLevel="1" collapsed="false">
      <c r="B1684" s="15" t="n">
        <v>45278</v>
      </c>
      <c r="C1684" s="15" t="n">
        <f aca="false">B1684</f>
        <v>45278</v>
      </c>
      <c r="D1684" s="16" t="s">
        <v>375</v>
      </c>
      <c r="E1684" s="16" t="s">
        <v>157</v>
      </c>
      <c r="F1684" s="16" t="s">
        <v>15</v>
      </c>
      <c r="G1684" s="17" t="n">
        <v>168441000</v>
      </c>
      <c r="H1684" s="17"/>
      <c r="I1684" s="14" t="n">
        <f aca="false">I1683+G1684-H1684</f>
        <v>217586827</v>
      </c>
    </row>
    <row r="1685" customFormat="false" ht="12" hidden="false" customHeight="true" outlineLevel="1" collapsed="false">
      <c r="B1685" s="15" t="n">
        <v>45278</v>
      </c>
      <c r="C1685" s="15" t="n">
        <f aca="false">B1685</f>
        <v>45278</v>
      </c>
      <c r="D1685" s="16" t="s">
        <v>376</v>
      </c>
      <c r="E1685" s="16" t="s">
        <v>454</v>
      </c>
      <c r="F1685" s="16" t="s">
        <v>179</v>
      </c>
      <c r="G1685" s="17"/>
      <c r="H1685" s="17" t="n">
        <v>217047740</v>
      </c>
      <c r="I1685" s="14" t="n">
        <f aca="false">I1684+G1685-H1685</f>
        <v>539087</v>
      </c>
    </row>
    <row r="1686" customFormat="false" ht="12" hidden="false" customHeight="true" outlineLevel="1" collapsed="false">
      <c r="B1686" s="15" t="n">
        <v>45278</v>
      </c>
      <c r="C1686" s="15" t="n">
        <f aca="false">B1686</f>
        <v>45278</v>
      </c>
      <c r="D1686" s="16" t="s">
        <v>375</v>
      </c>
      <c r="E1686" s="16" t="s">
        <v>157</v>
      </c>
      <c r="F1686" s="16" t="s">
        <v>15</v>
      </c>
      <c r="G1686" s="17" t="n">
        <v>40268000</v>
      </c>
      <c r="H1686" s="17"/>
      <c r="I1686" s="14" t="n">
        <f aca="false">I1685+G1686-H1686</f>
        <v>40807087</v>
      </c>
    </row>
    <row r="1687" customFormat="false" ht="12" hidden="false" customHeight="true" outlineLevel="1" collapsed="false">
      <c r="B1687" s="15" t="n">
        <v>45278</v>
      </c>
      <c r="C1687" s="15" t="n">
        <f aca="false">B1687</f>
        <v>45278</v>
      </c>
      <c r="D1687" s="16" t="s">
        <v>375</v>
      </c>
      <c r="E1687" s="16" t="s">
        <v>157</v>
      </c>
      <c r="F1687" s="16" t="s">
        <v>15</v>
      </c>
      <c r="G1687" s="17" t="n">
        <v>17153000</v>
      </c>
      <c r="H1687" s="17"/>
      <c r="I1687" s="14" t="n">
        <f aca="false">I1686+G1687-H1687</f>
        <v>57960087</v>
      </c>
    </row>
    <row r="1688" customFormat="false" ht="12" hidden="false" customHeight="true" outlineLevel="1" collapsed="false">
      <c r="B1688" s="15" t="n">
        <v>45278</v>
      </c>
      <c r="C1688" s="15" t="n">
        <f aca="false">B1688</f>
        <v>45278</v>
      </c>
      <c r="D1688" s="16" t="s">
        <v>375</v>
      </c>
      <c r="E1688" s="16" t="s">
        <v>157</v>
      </c>
      <c r="F1688" s="16" t="s">
        <v>15</v>
      </c>
      <c r="G1688" s="17" t="n">
        <v>293624000</v>
      </c>
      <c r="H1688" s="17"/>
      <c r="I1688" s="14" t="n">
        <f aca="false">I1687+G1688-H1688</f>
        <v>351584087</v>
      </c>
    </row>
    <row r="1689" customFormat="false" ht="12" hidden="false" customHeight="true" outlineLevel="1" collapsed="false">
      <c r="B1689" s="15" t="n">
        <v>45278</v>
      </c>
      <c r="C1689" s="15" t="n">
        <f aca="false">B1689</f>
        <v>45278</v>
      </c>
      <c r="D1689" s="16" t="s">
        <v>375</v>
      </c>
      <c r="E1689" s="16" t="s">
        <v>157</v>
      </c>
      <c r="F1689" s="16" t="s">
        <v>15</v>
      </c>
      <c r="G1689" s="17" t="n">
        <v>75869000</v>
      </c>
      <c r="H1689" s="17"/>
      <c r="I1689" s="14" t="n">
        <f aca="false">I1688+G1689-H1689</f>
        <v>427453087</v>
      </c>
    </row>
    <row r="1690" customFormat="false" ht="12" hidden="false" customHeight="true" outlineLevel="1" collapsed="false">
      <c r="B1690" s="15" t="n">
        <v>45278</v>
      </c>
      <c r="C1690" s="15" t="n">
        <f aca="false">B1690</f>
        <v>45278</v>
      </c>
      <c r="D1690" s="16" t="s">
        <v>375</v>
      </c>
      <c r="E1690" s="16" t="s">
        <v>157</v>
      </c>
      <c r="F1690" s="16" t="s">
        <v>15</v>
      </c>
      <c r="G1690" s="17" t="n">
        <v>57743000</v>
      </c>
      <c r="H1690" s="17"/>
      <c r="I1690" s="14" t="n">
        <f aca="false">I1689+G1690-H1690</f>
        <v>485196087</v>
      </c>
    </row>
    <row r="1691" customFormat="false" ht="12" hidden="false" customHeight="true" outlineLevel="1" collapsed="false">
      <c r="B1691" s="15" t="n">
        <v>45278</v>
      </c>
      <c r="C1691" s="15" t="n">
        <f aca="false">B1691</f>
        <v>45278</v>
      </c>
      <c r="D1691" s="16" t="s">
        <v>375</v>
      </c>
      <c r="E1691" s="16" t="s">
        <v>157</v>
      </c>
      <c r="F1691" s="16" t="s">
        <v>15</v>
      </c>
      <c r="G1691" s="17" t="n">
        <v>123000000</v>
      </c>
      <c r="H1691" s="17"/>
      <c r="I1691" s="14" t="n">
        <f aca="false">I1690+G1691-H1691</f>
        <v>608196087</v>
      </c>
    </row>
    <row r="1692" customFormat="false" ht="12" hidden="false" customHeight="true" outlineLevel="1" collapsed="false">
      <c r="B1692" s="15" t="n">
        <v>45278</v>
      </c>
      <c r="C1692" s="15" t="n">
        <f aca="false">B1692</f>
        <v>45278</v>
      </c>
      <c r="D1692" s="16" t="s">
        <v>375</v>
      </c>
      <c r="E1692" s="16" t="s">
        <v>157</v>
      </c>
      <c r="F1692" s="16" t="s">
        <v>15</v>
      </c>
      <c r="G1692" s="17" t="n">
        <v>1000000000</v>
      </c>
      <c r="H1692" s="17"/>
      <c r="I1692" s="14" t="n">
        <f aca="false">I1691+G1692-H1692</f>
        <v>1608196087</v>
      </c>
    </row>
    <row r="1693" customFormat="false" ht="12" hidden="false" customHeight="true" outlineLevel="1" collapsed="false">
      <c r="B1693" s="15" t="n">
        <v>45278</v>
      </c>
      <c r="C1693" s="15" t="n">
        <f aca="false">B1693</f>
        <v>45278</v>
      </c>
      <c r="D1693" s="16" t="s">
        <v>376</v>
      </c>
      <c r="E1693" s="16" t="s">
        <v>23</v>
      </c>
      <c r="F1693" s="16" t="s">
        <v>24</v>
      </c>
      <c r="G1693" s="17"/>
      <c r="H1693" s="17" t="n">
        <v>1600000000</v>
      </c>
      <c r="I1693" s="14" t="n">
        <f aca="false">I1692+G1693-H1693</f>
        <v>8196087</v>
      </c>
    </row>
    <row r="1694" customFormat="false" ht="12" hidden="false" customHeight="true" outlineLevel="1" collapsed="false">
      <c r="B1694" s="15" t="n">
        <v>45279</v>
      </c>
      <c r="C1694" s="15" t="n">
        <f aca="false">B1694</f>
        <v>45279</v>
      </c>
      <c r="D1694" s="16" t="s">
        <v>375</v>
      </c>
      <c r="E1694" s="16" t="s">
        <v>157</v>
      </c>
      <c r="F1694" s="16" t="s">
        <v>15</v>
      </c>
      <c r="G1694" s="17" t="n">
        <v>38069000</v>
      </c>
      <c r="H1694" s="17"/>
      <c r="I1694" s="14" t="n">
        <f aca="false">I1693+G1694-H1694</f>
        <v>46265087</v>
      </c>
    </row>
    <row r="1695" customFormat="false" ht="12" hidden="false" customHeight="true" outlineLevel="1" collapsed="false">
      <c r="B1695" s="15" t="n">
        <v>45279</v>
      </c>
      <c r="C1695" s="15" t="n">
        <f aca="false">B1695</f>
        <v>45279</v>
      </c>
      <c r="D1695" s="16" t="s">
        <v>375</v>
      </c>
      <c r="E1695" s="16" t="s">
        <v>157</v>
      </c>
      <c r="F1695" s="16" t="s">
        <v>15</v>
      </c>
      <c r="G1695" s="17" t="n">
        <v>72361000</v>
      </c>
      <c r="H1695" s="17"/>
      <c r="I1695" s="14" t="n">
        <f aca="false">I1694+G1695-H1695</f>
        <v>118626087</v>
      </c>
    </row>
    <row r="1696" customFormat="false" ht="12" hidden="false" customHeight="true" outlineLevel="1" collapsed="false">
      <c r="B1696" s="15" t="n">
        <v>45279</v>
      </c>
      <c r="C1696" s="15" t="n">
        <f aca="false">B1696</f>
        <v>45279</v>
      </c>
      <c r="D1696" s="16" t="s">
        <v>375</v>
      </c>
      <c r="E1696" s="16" t="s">
        <v>157</v>
      </c>
      <c r="F1696" s="16" t="s">
        <v>15</v>
      </c>
      <c r="G1696" s="17" t="n">
        <v>231896000</v>
      </c>
      <c r="H1696" s="17"/>
      <c r="I1696" s="14" t="n">
        <f aca="false">I1695+G1696-H1696</f>
        <v>350522087</v>
      </c>
    </row>
    <row r="1697" customFormat="false" ht="12" hidden="false" customHeight="true" outlineLevel="1" collapsed="false">
      <c r="B1697" s="15" t="n">
        <v>45279</v>
      </c>
      <c r="C1697" s="15" t="n">
        <f aca="false">B1697</f>
        <v>45279</v>
      </c>
      <c r="D1697" s="16" t="s">
        <v>375</v>
      </c>
      <c r="E1697" s="16" t="s">
        <v>157</v>
      </c>
      <c r="F1697" s="16" t="s">
        <v>15</v>
      </c>
      <c r="G1697" s="17" t="n">
        <v>46000000</v>
      </c>
      <c r="H1697" s="17"/>
      <c r="I1697" s="14" t="n">
        <f aca="false">I1696+G1697-H1697</f>
        <v>396522087</v>
      </c>
    </row>
    <row r="1698" customFormat="false" ht="12" hidden="false" customHeight="true" outlineLevel="1" collapsed="false">
      <c r="B1698" s="15" t="n">
        <v>45279</v>
      </c>
      <c r="C1698" s="15" t="n">
        <f aca="false">B1698</f>
        <v>45279</v>
      </c>
      <c r="D1698" s="16" t="s">
        <v>376</v>
      </c>
      <c r="E1698" s="16" t="s">
        <v>23</v>
      </c>
      <c r="F1698" s="16" t="s">
        <v>24</v>
      </c>
      <c r="G1698" s="17"/>
      <c r="H1698" s="17" t="n">
        <v>297957600</v>
      </c>
      <c r="I1698" s="14" t="n">
        <f aca="false">I1697+G1698-H1698</f>
        <v>98564487</v>
      </c>
    </row>
    <row r="1699" customFormat="false" ht="12" hidden="false" customHeight="true" outlineLevel="1" collapsed="false">
      <c r="B1699" s="15" t="n">
        <v>45279</v>
      </c>
      <c r="C1699" s="15" t="n">
        <f aca="false">B1699</f>
        <v>45279</v>
      </c>
      <c r="D1699" s="16" t="s">
        <v>376</v>
      </c>
      <c r="E1699" s="16" t="s">
        <v>23</v>
      </c>
      <c r="F1699" s="16" t="s">
        <v>24</v>
      </c>
      <c r="G1699" s="17"/>
      <c r="H1699" s="17" t="n">
        <v>97000000</v>
      </c>
      <c r="I1699" s="14" t="n">
        <f aca="false">I1698+G1699-H1699</f>
        <v>1564487</v>
      </c>
    </row>
    <row r="1700" customFormat="false" ht="12" hidden="false" customHeight="true" outlineLevel="1" collapsed="false">
      <c r="B1700" s="15" t="n">
        <v>45280</v>
      </c>
      <c r="C1700" s="15" t="n">
        <f aca="false">B1700</f>
        <v>45280</v>
      </c>
      <c r="D1700" s="16" t="s">
        <v>375</v>
      </c>
      <c r="E1700" s="16" t="s">
        <v>157</v>
      </c>
      <c r="F1700" s="16" t="s">
        <v>15</v>
      </c>
      <c r="G1700" s="17" t="n">
        <v>55684000</v>
      </c>
      <c r="H1700" s="17"/>
      <c r="I1700" s="14" t="n">
        <f aca="false">I1699+G1700-H1700</f>
        <v>57248487</v>
      </c>
    </row>
    <row r="1701" customFormat="false" ht="12" hidden="false" customHeight="true" outlineLevel="1" collapsed="false">
      <c r="B1701" s="15" t="n">
        <v>45280</v>
      </c>
      <c r="C1701" s="15" t="n">
        <f aca="false">B1701</f>
        <v>45280</v>
      </c>
      <c r="D1701" s="16" t="s">
        <v>375</v>
      </c>
      <c r="E1701" s="16" t="s">
        <v>157</v>
      </c>
      <c r="F1701" s="16" t="s">
        <v>15</v>
      </c>
      <c r="G1701" s="17" t="n">
        <v>135268000</v>
      </c>
      <c r="H1701" s="17"/>
      <c r="I1701" s="14" t="n">
        <f aca="false">I1700+G1701-H1701</f>
        <v>192516487</v>
      </c>
    </row>
    <row r="1702" customFormat="false" ht="12" hidden="false" customHeight="true" outlineLevel="1" collapsed="false">
      <c r="B1702" s="15" t="n">
        <v>45280</v>
      </c>
      <c r="C1702" s="15" t="n">
        <f aca="false">B1702</f>
        <v>45280</v>
      </c>
      <c r="D1702" s="16" t="s">
        <v>376</v>
      </c>
      <c r="E1702" s="16" t="s">
        <v>454</v>
      </c>
      <c r="F1702" s="16" t="s">
        <v>179</v>
      </c>
      <c r="G1702" s="17"/>
      <c r="H1702" s="17" t="n">
        <v>2022000</v>
      </c>
      <c r="I1702" s="14" t="n">
        <f aca="false">I1701+G1702-H1702</f>
        <v>190494487</v>
      </c>
    </row>
    <row r="1703" customFormat="false" ht="12" hidden="false" customHeight="true" outlineLevel="1" collapsed="false">
      <c r="B1703" s="15" t="n">
        <v>45280</v>
      </c>
      <c r="C1703" s="15" t="n">
        <f aca="false">B1703</f>
        <v>45280</v>
      </c>
      <c r="D1703" s="16" t="s">
        <v>376</v>
      </c>
      <c r="E1703" s="16" t="s">
        <v>23</v>
      </c>
      <c r="F1703" s="16" t="s">
        <v>24</v>
      </c>
      <c r="G1703" s="17"/>
      <c r="H1703" s="17" t="n">
        <v>118000000</v>
      </c>
      <c r="I1703" s="14" t="n">
        <f aca="false">I1702+G1703-H1703</f>
        <v>72494487</v>
      </c>
    </row>
    <row r="1704" customFormat="false" ht="12" hidden="false" customHeight="true" outlineLevel="1" collapsed="false">
      <c r="B1704" s="15" t="n">
        <v>45280</v>
      </c>
      <c r="C1704" s="15" t="n">
        <f aca="false">B1704</f>
        <v>45280</v>
      </c>
      <c r="D1704" s="16" t="s">
        <v>376</v>
      </c>
      <c r="E1704" s="16" t="s">
        <v>454</v>
      </c>
      <c r="F1704" s="16" t="s">
        <v>179</v>
      </c>
      <c r="G1704" s="17"/>
      <c r="H1704" s="17" t="n">
        <v>43645414</v>
      </c>
      <c r="I1704" s="14" t="n">
        <f aca="false">I1703+G1704-H1704</f>
        <v>28849073</v>
      </c>
    </row>
    <row r="1705" customFormat="false" ht="12" hidden="false" customHeight="true" outlineLevel="1" collapsed="false">
      <c r="B1705" s="15" t="n">
        <v>45280</v>
      </c>
      <c r="C1705" s="15" t="n">
        <f aca="false">B1705</f>
        <v>45280</v>
      </c>
      <c r="D1705" s="16" t="s">
        <v>376</v>
      </c>
      <c r="E1705" s="16" t="s">
        <v>23</v>
      </c>
      <c r="F1705" s="16" t="s">
        <v>24</v>
      </c>
      <c r="G1705" s="17"/>
      <c r="H1705" s="17" t="n">
        <v>27000000</v>
      </c>
      <c r="I1705" s="14" t="n">
        <f aca="false">I1704+G1705-H1705</f>
        <v>1849073</v>
      </c>
    </row>
    <row r="1706" customFormat="false" ht="12" hidden="false" customHeight="true" outlineLevel="1" collapsed="false">
      <c r="B1706" s="15" t="n">
        <v>45280</v>
      </c>
      <c r="C1706" s="15" t="n">
        <f aca="false">B1706</f>
        <v>45280</v>
      </c>
      <c r="D1706" s="16" t="s">
        <v>464</v>
      </c>
      <c r="E1706" s="16" t="s">
        <v>448</v>
      </c>
      <c r="F1706" s="16" t="s">
        <v>15</v>
      </c>
      <c r="G1706" s="17" t="n">
        <v>70200000</v>
      </c>
      <c r="H1706" s="17"/>
      <c r="I1706" s="14" t="n">
        <f aca="false">I1705+G1706-H1706</f>
        <v>72049073</v>
      </c>
    </row>
    <row r="1707" customFormat="false" ht="12" hidden="false" customHeight="true" outlineLevel="1" collapsed="false">
      <c r="B1707" s="15" t="n">
        <v>45280</v>
      </c>
      <c r="C1707" s="15" t="n">
        <f aca="false">B1707</f>
        <v>45280</v>
      </c>
      <c r="D1707" s="16" t="s">
        <v>376</v>
      </c>
      <c r="E1707" s="16" t="s">
        <v>36</v>
      </c>
      <c r="F1707" s="16" t="n">
        <v>635</v>
      </c>
      <c r="G1707" s="17"/>
      <c r="H1707" s="17" t="n">
        <v>11000</v>
      </c>
      <c r="I1707" s="14" t="n">
        <f aca="false">I1706+G1707-H1707</f>
        <v>72038073</v>
      </c>
    </row>
    <row r="1708" customFormat="false" ht="12" hidden="false" customHeight="true" outlineLevel="1" collapsed="false">
      <c r="B1708" s="15" t="n">
        <v>45281</v>
      </c>
      <c r="C1708" s="15" t="n">
        <f aca="false">B1708</f>
        <v>45281</v>
      </c>
      <c r="D1708" s="16" t="s">
        <v>375</v>
      </c>
      <c r="E1708" s="16" t="s">
        <v>157</v>
      </c>
      <c r="F1708" s="16" t="s">
        <v>15</v>
      </c>
      <c r="G1708" s="17" t="n">
        <v>103056000</v>
      </c>
      <c r="H1708" s="17"/>
      <c r="I1708" s="14" t="n">
        <f aca="false">I1707+G1708-H1708</f>
        <v>175094073</v>
      </c>
    </row>
    <row r="1709" customFormat="false" ht="12" hidden="false" customHeight="true" outlineLevel="1" collapsed="false">
      <c r="B1709" s="15" t="n">
        <v>45281</v>
      </c>
      <c r="C1709" s="15" t="n">
        <f aca="false">B1709</f>
        <v>45281</v>
      </c>
      <c r="D1709" s="16" t="s">
        <v>375</v>
      </c>
      <c r="E1709" s="16" t="s">
        <v>157</v>
      </c>
      <c r="F1709" s="16" t="s">
        <v>15</v>
      </c>
      <c r="G1709" s="17" t="n">
        <v>33592000</v>
      </c>
      <c r="H1709" s="17"/>
      <c r="I1709" s="14" t="n">
        <f aca="false">I1708+G1709-H1709</f>
        <v>208686073</v>
      </c>
    </row>
    <row r="1710" customFormat="false" ht="12" hidden="false" customHeight="true" outlineLevel="1" collapsed="false">
      <c r="B1710" s="15" t="n">
        <v>45281</v>
      </c>
      <c r="C1710" s="15" t="n">
        <f aca="false">B1710</f>
        <v>45281</v>
      </c>
      <c r="D1710" s="16" t="s">
        <v>375</v>
      </c>
      <c r="E1710" s="16" t="s">
        <v>157</v>
      </c>
      <c r="F1710" s="16" t="s">
        <v>15</v>
      </c>
      <c r="G1710" s="17" t="n">
        <v>40477000</v>
      </c>
      <c r="H1710" s="17"/>
      <c r="I1710" s="14" t="n">
        <f aca="false">I1709+G1710-H1710</f>
        <v>249163073</v>
      </c>
    </row>
    <row r="1711" customFormat="false" ht="12" hidden="false" customHeight="true" outlineLevel="1" collapsed="false">
      <c r="B1711" s="15" t="n">
        <v>45281</v>
      </c>
      <c r="C1711" s="15" t="n">
        <f aca="false">B1711</f>
        <v>45281</v>
      </c>
      <c r="D1711" s="16" t="s">
        <v>375</v>
      </c>
      <c r="E1711" s="16" t="s">
        <v>157</v>
      </c>
      <c r="F1711" s="16" t="s">
        <v>15</v>
      </c>
      <c r="G1711" s="17" t="n">
        <v>57720000</v>
      </c>
      <c r="H1711" s="17"/>
      <c r="I1711" s="14" t="n">
        <f aca="false">I1710+G1711-H1711</f>
        <v>306883073</v>
      </c>
    </row>
    <row r="1712" customFormat="false" ht="12" hidden="false" customHeight="true" outlineLevel="1" collapsed="false">
      <c r="B1712" s="15" t="n">
        <v>45281</v>
      </c>
      <c r="C1712" s="15" t="n">
        <f aca="false">B1712</f>
        <v>45281</v>
      </c>
      <c r="D1712" s="16" t="s">
        <v>375</v>
      </c>
      <c r="E1712" s="16" t="s">
        <v>157</v>
      </c>
      <c r="F1712" s="16" t="s">
        <v>15</v>
      </c>
      <c r="G1712" s="17" t="n">
        <v>40000000</v>
      </c>
      <c r="H1712" s="17"/>
      <c r="I1712" s="14" t="n">
        <f aca="false">I1711+G1712-H1712</f>
        <v>346883073</v>
      </c>
    </row>
    <row r="1713" customFormat="false" ht="12" hidden="false" customHeight="true" outlineLevel="1" collapsed="false">
      <c r="B1713" s="15" t="n">
        <v>45281</v>
      </c>
      <c r="C1713" s="15" t="n">
        <f aca="false">B1713</f>
        <v>45281</v>
      </c>
      <c r="D1713" s="16" t="s">
        <v>375</v>
      </c>
      <c r="E1713" s="16" t="s">
        <v>157</v>
      </c>
      <c r="F1713" s="16" t="s">
        <v>15</v>
      </c>
      <c r="G1713" s="17" t="n">
        <v>62983000</v>
      </c>
      <c r="H1713" s="17"/>
      <c r="I1713" s="14" t="n">
        <f aca="false">I1712+G1713-H1713</f>
        <v>409866073</v>
      </c>
    </row>
    <row r="1714" customFormat="false" ht="12" hidden="false" customHeight="true" outlineLevel="1" collapsed="false">
      <c r="B1714" s="15" t="n">
        <v>45281</v>
      </c>
      <c r="C1714" s="15" t="n">
        <f aca="false">B1714</f>
        <v>45281</v>
      </c>
      <c r="D1714" s="16" t="s">
        <v>375</v>
      </c>
      <c r="E1714" s="16" t="s">
        <v>157</v>
      </c>
      <c r="F1714" s="16" t="s">
        <v>15</v>
      </c>
      <c r="G1714" s="17" t="n">
        <v>50000000</v>
      </c>
      <c r="H1714" s="17"/>
      <c r="I1714" s="14" t="n">
        <f aca="false">I1713+G1714-H1714</f>
        <v>459866073</v>
      </c>
    </row>
    <row r="1715" customFormat="false" ht="12" hidden="false" customHeight="true" outlineLevel="1" collapsed="false">
      <c r="B1715" s="15" t="n">
        <v>45281</v>
      </c>
      <c r="C1715" s="15" t="n">
        <f aca="false">B1715</f>
        <v>45281</v>
      </c>
      <c r="D1715" s="16" t="s">
        <v>376</v>
      </c>
      <c r="E1715" s="16" t="s">
        <v>454</v>
      </c>
      <c r="F1715" s="16" t="s">
        <v>179</v>
      </c>
      <c r="G1715" s="17"/>
      <c r="H1715" s="17" t="n">
        <v>240887410</v>
      </c>
      <c r="I1715" s="14" t="n">
        <f aca="false">I1714+G1715-H1715</f>
        <v>218978663</v>
      </c>
    </row>
    <row r="1716" customFormat="false" ht="12" hidden="false" customHeight="true" outlineLevel="1" collapsed="false">
      <c r="B1716" s="15" t="n">
        <v>45281</v>
      </c>
      <c r="C1716" s="15" t="n">
        <f aca="false">B1716</f>
        <v>45281</v>
      </c>
      <c r="D1716" s="16" t="s">
        <v>376</v>
      </c>
      <c r="E1716" s="16" t="s">
        <v>23</v>
      </c>
      <c r="F1716" s="16" t="s">
        <v>24</v>
      </c>
      <c r="G1716" s="17"/>
      <c r="H1716" s="17" t="n">
        <v>215000000</v>
      </c>
      <c r="I1716" s="14" t="n">
        <f aca="false">I1715+G1716-H1716</f>
        <v>3978663</v>
      </c>
    </row>
    <row r="1717" customFormat="false" ht="12" hidden="false" customHeight="true" outlineLevel="1" collapsed="false">
      <c r="B1717" s="15" t="n">
        <v>45281</v>
      </c>
      <c r="C1717" s="15" t="n">
        <f aca="false">B1717</f>
        <v>45281</v>
      </c>
      <c r="D1717" s="16" t="s">
        <v>376</v>
      </c>
      <c r="E1717" s="16" t="s">
        <v>36</v>
      </c>
      <c r="F1717" s="16" t="n">
        <v>635</v>
      </c>
      <c r="G1717" s="17"/>
      <c r="H1717" s="17" t="n">
        <v>118922</v>
      </c>
      <c r="I1717" s="14" t="n">
        <f aca="false">I1716+G1717-H1717</f>
        <v>3859741</v>
      </c>
    </row>
    <row r="1718" customFormat="false" ht="12" hidden="false" customHeight="true" outlineLevel="1" collapsed="false">
      <c r="B1718" s="15" t="n">
        <v>45282</v>
      </c>
      <c r="C1718" s="15" t="n">
        <f aca="false">B1718</f>
        <v>45282</v>
      </c>
      <c r="D1718" s="16" t="s">
        <v>375</v>
      </c>
      <c r="E1718" s="16" t="s">
        <v>157</v>
      </c>
      <c r="F1718" s="16" t="s">
        <v>15</v>
      </c>
      <c r="G1718" s="17" t="n">
        <v>145852000</v>
      </c>
      <c r="H1718" s="17"/>
      <c r="I1718" s="14" t="n">
        <f aca="false">I1717+G1718-H1718</f>
        <v>149711741</v>
      </c>
    </row>
    <row r="1719" customFormat="false" ht="12" hidden="false" customHeight="true" outlineLevel="1" collapsed="false">
      <c r="B1719" s="15" t="n">
        <v>45282</v>
      </c>
      <c r="C1719" s="15" t="n">
        <f aca="false">B1719</f>
        <v>45282</v>
      </c>
      <c r="D1719" s="16" t="s">
        <v>375</v>
      </c>
      <c r="E1719" s="16" t="s">
        <v>157</v>
      </c>
      <c r="F1719" s="16" t="s">
        <v>15</v>
      </c>
      <c r="G1719" s="17" t="n">
        <v>79875000</v>
      </c>
      <c r="H1719" s="17"/>
      <c r="I1719" s="14" t="n">
        <f aca="false">I1718+G1719-H1719</f>
        <v>229586741</v>
      </c>
    </row>
    <row r="1720" customFormat="false" ht="12" hidden="false" customHeight="true" outlineLevel="1" collapsed="false">
      <c r="B1720" s="15" t="n">
        <v>45282</v>
      </c>
      <c r="C1720" s="15" t="n">
        <f aca="false">B1720</f>
        <v>45282</v>
      </c>
      <c r="D1720" s="16" t="s">
        <v>375</v>
      </c>
      <c r="E1720" s="16" t="s">
        <v>157</v>
      </c>
      <c r="F1720" s="16" t="s">
        <v>15</v>
      </c>
      <c r="G1720" s="17" t="n">
        <v>21866000</v>
      </c>
      <c r="H1720" s="17"/>
      <c r="I1720" s="14" t="n">
        <f aca="false">I1719+G1720-H1720</f>
        <v>251452741</v>
      </c>
    </row>
    <row r="1721" customFormat="false" ht="12" hidden="false" customHeight="true" outlineLevel="1" collapsed="false">
      <c r="B1721" s="15" t="n">
        <v>45282</v>
      </c>
      <c r="C1721" s="15" t="n">
        <f aca="false">B1721</f>
        <v>45282</v>
      </c>
      <c r="D1721" s="16" t="s">
        <v>376</v>
      </c>
      <c r="E1721" s="16" t="s">
        <v>454</v>
      </c>
      <c r="F1721" s="16" t="s">
        <v>179</v>
      </c>
      <c r="G1721" s="17"/>
      <c r="H1721" s="17" t="n">
        <v>27376567</v>
      </c>
      <c r="I1721" s="14" t="n">
        <f aca="false">I1720+G1721-H1721</f>
        <v>224076174</v>
      </c>
    </row>
    <row r="1722" customFormat="false" ht="12" hidden="false" customHeight="true" outlineLevel="1" collapsed="false">
      <c r="B1722" s="15" t="n">
        <v>45282</v>
      </c>
      <c r="C1722" s="15" t="n">
        <f aca="false">B1722</f>
        <v>45282</v>
      </c>
      <c r="D1722" s="16" t="s">
        <v>376</v>
      </c>
      <c r="E1722" s="16" t="s">
        <v>23</v>
      </c>
      <c r="F1722" s="16" t="s">
        <v>24</v>
      </c>
      <c r="G1722" s="17"/>
      <c r="H1722" s="17" t="n">
        <v>220000000</v>
      </c>
      <c r="I1722" s="14" t="n">
        <f aca="false">I1721+G1722-H1722</f>
        <v>4076174</v>
      </c>
    </row>
    <row r="1723" customFormat="false" ht="12" hidden="false" customHeight="true" outlineLevel="1" collapsed="false">
      <c r="B1723" s="15" t="n">
        <v>45285</v>
      </c>
      <c r="C1723" s="15" t="n">
        <f aca="false">B1723</f>
        <v>45285</v>
      </c>
      <c r="D1723" s="16" t="s">
        <v>375</v>
      </c>
      <c r="E1723" s="16" t="s">
        <v>157</v>
      </c>
      <c r="F1723" s="16" t="s">
        <v>15</v>
      </c>
      <c r="G1723" s="17" t="n">
        <v>10502000</v>
      </c>
      <c r="H1723" s="17"/>
      <c r="I1723" s="14" t="n">
        <f aca="false">I1722+G1723-H1723</f>
        <v>14578174</v>
      </c>
    </row>
    <row r="1724" customFormat="false" ht="12" hidden="false" customHeight="true" outlineLevel="1" collapsed="false">
      <c r="B1724" s="15" t="n">
        <v>45285</v>
      </c>
      <c r="C1724" s="15" t="n">
        <f aca="false">B1724</f>
        <v>45285</v>
      </c>
      <c r="D1724" s="16" t="s">
        <v>375</v>
      </c>
      <c r="E1724" s="16" t="s">
        <v>157</v>
      </c>
      <c r="F1724" s="16" t="s">
        <v>15</v>
      </c>
      <c r="G1724" s="17" t="n">
        <v>57929000</v>
      </c>
      <c r="H1724" s="17"/>
      <c r="I1724" s="14" t="n">
        <f aca="false">I1723+G1724-H1724</f>
        <v>72507174</v>
      </c>
    </row>
    <row r="1725" customFormat="false" ht="12" hidden="false" customHeight="true" outlineLevel="1" collapsed="false">
      <c r="B1725" s="15" t="n">
        <v>45285</v>
      </c>
      <c r="C1725" s="15" t="n">
        <f aca="false">B1725</f>
        <v>45285</v>
      </c>
      <c r="D1725" s="16" t="s">
        <v>375</v>
      </c>
      <c r="E1725" s="16" t="s">
        <v>157</v>
      </c>
      <c r="F1725" s="16" t="s">
        <v>15</v>
      </c>
      <c r="G1725" s="17" t="n">
        <v>33314000</v>
      </c>
      <c r="H1725" s="17"/>
      <c r="I1725" s="14" t="n">
        <f aca="false">I1724+G1725-H1725</f>
        <v>105821174</v>
      </c>
    </row>
    <row r="1726" customFormat="false" ht="12" hidden="false" customHeight="true" outlineLevel="1" collapsed="false">
      <c r="B1726" s="15" t="n">
        <v>45285</v>
      </c>
      <c r="C1726" s="15" t="n">
        <f aca="false">B1726</f>
        <v>45285</v>
      </c>
      <c r="D1726" s="16" t="s">
        <v>375</v>
      </c>
      <c r="E1726" s="16" t="s">
        <v>157</v>
      </c>
      <c r="F1726" s="16" t="s">
        <v>15</v>
      </c>
      <c r="G1726" s="17" t="n">
        <v>47251000</v>
      </c>
      <c r="H1726" s="17"/>
      <c r="I1726" s="14" t="n">
        <f aca="false">I1725+G1726-H1726</f>
        <v>153072174</v>
      </c>
    </row>
    <row r="1727" customFormat="false" ht="12" hidden="false" customHeight="true" outlineLevel="1" collapsed="false">
      <c r="B1727" s="15" t="n">
        <v>45285</v>
      </c>
      <c r="C1727" s="15" t="n">
        <f aca="false">B1727</f>
        <v>45285</v>
      </c>
      <c r="D1727" s="16" t="s">
        <v>375</v>
      </c>
      <c r="E1727" s="16" t="s">
        <v>157</v>
      </c>
      <c r="F1727" s="16" t="s">
        <v>15</v>
      </c>
      <c r="G1727" s="17" t="n">
        <v>133107000</v>
      </c>
      <c r="H1727" s="17"/>
      <c r="I1727" s="14" t="n">
        <f aca="false">I1726+G1727-H1727</f>
        <v>286179174</v>
      </c>
    </row>
    <row r="1728" customFormat="false" ht="12" hidden="false" customHeight="true" outlineLevel="1" collapsed="false">
      <c r="B1728" s="15" t="n">
        <v>45285</v>
      </c>
      <c r="C1728" s="15" t="n">
        <f aca="false">B1728</f>
        <v>45285</v>
      </c>
      <c r="D1728" s="16" t="s">
        <v>375</v>
      </c>
      <c r="E1728" s="16" t="s">
        <v>157</v>
      </c>
      <c r="F1728" s="16" t="s">
        <v>15</v>
      </c>
      <c r="G1728" s="17" t="n">
        <v>237594000</v>
      </c>
      <c r="H1728" s="17"/>
      <c r="I1728" s="14" t="n">
        <f aca="false">I1727+G1728-H1728</f>
        <v>523773174</v>
      </c>
    </row>
    <row r="1729" customFormat="false" ht="12" hidden="false" customHeight="true" outlineLevel="1" collapsed="false">
      <c r="B1729" s="15" t="n">
        <v>45285</v>
      </c>
      <c r="C1729" s="15" t="n">
        <f aca="false">B1729</f>
        <v>45285</v>
      </c>
      <c r="D1729" s="16" t="s">
        <v>375</v>
      </c>
      <c r="E1729" s="16" t="s">
        <v>157</v>
      </c>
      <c r="F1729" s="16" t="s">
        <v>15</v>
      </c>
      <c r="G1729" s="17" t="n">
        <v>151598000</v>
      </c>
      <c r="H1729" s="17"/>
      <c r="I1729" s="14" t="n">
        <f aca="false">I1728+G1729-H1729</f>
        <v>675371174</v>
      </c>
    </row>
    <row r="1730" customFormat="false" ht="12" hidden="false" customHeight="true" outlineLevel="1" collapsed="false">
      <c r="B1730" s="15" t="n">
        <v>45285</v>
      </c>
      <c r="C1730" s="15" t="n">
        <f aca="false">B1730</f>
        <v>45285</v>
      </c>
      <c r="D1730" s="16" t="s">
        <v>375</v>
      </c>
      <c r="E1730" s="16" t="s">
        <v>157</v>
      </c>
      <c r="F1730" s="16" t="s">
        <v>15</v>
      </c>
      <c r="G1730" s="17" t="n">
        <v>100000000</v>
      </c>
      <c r="H1730" s="17"/>
      <c r="I1730" s="14" t="n">
        <f aca="false">I1729+G1730-H1730</f>
        <v>775371174</v>
      </c>
    </row>
    <row r="1731" customFormat="false" ht="12" hidden="false" customHeight="true" outlineLevel="1" collapsed="false">
      <c r="B1731" s="15" t="n">
        <v>45285</v>
      </c>
      <c r="C1731" s="15" t="n">
        <f aca="false">B1731</f>
        <v>45285</v>
      </c>
      <c r="D1731" s="16" t="s">
        <v>376</v>
      </c>
      <c r="E1731" s="16" t="s">
        <v>454</v>
      </c>
      <c r="F1731" s="16" t="s">
        <v>179</v>
      </c>
      <c r="G1731" s="17"/>
      <c r="H1731" s="17" t="n">
        <v>346247396</v>
      </c>
      <c r="I1731" s="14" t="n">
        <f aca="false">I1730+G1731-H1731</f>
        <v>429123778</v>
      </c>
    </row>
    <row r="1732" customFormat="false" ht="12" hidden="false" customHeight="true" outlineLevel="1" collapsed="false">
      <c r="B1732" s="15" t="n">
        <v>45285</v>
      </c>
      <c r="C1732" s="15" t="n">
        <f aca="false">B1732</f>
        <v>45285</v>
      </c>
      <c r="D1732" s="16" t="s">
        <v>376</v>
      </c>
      <c r="E1732" s="16" t="s">
        <v>23</v>
      </c>
      <c r="F1732" s="16" t="s">
        <v>24</v>
      </c>
      <c r="G1732" s="17"/>
      <c r="H1732" s="17" t="n">
        <v>37632644</v>
      </c>
      <c r="I1732" s="14" t="n">
        <f aca="false">I1731+G1732-H1732</f>
        <v>391491134</v>
      </c>
    </row>
    <row r="1733" customFormat="false" ht="12" hidden="false" customHeight="true" outlineLevel="1" collapsed="false">
      <c r="B1733" s="15" t="n">
        <v>45285</v>
      </c>
      <c r="C1733" s="15" t="n">
        <f aca="false">B1733</f>
        <v>45285</v>
      </c>
      <c r="D1733" s="16" t="s">
        <v>376</v>
      </c>
      <c r="E1733" s="16" t="s">
        <v>23</v>
      </c>
      <c r="F1733" s="16" t="s">
        <v>24</v>
      </c>
      <c r="G1733" s="17"/>
      <c r="H1733" s="17" t="n">
        <v>252505105</v>
      </c>
      <c r="I1733" s="14" t="n">
        <f aca="false">I1732+G1733-H1733</f>
        <v>138986029</v>
      </c>
    </row>
    <row r="1734" customFormat="false" ht="12" hidden="false" customHeight="true" outlineLevel="1" collapsed="false">
      <c r="B1734" s="15" t="n">
        <v>45285</v>
      </c>
      <c r="C1734" s="15" t="n">
        <f aca="false">B1734</f>
        <v>45285</v>
      </c>
      <c r="D1734" s="16" t="s">
        <v>376</v>
      </c>
      <c r="E1734" s="16" t="s">
        <v>23</v>
      </c>
      <c r="F1734" s="16" t="s">
        <v>24</v>
      </c>
      <c r="G1734" s="17"/>
      <c r="H1734" s="17" t="n">
        <v>135000000</v>
      </c>
      <c r="I1734" s="14" t="n">
        <f aca="false">I1733+G1734-H1734</f>
        <v>3986029</v>
      </c>
    </row>
    <row r="1735" customFormat="false" ht="12" hidden="false" customHeight="true" outlineLevel="1" collapsed="false">
      <c r="B1735" s="15" t="n">
        <v>45286</v>
      </c>
      <c r="C1735" s="15" t="n">
        <f aca="false">B1735</f>
        <v>45286</v>
      </c>
      <c r="D1735" s="16" t="s">
        <v>375</v>
      </c>
      <c r="E1735" s="16" t="s">
        <v>157</v>
      </c>
      <c r="F1735" s="16" t="s">
        <v>15</v>
      </c>
      <c r="G1735" s="17" t="n">
        <v>23308000</v>
      </c>
      <c r="H1735" s="17"/>
      <c r="I1735" s="14" t="n">
        <f aca="false">I1734+G1735-H1735</f>
        <v>27294029</v>
      </c>
    </row>
    <row r="1736" customFormat="false" ht="12" hidden="false" customHeight="true" outlineLevel="1" collapsed="false">
      <c r="B1736" s="15" t="n">
        <v>45286</v>
      </c>
      <c r="C1736" s="15" t="n">
        <f aca="false">B1736</f>
        <v>45286</v>
      </c>
      <c r="D1736" s="16" t="s">
        <v>375</v>
      </c>
      <c r="E1736" s="16" t="s">
        <v>157</v>
      </c>
      <c r="F1736" s="16" t="s">
        <v>15</v>
      </c>
      <c r="G1736" s="17" t="n">
        <v>104361000</v>
      </c>
      <c r="H1736" s="17"/>
      <c r="I1736" s="14" t="n">
        <f aca="false">I1735+G1736-H1736</f>
        <v>131655029</v>
      </c>
    </row>
    <row r="1737" customFormat="false" ht="12" hidden="false" customHeight="true" outlineLevel="1" collapsed="false">
      <c r="B1737" s="15" t="n">
        <v>45286</v>
      </c>
      <c r="C1737" s="15" t="n">
        <f aca="false">B1737</f>
        <v>45286</v>
      </c>
      <c r="D1737" s="16" t="s">
        <v>375</v>
      </c>
      <c r="E1737" s="16" t="s">
        <v>157</v>
      </c>
      <c r="F1737" s="16" t="s">
        <v>15</v>
      </c>
      <c r="G1737" s="17" t="n">
        <v>85000000</v>
      </c>
      <c r="H1737" s="17"/>
      <c r="I1737" s="14" t="n">
        <f aca="false">I1736+G1737-H1737</f>
        <v>216655029</v>
      </c>
    </row>
    <row r="1738" customFormat="false" ht="12" hidden="false" customHeight="true" outlineLevel="1" collapsed="false">
      <c r="B1738" s="15" t="n">
        <v>45286</v>
      </c>
      <c r="C1738" s="15" t="n">
        <f aca="false">B1738</f>
        <v>45286</v>
      </c>
      <c r="D1738" s="16" t="s">
        <v>375</v>
      </c>
      <c r="E1738" s="16" t="s">
        <v>157</v>
      </c>
      <c r="F1738" s="16" t="s">
        <v>15</v>
      </c>
      <c r="G1738" s="17" t="n">
        <v>274801000</v>
      </c>
      <c r="H1738" s="17"/>
      <c r="I1738" s="14" t="n">
        <f aca="false">I1737+G1738-H1738</f>
        <v>491456029</v>
      </c>
    </row>
    <row r="1739" customFormat="false" ht="12" hidden="false" customHeight="true" outlineLevel="1" collapsed="false">
      <c r="B1739" s="15" t="n">
        <v>45286</v>
      </c>
      <c r="C1739" s="15" t="n">
        <f aca="false">B1739</f>
        <v>45286</v>
      </c>
      <c r="D1739" s="16" t="s">
        <v>376</v>
      </c>
      <c r="E1739" s="16" t="s">
        <v>454</v>
      </c>
      <c r="F1739" s="16" t="s">
        <v>179</v>
      </c>
      <c r="G1739" s="17"/>
      <c r="H1739" s="17" t="n">
        <v>20565160</v>
      </c>
      <c r="I1739" s="14" t="n">
        <f aca="false">I1738+G1739-H1739</f>
        <v>470890869</v>
      </c>
    </row>
    <row r="1740" customFormat="false" ht="12" hidden="false" customHeight="true" outlineLevel="1" collapsed="false">
      <c r="B1740" s="15" t="n">
        <v>45286</v>
      </c>
      <c r="C1740" s="15" t="n">
        <f aca="false">B1740</f>
        <v>45286</v>
      </c>
      <c r="D1740" s="16" t="s">
        <v>376</v>
      </c>
      <c r="E1740" s="16" t="s">
        <v>23</v>
      </c>
      <c r="F1740" s="16" t="s">
        <v>24</v>
      </c>
      <c r="G1740" s="17"/>
      <c r="H1740" s="17" t="n">
        <v>465000000</v>
      </c>
      <c r="I1740" s="14" t="n">
        <f aca="false">I1739+G1740-H1740</f>
        <v>5890869</v>
      </c>
    </row>
    <row r="1741" customFormat="false" ht="12" hidden="false" customHeight="true" outlineLevel="1" collapsed="false">
      <c r="B1741" s="15" t="n">
        <v>45286</v>
      </c>
      <c r="C1741" s="15" t="n">
        <f aca="false">B1741</f>
        <v>45286</v>
      </c>
      <c r="D1741" s="16" t="s">
        <v>376</v>
      </c>
      <c r="E1741" s="16" t="s">
        <v>447</v>
      </c>
      <c r="F1741" s="16" t="n">
        <v>635</v>
      </c>
      <c r="G1741" s="17"/>
      <c r="H1741" s="17" t="n">
        <v>1129094</v>
      </c>
      <c r="I1741" s="14" t="n">
        <f aca="false">I1740+G1741-H1741</f>
        <v>4761775</v>
      </c>
    </row>
    <row r="1742" customFormat="false" ht="12" hidden="false" customHeight="true" outlineLevel="1" collapsed="false">
      <c r="B1742" s="15" t="n">
        <v>45286</v>
      </c>
      <c r="C1742" s="15" t="n">
        <f aca="false">B1742</f>
        <v>45286</v>
      </c>
      <c r="D1742" s="16" t="s">
        <v>376</v>
      </c>
      <c r="E1742" s="16" t="s">
        <v>447</v>
      </c>
      <c r="F1742" s="16" t="n">
        <v>635</v>
      </c>
      <c r="G1742" s="17"/>
      <c r="H1742" s="17" t="n">
        <v>993664</v>
      </c>
      <c r="I1742" s="14" t="n">
        <f aca="false">I1741+G1742-H1742</f>
        <v>3768111</v>
      </c>
    </row>
    <row r="1743" customFormat="false" ht="12" hidden="false" customHeight="true" outlineLevel="1" collapsed="false">
      <c r="B1743" s="15" t="n">
        <v>45286</v>
      </c>
      <c r="C1743" s="15" t="n">
        <f aca="false">B1743</f>
        <v>45286</v>
      </c>
      <c r="D1743" s="16" t="s">
        <v>376</v>
      </c>
      <c r="E1743" s="16" t="s">
        <v>447</v>
      </c>
      <c r="F1743" s="16" t="n">
        <v>635</v>
      </c>
      <c r="G1743" s="17"/>
      <c r="H1743" s="17" t="n">
        <v>1070875</v>
      </c>
      <c r="I1743" s="14" t="n">
        <f aca="false">I1742+G1743-H1743</f>
        <v>2697236</v>
      </c>
    </row>
    <row r="1744" customFormat="false" ht="12" hidden="false" customHeight="true" outlineLevel="1" collapsed="false">
      <c r="B1744" s="15" t="n">
        <v>45286</v>
      </c>
      <c r="C1744" s="15" t="n">
        <f aca="false">B1744</f>
        <v>45286</v>
      </c>
      <c r="D1744" s="16" t="s">
        <v>376</v>
      </c>
      <c r="E1744" s="16" t="s">
        <v>447</v>
      </c>
      <c r="F1744" s="16" t="n">
        <v>635</v>
      </c>
      <c r="G1744" s="17"/>
      <c r="H1744" s="17" t="n">
        <v>2697236</v>
      </c>
      <c r="I1744" s="14" t="n">
        <f aca="false">I1743+G1744-H1744</f>
        <v>0</v>
      </c>
    </row>
    <row r="1745" customFormat="false" ht="12" hidden="false" customHeight="true" outlineLevel="1" collapsed="false">
      <c r="B1745" s="15" t="n">
        <v>45287</v>
      </c>
      <c r="C1745" s="15" t="n">
        <f aca="false">B1745</f>
        <v>45287</v>
      </c>
      <c r="D1745" s="16" t="s">
        <v>375</v>
      </c>
      <c r="E1745" s="16" t="s">
        <v>157</v>
      </c>
      <c r="F1745" s="16" t="s">
        <v>15</v>
      </c>
      <c r="G1745" s="17" t="n">
        <v>45316000</v>
      </c>
      <c r="H1745" s="17"/>
      <c r="I1745" s="14" t="n">
        <f aca="false">I1744+G1745-H1745</f>
        <v>45316000</v>
      </c>
    </row>
    <row r="1746" customFormat="false" ht="12" hidden="false" customHeight="true" outlineLevel="1" collapsed="false">
      <c r="B1746" s="15" t="n">
        <v>45287</v>
      </c>
      <c r="C1746" s="15" t="n">
        <f aca="false">B1746</f>
        <v>45287</v>
      </c>
      <c r="D1746" s="16" t="s">
        <v>375</v>
      </c>
      <c r="E1746" s="16" t="s">
        <v>157</v>
      </c>
      <c r="F1746" s="16" t="s">
        <v>15</v>
      </c>
      <c r="G1746" s="17" t="n">
        <v>116698000</v>
      </c>
      <c r="H1746" s="17"/>
      <c r="I1746" s="14" t="n">
        <f aca="false">I1745+G1746-H1746</f>
        <v>162014000</v>
      </c>
    </row>
    <row r="1747" customFormat="false" ht="12" hidden="false" customHeight="true" outlineLevel="1" collapsed="false">
      <c r="B1747" s="15" t="n">
        <v>45287</v>
      </c>
      <c r="C1747" s="15" t="n">
        <f aca="false">B1747</f>
        <v>45287</v>
      </c>
      <c r="D1747" s="16" t="s">
        <v>375</v>
      </c>
      <c r="E1747" s="16" t="s">
        <v>157</v>
      </c>
      <c r="F1747" s="16" t="s">
        <v>15</v>
      </c>
      <c r="G1747" s="17" t="n">
        <v>85846000</v>
      </c>
      <c r="H1747" s="17"/>
      <c r="I1747" s="14" t="n">
        <f aca="false">I1746+G1747-H1747</f>
        <v>247860000</v>
      </c>
    </row>
    <row r="1748" customFormat="false" ht="12" hidden="false" customHeight="true" outlineLevel="1" collapsed="false">
      <c r="B1748" s="15" t="n">
        <v>45287</v>
      </c>
      <c r="C1748" s="15" t="n">
        <f aca="false">B1748</f>
        <v>45287</v>
      </c>
      <c r="D1748" s="16" t="s">
        <v>376</v>
      </c>
      <c r="E1748" s="16" t="s">
        <v>447</v>
      </c>
      <c r="F1748" s="16" t="n">
        <v>635</v>
      </c>
      <c r="G1748" s="17"/>
      <c r="H1748" s="17" t="n">
        <v>125000000</v>
      </c>
      <c r="I1748" s="14" t="n">
        <f aca="false">I1747+G1748-H1748</f>
        <v>122860000</v>
      </c>
    </row>
    <row r="1749" customFormat="false" ht="12" hidden="false" customHeight="true" outlineLevel="1" collapsed="false">
      <c r="B1749" s="15" t="n">
        <v>45287</v>
      </c>
      <c r="C1749" s="15" t="n">
        <f aca="false">B1749</f>
        <v>45287</v>
      </c>
      <c r="D1749" s="16" t="s">
        <v>376</v>
      </c>
      <c r="E1749" s="16" t="s">
        <v>447</v>
      </c>
      <c r="F1749" s="16" t="n">
        <v>635</v>
      </c>
      <c r="G1749" s="17"/>
      <c r="H1749" s="17" t="n">
        <v>12392202</v>
      </c>
      <c r="I1749" s="14" t="n">
        <f aca="false">I1748+G1749-H1749</f>
        <v>110467798</v>
      </c>
    </row>
    <row r="1750" customFormat="false" ht="12" hidden="false" customHeight="true" outlineLevel="1" collapsed="false">
      <c r="B1750" s="15" t="n">
        <v>45287</v>
      </c>
      <c r="C1750" s="15" t="n">
        <f aca="false">B1750</f>
        <v>45287</v>
      </c>
      <c r="D1750" s="16" t="s">
        <v>376</v>
      </c>
      <c r="E1750" s="16" t="s">
        <v>447</v>
      </c>
      <c r="F1750" s="16" t="n">
        <v>635</v>
      </c>
      <c r="G1750" s="17"/>
      <c r="H1750" s="17" t="n">
        <v>3766074</v>
      </c>
      <c r="I1750" s="14" t="n">
        <f aca="false">I1749+G1750-H1750</f>
        <v>106701724</v>
      </c>
    </row>
    <row r="1751" customFormat="false" ht="12" hidden="false" customHeight="true" outlineLevel="1" collapsed="false">
      <c r="B1751" s="15" t="n">
        <v>45287</v>
      </c>
      <c r="C1751" s="15" t="n">
        <f aca="false">B1751</f>
        <v>45287</v>
      </c>
      <c r="D1751" s="16" t="s">
        <v>376</v>
      </c>
      <c r="E1751" s="16" t="s">
        <v>447</v>
      </c>
      <c r="F1751" s="16" t="n">
        <v>635</v>
      </c>
      <c r="G1751" s="17"/>
      <c r="H1751" s="17" t="n">
        <v>1549621</v>
      </c>
      <c r="I1751" s="14" t="n">
        <f aca="false">I1750+G1751-H1751</f>
        <v>105152103</v>
      </c>
    </row>
    <row r="1752" customFormat="false" ht="12" hidden="false" customHeight="true" outlineLevel="1" collapsed="false">
      <c r="B1752" s="15" t="n">
        <v>45287</v>
      </c>
      <c r="C1752" s="15" t="n">
        <f aca="false">B1752</f>
        <v>45287</v>
      </c>
      <c r="D1752" s="16" t="s">
        <v>376</v>
      </c>
      <c r="E1752" s="16" t="s">
        <v>447</v>
      </c>
      <c r="F1752" s="16" t="n">
        <v>635</v>
      </c>
      <c r="G1752" s="17"/>
      <c r="H1752" s="17" t="n">
        <v>3065068</v>
      </c>
      <c r="I1752" s="14" t="n">
        <f aca="false">I1751+G1752-H1752</f>
        <v>102087035</v>
      </c>
    </row>
    <row r="1753" customFormat="false" ht="12" hidden="false" customHeight="true" outlineLevel="1" collapsed="false">
      <c r="B1753" s="15" t="n">
        <v>45287</v>
      </c>
      <c r="C1753" s="15" t="n">
        <f aca="false">B1753</f>
        <v>45287</v>
      </c>
      <c r="D1753" s="16" t="s">
        <v>376</v>
      </c>
      <c r="E1753" s="16" t="s">
        <v>447</v>
      </c>
      <c r="F1753" s="16" t="n">
        <v>635</v>
      </c>
      <c r="G1753" s="17"/>
      <c r="H1753" s="17" t="n">
        <v>3648984</v>
      </c>
      <c r="I1753" s="14" t="n">
        <f aca="false">I1752+G1753-H1753</f>
        <v>98438051</v>
      </c>
    </row>
    <row r="1754" customFormat="false" ht="12" hidden="false" customHeight="true" outlineLevel="1" collapsed="false">
      <c r="B1754" s="15" t="n">
        <v>45287</v>
      </c>
      <c r="C1754" s="15" t="n">
        <f aca="false">B1754</f>
        <v>45287</v>
      </c>
      <c r="D1754" s="16" t="s">
        <v>376</v>
      </c>
      <c r="E1754" s="16" t="s">
        <v>447</v>
      </c>
      <c r="F1754" s="16" t="n">
        <v>635</v>
      </c>
      <c r="G1754" s="17"/>
      <c r="H1754" s="17" t="n">
        <v>21977046</v>
      </c>
      <c r="I1754" s="14" t="n">
        <f aca="false">I1753+G1754-H1754</f>
        <v>76461005</v>
      </c>
    </row>
    <row r="1755" customFormat="false" ht="12" hidden="false" customHeight="true" outlineLevel="1" collapsed="false">
      <c r="B1755" s="15" t="n">
        <v>45287</v>
      </c>
      <c r="C1755" s="15" t="n">
        <f aca="false">B1755</f>
        <v>45287</v>
      </c>
      <c r="D1755" s="16" t="s">
        <v>376</v>
      </c>
      <c r="E1755" s="16" t="s">
        <v>447</v>
      </c>
      <c r="F1755" s="16" t="n">
        <v>635</v>
      </c>
      <c r="G1755" s="17"/>
      <c r="H1755" s="17" t="n">
        <v>2029205</v>
      </c>
      <c r="I1755" s="14" t="n">
        <f aca="false">I1754+G1755-H1755</f>
        <v>74431800</v>
      </c>
    </row>
    <row r="1756" customFormat="false" ht="12" hidden="false" customHeight="true" outlineLevel="1" collapsed="false">
      <c r="B1756" s="15" t="n">
        <v>45287</v>
      </c>
      <c r="C1756" s="15" t="n">
        <f aca="false">B1756</f>
        <v>45287</v>
      </c>
      <c r="D1756" s="16" t="s">
        <v>376</v>
      </c>
      <c r="E1756" s="16" t="s">
        <v>447</v>
      </c>
      <c r="F1756" s="16" t="n">
        <v>635</v>
      </c>
      <c r="G1756" s="17"/>
      <c r="H1756" s="17" t="n">
        <v>3549124</v>
      </c>
      <c r="I1756" s="14" t="n">
        <f aca="false">I1755+G1756-H1756</f>
        <v>70882676</v>
      </c>
    </row>
    <row r="1757" customFormat="false" ht="12" hidden="false" customHeight="true" outlineLevel="1" collapsed="false">
      <c r="B1757" s="15" t="n">
        <v>45287</v>
      </c>
      <c r="C1757" s="15" t="n">
        <f aca="false">B1757</f>
        <v>45287</v>
      </c>
      <c r="D1757" s="16" t="s">
        <v>376</v>
      </c>
      <c r="E1757" s="16" t="s">
        <v>447</v>
      </c>
      <c r="F1757" s="16" t="n">
        <v>635</v>
      </c>
      <c r="G1757" s="17"/>
      <c r="H1757" s="17" t="n">
        <v>2209195</v>
      </c>
      <c r="I1757" s="14" t="n">
        <f aca="false">I1756+G1757-H1757</f>
        <v>68673481</v>
      </c>
    </row>
    <row r="1758" customFormat="false" ht="12" hidden="false" customHeight="true" outlineLevel="1" collapsed="false">
      <c r="B1758" s="15" t="n">
        <v>45287</v>
      </c>
      <c r="C1758" s="15" t="n">
        <f aca="false">B1758</f>
        <v>45287</v>
      </c>
      <c r="D1758" s="16" t="s">
        <v>376</v>
      </c>
      <c r="E1758" s="16" t="s">
        <v>447</v>
      </c>
      <c r="F1758" s="16" t="n">
        <v>635</v>
      </c>
      <c r="G1758" s="17"/>
      <c r="H1758" s="17" t="n">
        <v>1471271</v>
      </c>
      <c r="I1758" s="14" t="n">
        <f aca="false">I1757+G1758-H1758</f>
        <v>67202210</v>
      </c>
    </row>
    <row r="1759" customFormat="false" ht="12" hidden="false" customHeight="true" outlineLevel="1" collapsed="false">
      <c r="B1759" s="15" t="n">
        <v>45287</v>
      </c>
      <c r="C1759" s="15" t="n">
        <f aca="false">B1759</f>
        <v>45287</v>
      </c>
      <c r="D1759" s="16" t="s">
        <v>376</v>
      </c>
      <c r="E1759" s="16" t="s">
        <v>447</v>
      </c>
      <c r="F1759" s="16" t="n">
        <v>635</v>
      </c>
      <c r="G1759" s="17"/>
      <c r="H1759" s="17" t="n">
        <v>2415150</v>
      </c>
      <c r="I1759" s="14" t="n">
        <f aca="false">I1758+G1759-H1759</f>
        <v>64787060</v>
      </c>
    </row>
    <row r="1760" customFormat="false" ht="12" hidden="false" customHeight="true" outlineLevel="1" collapsed="false">
      <c r="B1760" s="15" t="n">
        <v>45287</v>
      </c>
      <c r="C1760" s="15" t="n">
        <f aca="false">B1760</f>
        <v>45287</v>
      </c>
      <c r="D1760" s="16" t="s">
        <v>376</v>
      </c>
      <c r="E1760" s="16" t="s">
        <v>447</v>
      </c>
      <c r="F1760" s="16" t="n">
        <v>635</v>
      </c>
      <c r="G1760" s="17"/>
      <c r="H1760" s="17" t="n">
        <v>3910773</v>
      </c>
      <c r="I1760" s="14" t="n">
        <f aca="false">I1759+G1760-H1760</f>
        <v>60876287</v>
      </c>
    </row>
    <row r="1761" customFormat="false" ht="12" hidden="false" customHeight="true" outlineLevel="1" collapsed="false">
      <c r="B1761" s="15" t="n">
        <v>45287</v>
      </c>
      <c r="C1761" s="15" t="n">
        <f aca="false">B1761</f>
        <v>45287</v>
      </c>
      <c r="D1761" s="16" t="s">
        <v>376</v>
      </c>
      <c r="E1761" s="16" t="s">
        <v>447</v>
      </c>
      <c r="F1761" s="16" t="n">
        <v>635</v>
      </c>
      <c r="G1761" s="17"/>
      <c r="H1761" s="17" t="n">
        <v>2442676</v>
      </c>
      <c r="I1761" s="14" t="n">
        <f aca="false">I1760+G1761-H1761</f>
        <v>58433611</v>
      </c>
    </row>
    <row r="1762" customFormat="false" ht="12" hidden="false" customHeight="true" outlineLevel="1" collapsed="false">
      <c r="B1762" s="15" t="n">
        <v>45287</v>
      </c>
      <c r="C1762" s="15" t="n">
        <f aca="false">B1762</f>
        <v>45287</v>
      </c>
      <c r="D1762" s="16" t="s">
        <v>376</v>
      </c>
      <c r="E1762" s="16" t="s">
        <v>447</v>
      </c>
      <c r="F1762" s="16" t="n">
        <v>635</v>
      </c>
      <c r="G1762" s="17"/>
      <c r="H1762" s="17" t="n">
        <v>1894214</v>
      </c>
      <c r="I1762" s="14" t="n">
        <f aca="false">I1761+G1762-H1762</f>
        <v>56539397</v>
      </c>
    </row>
    <row r="1763" customFormat="false" ht="12" hidden="false" customHeight="true" outlineLevel="1" collapsed="false">
      <c r="B1763" s="15" t="n">
        <v>45287</v>
      </c>
      <c r="C1763" s="15" t="n">
        <f aca="false">B1763</f>
        <v>45287</v>
      </c>
      <c r="D1763" s="16" t="s">
        <v>376</v>
      </c>
      <c r="E1763" s="16" t="s">
        <v>447</v>
      </c>
      <c r="F1763" s="16" t="n">
        <v>635</v>
      </c>
      <c r="G1763" s="17"/>
      <c r="H1763" s="17" t="n">
        <v>2655693</v>
      </c>
      <c r="I1763" s="14" t="n">
        <f aca="false">I1762+G1763-H1763</f>
        <v>53883704</v>
      </c>
    </row>
    <row r="1764" customFormat="false" ht="12" hidden="false" customHeight="true" outlineLevel="1" collapsed="false">
      <c r="B1764" s="15" t="n">
        <v>45287</v>
      </c>
      <c r="C1764" s="15" t="n">
        <f aca="false">B1764</f>
        <v>45287</v>
      </c>
      <c r="D1764" s="16" t="s">
        <v>376</v>
      </c>
      <c r="E1764" s="16" t="s">
        <v>447</v>
      </c>
      <c r="F1764" s="16" t="n">
        <v>635</v>
      </c>
      <c r="G1764" s="17"/>
      <c r="H1764" s="17" t="n">
        <v>1498174</v>
      </c>
      <c r="I1764" s="14" t="n">
        <f aca="false">I1763+G1764-H1764</f>
        <v>52385530</v>
      </c>
    </row>
    <row r="1765" customFormat="false" ht="12" hidden="false" customHeight="true" outlineLevel="1" collapsed="false">
      <c r="B1765" s="15" t="n">
        <v>45287</v>
      </c>
      <c r="C1765" s="15" t="n">
        <f aca="false">B1765</f>
        <v>45287</v>
      </c>
      <c r="D1765" s="16" t="s">
        <v>376</v>
      </c>
      <c r="E1765" s="16" t="s">
        <v>447</v>
      </c>
      <c r="F1765" s="16" t="n">
        <v>635</v>
      </c>
      <c r="G1765" s="17"/>
      <c r="H1765" s="17" t="n">
        <v>810209</v>
      </c>
      <c r="I1765" s="14" t="n">
        <f aca="false">I1764+G1765-H1765</f>
        <v>51575321</v>
      </c>
    </row>
    <row r="1766" customFormat="false" ht="12" hidden="false" customHeight="true" outlineLevel="1" collapsed="false">
      <c r="B1766" s="15" t="n">
        <v>45287</v>
      </c>
      <c r="C1766" s="15" t="n">
        <f aca="false">B1766</f>
        <v>45287</v>
      </c>
      <c r="D1766" s="16" t="s">
        <v>376</v>
      </c>
      <c r="E1766" s="16" t="s">
        <v>447</v>
      </c>
      <c r="F1766" s="16" t="n">
        <v>635</v>
      </c>
      <c r="G1766" s="17"/>
      <c r="H1766" s="17" t="n">
        <v>1770824</v>
      </c>
      <c r="I1766" s="14" t="n">
        <f aca="false">I1765+G1766-H1766</f>
        <v>49804497</v>
      </c>
    </row>
    <row r="1767" customFormat="false" ht="12" hidden="false" customHeight="true" outlineLevel="1" collapsed="false">
      <c r="B1767" s="15" t="n">
        <v>45287</v>
      </c>
      <c r="C1767" s="15" t="n">
        <f aca="false">B1767</f>
        <v>45287</v>
      </c>
      <c r="D1767" s="16" t="s">
        <v>376</v>
      </c>
      <c r="E1767" s="16" t="s">
        <v>447</v>
      </c>
      <c r="F1767" s="16" t="n">
        <v>635</v>
      </c>
      <c r="G1767" s="17"/>
      <c r="H1767" s="17" t="n">
        <v>17039088</v>
      </c>
      <c r="I1767" s="14" t="n">
        <f aca="false">I1766+G1767-H1767</f>
        <v>32765409</v>
      </c>
    </row>
    <row r="1768" customFormat="false" ht="12" hidden="false" customHeight="true" outlineLevel="1" collapsed="false">
      <c r="B1768" s="15" t="n">
        <v>45287</v>
      </c>
      <c r="C1768" s="15" t="n">
        <f aca="false">B1768</f>
        <v>45287</v>
      </c>
      <c r="D1768" s="16" t="s">
        <v>376</v>
      </c>
      <c r="E1768" s="16" t="s">
        <v>447</v>
      </c>
      <c r="F1768" s="16" t="n">
        <v>635</v>
      </c>
      <c r="G1768" s="17"/>
      <c r="H1768" s="17" t="n">
        <v>1974881</v>
      </c>
      <c r="I1768" s="14" t="n">
        <f aca="false">I1767+G1768-H1768</f>
        <v>30790528</v>
      </c>
    </row>
    <row r="1769" customFormat="false" ht="12" hidden="false" customHeight="true" outlineLevel="1" collapsed="false">
      <c r="B1769" s="15" t="n">
        <v>45287</v>
      </c>
      <c r="C1769" s="15" t="n">
        <f aca="false">B1769</f>
        <v>45287</v>
      </c>
      <c r="D1769" s="16" t="s">
        <v>376</v>
      </c>
      <c r="E1769" s="16" t="s">
        <v>447</v>
      </c>
      <c r="F1769" s="16" t="n">
        <v>635</v>
      </c>
      <c r="G1769" s="17"/>
      <c r="H1769" s="17" t="n">
        <v>1729911</v>
      </c>
      <c r="I1769" s="14" t="n">
        <f aca="false">I1768+G1769-H1769</f>
        <v>29060617</v>
      </c>
    </row>
    <row r="1770" customFormat="false" ht="12" hidden="false" customHeight="true" outlineLevel="1" collapsed="false">
      <c r="B1770" s="15" t="n">
        <v>45287</v>
      </c>
      <c r="C1770" s="15" t="n">
        <f aca="false">B1770</f>
        <v>45287</v>
      </c>
      <c r="D1770" s="16" t="s">
        <v>376</v>
      </c>
      <c r="E1770" s="16" t="s">
        <v>447</v>
      </c>
      <c r="F1770" s="16" t="n">
        <v>635</v>
      </c>
      <c r="G1770" s="17"/>
      <c r="H1770" s="17" t="n">
        <v>2182021</v>
      </c>
      <c r="I1770" s="14" t="n">
        <f aca="false">I1769+G1770-H1770</f>
        <v>26878596</v>
      </c>
    </row>
    <row r="1771" customFormat="false" ht="12" hidden="false" customHeight="true" outlineLevel="1" collapsed="false">
      <c r="B1771" s="15" t="n">
        <v>45287</v>
      </c>
      <c r="C1771" s="15" t="n">
        <f aca="false">B1771</f>
        <v>45287</v>
      </c>
      <c r="D1771" s="16" t="s">
        <v>376</v>
      </c>
      <c r="E1771" s="16" t="s">
        <v>447</v>
      </c>
      <c r="F1771" s="16" t="n">
        <v>635</v>
      </c>
      <c r="G1771" s="17"/>
      <c r="H1771" s="17" t="n">
        <v>1700470</v>
      </c>
      <c r="I1771" s="14" t="n">
        <f aca="false">I1770+G1771-H1771</f>
        <v>25178126</v>
      </c>
    </row>
    <row r="1772" customFormat="false" ht="12" hidden="false" customHeight="true" outlineLevel="1" collapsed="false">
      <c r="B1772" s="15" t="n">
        <v>45287</v>
      </c>
      <c r="C1772" s="15" t="n">
        <f aca="false">B1772</f>
        <v>45287</v>
      </c>
      <c r="D1772" s="16" t="s">
        <v>376</v>
      </c>
      <c r="E1772" s="16" t="s">
        <v>447</v>
      </c>
      <c r="F1772" s="16" t="n">
        <v>635</v>
      </c>
      <c r="G1772" s="17"/>
      <c r="H1772" s="17" t="n">
        <v>4013934</v>
      </c>
      <c r="I1772" s="14" t="n">
        <f aca="false">I1771+G1772-H1772</f>
        <v>21164192</v>
      </c>
    </row>
    <row r="1773" customFormat="false" ht="12" hidden="false" customHeight="true" outlineLevel="1" collapsed="false">
      <c r="B1773" s="15" t="n">
        <v>45287</v>
      </c>
      <c r="C1773" s="15" t="n">
        <f aca="false">B1773</f>
        <v>45287</v>
      </c>
      <c r="D1773" s="16" t="s">
        <v>376</v>
      </c>
      <c r="E1773" s="16" t="s">
        <v>447</v>
      </c>
      <c r="F1773" s="16" t="n">
        <v>635</v>
      </c>
      <c r="G1773" s="17"/>
      <c r="H1773" s="17" t="n">
        <v>1758305</v>
      </c>
      <c r="I1773" s="14" t="n">
        <f aca="false">I1772+G1773-H1773</f>
        <v>19405887</v>
      </c>
    </row>
    <row r="1774" customFormat="false" ht="12" hidden="false" customHeight="true" outlineLevel="1" collapsed="false">
      <c r="B1774" s="15" t="n">
        <v>45287</v>
      </c>
      <c r="C1774" s="15" t="n">
        <f aca="false">B1774</f>
        <v>45287</v>
      </c>
      <c r="D1774" s="16" t="s">
        <v>376</v>
      </c>
      <c r="E1774" s="16" t="s">
        <v>447</v>
      </c>
      <c r="F1774" s="16" t="n">
        <v>635</v>
      </c>
      <c r="G1774" s="17"/>
      <c r="H1774" s="17" t="n">
        <v>1457165</v>
      </c>
      <c r="I1774" s="14" t="n">
        <f aca="false">I1773+G1774-H1774</f>
        <v>17948722</v>
      </c>
    </row>
    <row r="1775" customFormat="false" ht="12" hidden="false" customHeight="true" outlineLevel="1" collapsed="false">
      <c r="B1775" s="15" t="n">
        <v>45287</v>
      </c>
      <c r="C1775" s="15" t="n">
        <f aca="false">B1775</f>
        <v>45287</v>
      </c>
      <c r="D1775" s="16" t="s">
        <v>376</v>
      </c>
      <c r="E1775" s="16" t="s">
        <v>447</v>
      </c>
      <c r="F1775" s="16" t="n">
        <v>635</v>
      </c>
      <c r="G1775" s="17"/>
      <c r="H1775" s="17" t="n">
        <v>986358</v>
      </c>
      <c r="I1775" s="14" t="n">
        <f aca="false">I1774+G1775-H1775</f>
        <v>16962364</v>
      </c>
    </row>
    <row r="1776" customFormat="false" ht="12" hidden="false" customHeight="true" outlineLevel="1" collapsed="false">
      <c r="B1776" s="15" t="n">
        <v>45287</v>
      </c>
      <c r="C1776" s="15" t="n">
        <f aca="false">B1776</f>
        <v>45287</v>
      </c>
      <c r="D1776" s="16" t="s">
        <v>376</v>
      </c>
      <c r="E1776" s="16" t="s">
        <v>447</v>
      </c>
      <c r="F1776" s="16" t="n">
        <v>635</v>
      </c>
      <c r="G1776" s="17"/>
      <c r="H1776" s="17" t="n">
        <v>3943661</v>
      </c>
      <c r="I1776" s="14" t="n">
        <f aca="false">I1775+G1776-H1776</f>
        <v>13018703</v>
      </c>
    </row>
    <row r="1777" customFormat="false" ht="12" hidden="false" customHeight="true" outlineLevel="1" collapsed="false">
      <c r="B1777" s="15" t="n">
        <v>45287</v>
      </c>
      <c r="C1777" s="15" t="n">
        <f aca="false">B1777</f>
        <v>45287</v>
      </c>
      <c r="D1777" s="16" t="s">
        <v>376</v>
      </c>
      <c r="E1777" s="16" t="s">
        <v>447</v>
      </c>
      <c r="F1777" s="16" t="n">
        <v>635</v>
      </c>
      <c r="G1777" s="17"/>
      <c r="H1777" s="17" t="n">
        <v>1398091</v>
      </c>
      <c r="I1777" s="14" t="n">
        <f aca="false">I1776+G1777-H1777</f>
        <v>11620612</v>
      </c>
    </row>
    <row r="1778" customFormat="false" ht="12" hidden="false" customHeight="true" outlineLevel="1" collapsed="false">
      <c r="B1778" s="15" t="n">
        <v>45287</v>
      </c>
      <c r="C1778" s="15" t="n">
        <f aca="false">B1778</f>
        <v>45287</v>
      </c>
      <c r="D1778" s="16" t="s">
        <v>376</v>
      </c>
      <c r="E1778" s="16" t="s">
        <v>447</v>
      </c>
      <c r="F1778" s="16" t="n">
        <v>635</v>
      </c>
      <c r="G1778" s="17"/>
      <c r="H1778" s="17" t="n">
        <v>2974614</v>
      </c>
      <c r="I1778" s="14" t="n">
        <f aca="false">I1777+G1778-H1778</f>
        <v>8645998</v>
      </c>
    </row>
    <row r="1779" customFormat="false" ht="12" hidden="false" customHeight="true" outlineLevel="1" collapsed="false">
      <c r="B1779" s="15" t="n">
        <v>45287</v>
      </c>
      <c r="C1779" s="15" t="n">
        <f aca="false">B1779</f>
        <v>45287</v>
      </c>
      <c r="D1779" s="16" t="s">
        <v>376</v>
      </c>
      <c r="E1779" s="16" t="s">
        <v>447</v>
      </c>
      <c r="F1779" s="16" t="n">
        <v>635</v>
      </c>
      <c r="G1779" s="17"/>
      <c r="H1779" s="17" t="n">
        <v>2863982</v>
      </c>
      <c r="I1779" s="14" t="n">
        <f aca="false">I1778+G1779-H1779</f>
        <v>5782016</v>
      </c>
    </row>
    <row r="1780" customFormat="false" ht="12" hidden="false" customHeight="true" outlineLevel="1" collapsed="false">
      <c r="B1780" s="15" t="n">
        <v>45287</v>
      </c>
      <c r="C1780" s="15" t="n">
        <f aca="false">B1780</f>
        <v>45287</v>
      </c>
      <c r="D1780" s="16" t="s">
        <v>376</v>
      </c>
      <c r="E1780" s="16" t="s">
        <v>447</v>
      </c>
      <c r="F1780" s="16" t="n">
        <v>635</v>
      </c>
      <c r="G1780" s="17"/>
      <c r="H1780" s="17" t="n">
        <v>2160472</v>
      </c>
      <c r="I1780" s="14" t="n">
        <f aca="false">I1779+G1780-H1780</f>
        <v>3621544</v>
      </c>
    </row>
    <row r="1781" customFormat="false" ht="12" hidden="false" customHeight="true" outlineLevel="1" collapsed="false">
      <c r="B1781" s="15" t="n">
        <v>45287</v>
      </c>
      <c r="C1781" s="15" t="n">
        <f aca="false">B1781</f>
        <v>45287</v>
      </c>
      <c r="D1781" s="16" t="s">
        <v>376</v>
      </c>
      <c r="E1781" s="16" t="s">
        <v>447</v>
      </c>
      <c r="F1781" s="16" t="n">
        <v>635</v>
      </c>
      <c r="G1781" s="17"/>
      <c r="H1781" s="17" t="n">
        <v>1450401</v>
      </c>
      <c r="I1781" s="14" t="n">
        <f aca="false">I1780+G1781-H1781</f>
        <v>2171143</v>
      </c>
    </row>
    <row r="1782" customFormat="false" ht="12" hidden="false" customHeight="true" outlineLevel="1" collapsed="false">
      <c r="B1782" s="15" t="n">
        <v>45287</v>
      </c>
      <c r="C1782" s="15" t="n">
        <f aca="false">B1782</f>
        <v>45287</v>
      </c>
      <c r="D1782" s="16" t="s">
        <v>376</v>
      </c>
      <c r="E1782" s="16" t="s">
        <v>447</v>
      </c>
      <c r="F1782" s="16" t="n">
        <v>635</v>
      </c>
      <c r="G1782" s="17"/>
      <c r="H1782" s="17" t="n">
        <v>874478</v>
      </c>
      <c r="I1782" s="14" t="n">
        <f aca="false">I1781+G1782-H1782</f>
        <v>1296665</v>
      </c>
    </row>
    <row r="1783" customFormat="false" ht="12" hidden="false" customHeight="true" outlineLevel="1" collapsed="false">
      <c r="B1783" s="15" t="n">
        <v>45287</v>
      </c>
      <c r="C1783" s="15" t="n">
        <f aca="false">B1783</f>
        <v>45287</v>
      </c>
      <c r="D1783" s="16" t="s">
        <v>376</v>
      </c>
      <c r="E1783" s="16" t="s">
        <v>447</v>
      </c>
      <c r="F1783" s="16" t="n">
        <v>635</v>
      </c>
      <c r="G1783" s="17"/>
      <c r="H1783" s="17" t="n">
        <v>607074</v>
      </c>
      <c r="I1783" s="14" t="n">
        <f aca="false">I1782+G1783-H1783</f>
        <v>689591</v>
      </c>
    </row>
    <row r="1784" customFormat="false" ht="12" hidden="false" customHeight="true" outlineLevel="1" collapsed="false">
      <c r="B1784" s="15" t="n">
        <v>45287</v>
      </c>
      <c r="C1784" s="15" t="n">
        <f aca="false">B1784</f>
        <v>45287</v>
      </c>
      <c r="D1784" s="16" t="s">
        <v>376</v>
      </c>
      <c r="E1784" s="16" t="s">
        <v>447</v>
      </c>
      <c r="F1784" s="16" t="n">
        <v>635</v>
      </c>
      <c r="G1784" s="17"/>
      <c r="H1784" s="17" t="n">
        <v>345560</v>
      </c>
      <c r="I1784" s="14" t="n">
        <f aca="false">I1783+G1784-H1784</f>
        <v>344031</v>
      </c>
    </row>
    <row r="1785" customFormat="false" ht="12" hidden="false" customHeight="true" outlineLevel="1" collapsed="false">
      <c r="B1785" s="15" t="n">
        <v>45288</v>
      </c>
      <c r="C1785" s="15" t="n">
        <f aca="false">B1785</f>
        <v>45288</v>
      </c>
      <c r="D1785" s="16" t="s">
        <v>376</v>
      </c>
      <c r="E1785" s="16" t="s">
        <v>447</v>
      </c>
      <c r="F1785" s="16" t="n">
        <v>635</v>
      </c>
      <c r="G1785" s="17"/>
      <c r="H1785" s="17" t="n">
        <v>11000</v>
      </c>
      <c r="I1785" s="14" t="n">
        <f aca="false">I1784+G1785-H1785</f>
        <v>333031</v>
      </c>
    </row>
    <row r="1786" customFormat="false" ht="12" hidden="false" customHeight="true" outlineLevel="1" collapsed="false">
      <c r="B1786" s="15" t="n">
        <v>45289</v>
      </c>
      <c r="C1786" s="15" t="n">
        <f aca="false">B1786</f>
        <v>45289</v>
      </c>
      <c r="D1786" s="16" t="s">
        <v>375</v>
      </c>
      <c r="E1786" s="16" t="s">
        <v>157</v>
      </c>
      <c r="F1786" s="16" t="s">
        <v>15</v>
      </c>
      <c r="G1786" s="17" t="n">
        <v>21698000</v>
      </c>
      <c r="H1786" s="17"/>
      <c r="I1786" s="14" t="n">
        <f aca="false">I1785+G1786-H1786</f>
        <v>22031031</v>
      </c>
    </row>
    <row r="1787" customFormat="false" ht="12" hidden="false" customHeight="true" outlineLevel="1" collapsed="false">
      <c r="B1787" s="15" t="n">
        <v>45289</v>
      </c>
      <c r="C1787" s="15" t="n">
        <f aca="false">B1787</f>
        <v>45289</v>
      </c>
      <c r="D1787" s="16" t="s">
        <v>375</v>
      </c>
      <c r="E1787" s="16" t="s">
        <v>157</v>
      </c>
      <c r="F1787" s="16" t="s">
        <v>15</v>
      </c>
      <c r="G1787" s="17" t="n">
        <v>256993000</v>
      </c>
      <c r="H1787" s="17"/>
      <c r="I1787" s="14" t="n">
        <f aca="false">I1786+G1787-H1787</f>
        <v>279024031</v>
      </c>
    </row>
    <row r="1788" customFormat="false" ht="12" hidden="false" customHeight="true" outlineLevel="1" collapsed="false">
      <c r="B1788" s="15" t="n">
        <v>45289</v>
      </c>
      <c r="C1788" s="15" t="n">
        <f aca="false">B1788</f>
        <v>45289</v>
      </c>
      <c r="D1788" s="16" t="s">
        <v>375</v>
      </c>
      <c r="E1788" s="16" t="s">
        <v>157</v>
      </c>
      <c r="F1788" s="16" t="s">
        <v>15</v>
      </c>
      <c r="G1788" s="17" t="n">
        <v>42782000</v>
      </c>
      <c r="H1788" s="17"/>
      <c r="I1788" s="14" t="n">
        <f aca="false">I1787+G1788-H1788</f>
        <v>321806031</v>
      </c>
    </row>
    <row r="1789" customFormat="false" ht="12" hidden="false" customHeight="true" outlineLevel="1" collapsed="false">
      <c r="B1789" s="15" t="n">
        <v>45289</v>
      </c>
      <c r="C1789" s="15" t="n">
        <f aca="false">B1789</f>
        <v>45289</v>
      </c>
      <c r="D1789" s="16" t="s">
        <v>375</v>
      </c>
      <c r="E1789" s="16" t="s">
        <v>157</v>
      </c>
      <c r="F1789" s="16" t="s">
        <v>15</v>
      </c>
      <c r="G1789" s="17" t="n">
        <v>62000000</v>
      </c>
      <c r="H1789" s="17"/>
      <c r="I1789" s="14" t="n">
        <f aca="false">I1788+G1789-H1789</f>
        <v>383806031</v>
      </c>
    </row>
    <row r="1790" customFormat="false" ht="12" hidden="false" customHeight="true" outlineLevel="1" collapsed="false">
      <c r="B1790" s="15" t="n">
        <v>45289</v>
      </c>
      <c r="C1790" s="15" t="n">
        <f aca="false">B1790</f>
        <v>45289</v>
      </c>
      <c r="D1790" s="16" t="s">
        <v>376</v>
      </c>
      <c r="E1790" s="16" t="s">
        <v>36</v>
      </c>
      <c r="F1790" s="16" t="n">
        <v>635</v>
      </c>
      <c r="G1790" s="17"/>
      <c r="H1790" s="17" t="n">
        <v>11000</v>
      </c>
      <c r="I1790" s="14" t="n">
        <f aca="false">I1789+G1790-H1790</f>
        <v>383795031</v>
      </c>
    </row>
    <row r="1791" customFormat="false" ht="12" hidden="false" customHeight="true" outlineLevel="1" collapsed="false">
      <c r="B1791" s="15" t="n">
        <v>45290</v>
      </c>
      <c r="C1791" s="15" t="n">
        <f aca="false">B1791</f>
        <v>45290</v>
      </c>
      <c r="D1791" s="16" t="s">
        <v>376</v>
      </c>
      <c r="E1791" s="16" t="s">
        <v>23</v>
      </c>
      <c r="F1791" s="16" t="s">
        <v>24</v>
      </c>
      <c r="G1791" s="17"/>
      <c r="H1791" s="17" t="n">
        <v>186224575</v>
      </c>
      <c r="I1791" s="14" t="n">
        <f aca="false">I1790+G1791-H1791</f>
        <v>197570456</v>
      </c>
    </row>
    <row r="1792" customFormat="false" ht="12" hidden="false" customHeight="true" outlineLevel="1" collapsed="false">
      <c r="B1792" s="15" t="n">
        <v>44925</v>
      </c>
      <c r="C1792" s="15" t="n">
        <f aca="false">B1792</f>
        <v>44925</v>
      </c>
      <c r="D1792" s="16" t="s">
        <v>376</v>
      </c>
      <c r="E1792" s="16" t="s">
        <v>23</v>
      </c>
      <c r="F1792" s="16" t="s">
        <v>24</v>
      </c>
      <c r="G1792" s="17"/>
      <c r="H1792" s="17" t="n">
        <v>195000000</v>
      </c>
      <c r="I1792" s="14" t="n">
        <f aca="false">I1791+G1792-H1792</f>
        <v>2570456</v>
      </c>
    </row>
    <row r="1793" customFormat="false" ht="12" hidden="false" customHeight="true" outlineLevel="1" collapsed="false">
      <c r="B1793" s="15" t="n">
        <v>45291</v>
      </c>
      <c r="C1793" s="15" t="n">
        <f aca="false">B1793</f>
        <v>45291</v>
      </c>
      <c r="D1793" s="16" t="s">
        <v>375</v>
      </c>
      <c r="E1793" s="16" t="s">
        <v>453</v>
      </c>
      <c r="F1793" s="16" t="s">
        <v>465</v>
      </c>
      <c r="G1793" s="17" t="n">
        <v>8904</v>
      </c>
      <c r="H1793" s="17"/>
      <c r="I1793" s="14" t="n">
        <f aca="false">I1792+G1793-H1793</f>
        <v>2579360</v>
      </c>
      <c r="K1793" s="26"/>
    </row>
    <row r="1794" customFormat="false" ht="12" hidden="false" customHeight="true" outlineLevel="0" collapsed="false">
      <c r="B1794" s="27" t="n">
        <v>44929.8023726852</v>
      </c>
      <c r="C1794" s="27" t="n">
        <v>44929.8023726852</v>
      </c>
      <c r="D1794" s="28" t="s">
        <v>466</v>
      </c>
      <c r="E1794" s="29" t="s">
        <v>467</v>
      </c>
      <c r="F1794" s="29" t="n">
        <v>3411</v>
      </c>
      <c r="G1794" s="30" t="n">
        <v>844026851</v>
      </c>
      <c r="H1794" s="31"/>
      <c r="I1794" s="14" t="n">
        <f aca="false">I1793+G1794-H1794</f>
        <v>846606211</v>
      </c>
    </row>
    <row r="1795" customFormat="false" ht="12" hidden="false" customHeight="true" outlineLevel="0" collapsed="false">
      <c r="B1795" s="27" t="n">
        <v>44931.4687152778</v>
      </c>
      <c r="C1795" s="27" t="n">
        <v>44931.4687152778</v>
      </c>
      <c r="D1795" s="28" t="s">
        <v>468</v>
      </c>
      <c r="E1795" s="29" t="s">
        <v>469</v>
      </c>
      <c r="F1795" s="29" t="n">
        <v>331</v>
      </c>
      <c r="G1795" s="30"/>
      <c r="H1795" s="32" t="n">
        <v>844026851</v>
      </c>
      <c r="I1795" s="14" t="n">
        <f aca="false">I1794+G1795-H1795</f>
        <v>2579360</v>
      </c>
    </row>
    <row r="1796" customFormat="false" ht="12" hidden="false" customHeight="true" outlineLevel="0" collapsed="false">
      <c r="B1796" s="27" t="n">
        <v>44931.4687152778</v>
      </c>
      <c r="C1796" s="27" t="n">
        <v>44931.4687152778</v>
      </c>
      <c r="D1796" s="28" t="s">
        <v>470</v>
      </c>
      <c r="E1796" s="29" t="s">
        <v>467</v>
      </c>
      <c r="F1796" s="29" t="n">
        <v>3411</v>
      </c>
      <c r="G1796" s="30" t="n">
        <v>622867500</v>
      </c>
      <c r="H1796" s="32"/>
      <c r="I1796" s="14" t="n">
        <f aca="false">I1795+G1796-H1796</f>
        <v>625446860</v>
      </c>
    </row>
    <row r="1797" customFormat="false" ht="12" hidden="false" customHeight="true" outlineLevel="0" collapsed="false">
      <c r="B1797" s="27" t="n">
        <v>44935.8802430556</v>
      </c>
      <c r="C1797" s="27" t="n">
        <v>44935.8802430556</v>
      </c>
      <c r="D1797" s="28" t="s">
        <v>471</v>
      </c>
      <c r="E1797" s="29" t="s">
        <v>472</v>
      </c>
      <c r="F1797" s="29" t="n">
        <v>331</v>
      </c>
      <c r="G1797" s="30"/>
      <c r="H1797" s="32" t="n">
        <v>622867500</v>
      </c>
      <c r="I1797" s="14" t="n">
        <f aca="false">I1796+G1797-H1797</f>
        <v>2579360</v>
      </c>
    </row>
    <row r="1798" customFormat="false" ht="12" hidden="false" customHeight="true" outlineLevel="0" collapsed="false">
      <c r="B1798" s="27" t="n">
        <v>44936.8127199074</v>
      </c>
      <c r="C1798" s="27" t="n">
        <v>44936.8127199074</v>
      </c>
      <c r="D1798" s="28" t="s">
        <v>473</v>
      </c>
      <c r="E1798" s="29" t="s">
        <v>467</v>
      </c>
      <c r="F1798" s="29" t="n">
        <v>3411</v>
      </c>
      <c r="G1798" s="30" t="n">
        <v>1047059026</v>
      </c>
      <c r="H1798" s="31"/>
      <c r="I1798" s="14" t="n">
        <f aca="false">I1797+G1798-H1798</f>
        <v>1049638386</v>
      </c>
    </row>
    <row r="1799" customFormat="false" ht="12" hidden="false" customHeight="true" outlineLevel="0" collapsed="false">
      <c r="B1799" s="27" t="n">
        <v>44937.2877199074</v>
      </c>
      <c r="C1799" s="27" t="n">
        <v>44937.2877199074</v>
      </c>
      <c r="D1799" s="28" t="s">
        <v>474</v>
      </c>
      <c r="E1799" s="29" t="s">
        <v>475</v>
      </c>
      <c r="F1799" s="29" t="n">
        <v>331</v>
      </c>
      <c r="G1799" s="30"/>
      <c r="H1799" s="32" t="n">
        <v>1047059026</v>
      </c>
      <c r="I1799" s="14" t="n">
        <f aca="false">I1798+G1799-H1799</f>
        <v>2579360</v>
      </c>
    </row>
    <row r="1800" customFormat="false" ht="12" hidden="false" customHeight="true" outlineLevel="0" collapsed="false">
      <c r="B1800" s="27" t="n">
        <v>44939.4773611111</v>
      </c>
      <c r="C1800" s="27" t="n">
        <v>44939.4773611111</v>
      </c>
      <c r="D1800" s="28" t="s">
        <v>476</v>
      </c>
      <c r="E1800" s="29" t="s">
        <v>467</v>
      </c>
      <c r="F1800" s="29" t="n">
        <v>3411</v>
      </c>
      <c r="G1800" s="30" t="n">
        <v>588005266</v>
      </c>
      <c r="H1800" s="31"/>
      <c r="I1800" s="14" t="n">
        <f aca="false">I1799+G1800-H1800</f>
        <v>590584626</v>
      </c>
    </row>
    <row r="1801" customFormat="false" ht="12" hidden="false" customHeight="true" outlineLevel="0" collapsed="false">
      <c r="B1801" s="27" t="n">
        <v>44939.4777546296</v>
      </c>
      <c r="C1801" s="27" t="n">
        <v>44939.4777546296</v>
      </c>
      <c r="D1801" s="28" t="s">
        <v>477</v>
      </c>
      <c r="E1801" s="29" t="s">
        <v>478</v>
      </c>
      <c r="F1801" s="29" t="n">
        <v>331</v>
      </c>
      <c r="G1801" s="30"/>
      <c r="H1801" s="32" t="n">
        <v>588005266</v>
      </c>
      <c r="I1801" s="14" t="n">
        <f aca="false">I1800+G1801-H1801</f>
        <v>2579360</v>
      </c>
    </row>
    <row r="1802" customFormat="false" ht="12" hidden="false" customHeight="true" outlineLevel="0" collapsed="false">
      <c r="B1802" s="27" t="n">
        <v>44942.8467476852</v>
      </c>
      <c r="C1802" s="27" t="n">
        <v>44942.8467476852</v>
      </c>
      <c r="D1802" s="28" t="s">
        <v>479</v>
      </c>
      <c r="E1802" s="29" t="s">
        <v>467</v>
      </c>
      <c r="F1802" s="29" t="n">
        <v>3411</v>
      </c>
      <c r="G1802" s="30" t="n">
        <v>1332035280</v>
      </c>
      <c r="H1802" s="31"/>
      <c r="I1802" s="14" t="n">
        <f aca="false">I1801+G1802-H1802</f>
        <v>1334614640</v>
      </c>
    </row>
    <row r="1803" customFormat="false" ht="12" hidden="false" customHeight="true" outlineLevel="0" collapsed="false">
      <c r="B1803" s="27" t="n">
        <v>44942.8472106482</v>
      </c>
      <c r="C1803" s="27" t="n">
        <v>44942.8472106482</v>
      </c>
      <c r="D1803" s="28" t="s">
        <v>480</v>
      </c>
      <c r="E1803" s="29" t="s">
        <v>481</v>
      </c>
      <c r="F1803" s="29" t="n">
        <v>331</v>
      </c>
      <c r="G1803" s="30"/>
      <c r="H1803" s="32" t="n">
        <v>1332035280</v>
      </c>
      <c r="I1803" s="14" t="n">
        <f aca="false">I1802+G1803-H1803</f>
        <v>2579360</v>
      </c>
    </row>
    <row r="1804" customFormat="false" ht="12" hidden="false" customHeight="true" outlineLevel="0" collapsed="false">
      <c r="B1804" s="27" t="n">
        <v>44945.5839583333</v>
      </c>
      <c r="C1804" s="27" t="n">
        <v>44945.5839583333</v>
      </c>
      <c r="D1804" s="28" t="s">
        <v>482</v>
      </c>
      <c r="E1804" s="29" t="s">
        <v>467</v>
      </c>
      <c r="F1804" s="29" t="n">
        <v>3411</v>
      </c>
      <c r="G1804" s="30" t="n">
        <v>500842964</v>
      </c>
      <c r="H1804" s="31"/>
      <c r="I1804" s="14" t="n">
        <f aca="false">I1803+G1804-H1804</f>
        <v>503422324</v>
      </c>
    </row>
    <row r="1805" customFormat="false" ht="12" hidden="false" customHeight="true" outlineLevel="0" collapsed="false">
      <c r="B1805" s="27" t="n">
        <v>44956.8105902778</v>
      </c>
      <c r="C1805" s="27" t="n">
        <v>44956.8105902778</v>
      </c>
      <c r="D1805" s="28" t="s">
        <v>483</v>
      </c>
      <c r="E1805" s="29" t="s">
        <v>484</v>
      </c>
      <c r="F1805" s="29" t="n">
        <v>331</v>
      </c>
      <c r="G1805" s="30"/>
      <c r="H1805" s="32" t="n">
        <v>500842964</v>
      </c>
      <c r="I1805" s="14" t="n">
        <f aca="false">I1804+G1805-H1805</f>
        <v>2579360</v>
      </c>
    </row>
    <row r="1806" customFormat="false" ht="12" hidden="false" customHeight="true" outlineLevel="0" collapsed="false">
      <c r="B1806" s="27" t="n">
        <v>44956.8119328704</v>
      </c>
      <c r="C1806" s="27" t="n">
        <v>44956.8119328704</v>
      </c>
      <c r="D1806" s="28" t="s">
        <v>485</v>
      </c>
      <c r="E1806" s="29" t="s">
        <v>467</v>
      </c>
      <c r="F1806" s="29" t="n">
        <v>3411</v>
      </c>
      <c r="G1806" s="30" t="n">
        <v>1346501709</v>
      </c>
      <c r="H1806" s="31"/>
      <c r="I1806" s="14" t="n">
        <f aca="false">I1805+G1806-H1806</f>
        <v>1349081069</v>
      </c>
    </row>
    <row r="1807" customFormat="false" ht="12" hidden="false" customHeight="true" outlineLevel="0" collapsed="false">
      <c r="B1807" s="27" t="n">
        <v>44957.4880555556</v>
      </c>
      <c r="C1807" s="27" t="n">
        <v>44957.4880555556</v>
      </c>
      <c r="D1807" s="28" t="s">
        <v>486</v>
      </c>
      <c r="E1807" s="29" t="s">
        <v>487</v>
      </c>
      <c r="F1807" s="29" t="n">
        <v>331</v>
      </c>
      <c r="G1807" s="30"/>
      <c r="H1807" s="32" t="n">
        <v>1346501709</v>
      </c>
      <c r="I1807" s="14" t="n">
        <f aca="false">I1806+G1807-H1807</f>
        <v>2579360</v>
      </c>
    </row>
    <row r="1808" customFormat="false" ht="12" hidden="false" customHeight="true" outlineLevel="0" collapsed="false">
      <c r="B1808" s="27" t="n">
        <v>44957.4893518519</v>
      </c>
      <c r="C1808" s="27" t="n">
        <v>44957.4893518519</v>
      </c>
      <c r="D1808" s="28" t="s">
        <v>488</v>
      </c>
      <c r="E1808" s="29" t="s">
        <v>467</v>
      </c>
      <c r="F1808" s="29" t="n">
        <v>3411</v>
      </c>
      <c r="G1808" s="30" t="n">
        <v>382900052</v>
      </c>
      <c r="H1808" s="31"/>
      <c r="I1808" s="14" t="n">
        <f aca="false">I1807+G1808-H1808</f>
        <v>385479412</v>
      </c>
    </row>
    <row r="1809" customFormat="false" ht="12" hidden="false" customHeight="true" outlineLevel="0" collapsed="false">
      <c r="B1809" s="27" t="n">
        <v>44958.795462963</v>
      </c>
      <c r="C1809" s="27" t="n">
        <v>44958.795462963</v>
      </c>
      <c r="D1809" s="28" t="s">
        <v>489</v>
      </c>
      <c r="E1809" s="29" t="s">
        <v>490</v>
      </c>
      <c r="F1809" s="29" t="n">
        <v>331</v>
      </c>
      <c r="G1809" s="30"/>
      <c r="H1809" s="32" t="n">
        <v>382900052</v>
      </c>
      <c r="I1809" s="14" t="n">
        <f aca="false">I1808+G1809-H1809</f>
        <v>2579360</v>
      </c>
    </row>
    <row r="1810" customFormat="false" ht="12" hidden="false" customHeight="true" outlineLevel="0" collapsed="false">
      <c r="B1810" s="27" t="n">
        <v>44959.7775115741</v>
      </c>
      <c r="C1810" s="27" t="n">
        <v>44959.7775115741</v>
      </c>
      <c r="D1810" s="28" t="s">
        <v>491</v>
      </c>
      <c r="E1810" s="29" t="s">
        <v>467</v>
      </c>
      <c r="F1810" s="29" t="n">
        <v>3411</v>
      </c>
      <c r="G1810" s="30" t="n">
        <v>206700095</v>
      </c>
      <c r="H1810" s="31"/>
      <c r="I1810" s="14" t="n">
        <f aca="false">I1809+G1810-H1810</f>
        <v>209279455</v>
      </c>
    </row>
    <row r="1811" customFormat="false" ht="12" hidden="false" customHeight="true" outlineLevel="0" collapsed="false">
      <c r="B1811" s="27" t="n">
        <v>44960.7950810185</v>
      </c>
      <c r="C1811" s="27" t="n">
        <v>44960.7950810185</v>
      </c>
      <c r="D1811" s="28" t="s">
        <v>492</v>
      </c>
      <c r="E1811" s="29" t="s">
        <v>478</v>
      </c>
      <c r="F1811" s="29" t="n">
        <v>331</v>
      </c>
      <c r="G1811" s="30"/>
      <c r="H1811" s="32" t="n">
        <v>206700095</v>
      </c>
      <c r="I1811" s="14" t="n">
        <f aca="false">I1810+G1811-H1811</f>
        <v>2579360</v>
      </c>
    </row>
    <row r="1812" customFormat="false" ht="12" hidden="false" customHeight="true" outlineLevel="0" collapsed="false">
      <c r="B1812" s="27" t="n">
        <v>44960.7964467593</v>
      </c>
      <c r="C1812" s="27" t="n">
        <v>44960.7964467593</v>
      </c>
      <c r="D1812" s="28" t="s">
        <v>493</v>
      </c>
      <c r="E1812" s="29" t="s">
        <v>467</v>
      </c>
      <c r="F1812" s="29" t="n">
        <v>3411</v>
      </c>
      <c r="G1812" s="30" t="n">
        <v>1694733175</v>
      </c>
      <c r="H1812" s="31"/>
      <c r="I1812" s="14" t="n">
        <f aca="false">I1811+G1812-H1812</f>
        <v>1697312535</v>
      </c>
    </row>
    <row r="1813" customFormat="false" ht="12" hidden="false" customHeight="true" outlineLevel="0" collapsed="false">
      <c r="B1813" s="27" t="n">
        <v>44965.8533101852</v>
      </c>
      <c r="C1813" s="27" t="n">
        <v>44965.8533101852</v>
      </c>
      <c r="D1813" s="28" t="s">
        <v>494</v>
      </c>
      <c r="E1813" s="29" t="s">
        <v>478</v>
      </c>
      <c r="F1813" s="29" t="n">
        <v>331</v>
      </c>
      <c r="G1813" s="30"/>
      <c r="H1813" s="32" t="n">
        <v>213416630</v>
      </c>
      <c r="I1813" s="14" t="n">
        <f aca="false">I1812+G1813-H1813</f>
        <v>1483895905</v>
      </c>
    </row>
    <row r="1814" customFormat="false" ht="12" hidden="false" customHeight="true" outlineLevel="0" collapsed="false">
      <c r="B1814" s="27" t="n">
        <v>44967.8124421296</v>
      </c>
      <c r="C1814" s="27" t="n">
        <v>44967.8124421296</v>
      </c>
      <c r="D1814" s="28" t="s">
        <v>495</v>
      </c>
      <c r="E1814" s="29" t="s">
        <v>496</v>
      </c>
      <c r="F1814" s="29" t="n">
        <v>331</v>
      </c>
      <c r="G1814" s="30"/>
      <c r="H1814" s="32" t="n">
        <v>1481316545</v>
      </c>
      <c r="I1814" s="14" t="n">
        <f aca="false">I1813+G1814-H1814</f>
        <v>2579360</v>
      </c>
    </row>
    <row r="1815" customFormat="false" ht="12" hidden="false" customHeight="true" outlineLevel="0" collapsed="false">
      <c r="B1815" s="27" t="n">
        <v>44967.8187962963</v>
      </c>
      <c r="C1815" s="27" t="n">
        <v>44967.8187962963</v>
      </c>
      <c r="D1815" s="28" t="s">
        <v>497</v>
      </c>
      <c r="E1815" s="29" t="s">
        <v>467</v>
      </c>
      <c r="F1815" s="29" t="n">
        <v>3411</v>
      </c>
      <c r="G1815" s="30" t="n">
        <v>333593355</v>
      </c>
      <c r="H1815" s="31"/>
      <c r="I1815" s="14" t="n">
        <f aca="false">I1814+G1815-H1815</f>
        <v>336172715</v>
      </c>
    </row>
    <row r="1816" customFormat="false" ht="12" hidden="false" customHeight="true" outlineLevel="0" collapsed="false">
      <c r="B1816" s="27" t="n">
        <v>44971.8237152778</v>
      </c>
      <c r="C1816" s="27" t="n">
        <v>44971.8237152778</v>
      </c>
      <c r="D1816" s="28" t="s">
        <v>498</v>
      </c>
      <c r="E1816" s="29" t="s">
        <v>467</v>
      </c>
      <c r="F1816" s="29" t="n">
        <v>3411</v>
      </c>
      <c r="G1816" s="30" t="n">
        <v>533370612</v>
      </c>
      <c r="H1816" s="31"/>
      <c r="I1816" s="14" t="n">
        <f aca="false">I1815+G1816-H1816</f>
        <v>869543327</v>
      </c>
    </row>
    <row r="1817" customFormat="false" ht="12" hidden="false" customHeight="true" outlineLevel="0" collapsed="false">
      <c r="B1817" s="27" t="n">
        <v>44972.4061805556</v>
      </c>
      <c r="C1817" s="27" t="n">
        <v>44972.4061805556</v>
      </c>
      <c r="D1817" s="28" t="s">
        <v>499</v>
      </c>
      <c r="E1817" s="29" t="s">
        <v>467</v>
      </c>
      <c r="F1817" s="29" t="n">
        <v>3411</v>
      </c>
      <c r="G1817" s="30" t="n">
        <v>152269997</v>
      </c>
      <c r="H1817" s="31"/>
      <c r="I1817" s="14" t="n">
        <f aca="false">I1816+G1817-H1817</f>
        <v>1021813324</v>
      </c>
    </row>
    <row r="1818" customFormat="false" ht="12" hidden="false" customHeight="true" outlineLevel="0" collapsed="false">
      <c r="B1818" s="27" t="n">
        <v>44972.7734143519</v>
      </c>
      <c r="C1818" s="27" t="n">
        <v>44972.7734143519</v>
      </c>
      <c r="D1818" s="28" t="s">
        <v>500</v>
      </c>
      <c r="E1818" s="29" t="s">
        <v>501</v>
      </c>
      <c r="F1818" s="29" t="n">
        <v>331</v>
      </c>
      <c r="G1818" s="30"/>
      <c r="H1818" s="32" t="n">
        <v>333593355</v>
      </c>
      <c r="I1818" s="14" t="n">
        <f aca="false">I1817+G1818-H1818</f>
        <v>688219969</v>
      </c>
    </row>
    <row r="1819" customFormat="false" ht="12" hidden="false" customHeight="true" outlineLevel="0" collapsed="false">
      <c r="B1819" s="27" t="n">
        <v>44973.4708680556</v>
      </c>
      <c r="C1819" s="27" t="n">
        <v>44973.4708680556</v>
      </c>
      <c r="D1819" s="28" t="s">
        <v>502</v>
      </c>
      <c r="E1819" s="29" t="s">
        <v>481</v>
      </c>
      <c r="F1819" s="29" t="n">
        <v>331</v>
      </c>
      <c r="G1819" s="30"/>
      <c r="H1819" s="32" t="n">
        <v>533370612</v>
      </c>
      <c r="I1819" s="14" t="n">
        <f aca="false">I1818+G1819-H1819</f>
        <v>154849357</v>
      </c>
    </row>
    <row r="1820" customFormat="false" ht="12" hidden="false" customHeight="true" outlineLevel="0" collapsed="false">
      <c r="B1820" s="27" t="n">
        <v>44973.4724305556</v>
      </c>
      <c r="C1820" s="27" t="n">
        <v>44973.4724305556</v>
      </c>
      <c r="D1820" s="28" t="s">
        <v>503</v>
      </c>
      <c r="E1820" s="29" t="s">
        <v>504</v>
      </c>
      <c r="F1820" s="29" t="n">
        <v>331</v>
      </c>
      <c r="G1820" s="30"/>
      <c r="H1820" s="32" t="n">
        <v>152269997</v>
      </c>
      <c r="I1820" s="14" t="n">
        <f aca="false">I1819+G1820-H1820</f>
        <v>2579360</v>
      </c>
    </row>
    <row r="1821" customFormat="false" ht="12" hidden="false" customHeight="true" outlineLevel="0" collapsed="false">
      <c r="B1821" s="27" t="n">
        <v>44973.4740509259</v>
      </c>
      <c r="C1821" s="27" t="n">
        <v>44973.4740509259</v>
      </c>
      <c r="D1821" s="28" t="s">
        <v>505</v>
      </c>
      <c r="E1821" s="29" t="s">
        <v>467</v>
      </c>
      <c r="F1821" s="29" t="n">
        <v>3411</v>
      </c>
      <c r="G1821" s="30" t="n">
        <v>526780035</v>
      </c>
      <c r="H1821" s="31"/>
      <c r="I1821" s="14" t="n">
        <f aca="false">I1820+G1821-H1821</f>
        <v>529359395</v>
      </c>
    </row>
    <row r="1822" customFormat="false" ht="12" hidden="false" customHeight="true" outlineLevel="0" collapsed="false">
      <c r="B1822" s="27" t="n">
        <v>44978.796400463</v>
      </c>
      <c r="C1822" s="27" t="n">
        <v>44978.796400463</v>
      </c>
      <c r="D1822" s="28" t="s">
        <v>506</v>
      </c>
      <c r="E1822" s="29" t="s">
        <v>507</v>
      </c>
      <c r="F1822" s="29" t="n">
        <v>331</v>
      </c>
      <c r="G1822" s="30"/>
      <c r="H1822" s="32" t="n">
        <v>526780035</v>
      </c>
      <c r="I1822" s="14" t="n">
        <f aca="false">I1821+G1822-H1822</f>
        <v>2579360</v>
      </c>
    </row>
    <row r="1823" customFormat="false" ht="12" hidden="false" customHeight="true" outlineLevel="0" collapsed="false">
      <c r="B1823" s="27" t="n">
        <v>44978.7984375</v>
      </c>
      <c r="C1823" s="27" t="n">
        <v>44978.7984375</v>
      </c>
      <c r="D1823" s="28" t="s">
        <v>508</v>
      </c>
      <c r="E1823" s="29" t="s">
        <v>467</v>
      </c>
      <c r="F1823" s="29" t="n">
        <v>3411</v>
      </c>
      <c r="G1823" s="30" t="n">
        <v>737793180</v>
      </c>
      <c r="H1823" s="31"/>
      <c r="I1823" s="14" t="n">
        <f aca="false">I1822+G1823-H1823</f>
        <v>740372540</v>
      </c>
    </row>
    <row r="1824" customFormat="false" ht="12" hidden="false" customHeight="true" outlineLevel="0" collapsed="false">
      <c r="B1824" s="27" t="n">
        <v>44979.3711689815</v>
      </c>
      <c r="C1824" s="27" t="n">
        <v>44979.3711689815</v>
      </c>
      <c r="D1824" s="28" t="s">
        <v>509</v>
      </c>
      <c r="E1824" s="29" t="s">
        <v>472</v>
      </c>
      <c r="F1824" s="29" t="n">
        <v>331</v>
      </c>
      <c r="G1824" s="30"/>
      <c r="H1824" s="32" t="n">
        <v>737793180</v>
      </c>
      <c r="I1824" s="14" t="n">
        <f aca="false">I1823+G1824-H1824</f>
        <v>2579360</v>
      </c>
    </row>
    <row r="1825" customFormat="false" ht="12" hidden="false" customHeight="true" outlineLevel="0" collapsed="false">
      <c r="B1825" s="27" t="n">
        <v>44979.4532986111</v>
      </c>
      <c r="C1825" s="27" t="n">
        <v>44979.4532986111</v>
      </c>
      <c r="D1825" s="28" t="s">
        <v>510</v>
      </c>
      <c r="E1825" s="29" t="s">
        <v>467</v>
      </c>
      <c r="F1825" s="29" t="n">
        <v>3411</v>
      </c>
      <c r="G1825" s="30" t="n">
        <v>1195887930</v>
      </c>
      <c r="H1825" s="31"/>
      <c r="I1825" s="14" t="n">
        <f aca="false">I1824+G1825-H1825</f>
        <v>1198467290</v>
      </c>
    </row>
    <row r="1826" customFormat="false" ht="12" hidden="false" customHeight="true" outlineLevel="0" collapsed="false">
      <c r="B1826" s="27" t="n">
        <v>44981.3646064815</v>
      </c>
      <c r="C1826" s="27" t="n">
        <v>44981.3646064815</v>
      </c>
      <c r="D1826" s="28" t="s">
        <v>511</v>
      </c>
      <c r="E1826" s="29" t="s">
        <v>467</v>
      </c>
      <c r="F1826" s="29" t="n">
        <v>3411</v>
      </c>
      <c r="G1826" s="30" t="n">
        <v>1475445000</v>
      </c>
      <c r="H1826" s="31"/>
      <c r="I1826" s="14" t="n">
        <f aca="false">I1825+G1826-H1826</f>
        <v>2673912290</v>
      </c>
    </row>
    <row r="1827" customFormat="false" ht="12" hidden="false" customHeight="true" outlineLevel="0" collapsed="false">
      <c r="B1827" s="27" t="n">
        <v>44984.3778819444</v>
      </c>
      <c r="C1827" s="27" t="n">
        <v>44984.3778819444</v>
      </c>
      <c r="D1827" s="28" t="s">
        <v>512</v>
      </c>
      <c r="E1827" s="29" t="s">
        <v>472</v>
      </c>
      <c r="F1827" s="29" t="n">
        <v>331</v>
      </c>
      <c r="G1827" s="30"/>
      <c r="H1827" s="32" t="n">
        <v>1195887930</v>
      </c>
      <c r="I1827" s="14" t="n">
        <f aca="false">I1826+G1827-H1827</f>
        <v>1478024360</v>
      </c>
    </row>
    <row r="1828" customFormat="false" ht="12" hidden="false" customHeight="true" outlineLevel="0" collapsed="false">
      <c r="B1828" s="27" t="n">
        <v>44985.4847916667</v>
      </c>
      <c r="C1828" s="27" t="n">
        <v>44985.4847916667</v>
      </c>
      <c r="D1828" s="28" t="s">
        <v>513</v>
      </c>
      <c r="E1828" s="29" t="s">
        <v>472</v>
      </c>
      <c r="F1828" s="29" t="n">
        <v>331</v>
      </c>
      <c r="G1828" s="30"/>
      <c r="H1828" s="32" t="n">
        <v>1475445000</v>
      </c>
      <c r="I1828" s="14" t="n">
        <f aca="false">I1827+G1828-H1828</f>
        <v>2579360</v>
      </c>
    </row>
    <row r="1829" customFormat="false" ht="12" hidden="false" customHeight="true" outlineLevel="0" collapsed="false">
      <c r="B1829" s="27" t="n">
        <v>44985.4905208333</v>
      </c>
      <c r="C1829" s="27" t="n">
        <v>44985.4905208333</v>
      </c>
      <c r="D1829" s="28" t="s">
        <v>514</v>
      </c>
      <c r="E1829" s="29" t="s">
        <v>467</v>
      </c>
      <c r="F1829" s="29" t="n">
        <v>3411</v>
      </c>
      <c r="G1829" s="30" t="n">
        <v>345286009</v>
      </c>
      <c r="H1829" s="31"/>
      <c r="I1829" s="14" t="n">
        <f aca="false">I1828+G1829-H1829</f>
        <v>347865369</v>
      </c>
    </row>
    <row r="1830" customFormat="false" ht="12" hidden="false" customHeight="true" outlineLevel="0" collapsed="false">
      <c r="B1830" s="27" t="n">
        <v>44988.8192708333</v>
      </c>
      <c r="C1830" s="27" t="n">
        <v>44988.8192708333</v>
      </c>
      <c r="D1830" s="28" t="s">
        <v>515</v>
      </c>
      <c r="E1830" s="29" t="s">
        <v>516</v>
      </c>
      <c r="F1830" s="29" t="n">
        <v>331</v>
      </c>
      <c r="G1830" s="30"/>
      <c r="H1830" s="32" t="n">
        <v>345286009</v>
      </c>
      <c r="I1830" s="14" t="n">
        <f aca="false">I1829+G1830-H1830</f>
        <v>2579360</v>
      </c>
    </row>
    <row r="1831" customFormat="false" ht="12" hidden="false" customHeight="true" outlineLevel="0" collapsed="false">
      <c r="B1831" s="27" t="n">
        <v>44991.7762615741</v>
      </c>
      <c r="C1831" s="27" t="n">
        <v>44991.7762615741</v>
      </c>
      <c r="D1831" s="28" t="s">
        <v>517</v>
      </c>
      <c r="E1831" s="29" t="s">
        <v>467</v>
      </c>
      <c r="F1831" s="29" t="n">
        <v>3411</v>
      </c>
      <c r="G1831" s="30" t="n">
        <v>494900032</v>
      </c>
      <c r="H1831" s="31"/>
      <c r="I1831" s="14" t="n">
        <f aca="false">I1830+G1831-H1831</f>
        <v>497479392</v>
      </c>
    </row>
    <row r="1832" customFormat="false" ht="12" hidden="false" customHeight="true" outlineLevel="0" collapsed="false">
      <c r="B1832" s="27" t="n">
        <v>44993.8018171296</v>
      </c>
      <c r="C1832" s="27" t="n">
        <v>44993.8018171296</v>
      </c>
      <c r="D1832" s="28" t="s">
        <v>518</v>
      </c>
      <c r="E1832" s="29" t="s">
        <v>501</v>
      </c>
      <c r="F1832" s="29" t="n">
        <v>331</v>
      </c>
      <c r="G1832" s="30"/>
      <c r="H1832" s="32" t="n">
        <v>494900032</v>
      </c>
      <c r="I1832" s="14" t="n">
        <f aca="false">I1831+G1832-H1832</f>
        <v>2579360</v>
      </c>
    </row>
    <row r="1833" customFormat="false" ht="12" hidden="false" customHeight="true" outlineLevel="0" collapsed="false">
      <c r="B1833" s="27" t="n">
        <v>44995.7344907407</v>
      </c>
      <c r="C1833" s="27" t="n">
        <v>44995.7344907407</v>
      </c>
      <c r="D1833" s="28" t="s">
        <v>519</v>
      </c>
      <c r="E1833" s="29" t="s">
        <v>467</v>
      </c>
      <c r="F1833" s="29" t="n">
        <v>3411</v>
      </c>
      <c r="G1833" s="30" t="n">
        <v>101851569</v>
      </c>
      <c r="H1833" s="31"/>
      <c r="I1833" s="14" t="n">
        <f aca="false">I1832+G1833-H1833</f>
        <v>104430929</v>
      </c>
    </row>
    <row r="1834" customFormat="false" ht="12" hidden="false" customHeight="true" outlineLevel="0" collapsed="false">
      <c r="B1834" s="27" t="n">
        <v>44998.7760185185</v>
      </c>
      <c r="C1834" s="27" t="n">
        <v>44998.7760185185</v>
      </c>
      <c r="D1834" s="28" t="s">
        <v>520</v>
      </c>
      <c r="E1834" s="29" t="s">
        <v>504</v>
      </c>
      <c r="F1834" s="29" t="n">
        <v>331</v>
      </c>
      <c r="G1834" s="30"/>
      <c r="H1834" s="32" t="n">
        <v>101851569</v>
      </c>
      <c r="I1834" s="14" t="n">
        <f aca="false">I1833+G1834-H1834</f>
        <v>2579360</v>
      </c>
    </row>
    <row r="1835" customFormat="false" ht="12" hidden="false" customHeight="true" outlineLevel="0" collapsed="false">
      <c r="B1835" s="27" t="n">
        <v>44998.7825</v>
      </c>
      <c r="C1835" s="27" t="n">
        <v>44998.7825</v>
      </c>
      <c r="D1835" s="28" t="s">
        <v>521</v>
      </c>
      <c r="E1835" s="29" t="s">
        <v>391</v>
      </c>
      <c r="F1835" s="29" t="n">
        <v>3411</v>
      </c>
      <c r="G1835" s="30" t="n">
        <v>834097650</v>
      </c>
      <c r="H1835" s="31"/>
      <c r="I1835" s="14" t="n">
        <f aca="false">I1834+G1835-H1835</f>
        <v>836677010</v>
      </c>
    </row>
    <row r="1836" customFormat="false" ht="12" hidden="false" customHeight="true" outlineLevel="0" collapsed="false">
      <c r="B1836" s="27" t="n">
        <v>44999.2804976852</v>
      </c>
      <c r="C1836" s="27" t="n">
        <v>44999.2804976852</v>
      </c>
      <c r="D1836" s="28" t="s">
        <v>522</v>
      </c>
      <c r="E1836" s="29" t="s">
        <v>516</v>
      </c>
      <c r="F1836" s="29" t="n">
        <v>331</v>
      </c>
      <c r="G1836" s="30"/>
      <c r="H1836" s="32" t="n">
        <v>834097650</v>
      </c>
      <c r="I1836" s="14" t="n">
        <f aca="false">I1835+G1836-H1836</f>
        <v>2579360</v>
      </c>
    </row>
    <row r="1837" customFormat="false" ht="12" hidden="false" customHeight="true" outlineLevel="0" collapsed="false">
      <c r="B1837" s="27" t="n">
        <v>44999.283287037</v>
      </c>
      <c r="C1837" s="27" t="n">
        <v>44999.283287037</v>
      </c>
      <c r="D1837" s="28" t="s">
        <v>523</v>
      </c>
      <c r="E1837" s="29" t="s">
        <v>467</v>
      </c>
      <c r="F1837" s="29" t="n">
        <v>3411</v>
      </c>
      <c r="G1837" s="30" t="n">
        <v>668602400</v>
      </c>
      <c r="H1837" s="31"/>
      <c r="I1837" s="14" t="n">
        <f aca="false">I1836+G1837-H1837</f>
        <v>671181760</v>
      </c>
    </row>
    <row r="1838" customFormat="false" ht="12" hidden="false" customHeight="true" outlineLevel="0" collapsed="false">
      <c r="B1838" s="27" t="n">
        <v>45000.7002083333</v>
      </c>
      <c r="C1838" s="27" t="n">
        <v>45000.7002083333</v>
      </c>
      <c r="D1838" s="28" t="s">
        <v>524</v>
      </c>
      <c r="E1838" s="29" t="s">
        <v>467</v>
      </c>
      <c r="F1838" s="29" t="n">
        <v>3411</v>
      </c>
      <c r="G1838" s="30" t="n">
        <v>233259466</v>
      </c>
      <c r="H1838" s="31"/>
      <c r="I1838" s="14" t="n">
        <f aca="false">I1837+G1838-H1838</f>
        <v>904441226</v>
      </c>
    </row>
    <row r="1839" customFormat="false" ht="12" hidden="false" customHeight="true" outlineLevel="0" collapsed="false">
      <c r="B1839" s="27" t="n">
        <v>45006.8118287037</v>
      </c>
      <c r="C1839" s="27" t="n">
        <v>45006.8118287037</v>
      </c>
      <c r="D1839" s="28" t="s">
        <v>525</v>
      </c>
      <c r="E1839" s="29" t="s">
        <v>472</v>
      </c>
      <c r="F1839" s="29" t="n">
        <v>331</v>
      </c>
      <c r="G1839" s="30"/>
      <c r="H1839" s="32" t="n">
        <v>668602400</v>
      </c>
      <c r="I1839" s="14" t="n">
        <f aca="false">I1838+G1839-H1839</f>
        <v>235838826</v>
      </c>
    </row>
    <row r="1840" customFormat="false" ht="12" hidden="false" customHeight="true" outlineLevel="0" collapsed="false">
      <c r="B1840" s="27" t="n">
        <v>45007.4704398148</v>
      </c>
      <c r="C1840" s="27" t="n">
        <v>45007.4704398148</v>
      </c>
      <c r="D1840" s="28" t="s">
        <v>526</v>
      </c>
      <c r="E1840" s="29" t="s">
        <v>501</v>
      </c>
      <c r="F1840" s="29" t="n">
        <v>331</v>
      </c>
      <c r="G1840" s="30"/>
      <c r="H1840" s="32" t="n">
        <v>233259466</v>
      </c>
      <c r="I1840" s="14" t="n">
        <f aca="false">I1839+G1840-H1840</f>
        <v>2579360</v>
      </c>
    </row>
    <row r="1841" customFormat="false" ht="12" hidden="false" customHeight="true" outlineLevel="0" collapsed="false">
      <c r="B1841" s="27" t="n">
        <v>45007.4724537037</v>
      </c>
      <c r="C1841" s="27" t="n">
        <v>45007.4724537037</v>
      </c>
      <c r="D1841" s="28" t="s">
        <v>527</v>
      </c>
      <c r="E1841" s="29" t="s">
        <v>467</v>
      </c>
      <c r="F1841" s="29" t="n">
        <v>3411</v>
      </c>
      <c r="G1841" s="30" t="n">
        <v>151674121</v>
      </c>
      <c r="H1841" s="31"/>
      <c r="I1841" s="14" t="n">
        <f aca="false">I1840+G1841-H1841</f>
        <v>154253481</v>
      </c>
    </row>
    <row r="1842" customFormat="false" ht="12" hidden="false" customHeight="true" outlineLevel="0" collapsed="false">
      <c r="B1842" s="27" t="n">
        <v>45009.7262615741</v>
      </c>
      <c r="C1842" s="27" t="n">
        <v>45009.7262615741</v>
      </c>
      <c r="D1842" s="28" t="s">
        <v>528</v>
      </c>
      <c r="E1842" s="29" t="s">
        <v>501</v>
      </c>
      <c r="F1842" s="29" t="n">
        <v>331</v>
      </c>
      <c r="G1842" s="30"/>
      <c r="H1842" s="32" t="n">
        <v>151674121</v>
      </c>
      <c r="I1842" s="14" t="n">
        <f aca="false">I1841+G1842-H1842</f>
        <v>2579360</v>
      </c>
    </row>
    <row r="1843" customFormat="false" ht="12" hidden="false" customHeight="true" outlineLevel="0" collapsed="false">
      <c r="B1843" s="27" t="n">
        <v>45012.7187731481</v>
      </c>
      <c r="C1843" s="27" t="n">
        <v>45012.7187731481</v>
      </c>
      <c r="D1843" s="28" t="s">
        <v>527</v>
      </c>
      <c r="E1843" s="29" t="s">
        <v>467</v>
      </c>
      <c r="F1843" s="29" t="n">
        <v>3411</v>
      </c>
      <c r="G1843" s="30" t="n">
        <v>170602344</v>
      </c>
      <c r="H1843" s="31"/>
      <c r="I1843" s="14" t="n">
        <f aca="false">I1842+G1843-H1843</f>
        <v>173181704</v>
      </c>
    </row>
    <row r="1844" customFormat="false" ht="12" hidden="false" customHeight="true" outlineLevel="0" collapsed="false">
      <c r="B1844" s="27" t="n">
        <v>45013.7357291667</v>
      </c>
      <c r="C1844" s="27" t="n">
        <v>45013.7357291667</v>
      </c>
      <c r="D1844" s="28" t="s">
        <v>527</v>
      </c>
      <c r="E1844" s="29" t="s">
        <v>467</v>
      </c>
      <c r="F1844" s="29" t="n">
        <v>3411</v>
      </c>
      <c r="G1844" s="30" t="n">
        <v>2467355200</v>
      </c>
      <c r="H1844" s="31"/>
      <c r="I1844" s="14" t="n">
        <f aca="false">I1843+G1844-H1844</f>
        <v>2640536904</v>
      </c>
    </row>
    <row r="1845" customFormat="false" ht="12" hidden="false" customHeight="true" outlineLevel="0" collapsed="false">
      <c r="B1845" s="27" t="n">
        <v>45014.7760069444</v>
      </c>
      <c r="C1845" s="27" t="n">
        <v>45014.7760069444</v>
      </c>
      <c r="D1845" s="28" t="s">
        <v>529</v>
      </c>
      <c r="E1845" s="29" t="s">
        <v>501</v>
      </c>
      <c r="F1845" s="29" t="n">
        <v>331</v>
      </c>
      <c r="G1845" s="30"/>
      <c r="H1845" s="32" t="n">
        <v>170602344</v>
      </c>
      <c r="I1845" s="14" t="n">
        <f aca="false">I1844+G1845-H1845</f>
        <v>2469934560</v>
      </c>
    </row>
    <row r="1846" customFormat="false" ht="12" hidden="false" customHeight="true" outlineLevel="0" collapsed="false">
      <c r="B1846" s="27" t="n">
        <v>45015.7981134259</v>
      </c>
      <c r="C1846" s="27" t="n">
        <v>45015.7981134259</v>
      </c>
      <c r="D1846" s="28" t="s">
        <v>530</v>
      </c>
      <c r="E1846" s="29" t="s">
        <v>472</v>
      </c>
      <c r="F1846" s="29" t="n">
        <v>331</v>
      </c>
      <c r="G1846" s="30"/>
      <c r="H1846" s="32" t="n">
        <v>2467355200</v>
      </c>
      <c r="I1846" s="14" t="n">
        <f aca="false">I1845+G1846-H1846</f>
        <v>2579360</v>
      </c>
    </row>
    <row r="1847" customFormat="false" ht="12" hidden="false" customHeight="true" outlineLevel="0" collapsed="false">
      <c r="B1847" s="27" t="n">
        <v>45015.8030439815</v>
      </c>
      <c r="C1847" s="27" t="n">
        <v>45015.8030439815</v>
      </c>
      <c r="D1847" s="28" t="s">
        <v>527</v>
      </c>
      <c r="E1847" s="29" t="s">
        <v>467</v>
      </c>
      <c r="F1847" s="29" t="n">
        <v>3411</v>
      </c>
      <c r="G1847" s="30" t="n">
        <v>283233212</v>
      </c>
      <c r="H1847" s="31"/>
      <c r="I1847" s="14" t="n">
        <f aca="false">I1846+G1847-H1847</f>
        <v>285812572</v>
      </c>
    </row>
    <row r="1848" customFormat="false" ht="12" hidden="false" customHeight="true" outlineLevel="0" collapsed="false">
      <c r="B1848" s="27" t="n">
        <v>45023.4725</v>
      </c>
      <c r="C1848" s="27" t="n">
        <v>45023.4725</v>
      </c>
      <c r="D1848" s="28" t="s">
        <v>531</v>
      </c>
      <c r="E1848" s="29" t="s">
        <v>501</v>
      </c>
      <c r="F1848" s="29" t="n">
        <v>331</v>
      </c>
      <c r="G1848" s="30"/>
      <c r="H1848" s="32" t="n">
        <v>283233212</v>
      </c>
      <c r="I1848" s="14" t="n">
        <f aca="false">I1847+G1848-H1848</f>
        <v>2579360</v>
      </c>
    </row>
    <row r="1849" customFormat="false" ht="12" hidden="false" customHeight="true" outlineLevel="0" collapsed="false">
      <c r="B1849" s="27" t="n">
        <v>45023.473900463</v>
      </c>
      <c r="C1849" s="27" t="n">
        <v>45023.473900463</v>
      </c>
      <c r="D1849" s="28" t="s">
        <v>532</v>
      </c>
      <c r="E1849" s="29" t="s">
        <v>467</v>
      </c>
      <c r="F1849" s="29" t="n">
        <v>3411</v>
      </c>
      <c r="G1849" s="30" t="n">
        <v>549594000</v>
      </c>
      <c r="H1849" s="31"/>
      <c r="I1849" s="14" t="n">
        <f aca="false">I1848+G1849-H1849</f>
        <v>552173360</v>
      </c>
    </row>
    <row r="1850" customFormat="false" ht="12" hidden="false" customHeight="true" outlineLevel="0" collapsed="false">
      <c r="B1850" s="27" t="n">
        <v>45034.4826967593</v>
      </c>
      <c r="C1850" s="27" t="n">
        <v>45034.4826967593</v>
      </c>
      <c r="D1850" s="28" t="s">
        <v>533</v>
      </c>
      <c r="E1850" s="29" t="s">
        <v>534</v>
      </c>
      <c r="F1850" s="29" t="n">
        <v>331</v>
      </c>
      <c r="G1850" s="30"/>
      <c r="H1850" s="32" t="n">
        <v>549594000</v>
      </c>
      <c r="I1850" s="14" t="n">
        <f aca="false">I1849+G1850-H1850</f>
        <v>2579360</v>
      </c>
    </row>
    <row r="1851" customFormat="false" ht="12" hidden="false" customHeight="true" outlineLevel="0" collapsed="false">
      <c r="B1851" s="27" t="n">
        <v>45035.7830324074</v>
      </c>
      <c r="C1851" s="27" t="n">
        <v>45035.7830324074</v>
      </c>
      <c r="D1851" s="28" t="s">
        <v>535</v>
      </c>
      <c r="E1851" s="29" t="s">
        <v>467</v>
      </c>
      <c r="F1851" s="29" t="n">
        <v>3411</v>
      </c>
      <c r="G1851" s="30" t="n">
        <v>301878328</v>
      </c>
      <c r="H1851" s="31"/>
      <c r="I1851" s="14" t="n">
        <f aca="false">I1850+G1851-H1851</f>
        <v>304457688</v>
      </c>
    </row>
    <row r="1852" customFormat="false" ht="12" hidden="false" customHeight="true" outlineLevel="0" collapsed="false">
      <c r="B1852" s="27" t="n">
        <v>45037.7638078704</v>
      </c>
      <c r="C1852" s="27" t="n">
        <v>45037.7638078704</v>
      </c>
      <c r="D1852" s="28" t="s">
        <v>536</v>
      </c>
      <c r="E1852" s="29" t="s">
        <v>537</v>
      </c>
      <c r="F1852" s="29" t="n">
        <v>331</v>
      </c>
      <c r="G1852" s="30"/>
      <c r="H1852" s="32" t="n">
        <v>301878328</v>
      </c>
      <c r="I1852" s="14" t="n">
        <f aca="false">I1851+G1852-H1852</f>
        <v>2579360</v>
      </c>
    </row>
    <row r="1853" customFormat="false" ht="12" hidden="false" customHeight="true" outlineLevel="0" collapsed="false">
      <c r="B1853" s="27" t="n">
        <v>45037.765787037</v>
      </c>
      <c r="C1853" s="27" t="n">
        <v>45037.765787037</v>
      </c>
      <c r="D1853" s="28" t="s">
        <v>538</v>
      </c>
      <c r="E1853" s="29" t="s">
        <v>467</v>
      </c>
      <c r="F1853" s="29" t="n">
        <v>3411</v>
      </c>
      <c r="G1853" s="30" t="n">
        <v>131227569</v>
      </c>
      <c r="H1853" s="31"/>
      <c r="I1853" s="14" t="n">
        <f aca="false">I1852+G1853-H1853</f>
        <v>133806929</v>
      </c>
    </row>
    <row r="1854" customFormat="false" ht="12" hidden="false" customHeight="true" outlineLevel="0" collapsed="false">
      <c r="B1854" s="27" t="n">
        <v>45040.4730439815</v>
      </c>
      <c r="C1854" s="27" t="n">
        <v>45040.4730439815</v>
      </c>
      <c r="D1854" s="28" t="s">
        <v>539</v>
      </c>
      <c r="E1854" s="29" t="s">
        <v>540</v>
      </c>
      <c r="F1854" s="29" t="n">
        <v>331</v>
      </c>
      <c r="G1854" s="30"/>
      <c r="H1854" s="32" t="n">
        <v>131227569</v>
      </c>
      <c r="I1854" s="14" t="n">
        <f aca="false">I1853+G1854-H1854</f>
        <v>2579360</v>
      </c>
    </row>
    <row r="1855" customFormat="false" ht="12" hidden="false" customHeight="true" outlineLevel="0" collapsed="false">
      <c r="B1855" s="27" t="n">
        <v>45040.4734259259</v>
      </c>
      <c r="C1855" s="27" t="n">
        <v>45040.4734259259</v>
      </c>
      <c r="D1855" s="28" t="s">
        <v>541</v>
      </c>
      <c r="E1855" s="29" t="s">
        <v>467</v>
      </c>
      <c r="F1855" s="29" t="n">
        <v>3411</v>
      </c>
      <c r="G1855" s="30" t="n">
        <v>1277895920</v>
      </c>
      <c r="H1855" s="31"/>
      <c r="I1855" s="14" t="n">
        <f aca="false">I1854+G1855-H1855</f>
        <v>1280475280</v>
      </c>
    </row>
    <row r="1856" customFormat="false" ht="12" hidden="false" customHeight="true" outlineLevel="0" collapsed="false">
      <c r="B1856" s="27" t="n">
        <v>45042.7622569444</v>
      </c>
      <c r="C1856" s="27" t="n">
        <v>45042.7622569444</v>
      </c>
      <c r="D1856" s="28" t="s">
        <v>542</v>
      </c>
      <c r="E1856" s="29" t="s">
        <v>472</v>
      </c>
      <c r="F1856" s="29" t="n">
        <v>331</v>
      </c>
      <c r="G1856" s="30"/>
      <c r="H1856" s="32" t="n">
        <v>1277895920</v>
      </c>
      <c r="I1856" s="14" t="n">
        <f aca="false">I1855+G1856-H1856</f>
        <v>2579360</v>
      </c>
    </row>
    <row r="1857" customFormat="false" ht="12" hidden="false" customHeight="true" outlineLevel="0" collapsed="false">
      <c r="B1857" s="27" t="n">
        <v>45042.7676967593</v>
      </c>
      <c r="C1857" s="27" t="n">
        <v>45042.7676967593</v>
      </c>
      <c r="D1857" s="28" t="s">
        <v>543</v>
      </c>
      <c r="E1857" s="29" t="s">
        <v>467</v>
      </c>
      <c r="F1857" s="29" t="n">
        <v>3411</v>
      </c>
      <c r="G1857" s="30" t="n">
        <v>2034968400</v>
      </c>
      <c r="H1857" s="31"/>
      <c r="I1857" s="14" t="n">
        <f aca="false">I1856+G1857-H1857</f>
        <v>2037547760</v>
      </c>
    </row>
    <row r="1858" customFormat="false" ht="12" hidden="false" customHeight="true" outlineLevel="0" collapsed="false">
      <c r="B1858" s="27" t="n">
        <v>45044.8405092593</v>
      </c>
      <c r="C1858" s="27" t="n">
        <v>45044.8405092593</v>
      </c>
      <c r="D1858" s="28" t="s">
        <v>544</v>
      </c>
      <c r="E1858" s="29" t="s">
        <v>545</v>
      </c>
      <c r="F1858" s="29" t="n">
        <v>331</v>
      </c>
      <c r="G1858" s="30"/>
      <c r="H1858" s="32" t="n">
        <v>2034968400</v>
      </c>
      <c r="I1858" s="14" t="n">
        <f aca="false">I1857+G1858-H1858</f>
        <v>2579360</v>
      </c>
    </row>
    <row r="1859" customFormat="false" ht="12" hidden="false" customHeight="true" outlineLevel="0" collapsed="false">
      <c r="B1859" s="27" t="n">
        <v>45044.8409606482</v>
      </c>
      <c r="C1859" s="27" t="n">
        <v>45044.8409606482</v>
      </c>
      <c r="D1859" s="28" t="s">
        <v>546</v>
      </c>
      <c r="E1859" s="29" t="s">
        <v>467</v>
      </c>
      <c r="F1859" s="29" t="n">
        <v>3411</v>
      </c>
      <c r="G1859" s="30" t="n">
        <v>200298142</v>
      </c>
      <c r="H1859" s="31"/>
      <c r="I1859" s="14" t="n">
        <f aca="false">I1858+G1859-H1859</f>
        <v>202877502</v>
      </c>
    </row>
    <row r="1860" customFormat="false" ht="12" hidden="false" customHeight="true" outlineLevel="0" collapsed="false">
      <c r="B1860" s="27" t="n">
        <v>45058.6308912037</v>
      </c>
      <c r="C1860" s="27" t="n">
        <v>45058.6308912037</v>
      </c>
      <c r="D1860" s="28" t="s">
        <v>547</v>
      </c>
      <c r="E1860" s="29" t="s">
        <v>548</v>
      </c>
      <c r="F1860" s="29" t="n">
        <v>331</v>
      </c>
      <c r="G1860" s="30"/>
      <c r="H1860" s="32" t="n">
        <v>200298142</v>
      </c>
      <c r="I1860" s="14" t="n">
        <f aca="false">I1859+G1860-H1860</f>
        <v>2579360</v>
      </c>
    </row>
    <row r="1861" customFormat="false" ht="12" hidden="false" customHeight="true" outlineLevel="0" collapsed="false">
      <c r="B1861" s="27" t="n">
        <v>45061.7710648148</v>
      </c>
      <c r="C1861" s="27" t="n">
        <v>45061.7710648148</v>
      </c>
      <c r="D1861" s="28" t="s">
        <v>549</v>
      </c>
      <c r="E1861" s="29" t="s">
        <v>467</v>
      </c>
      <c r="F1861" s="29" t="n">
        <v>3411</v>
      </c>
      <c r="G1861" s="30" t="n">
        <v>827679305</v>
      </c>
      <c r="H1861" s="31"/>
      <c r="I1861" s="14" t="n">
        <f aca="false">I1860+G1861-H1861</f>
        <v>830258665</v>
      </c>
    </row>
    <row r="1862" customFormat="false" ht="12" hidden="false" customHeight="true" outlineLevel="0" collapsed="false">
      <c r="B1862" s="27" t="n">
        <v>45062.8144560185</v>
      </c>
      <c r="C1862" s="27" t="n">
        <v>45062.8144560185</v>
      </c>
      <c r="D1862" s="28" t="s">
        <v>550</v>
      </c>
      <c r="E1862" s="29" t="s">
        <v>551</v>
      </c>
      <c r="F1862" s="29" t="n">
        <v>331</v>
      </c>
      <c r="G1862" s="30"/>
      <c r="H1862" s="32" t="n">
        <v>827679305</v>
      </c>
      <c r="I1862" s="14" t="n">
        <f aca="false">I1861+G1862-H1862</f>
        <v>2579360</v>
      </c>
    </row>
    <row r="1863" customFormat="false" ht="12" hidden="false" customHeight="true" outlineLevel="0" collapsed="false">
      <c r="B1863" s="27" t="n">
        <v>45063.7194097222</v>
      </c>
      <c r="C1863" s="27" t="n">
        <v>45063.7194097222</v>
      </c>
      <c r="D1863" s="28" t="s">
        <v>552</v>
      </c>
      <c r="E1863" s="29" t="s">
        <v>467</v>
      </c>
      <c r="F1863" s="29" t="n">
        <v>3411</v>
      </c>
      <c r="G1863" s="30" t="n">
        <v>1047730300</v>
      </c>
      <c r="H1863" s="31"/>
      <c r="I1863" s="14" t="n">
        <f aca="false">I1862+G1863-H1863</f>
        <v>1050309660</v>
      </c>
    </row>
    <row r="1864" customFormat="false" ht="12" hidden="false" customHeight="true" outlineLevel="0" collapsed="false">
      <c r="B1864" s="27" t="n">
        <v>45070.5925347222</v>
      </c>
      <c r="C1864" s="27" t="n">
        <v>45070.5925347222</v>
      </c>
      <c r="D1864" s="28" t="s">
        <v>553</v>
      </c>
      <c r="E1864" s="29" t="s">
        <v>554</v>
      </c>
      <c r="F1864" s="29" t="n">
        <v>331</v>
      </c>
      <c r="G1864" s="30"/>
      <c r="H1864" s="32" t="n">
        <v>1047730300</v>
      </c>
      <c r="I1864" s="14" t="n">
        <f aca="false">I1863+G1864-H1864</f>
        <v>2579360</v>
      </c>
    </row>
    <row r="1865" customFormat="false" ht="12" hidden="false" customHeight="true" outlineLevel="0" collapsed="false">
      <c r="B1865" s="27" t="n">
        <v>45071.3777430556</v>
      </c>
      <c r="C1865" s="27" t="n">
        <v>45071.3777430556</v>
      </c>
      <c r="D1865" s="28" t="s">
        <v>555</v>
      </c>
      <c r="E1865" s="29" t="s">
        <v>467</v>
      </c>
      <c r="F1865" s="29" t="n">
        <v>3411</v>
      </c>
      <c r="G1865" s="30" t="n">
        <v>412983932</v>
      </c>
      <c r="H1865" s="31"/>
      <c r="I1865" s="14" t="n">
        <f aca="false">I1864+G1865-H1865</f>
        <v>415563292</v>
      </c>
    </row>
    <row r="1866" customFormat="false" ht="12" hidden="false" customHeight="true" outlineLevel="0" collapsed="false">
      <c r="B1866" s="27" t="n">
        <v>45072.4467708333</v>
      </c>
      <c r="C1866" s="27" t="n">
        <v>45072.4467708333</v>
      </c>
      <c r="D1866" s="28" t="s">
        <v>556</v>
      </c>
      <c r="E1866" s="29" t="s">
        <v>557</v>
      </c>
      <c r="F1866" s="29" t="n">
        <v>331</v>
      </c>
      <c r="G1866" s="30"/>
      <c r="H1866" s="32" t="n">
        <v>412983932</v>
      </c>
      <c r="I1866" s="14" t="n">
        <f aca="false">I1865+G1866-H1866</f>
        <v>2579360</v>
      </c>
    </row>
    <row r="1867" customFormat="false" ht="12" hidden="false" customHeight="true" outlineLevel="0" collapsed="false">
      <c r="B1867" s="27" t="n">
        <v>45072.4484490741</v>
      </c>
      <c r="C1867" s="27" t="n">
        <v>45072.4484490741</v>
      </c>
      <c r="D1867" s="28" t="s">
        <v>558</v>
      </c>
      <c r="E1867" s="29" t="s">
        <v>467</v>
      </c>
      <c r="F1867" s="29" t="n">
        <v>3411</v>
      </c>
      <c r="G1867" s="30" t="n">
        <v>2700000000</v>
      </c>
      <c r="H1867" s="31"/>
      <c r="I1867" s="14" t="n">
        <f aca="false">I1866+G1867-H1867</f>
        <v>2702579360</v>
      </c>
    </row>
    <row r="1868" customFormat="false" ht="12" hidden="false" customHeight="true" outlineLevel="0" collapsed="false">
      <c r="B1868" s="27" t="n">
        <v>45075.6201736111</v>
      </c>
      <c r="C1868" s="27" t="n">
        <v>45075.6201736111</v>
      </c>
      <c r="D1868" s="28" t="s">
        <v>559</v>
      </c>
      <c r="E1868" s="29" t="s">
        <v>560</v>
      </c>
      <c r="F1868" s="29" t="n">
        <v>331</v>
      </c>
      <c r="G1868" s="30"/>
      <c r="H1868" s="32" t="n">
        <v>2700000000</v>
      </c>
      <c r="I1868" s="14" t="n">
        <f aca="false">I1867+G1868-H1868</f>
        <v>2579360</v>
      </c>
    </row>
    <row r="1869" customFormat="false" ht="12" hidden="false" customHeight="true" outlineLevel="0" collapsed="false">
      <c r="B1869" s="27" t="n">
        <v>45075.6201736111</v>
      </c>
      <c r="C1869" s="27" t="n">
        <v>45075.6201736111</v>
      </c>
      <c r="D1869" s="28" t="s">
        <v>558</v>
      </c>
      <c r="E1869" s="29" t="s">
        <v>467</v>
      </c>
      <c r="F1869" s="29" t="n">
        <v>3411</v>
      </c>
      <c r="G1869" s="30" t="n">
        <f aca="false">H1870</f>
        <v>643219572</v>
      </c>
      <c r="H1869" s="32"/>
      <c r="I1869" s="14" t="n">
        <f aca="false">I1868+G1869-H1869</f>
        <v>645798932</v>
      </c>
    </row>
    <row r="1870" customFormat="false" ht="12" hidden="false" customHeight="true" outlineLevel="0" collapsed="false">
      <c r="B1870" s="27" t="n">
        <v>45097.6368981482</v>
      </c>
      <c r="C1870" s="27" t="n">
        <v>45097.6368981482</v>
      </c>
      <c r="D1870" s="28" t="s">
        <v>561</v>
      </c>
      <c r="E1870" s="29" t="s">
        <v>562</v>
      </c>
      <c r="F1870" s="29" t="n">
        <v>331</v>
      </c>
      <c r="G1870" s="30"/>
      <c r="H1870" s="32" t="n">
        <v>643219572</v>
      </c>
      <c r="I1870" s="14" t="n">
        <f aca="false">I1869+G1870-H1870</f>
        <v>2579360</v>
      </c>
    </row>
    <row r="1871" customFormat="false" ht="12" hidden="false" customHeight="true" outlineLevel="0" collapsed="false">
      <c r="B1871" s="27" t="n">
        <v>45099.6216666667</v>
      </c>
      <c r="C1871" s="27" t="n">
        <v>45099.6216666667</v>
      </c>
      <c r="D1871" s="28" t="s">
        <v>563</v>
      </c>
      <c r="E1871" s="29" t="s">
        <v>467</v>
      </c>
      <c r="F1871" s="29" t="n">
        <v>3411</v>
      </c>
      <c r="G1871" s="30" t="n">
        <v>4714638720</v>
      </c>
      <c r="H1871" s="31"/>
      <c r="I1871" s="14" t="n">
        <f aca="false">I1870+G1871-H1871</f>
        <v>4717218080</v>
      </c>
    </row>
    <row r="1872" customFormat="false" ht="12" hidden="false" customHeight="true" outlineLevel="0" collapsed="false">
      <c r="B1872" s="27" t="n">
        <v>45103.6226736111</v>
      </c>
      <c r="C1872" s="27" t="n">
        <v>45103.6226736111</v>
      </c>
      <c r="D1872" s="28" t="s">
        <v>564</v>
      </c>
      <c r="E1872" s="29" t="s">
        <v>565</v>
      </c>
      <c r="F1872" s="29" t="n">
        <v>331</v>
      </c>
      <c r="G1872" s="30"/>
      <c r="H1872" s="32" t="n">
        <v>4714638720</v>
      </c>
      <c r="I1872" s="14" t="n">
        <f aca="false">I1871+G1872-H1872</f>
        <v>2579360</v>
      </c>
    </row>
    <row r="1873" customFormat="false" ht="12" hidden="false" customHeight="true" outlineLevel="0" collapsed="false">
      <c r="B1873" s="27" t="n">
        <v>45104.7990740741</v>
      </c>
      <c r="C1873" s="27" t="n">
        <v>45104.7990740741</v>
      </c>
      <c r="D1873" s="28" t="s">
        <v>566</v>
      </c>
      <c r="E1873" s="29" t="s">
        <v>467</v>
      </c>
      <c r="F1873" s="29" t="n">
        <v>3411</v>
      </c>
      <c r="G1873" s="30" t="n">
        <v>591090198</v>
      </c>
      <c r="H1873" s="31"/>
      <c r="I1873" s="14" t="n">
        <f aca="false">I1872+G1873-H1873</f>
        <v>593669558</v>
      </c>
    </row>
    <row r="1874" customFormat="false" ht="12" hidden="false" customHeight="true" outlineLevel="0" collapsed="false">
      <c r="B1874" s="27" t="n">
        <v>45105.5803587963</v>
      </c>
      <c r="C1874" s="27" t="n">
        <v>45105.5803587963</v>
      </c>
      <c r="D1874" s="28" t="s">
        <v>567</v>
      </c>
      <c r="E1874" s="29" t="s">
        <v>568</v>
      </c>
      <c r="F1874" s="29" t="n">
        <v>331</v>
      </c>
      <c r="G1874" s="30"/>
      <c r="H1874" s="32" t="n">
        <v>591090198</v>
      </c>
      <c r="I1874" s="14" t="n">
        <f aca="false">I1873+G1874-H1874</f>
        <v>2579360</v>
      </c>
    </row>
    <row r="1875" customFormat="false" ht="12" hidden="false" customHeight="true" outlineLevel="0" collapsed="false">
      <c r="B1875" s="27" t="n">
        <v>45105.5803587963</v>
      </c>
      <c r="C1875" s="27" t="n">
        <v>45105.5803587963</v>
      </c>
      <c r="D1875" s="28" t="s">
        <v>567</v>
      </c>
      <c r="E1875" s="29" t="s">
        <v>467</v>
      </c>
      <c r="F1875" s="29" t="n">
        <v>3411</v>
      </c>
      <c r="G1875" s="30" t="n">
        <v>506603663</v>
      </c>
      <c r="H1875" s="32"/>
      <c r="I1875" s="14" t="n">
        <f aca="false">I1874+G1875-H1875</f>
        <v>509183023</v>
      </c>
    </row>
    <row r="1876" customFormat="false" ht="12" hidden="false" customHeight="true" outlineLevel="0" collapsed="false">
      <c r="B1876" s="27" t="n">
        <v>45119.727025463</v>
      </c>
      <c r="C1876" s="27" t="n">
        <v>45119.727025463</v>
      </c>
      <c r="D1876" s="28" t="s">
        <v>569</v>
      </c>
      <c r="E1876" s="29" t="s">
        <v>570</v>
      </c>
      <c r="F1876" s="29" t="n">
        <v>331</v>
      </c>
      <c r="G1876" s="30"/>
      <c r="H1876" s="32" t="n">
        <v>506603663</v>
      </c>
      <c r="I1876" s="14" t="n">
        <f aca="false">I1875+G1876-H1876</f>
        <v>2579360</v>
      </c>
    </row>
    <row r="1877" customFormat="false" ht="12" hidden="false" customHeight="true" outlineLevel="0" collapsed="false">
      <c r="B1877" s="27" t="n">
        <v>45120.6525694444</v>
      </c>
      <c r="C1877" s="27" t="n">
        <v>45120.6525694444</v>
      </c>
      <c r="D1877" s="28" t="s">
        <v>571</v>
      </c>
      <c r="E1877" s="29" t="s">
        <v>467</v>
      </c>
      <c r="F1877" s="29" t="n">
        <v>3411</v>
      </c>
      <c r="G1877" s="30" t="n">
        <v>164421425</v>
      </c>
      <c r="H1877" s="31"/>
      <c r="I1877" s="14" t="n">
        <f aca="false">I1876+G1877-H1877</f>
        <v>167000785</v>
      </c>
    </row>
    <row r="1878" customFormat="false" ht="12" hidden="false" customHeight="true" outlineLevel="0" collapsed="false">
      <c r="B1878" s="27" t="n">
        <v>45121.7599074074</v>
      </c>
      <c r="C1878" s="27" t="n">
        <v>45121.7599074074</v>
      </c>
      <c r="D1878" s="28" t="s">
        <v>572</v>
      </c>
      <c r="E1878" s="29" t="s">
        <v>568</v>
      </c>
      <c r="F1878" s="29" t="n">
        <v>331</v>
      </c>
      <c r="G1878" s="30"/>
      <c r="H1878" s="32" t="n">
        <v>164421425</v>
      </c>
      <c r="I1878" s="14" t="n">
        <f aca="false">I1877+G1878-H1878</f>
        <v>2579360</v>
      </c>
    </row>
    <row r="1879" customFormat="false" ht="12" hidden="false" customHeight="true" outlineLevel="0" collapsed="false">
      <c r="B1879" s="27" t="n">
        <v>45124.6414699074</v>
      </c>
      <c r="C1879" s="27" t="n">
        <v>45124.6414699074</v>
      </c>
      <c r="D1879" s="28" t="s">
        <v>573</v>
      </c>
      <c r="E1879" s="29" t="s">
        <v>467</v>
      </c>
      <c r="F1879" s="29" t="n">
        <v>3411</v>
      </c>
      <c r="G1879" s="30" t="n">
        <v>251489857</v>
      </c>
      <c r="H1879" s="31"/>
      <c r="I1879" s="14" t="n">
        <f aca="false">I1878+G1879-H1879</f>
        <v>254069217</v>
      </c>
    </row>
    <row r="1880" customFormat="false" ht="12" hidden="false" customHeight="true" outlineLevel="0" collapsed="false">
      <c r="B1880" s="27" t="n">
        <v>45126.7187847222</v>
      </c>
      <c r="C1880" s="27" t="n">
        <v>45126.7187847222</v>
      </c>
      <c r="D1880" s="28" t="s">
        <v>574</v>
      </c>
      <c r="E1880" s="29" t="s">
        <v>467</v>
      </c>
      <c r="F1880" s="29" t="n">
        <v>3411</v>
      </c>
      <c r="G1880" s="30" t="n">
        <v>514364926</v>
      </c>
      <c r="H1880" s="31"/>
      <c r="I1880" s="14" t="n">
        <f aca="false">I1879+G1880-H1880</f>
        <v>768434143</v>
      </c>
    </row>
    <row r="1881" customFormat="false" ht="12" hidden="false" customHeight="true" outlineLevel="0" collapsed="false">
      <c r="B1881" s="27" t="n">
        <v>45126.719212963</v>
      </c>
      <c r="C1881" s="27" t="n">
        <v>45126.719212963</v>
      </c>
      <c r="D1881" s="28" t="s">
        <v>575</v>
      </c>
      <c r="E1881" s="29" t="s">
        <v>576</v>
      </c>
      <c r="F1881" s="29" t="n">
        <v>331</v>
      </c>
      <c r="G1881" s="30"/>
      <c r="H1881" s="32" t="n">
        <v>251489857</v>
      </c>
      <c r="I1881" s="14" t="n">
        <f aca="false">I1880+G1881-H1881</f>
        <v>516944286</v>
      </c>
    </row>
    <row r="1882" customFormat="false" ht="12" hidden="false" customHeight="true" outlineLevel="0" collapsed="false">
      <c r="B1882" s="27" t="n">
        <v>45127.7029166667</v>
      </c>
      <c r="C1882" s="27" t="n">
        <v>45127.7029166667</v>
      </c>
      <c r="D1882" s="28" t="s">
        <v>577</v>
      </c>
      <c r="E1882" s="29" t="s">
        <v>578</v>
      </c>
      <c r="F1882" s="29" t="n">
        <v>331</v>
      </c>
      <c r="G1882" s="30"/>
      <c r="H1882" s="32" t="n">
        <v>514364926</v>
      </c>
      <c r="I1882" s="14" t="n">
        <f aca="false">I1881+G1882-H1882</f>
        <v>2579360</v>
      </c>
    </row>
    <row r="1883" customFormat="false" ht="12" hidden="false" customHeight="true" outlineLevel="0" collapsed="false">
      <c r="B1883" s="27" t="n">
        <v>45133.7261458333</v>
      </c>
      <c r="C1883" s="27" t="n">
        <v>45133.7261458333</v>
      </c>
      <c r="D1883" s="28" t="s">
        <v>579</v>
      </c>
      <c r="E1883" s="29" t="s">
        <v>467</v>
      </c>
      <c r="F1883" s="29" t="n">
        <v>3411</v>
      </c>
      <c r="G1883" s="30" t="n">
        <v>603447845</v>
      </c>
      <c r="H1883" s="31"/>
      <c r="I1883" s="14" t="n">
        <f aca="false">I1882+G1883-H1883</f>
        <v>606027205</v>
      </c>
    </row>
    <row r="1884" customFormat="false" ht="12" hidden="false" customHeight="true" outlineLevel="0" collapsed="false">
      <c r="B1884" s="27" t="n">
        <v>45135.4251041667</v>
      </c>
      <c r="C1884" s="27" t="n">
        <v>45135.4251041667</v>
      </c>
      <c r="D1884" s="28" t="s">
        <v>580</v>
      </c>
      <c r="E1884" s="29" t="s">
        <v>581</v>
      </c>
      <c r="F1884" s="29" t="n">
        <v>331</v>
      </c>
      <c r="G1884" s="30"/>
      <c r="H1884" s="32" t="n">
        <v>603447845</v>
      </c>
      <c r="I1884" s="14" t="n">
        <f aca="false">I1883+G1884-H1884</f>
        <v>2579360</v>
      </c>
    </row>
    <row r="1885" customFormat="false" ht="12" hidden="false" customHeight="true" outlineLevel="0" collapsed="false">
      <c r="B1885" s="27" t="n">
        <v>45135.4280439815</v>
      </c>
      <c r="C1885" s="27" t="n">
        <v>45135.4280439815</v>
      </c>
      <c r="D1885" s="28" t="s">
        <v>582</v>
      </c>
      <c r="E1885" s="29" t="s">
        <v>467</v>
      </c>
      <c r="F1885" s="29" t="n">
        <v>3411</v>
      </c>
      <c r="G1885" s="30" t="n">
        <v>2755957600</v>
      </c>
      <c r="H1885" s="31"/>
      <c r="I1885" s="14" t="n">
        <f aca="false">I1884+G1885-H1885</f>
        <v>2758536960</v>
      </c>
    </row>
    <row r="1886" customFormat="false" ht="12" hidden="false" customHeight="true" outlineLevel="0" collapsed="false">
      <c r="B1886" s="27" t="n">
        <v>45138.4137731481</v>
      </c>
      <c r="C1886" s="27" t="n">
        <v>45138.4137731481</v>
      </c>
      <c r="D1886" s="28" t="s">
        <v>583</v>
      </c>
      <c r="E1886" s="29" t="s">
        <v>584</v>
      </c>
      <c r="F1886" s="29" t="n">
        <v>331</v>
      </c>
      <c r="G1886" s="30"/>
      <c r="H1886" s="32" t="n">
        <v>2755957600</v>
      </c>
      <c r="I1886" s="14" t="n">
        <f aca="false">I1885+G1886-H1886</f>
        <v>2579360</v>
      </c>
    </row>
    <row r="1887" customFormat="false" ht="12" hidden="false" customHeight="true" outlineLevel="0" collapsed="false">
      <c r="B1887" s="27" t="n">
        <v>45146.6075925926</v>
      </c>
      <c r="C1887" s="27" t="n">
        <v>45146.6075925926</v>
      </c>
      <c r="D1887" s="28" t="s">
        <v>585</v>
      </c>
      <c r="E1887" s="29" t="s">
        <v>467</v>
      </c>
      <c r="F1887" s="29" t="n">
        <v>3411</v>
      </c>
      <c r="G1887" s="30" t="n">
        <v>714632644</v>
      </c>
      <c r="H1887" s="31"/>
      <c r="I1887" s="14" t="n">
        <f aca="false">I1886+G1887-H1887</f>
        <v>717212004</v>
      </c>
    </row>
    <row r="1888" customFormat="false" ht="12" hidden="false" customHeight="true" outlineLevel="0" collapsed="false">
      <c r="B1888" s="27" t="n">
        <v>45148.7085763889</v>
      </c>
      <c r="C1888" s="27" t="n">
        <v>45148.7085763889</v>
      </c>
      <c r="D1888" s="28" t="s">
        <v>586</v>
      </c>
      <c r="E1888" s="29" t="s">
        <v>587</v>
      </c>
      <c r="F1888" s="29" t="n">
        <v>331</v>
      </c>
      <c r="G1888" s="30"/>
      <c r="H1888" s="32" t="n">
        <v>714632644</v>
      </c>
      <c r="I1888" s="14" t="n">
        <f aca="false">I1887+G1888-H1888</f>
        <v>2579360</v>
      </c>
    </row>
    <row r="1889" customFormat="false" ht="12" hidden="false" customHeight="true" outlineLevel="0" collapsed="false">
      <c r="B1889" s="27" t="n">
        <v>45148.7918634259</v>
      </c>
      <c r="C1889" s="27" t="n">
        <v>45148.7918634259</v>
      </c>
      <c r="D1889" s="28" t="s">
        <v>588</v>
      </c>
      <c r="E1889" s="29" t="s">
        <v>467</v>
      </c>
      <c r="F1889" s="29" t="n">
        <v>3411</v>
      </c>
      <c r="G1889" s="30" t="n">
        <v>252505105</v>
      </c>
      <c r="H1889" s="31"/>
      <c r="I1889" s="14" t="n">
        <f aca="false">I1888+G1889-H1889</f>
        <v>255084465</v>
      </c>
    </row>
    <row r="1890" customFormat="false" ht="12" hidden="false" customHeight="true" outlineLevel="0" collapsed="false">
      <c r="B1890" s="27" t="n">
        <v>45149.6450462963</v>
      </c>
      <c r="C1890" s="27" t="n">
        <v>45149.6450462963</v>
      </c>
      <c r="D1890" s="28" t="s">
        <v>589</v>
      </c>
      <c r="E1890" s="29" t="s">
        <v>590</v>
      </c>
      <c r="F1890" s="29" t="n">
        <v>331</v>
      </c>
      <c r="G1890" s="30"/>
      <c r="H1890" s="32" t="n">
        <v>252505105</v>
      </c>
      <c r="I1890" s="14" t="n">
        <f aca="false">I1889+G1890-H1890</f>
        <v>2579360</v>
      </c>
    </row>
    <row r="1891" customFormat="false" ht="12" hidden="false" customHeight="true" outlineLevel="0" collapsed="false">
      <c r="B1891" s="27" t="n">
        <v>45152.7625462963</v>
      </c>
      <c r="C1891" s="27" t="n">
        <v>45152.7625462963</v>
      </c>
      <c r="D1891" s="28" t="s">
        <v>591</v>
      </c>
      <c r="E1891" s="29" t="s">
        <v>467</v>
      </c>
      <c r="F1891" s="29" t="n">
        <v>3411</v>
      </c>
      <c r="G1891" s="30" t="n">
        <v>911224575</v>
      </c>
      <c r="H1891" s="31"/>
      <c r="I1891" s="14" t="n">
        <f aca="false">I1890+G1891-H1891</f>
        <v>913803935</v>
      </c>
    </row>
    <row r="1892" customFormat="false" ht="12" hidden="false" customHeight="true" outlineLevel="0" collapsed="false">
      <c r="B1892" s="27" t="n">
        <v>45154.7929166667</v>
      </c>
      <c r="C1892" s="27" t="n">
        <v>45154.7929166667</v>
      </c>
      <c r="D1892" s="28" t="s">
        <v>592</v>
      </c>
      <c r="E1892" s="29" t="s">
        <v>593</v>
      </c>
      <c r="F1892" s="29" t="n">
        <v>331</v>
      </c>
      <c r="G1892" s="30"/>
      <c r="H1892" s="32" t="n">
        <v>911224575</v>
      </c>
      <c r="I1892" s="14" t="n">
        <f aca="false">I1891+G1892-H1892</f>
        <v>2579360</v>
      </c>
    </row>
    <row r="1893" customFormat="false" ht="12" hidden="false" customHeight="true" outlineLevel="0" collapsed="false">
      <c r="B1893" s="27" t="n">
        <v>45159.6222337963</v>
      </c>
      <c r="C1893" s="27" t="n">
        <v>45159.6222337963</v>
      </c>
      <c r="D1893" s="28" t="s">
        <v>594</v>
      </c>
      <c r="E1893" s="29" t="s">
        <v>467</v>
      </c>
      <c r="F1893" s="29" t="n">
        <v>3411</v>
      </c>
      <c r="G1893" s="30" t="n">
        <v>574085847</v>
      </c>
      <c r="H1893" s="31"/>
      <c r="I1893" s="14" t="n">
        <f aca="false">I1892+G1893-H1893</f>
        <v>576665207</v>
      </c>
    </row>
    <row r="1894" customFormat="false" ht="12" hidden="false" customHeight="true" outlineLevel="0" collapsed="false">
      <c r="B1894" s="27" t="n">
        <v>45159.6225694444</v>
      </c>
      <c r="C1894" s="27" t="n">
        <v>45159.6225694444</v>
      </c>
      <c r="D1894" s="28" t="s">
        <v>595</v>
      </c>
      <c r="E1894" s="29" t="s">
        <v>562</v>
      </c>
      <c r="F1894" s="29" t="n">
        <v>331</v>
      </c>
      <c r="G1894" s="30"/>
      <c r="H1894" s="32" t="n">
        <v>574085847</v>
      </c>
      <c r="I1894" s="14" t="n">
        <f aca="false">I1893+G1894-H1894</f>
        <v>2579360</v>
      </c>
    </row>
    <row r="1895" customFormat="false" ht="12" hidden="false" customHeight="true" outlineLevel="0" collapsed="false">
      <c r="B1895" s="27" t="n">
        <v>45160.4574652778</v>
      </c>
      <c r="C1895" s="27" t="n">
        <v>45160.4574652778</v>
      </c>
      <c r="D1895" s="28" t="s">
        <v>596</v>
      </c>
      <c r="E1895" s="29" t="s">
        <v>467</v>
      </c>
      <c r="F1895" s="29" t="n">
        <v>3411</v>
      </c>
      <c r="G1895" s="30" t="n">
        <v>3457595547</v>
      </c>
      <c r="H1895" s="31"/>
      <c r="I1895" s="14" t="n">
        <f aca="false">I1894+G1895-H1895</f>
        <v>3460174907</v>
      </c>
    </row>
    <row r="1896" customFormat="false" ht="12" hidden="false" customHeight="true" outlineLevel="0" collapsed="false">
      <c r="B1896" s="27" t="n">
        <v>45169.8043518519</v>
      </c>
      <c r="C1896" s="27" t="n">
        <v>45169.8043518519</v>
      </c>
      <c r="D1896" s="28" t="s">
        <v>597</v>
      </c>
      <c r="E1896" s="29" t="s">
        <v>598</v>
      </c>
      <c r="F1896" s="29" t="n">
        <v>331</v>
      </c>
      <c r="G1896" s="30"/>
      <c r="H1896" s="32" t="n">
        <v>3457595547</v>
      </c>
      <c r="I1896" s="14" t="n">
        <f aca="false">I1895+G1896-H1896</f>
        <v>2579360</v>
      </c>
    </row>
    <row r="1897" customFormat="false" ht="12" hidden="false" customHeight="true" outlineLevel="0" collapsed="false">
      <c r="B1897" s="27" t="n">
        <v>45169.807025463</v>
      </c>
      <c r="C1897" s="27" t="n">
        <v>45169.807025463</v>
      </c>
      <c r="D1897" s="28" t="s">
        <v>599</v>
      </c>
      <c r="E1897" s="29" t="s">
        <v>467</v>
      </c>
      <c r="F1897" s="29" t="n">
        <v>3411</v>
      </c>
      <c r="G1897" s="30" t="n">
        <v>331688131</v>
      </c>
      <c r="H1897" s="31"/>
      <c r="I1897" s="14" t="n">
        <f aca="false">I1896+G1897-H1897</f>
        <v>334267491</v>
      </c>
    </row>
    <row r="1898" customFormat="false" ht="12" hidden="false" customHeight="true" outlineLevel="0" collapsed="false">
      <c r="B1898" s="27" t="n">
        <v>45175.7695601852</v>
      </c>
      <c r="C1898" s="27" t="n">
        <v>45175.7695601852</v>
      </c>
      <c r="D1898" s="28" t="s">
        <v>600</v>
      </c>
      <c r="E1898" s="29" t="s">
        <v>601</v>
      </c>
      <c r="F1898" s="29" t="n">
        <v>331</v>
      </c>
      <c r="G1898" s="30"/>
      <c r="H1898" s="32" t="n">
        <v>331688131</v>
      </c>
      <c r="I1898" s="14" t="n">
        <f aca="false">I1897+G1898-H1898</f>
        <v>2579360</v>
      </c>
    </row>
    <row r="1899" customFormat="false" ht="12" hidden="false" customHeight="true" outlineLevel="0" collapsed="false">
      <c r="B1899" s="27" t="n">
        <v>45176.6727662037</v>
      </c>
      <c r="C1899" s="27" t="n">
        <v>45176.6727662037</v>
      </c>
      <c r="D1899" s="28" t="s">
        <v>602</v>
      </c>
      <c r="E1899" s="29" t="s">
        <v>467</v>
      </c>
      <c r="F1899" s="29" t="n">
        <v>3411</v>
      </c>
      <c r="G1899" s="30" t="n">
        <v>580130025</v>
      </c>
      <c r="H1899" s="31"/>
      <c r="I1899" s="14" t="n">
        <f aca="false">I1898+G1899-H1899</f>
        <v>582709385</v>
      </c>
    </row>
    <row r="1900" customFormat="false" ht="12" hidden="false" customHeight="true" outlineLevel="0" collapsed="false">
      <c r="B1900" s="27" t="n">
        <v>45180.6535069444</v>
      </c>
      <c r="C1900" s="27" t="n">
        <v>45180.6535069444</v>
      </c>
      <c r="D1900" s="28" t="s">
        <v>603</v>
      </c>
      <c r="E1900" s="29" t="s">
        <v>604</v>
      </c>
      <c r="F1900" s="29" t="n">
        <v>331</v>
      </c>
      <c r="G1900" s="30"/>
      <c r="H1900" s="32" t="n">
        <v>580130025</v>
      </c>
      <c r="I1900" s="14" t="n">
        <f aca="false">I1899+G1900-H1900</f>
        <v>2579360</v>
      </c>
    </row>
    <row r="1901" customFormat="false" ht="12" hidden="false" customHeight="true" outlineLevel="0" collapsed="false">
      <c r="B1901" s="27" t="n">
        <v>45188.8328472222</v>
      </c>
      <c r="C1901" s="27" t="n">
        <v>45188.8328472222</v>
      </c>
      <c r="D1901" s="28" t="s">
        <v>605</v>
      </c>
      <c r="E1901" s="29" t="s">
        <v>467</v>
      </c>
      <c r="F1901" s="29" t="n">
        <v>3411</v>
      </c>
      <c r="G1901" s="30" t="n">
        <v>361108993</v>
      </c>
      <c r="H1901" s="31"/>
      <c r="I1901" s="14" t="n">
        <f aca="false">I1900+G1901-H1901</f>
        <v>363688353</v>
      </c>
    </row>
    <row r="1902" customFormat="false" ht="12" hidden="false" customHeight="true" outlineLevel="0" collapsed="false">
      <c r="B1902" s="27" t="n">
        <v>45190.7106365741</v>
      </c>
      <c r="C1902" s="27" t="n">
        <v>45190.7106365741</v>
      </c>
      <c r="D1902" s="28" t="s">
        <v>606</v>
      </c>
      <c r="E1902" s="29" t="s">
        <v>607</v>
      </c>
      <c r="F1902" s="29" t="n">
        <v>331</v>
      </c>
      <c r="G1902" s="30"/>
      <c r="H1902" s="32" t="n">
        <v>361108993</v>
      </c>
      <c r="I1902" s="14" t="n">
        <f aca="false">I1901+G1902-H1902</f>
        <v>2579360</v>
      </c>
    </row>
    <row r="1903" customFormat="false" ht="12" hidden="false" customHeight="true" outlineLevel="0" collapsed="false">
      <c r="B1903" s="27" t="n">
        <v>45191.7167013889</v>
      </c>
      <c r="C1903" s="27" t="n">
        <v>45191.7167013889</v>
      </c>
      <c r="D1903" s="28" t="s">
        <v>608</v>
      </c>
      <c r="E1903" s="29" t="s">
        <v>467</v>
      </c>
      <c r="F1903" s="29" t="n">
        <v>3411</v>
      </c>
      <c r="G1903" s="30" t="n">
        <v>240489903</v>
      </c>
      <c r="H1903" s="31"/>
      <c r="I1903" s="14" t="n">
        <f aca="false">I1902+G1903-H1903</f>
        <v>243069263</v>
      </c>
    </row>
    <row r="1904" customFormat="false" ht="12" hidden="false" customHeight="true" outlineLevel="0" collapsed="false">
      <c r="B1904" s="27" t="n">
        <v>45191.8276388889</v>
      </c>
      <c r="C1904" s="27" t="n">
        <v>45191.8276388889</v>
      </c>
      <c r="D1904" s="28" t="s">
        <v>609</v>
      </c>
      <c r="E1904" s="29" t="s">
        <v>610</v>
      </c>
      <c r="F1904" s="29" t="n">
        <v>331</v>
      </c>
      <c r="G1904" s="30"/>
      <c r="H1904" s="32" t="n">
        <v>240489903</v>
      </c>
      <c r="I1904" s="14" t="n">
        <f aca="false">I1903+G1904-H1904</f>
        <v>2579360</v>
      </c>
    </row>
    <row r="1905" customFormat="false" ht="12" hidden="false" customHeight="true" outlineLevel="0" collapsed="false">
      <c r="B1905" s="27" t="n">
        <v>45194.8336342593</v>
      </c>
      <c r="C1905" s="27" t="n">
        <v>45194.8336342593</v>
      </c>
      <c r="D1905" s="28" t="s">
        <v>611</v>
      </c>
      <c r="E1905" s="29" t="s">
        <v>467</v>
      </c>
      <c r="F1905" s="29" t="n">
        <v>3411</v>
      </c>
      <c r="G1905" s="30" t="n">
        <v>394773734</v>
      </c>
      <c r="H1905" s="31"/>
      <c r="I1905" s="14" t="n">
        <f aca="false">I1904+G1905-H1905</f>
        <v>397353094</v>
      </c>
    </row>
    <row r="1906" customFormat="false" ht="12" hidden="false" customHeight="true" outlineLevel="0" collapsed="false">
      <c r="B1906" s="27" t="n">
        <v>45197.7426736111</v>
      </c>
      <c r="C1906" s="27" t="n">
        <v>45197.7426736111</v>
      </c>
      <c r="D1906" s="28" t="s">
        <v>612</v>
      </c>
      <c r="E1906" s="29" t="s">
        <v>467</v>
      </c>
      <c r="F1906" s="29" t="n">
        <v>3411</v>
      </c>
      <c r="G1906" s="30" t="n">
        <v>639244195</v>
      </c>
      <c r="H1906" s="31"/>
      <c r="I1906" s="14" t="n">
        <f aca="false">I1905+G1906-H1906</f>
        <v>1036597289</v>
      </c>
    </row>
    <row r="1907" customFormat="false" ht="12" hidden="false" customHeight="true" outlineLevel="0" collapsed="false">
      <c r="B1907" s="27" t="n">
        <v>45197.7444560185</v>
      </c>
      <c r="C1907" s="27" t="n">
        <v>45197.7444560185</v>
      </c>
      <c r="D1907" s="28" t="s">
        <v>613</v>
      </c>
      <c r="E1907" s="29" t="s">
        <v>614</v>
      </c>
      <c r="F1907" s="29" t="n">
        <v>331</v>
      </c>
      <c r="G1907" s="30"/>
      <c r="H1907" s="32" t="n">
        <v>394773734</v>
      </c>
      <c r="I1907" s="14" t="n">
        <f aca="false">I1906+G1907-H1907</f>
        <v>641823555</v>
      </c>
    </row>
    <row r="1908" customFormat="false" ht="12" hidden="false" customHeight="true" outlineLevel="0" collapsed="false">
      <c r="B1908" s="27" t="n">
        <v>45198.7459027778</v>
      </c>
      <c r="C1908" s="27" t="n">
        <v>45198.7459027778</v>
      </c>
      <c r="D1908" s="28" t="s">
        <v>615</v>
      </c>
      <c r="E1908" s="29" t="s">
        <v>616</v>
      </c>
      <c r="F1908" s="29" t="n">
        <v>331</v>
      </c>
      <c r="G1908" s="30"/>
      <c r="H1908" s="32" t="n">
        <v>639244195</v>
      </c>
      <c r="I1908" s="14" t="n">
        <f aca="false">I1907+G1908-H1908</f>
        <v>2579360</v>
      </c>
    </row>
    <row r="1909" customFormat="false" ht="12" hidden="false" customHeight="true" outlineLevel="0" collapsed="false">
      <c r="B1909" s="27" t="n">
        <v>45199.7484722222</v>
      </c>
      <c r="C1909" s="27" t="n">
        <v>45199.7484722222</v>
      </c>
      <c r="D1909" s="28" t="s">
        <v>617</v>
      </c>
      <c r="E1909" s="29" t="s">
        <v>467</v>
      </c>
      <c r="F1909" s="29" t="n">
        <v>3411</v>
      </c>
      <c r="G1909" s="30" t="n">
        <v>182138592</v>
      </c>
      <c r="H1909" s="31"/>
      <c r="I1909" s="14" t="n">
        <f aca="false">I1908+G1909-H1909</f>
        <v>184717952</v>
      </c>
    </row>
    <row r="1910" customFormat="false" ht="12" hidden="false" customHeight="true" outlineLevel="0" collapsed="false">
      <c r="B1910" s="27" t="n">
        <v>45210.5987731482</v>
      </c>
      <c r="C1910" s="27" t="n">
        <v>45210.5987731482</v>
      </c>
      <c r="D1910" s="28" t="s">
        <v>618</v>
      </c>
      <c r="E1910" s="29" t="s">
        <v>576</v>
      </c>
      <c r="F1910" s="29" t="n">
        <v>331</v>
      </c>
      <c r="G1910" s="30"/>
      <c r="H1910" s="32" t="n">
        <v>182138592</v>
      </c>
      <c r="I1910" s="14" t="n">
        <f aca="false">I1909+G1910-H1910</f>
        <v>2579360</v>
      </c>
    </row>
    <row r="1911" customFormat="false" ht="12" hidden="false" customHeight="true" outlineLevel="0" collapsed="false">
      <c r="B1911" s="27" t="n">
        <v>45211.6201967593</v>
      </c>
      <c r="C1911" s="27" t="n">
        <v>45211.6201967593</v>
      </c>
      <c r="D1911" s="28" t="s">
        <v>619</v>
      </c>
      <c r="E1911" s="29" t="s">
        <v>467</v>
      </c>
      <c r="F1911" s="29" t="n">
        <v>3411</v>
      </c>
      <c r="G1911" s="30" t="n">
        <v>415459768</v>
      </c>
      <c r="H1911" s="31"/>
      <c r="I1911" s="14" t="n">
        <f aca="false">I1910+G1911-H1911</f>
        <v>418039128</v>
      </c>
    </row>
    <row r="1912" customFormat="false" ht="12" hidden="false" customHeight="true" outlineLevel="0" collapsed="false">
      <c r="B1912" s="27" t="n">
        <v>45211.6208796296</v>
      </c>
      <c r="C1912" s="27" t="n">
        <v>45211.6208796296</v>
      </c>
      <c r="D1912" s="28" t="s">
        <v>620</v>
      </c>
      <c r="E1912" s="29" t="s">
        <v>621</v>
      </c>
      <c r="F1912" s="29" t="n">
        <v>331</v>
      </c>
      <c r="G1912" s="30"/>
      <c r="H1912" s="32" t="n">
        <v>415459768</v>
      </c>
      <c r="I1912" s="14" t="n">
        <f aca="false">I1911+G1912-H1912</f>
        <v>2579360</v>
      </c>
    </row>
    <row r="1913" customFormat="false" ht="12" hidden="false" customHeight="true" outlineLevel="0" collapsed="false">
      <c r="B1913" s="27" t="n">
        <v>45212.6322337963</v>
      </c>
      <c r="C1913" s="27" t="n">
        <v>45212.6322337963</v>
      </c>
      <c r="D1913" s="28" t="s">
        <v>622</v>
      </c>
      <c r="E1913" s="29" t="s">
        <v>467</v>
      </c>
      <c r="F1913" s="29" t="n">
        <v>3411</v>
      </c>
      <c r="G1913" s="30" t="n">
        <v>322175232</v>
      </c>
      <c r="H1913" s="31"/>
      <c r="I1913" s="14" t="n">
        <f aca="false">I1912+G1913-H1913</f>
        <v>324754592</v>
      </c>
    </row>
    <row r="1914" customFormat="false" ht="12" hidden="false" customHeight="true" outlineLevel="0" collapsed="false">
      <c r="B1914" s="27" t="n">
        <v>45223.8127430556</v>
      </c>
      <c r="C1914" s="27" t="n">
        <v>45223.8127430556</v>
      </c>
      <c r="D1914" s="28" t="s">
        <v>623</v>
      </c>
      <c r="E1914" s="29" t="s">
        <v>624</v>
      </c>
      <c r="F1914" s="29" t="n">
        <v>331</v>
      </c>
      <c r="G1914" s="30"/>
      <c r="H1914" s="32" t="n">
        <v>322175232</v>
      </c>
      <c r="I1914" s="14" t="n">
        <f aca="false">I1913+G1914-H1914</f>
        <v>2579360</v>
      </c>
    </row>
    <row r="1915" customFormat="false" ht="12" hidden="false" customHeight="true" outlineLevel="0" collapsed="false">
      <c r="B1915" s="27" t="n">
        <v>45223.8139930556</v>
      </c>
      <c r="C1915" s="27" t="n">
        <v>45223.8139930556</v>
      </c>
      <c r="D1915" s="28" t="s">
        <v>625</v>
      </c>
      <c r="E1915" s="29" t="s">
        <v>467</v>
      </c>
      <c r="F1915" s="29" t="n">
        <v>3411</v>
      </c>
      <c r="G1915" s="30" t="n">
        <v>451690496</v>
      </c>
      <c r="H1915" s="31"/>
      <c r="I1915" s="14" t="n">
        <f aca="false">I1914+G1915-H1915</f>
        <v>454269856</v>
      </c>
    </row>
    <row r="1916" customFormat="false" ht="12" hidden="false" customHeight="true" outlineLevel="0" collapsed="false">
      <c r="B1916" s="27" t="n">
        <v>45224.8127314815</v>
      </c>
      <c r="C1916" s="27" t="n">
        <v>45224.8127314815</v>
      </c>
      <c r="D1916" s="28" t="s">
        <v>626</v>
      </c>
      <c r="E1916" s="29" t="s">
        <v>627</v>
      </c>
      <c r="F1916" s="29" t="n">
        <v>331</v>
      </c>
      <c r="G1916" s="30"/>
      <c r="H1916" s="32" t="n">
        <v>451690496</v>
      </c>
      <c r="I1916" s="14" t="n">
        <f aca="false">I1915+G1916-H1916</f>
        <v>2579360</v>
      </c>
    </row>
    <row r="1917" customFormat="false" ht="12" hidden="false" customHeight="true" outlineLevel="0" collapsed="false">
      <c r="B1917" s="27" t="n">
        <v>45226</v>
      </c>
      <c r="C1917" s="27" t="n">
        <v>45226</v>
      </c>
      <c r="D1917" s="28" t="s">
        <v>628</v>
      </c>
      <c r="E1917" s="29" t="s">
        <v>467</v>
      </c>
      <c r="F1917" s="29" t="n">
        <v>3411</v>
      </c>
      <c r="G1917" s="30" t="n">
        <v>254815217</v>
      </c>
      <c r="H1917" s="31"/>
      <c r="I1917" s="14" t="n">
        <f aca="false">I1916+G1917-H1917</f>
        <v>257394577</v>
      </c>
    </row>
    <row r="1918" customFormat="false" ht="12" hidden="false" customHeight="true" outlineLevel="0" collapsed="false">
      <c r="B1918" s="27" t="n">
        <v>45226</v>
      </c>
      <c r="C1918" s="27" t="n">
        <v>45226</v>
      </c>
      <c r="D1918" s="28" t="s">
        <v>629</v>
      </c>
      <c r="E1918" s="29" t="s">
        <v>467</v>
      </c>
      <c r="F1918" s="29" t="n">
        <v>3411</v>
      </c>
      <c r="G1918" s="30" t="n">
        <v>137803428</v>
      </c>
      <c r="H1918" s="31"/>
      <c r="I1918" s="14" t="n">
        <f aca="false">I1917+G1918-H1918</f>
        <v>395198005</v>
      </c>
    </row>
    <row r="1919" customFormat="false" ht="12" hidden="false" customHeight="true" outlineLevel="0" collapsed="false">
      <c r="B1919" s="27" t="n">
        <v>45229</v>
      </c>
      <c r="C1919" s="27" t="n">
        <v>45229</v>
      </c>
      <c r="D1919" s="28" t="s">
        <v>630</v>
      </c>
      <c r="E1919" s="29" t="s">
        <v>467</v>
      </c>
      <c r="F1919" s="29" t="n">
        <v>3411</v>
      </c>
      <c r="G1919" s="30" t="n">
        <v>2919720103</v>
      </c>
      <c r="H1919" s="31"/>
      <c r="I1919" s="14" t="n">
        <f aca="false">I1918+G1919-H1919</f>
        <v>3314918108</v>
      </c>
    </row>
    <row r="1920" customFormat="false" ht="12" hidden="false" customHeight="true" outlineLevel="0" collapsed="false">
      <c r="B1920" s="27" t="n">
        <v>45229</v>
      </c>
      <c r="C1920" s="27" t="n">
        <v>45229</v>
      </c>
      <c r="D1920" s="28" t="s">
        <v>631</v>
      </c>
      <c r="E1920" s="29" t="s">
        <v>467</v>
      </c>
      <c r="F1920" s="29" t="n">
        <v>3411</v>
      </c>
      <c r="G1920" s="30" t="n">
        <v>279542523</v>
      </c>
      <c r="H1920" s="31"/>
      <c r="I1920" s="14" t="n">
        <f aca="false">I1919+G1920-H1920</f>
        <v>3594460631</v>
      </c>
    </row>
    <row r="1921" customFormat="false" ht="12" hidden="false" customHeight="true" outlineLevel="0" collapsed="false">
      <c r="B1921" s="27" t="n">
        <v>45226.554212963</v>
      </c>
      <c r="C1921" s="27" t="n">
        <v>45226.554212963</v>
      </c>
      <c r="D1921" s="28" t="s">
        <v>632</v>
      </c>
      <c r="E1921" s="29" t="s">
        <v>467</v>
      </c>
      <c r="F1921" s="29" t="n">
        <v>3411</v>
      </c>
      <c r="G1921" s="30" t="n">
        <v>335895311</v>
      </c>
      <c r="H1921" s="31"/>
      <c r="I1921" s="14" t="n">
        <f aca="false">I1920+G1921-H1921</f>
        <v>3930355942</v>
      </c>
    </row>
    <row r="1922" customFormat="false" ht="12" hidden="false" customHeight="true" outlineLevel="0" collapsed="false">
      <c r="B1922" s="27" t="n">
        <v>45226.6600925926</v>
      </c>
      <c r="C1922" s="27" t="n">
        <v>45226.6600925926</v>
      </c>
      <c r="D1922" s="28" t="s">
        <v>633</v>
      </c>
      <c r="E1922" s="29" t="s">
        <v>634</v>
      </c>
      <c r="F1922" s="29" t="n">
        <v>331</v>
      </c>
      <c r="G1922" s="30"/>
      <c r="H1922" s="32" t="n">
        <v>254815217</v>
      </c>
      <c r="I1922" s="14" t="n">
        <f aca="false">I1921+G1922-H1922</f>
        <v>3675540725</v>
      </c>
    </row>
    <row r="1923" customFormat="false" ht="12" hidden="false" customHeight="true" outlineLevel="0" collapsed="false">
      <c r="B1923" s="27" t="n">
        <v>45229.7911574074</v>
      </c>
      <c r="C1923" s="27" t="n">
        <v>45229.7911574074</v>
      </c>
      <c r="D1923" s="28" t="s">
        <v>635</v>
      </c>
      <c r="E1923" s="29" t="s">
        <v>636</v>
      </c>
      <c r="F1923" s="29" t="n">
        <v>331</v>
      </c>
      <c r="G1923" s="30"/>
      <c r="H1923" s="32" t="n">
        <v>137803428</v>
      </c>
      <c r="I1923" s="14" t="n">
        <f aca="false">I1922+G1923-H1923</f>
        <v>3537737297</v>
      </c>
    </row>
    <row r="1924" customFormat="false" ht="12" hidden="false" customHeight="true" outlineLevel="0" collapsed="false">
      <c r="B1924" s="27" t="n">
        <v>45230.2962731481</v>
      </c>
      <c r="C1924" s="27" t="n">
        <v>45230.2962731481</v>
      </c>
      <c r="D1924" s="28" t="s">
        <v>637</v>
      </c>
      <c r="E1924" s="29" t="s">
        <v>638</v>
      </c>
      <c r="F1924" s="29" t="n">
        <v>331</v>
      </c>
      <c r="G1924" s="30"/>
      <c r="H1924" s="32" t="n">
        <v>2919720103</v>
      </c>
      <c r="I1924" s="14" t="n">
        <f aca="false">I1923+G1924-H1924</f>
        <v>618017194</v>
      </c>
    </row>
    <row r="1925" customFormat="false" ht="12" hidden="false" customHeight="true" outlineLevel="0" collapsed="false">
      <c r="B1925" s="27" t="n">
        <v>45230.6708796296</v>
      </c>
      <c r="C1925" s="27" t="n">
        <v>45230.6708796296</v>
      </c>
      <c r="D1925" s="28" t="s">
        <v>639</v>
      </c>
      <c r="E1925" s="29" t="s">
        <v>640</v>
      </c>
      <c r="F1925" s="29" t="n">
        <v>331</v>
      </c>
      <c r="G1925" s="30"/>
      <c r="H1925" s="32" t="n">
        <v>279542523</v>
      </c>
      <c r="I1925" s="14" t="n">
        <f aca="false">I1924+G1925-H1925</f>
        <v>338474671</v>
      </c>
    </row>
    <row r="1926" customFormat="false" ht="12" hidden="false" customHeight="true" outlineLevel="0" collapsed="false">
      <c r="B1926" s="27" t="n">
        <v>45231.7235763889</v>
      </c>
      <c r="C1926" s="27" t="n">
        <v>45231.7235763889</v>
      </c>
      <c r="D1926" s="28" t="s">
        <v>641</v>
      </c>
      <c r="E1926" s="29" t="s">
        <v>642</v>
      </c>
      <c r="F1926" s="29" t="n">
        <v>331</v>
      </c>
      <c r="G1926" s="30"/>
      <c r="H1926" s="32" t="n">
        <v>335895311</v>
      </c>
      <c r="I1926" s="14" t="n">
        <f aca="false">I1925+G1926-H1926</f>
        <v>2579360</v>
      </c>
    </row>
    <row r="1927" customFormat="false" ht="12" hidden="false" customHeight="true" outlineLevel="0" collapsed="false">
      <c r="B1927" s="27" t="n">
        <v>45231.7253819444</v>
      </c>
      <c r="C1927" s="27" t="n">
        <v>45231.7253819444</v>
      </c>
      <c r="D1927" s="28" t="s">
        <v>643</v>
      </c>
      <c r="E1927" s="29" t="s">
        <v>467</v>
      </c>
      <c r="F1927" s="29" t="n">
        <v>3411</v>
      </c>
      <c r="G1927" s="30" t="n">
        <v>294229948</v>
      </c>
      <c r="H1927" s="31"/>
      <c r="I1927" s="14" t="n">
        <f aca="false">I1926+G1927-H1927</f>
        <v>296809308</v>
      </c>
    </row>
    <row r="1928" customFormat="false" ht="12" hidden="false" customHeight="true" outlineLevel="0" collapsed="false">
      <c r="B1928" s="27" t="n">
        <v>45232.2841087963</v>
      </c>
      <c r="C1928" s="27" t="n">
        <v>45232.2841087963</v>
      </c>
      <c r="D1928" s="28" t="s">
        <v>644</v>
      </c>
      <c r="E1928" s="29" t="s">
        <v>467</v>
      </c>
      <c r="F1928" s="29" t="n">
        <v>3411</v>
      </c>
      <c r="G1928" s="30" t="n">
        <v>371126557</v>
      </c>
      <c r="H1928" s="31"/>
      <c r="I1928" s="14" t="n">
        <f aca="false">I1927+G1928-H1928</f>
        <v>667935865</v>
      </c>
    </row>
    <row r="1929" customFormat="false" ht="12" hidden="false" customHeight="true" outlineLevel="0" collapsed="false">
      <c r="B1929" s="27" t="n">
        <v>45232.2843518519</v>
      </c>
      <c r="C1929" s="27" t="n">
        <v>45232.2843518519</v>
      </c>
      <c r="D1929" s="28" t="s">
        <v>645</v>
      </c>
      <c r="E1929" s="29" t="s">
        <v>467</v>
      </c>
      <c r="F1929" s="29" t="n">
        <v>3411</v>
      </c>
      <c r="G1929" s="30" t="n">
        <v>289222532</v>
      </c>
      <c r="H1929" s="31"/>
      <c r="I1929" s="14" t="n">
        <f aca="false">I1928+G1929-H1929</f>
        <v>957158397</v>
      </c>
    </row>
    <row r="1930" customFormat="false" ht="12" hidden="false" customHeight="true" outlineLevel="0" collapsed="false">
      <c r="B1930" s="27" t="n">
        <v>45233.4388425926</v>
      </c>
      <c r="C1930" s="27" t="n">
        <v>45233.4388425926</v>
      </c>
      <c r="D1930" s="28" t="s">
        <v>646</v>
      </c>
      <c r="E1930" s="29" t="s">
        <v>647</v>
      </c>
      <c r="F1930" s="29" t="n">
        <v>331</v>
      </c>
      <c r="G1930" s="30"/>
      <c r="H1930" s="32" t="n">
        <v>294229948</v>
      </c>
      <c r="I1930" s="14" t="n">
        <f aca="false">I1929+G1930-H1930</f>
        <v>662928449</v>
      </c>
    </row>
    <row r="1931" customFormat="false" ht="12" hidden="false" customHeight="true" outlineLevel="0" collapsed="false">
      <c r="B1931" s="27" t="n">
        <v>45238.2858101852</v>
      </c>
      <c r="C1931" s="27" t="n">
        <v>45238.2858101852</v>
      </c>
      <c r="D1931" s="28" t="s">
        <v>648</v>
      </c>
      <c r="E1931" s="29" t="s">
        <v>642</v>
      </c>
      <c r="F1931" s="29" t="n">
        <v>331</v>
      </c>
      <c r="G1931" s="30"/>
      <c r="H1931" s="32" t="n">
        <v>371126557</v>
      </c>
      <c r="I1931" s="14" t="n">
        <f aca="false">I1930+G1931-H1931</f>
        <v>291801892</v>
      </c>
    </row>
    <row r="1932" customFormat="false" ht="12" hidden="false" customHeight="true" outlineLevel="0" collapsed="false">
      <c r="B1932" s="27" t="n">
        <v>45240.7545601852</v>
      </c>
      <c r="C1932" s="27" t="n">
        <v>45240.7545601852</v>
      </c>
      <c r="D1932" s="28" t="s">
        <v>649</v>
      </c>
      <c r="E1932" s="29" t="s">
        <v>650</v>
      </c>
      <c r="F1932" s="29" t="n">
        <v>331</v>
      </c>
      <c r="G1932" s="30"/>
      <c r="H1932" s="32" t="n">
        <v>289222532</v>
      </c>
      <c r="I1932" s="14" t="n">
        <f aca="false">I1931+G1932-H1932</f>
        <v>2579360</v>
      </c>
    </row>
    <row r="1933" customFormat="false" ht="12" hidden="false" customHeight="true" outlineLevel="0" collapsed="false">
      <c r="B1933" s="27" t="n">
        <v>45243.7166666667</v>
      </c>
      <c r="C1933" s="27" t="n">
        <v>45243.7166666667</v>
      </c>
      <c r="D1933" s="28" t="s">
        <v>651</v>
      </c>
      <c r="E1933" s="29" t="s">
        <v>467</v>
      </c>
      <c r="F1933" s="29" t="n">
        <v>3411</v>
      </c>
      <c r="G1933" s="30" t="n">
        <v>682705450</v>
      </c>
      <c r="H1933" s="31"/>
      <c r="I1933" s="14" t="n">
        <f aca="false">I1932+G1933-H1933</f>
        <v>685284810</v>
      </c>
    </row>
    <row r="1934" customFormat="false" ht="12" hidden="false" customHeight="true" outlineLevel="0" collapsed="false">
      <c r="B1934" s="27" t="n">
        <v>45244.7192013889</v>
      </c>
      <c r="C1934" s="27" t="n">
        <v>45244.7192013889</v>
      </c>
      <c r="D1934" s="28" t="s">
        <v>652</v>
      </c>
      <c r="E1934" s="29" t="s">
        <v>653</v>
      </c>
      <c r="F1934" s="29" t="n">
        <v>331</v>
      </c>
      <c r="G1934" s="30"/>
      <c r="H1934" s="32" t="n">
        <v>682705450</v>
      </c>
      <c r="I1934" s="14" t="n">
        <f aca="false">I1933+G1934-H1934</f>
        <v>2579360</v>
      </c>
    </row>
    <row r="1935" customFormat="false" ht="12" hidden="false" customHeight="true" outlineLevel="0" collapsed="false">
      <c r="B1935" s="27" t="n">
        <v>45244.7208564815</v>
      </c>
      <c r="C1935" s="27" t="n">
        <v>45244.7208564815</v>
      </c>
      <c r="D1935" s="28" t="s">
        <v>654</v>
      </c>
      <c r="E1935" s="29" t="s">
        <v>467</v>
      </c>
      <c r="F1935" s="29" t="n">
        <v>3411</v>
      </c>
      <c r="G1935" s="30" t="n">
        <v>299059347</v>
      </c>
      <c r="H1935" s="31"/>
      <c r="I1935" s="14" t="n">
        <f aca="false">I1934+G1935-H1935</f>
        <v>301638707</v>
      </c>
    </row>
    <row r="1936" customFormat="false" ht="12" hidden="false" customHeight="true" outlineLevel="0" collapsed="false">
      <c r="B1936" s="27" t="n">
        <v>45246.7834606482</v>
      </c>
      <c r="C1936" s="27" t="n">
        <v>45246.7834606482</v>
      </c>
      <c r="D1936" s="28" t="s">
        <v>655</v>
      </c>
      <c r="E1936" s="29" t="s">
        <v>467</v>
      </c>
      <c r="F1936" s="29" t="n">
        <v>3411</v>
      </c>
      <c r="G1936" s="30" t="n">
        <v>247840258</v>
      </c>
      <c r="H1936" s="31"/>
      <c r="I1936" s="14" t="n">
        <f aca="false">I1935+G1936-H1936</f>
        <v>549478965</v>
      </c>
    </row>
    <row r="1937" customFormat="false" ht="12" hidden="false" customHeight="true" outlineLevel="0" collapsed="false">
      <c r="B1937" s="27" t="n">
        <v>45247.7861689815</v>
      </c>
      <c r="C1937" s="27" t="n">
        <v>45247.7861689815</v>
      </c>
      <c r="D1937" s="28" t="s">
        <v>656</v>
      </c>
      <c r="E1937" s="29" t="s">
        <v>576</v>
      </c>
      <c r="F1937" s="29" t="n">
        <v>331</v>
      </c>
      <c r="G1937" s="30"/>
      <c r="H1937" s="32" t="n">
        <v>299059347</v>
      </c>
      <c r="I1937" s="14" t="n">
        <f aca="false">I1936+G1937-H1937</f>
        <v>250419618</v>
      </c>
    </row>
    <row r="1938" customFormat="false" ht="12" hidden="false" customHeight="true" outlineLevel="0" collapsed="false">
      <c r="B1938" s="27" t="n">
        <v>45250.7588425926</v>
      </c>
      <c r="C1938" s="27" t="n">
        <v>45250.7588425926</v>
      </c>
      <c r="D1938" s="28" t="s">
        <v>657</v>
      </c>
      <c r="E1938" s="29" t="s">
        <v>658</v>
      </c>
      <c r="F1938" s="29" t="n">
        <v>331</v>
      </c>
      <c r="G1938" s="30"/>
      <c r="H1938" s="32" t="n">
        <v>247840258</v>
      </c>
      <c r="I1938" s="14" t="n">
        <f aca="false">I1937+G1938-H1938</f>
        <v>2579360</v>
      </c>
    </row>
    <row r="1939" customFormat="false" ht="12" hidden="false" customHeight="true" outlineLevel="0" collapsed="false">
      <c r="B1939" s="27" t="n">
        <v>45250.7601388889</v>
      </c>
      <c r="C1939" s="27" t="n">
        <v>45250.7601388889</v>
      </c>
      <c r="D1939" s="28" t="s">
        <v>659</v>
      </c>
      <c r="E1939" s="29" t="s">
        <v>467</v>
      </c>
      <c r="F1939" s="29" t="n">
        <v>3411</v>
      </c>
      <c r="G1939" s="30" t="n">
        <v>174852169</v>
      </c>
      <c r="H1939" s="31"/>
      <c r="I1939" s="14" t="n">
        <f aca="false">I1938+G1939-H1939</f>
        <v>177431529</v>
      </c>
    </row>
    <row r="1940" customFormat="false" ht="12" hidden="false" customHeight="true" outlineLevel="0" collapsed="false">
      <c r="B1940" s="27" t="n">
        <v>45251.7790509259</v>
      </c>
      <c r="C1940" s="27" t="n">
        <v>45251.7790509259</v>
      </c>
      <c r="D1940" s="28" t="s">
        <v>660</v>
      </c>
      <c r="E1940" s="29" t="s">
        <v>661</v>
      </c>
      <c r="F1940" s="29" t="n">
        <v>331</v>
      </c>
      <c r="G1940" s="30"/>
      <c r="H1940" s="32" t="n">
        <v>174852169</v>
      </c>
      <c r="I1940" s="14" t="n">
        <f aca="false">I1939+G1940-H1940</f>
        <v>2579360</v>
      </c>
    </row>
    <row r="1941" customFormat="false" ht="12" hidden="false" customHeight="true" outlineLevel="0" collapsed="false">
      <c r="B1941" s="27" t="n">
        <v>45251.7809953704</v>
      </c>
      <c r="C1941" s="27" t="n">
        <v>45251.7809953704</v>
      </c>
      <c r="D1941" s="28" t="s">
        <v>662</v>
      </c>
      <c r="E1941" s="29" t="s">
        <v>467</v>
      </c>
      <c r="F1941" s="29" t="n">
        <v>3411</v>
      </c>
      <c r="G1941" s="30" t="n">
        <v>699094857</v>
      </c>
      <c r="H1941" s="31"/>
      <c r="I1941" s="14" t="n">
        <f aca="false">I1940+G1941-H1941</f>
        <v>701674217</v>
      </c>
    </row>
    <row r="1942" customFormat="false" ht="12" hidden="false" customHeight="true" outlineLevel="0" collapsed="false">
      <c r="B1942" s="27" t="n">
        <v>45252.4437615741</v>
      </c>
      <c r="C1942" s="27" t="n">
        <v>45252.4437615741</v>
      </c>
      <c r="D1942" s="28" t="s">
        <v>663</v>
      </c>
      <c r="E1942" s="29" t="s">
        <v>664</v>
      </c>
      <c r="F1942" s="29" t="n">
        <v>331</v>
      </c>
      <c r="G1942" s="30"/>
      <c r="H1942" s="32" t="n">
        <v>699094857</v>
      </c>
      <c r="I1942" s="14" t="n">
        <f aca="false">I1941+G1942-H1942</f>
        <v>2579360</v>
      </c>
    </row>
    <row r="1943" customFormat="false" ht="12" hidden="false" customHeight="true" outlineLevel="0" collapsed="false">
      <c r="B1943" s="27" t="n">
        <v>45252.4448148148</v>
      </c>
      <c r="C1943" s="27" t="n">
        <v>45252.4448148148</v>
      </c>
      <c r="D1943" s="28" t="s">
        <v>665</v>
      </c>
      <c r="E1943" s="29" t="s">
        <v>467</v>
      </c>
      <c r="F1943" s="29" t="n">
        <v>3411</v>
      </c>
      <c r="G1943" s="30" t="n">
        <v>200155140</v>
      </c>
      <c r="H1943" s="31"/>
      <c r="I1943" s="14" t="n">
        <f aca="false">I1942+G1943-H1943</f>
        <v>202734500</v>
      </c>
    </row>
    <row r="1944" customFormat="false" ht="12" hidden="false" customHeight="true" outlineLevel="0" collapsed="false">
      <c r="B1944" s="27" t="n">
        <v>45253.4662962963</v>
      </c>
      <c r="C1944" s="27" t="n">
        <v>45253.4662962963</v>
      </c>
      <c r="D1944" s="28" t="s">
        <v>666</v>
      </c>
      <c r="E1944" s="29" t="s">
        <v>614</v>
      </c>
      <c r="F1944" s="29" t="n">
        <v>331</v>
      </c>
      <c r="G1944" s="30"/>
      <c r="H1944" s="32" t="n">
        <v>200155140</v>
      </c>
      <c r="I1944" s="14" t="n">
        <f aca="false">I1943+G1944-H1944</f>
        <v>2579360</v>
      </c>
    </row>
    <row r="1945" customFormat="false" ht="12" hidden="false" customHeight="true" outlineLevel="0" collapsed="false">
      <c r="B1945" s="27" t="n">
        <v>45253.467650463</v>
      </c>
      <c r="C1945" s="27" t="n">
        <v>45253.467650463</v>
      </c>
      <c r="D1945" s="28" t="s">
        <v>667</v>
      </c>
      <c r="E1945" s="29" t="s">
        <v>467</v>
      </c>
      <c r="F1945" s="29" t="n">
        <v>3411</v>
      </c>
      <c r="G1945" s="33" t="n">
        <v>176147376</v>
      </c>
      <c r="H1945" s="31"/>
      <c r="I1945" s="14" t="n">
        <f aca="false">I1944+G1945-H1945</f>
        <v>178726736</v>
      </c>
    </row>
    <row r="1946" s="34" customFormat="true" ht="12" hidden="false" customHeight="true" outlineLevel="0" collapsed="false">
      <c r="B1946" s="35" t="n">
        <v>45254.783125</v>
      </c>
      <c r="C1946" s="35" t="n">
        <v>45254.783125</v>
      </c>
      <c r="D1946" s="36" t="s">
        <v>668</v>
      </c>
      <c r="E1946" s="37" t="s">
        <v>653</v>
      </c>
      <c r="F1946" s="37" t="n">
        <v>331</v>
      </c>
      <c r="G1946" s="33"/>
      <c r="H1946" s="38" t="n">
        <f aca="false">G1945</f>
        <v>176147376</v>
      </c>
      <c r="I1946" s="14" t="n">
        <f aca="false">I1945+G1946-H1946</f>
        <v>2579360</v>
      </c>
      <c r="K1946" s="26"/>
      <c r="L1946" s="26"/>
    </row>
    <row r="1947" customFormat="false" ht="12" hidden="false" customHeight="true" outlineLevel="0" collapsed="false">
      <c r="B1947" s="27" t="n">
        <v>45254.7867361111</v>
      </c>
      <c r="C1947" s="27" t="n">
        <v>45254.7867361111</v>
      </c>
      <c r="D1947" s="28" t="s">
        <v>669</v>
      </c>
      <c r="E1947" s="29" t="s">
        <v>467</v>
      </c>
      <c r="F1947" s="29" t="n">
        <v>3411</v>
      </c>
      <c r="G1947" s="30" t="n">
        <v>247840258</v>
      </c>
      <c r="H1947" s="31"/>
      <c r="I1947" s="14" t="n">
        <f aca="false">I1946+G1947-H1947</f>
        <v>250419618</v>
      </c>
    </row>
    <row r="1948" customFormat="false" ht="12" hidden="false" customHeight="true" outlineLevel="0" collapsed="false">
      <c r="B1948" s="27" t="n">
        <v>45257.7864814815</v>
      </c>
      <c r="C1948" s="27" t="n">
        <v>45257.7864814815</v>
      </c>
      <c r="D1948" s="28" t="s">
        <v>670</v>
      </c>
      <c r="E1948" s="29" t="s">
        <v>671</v>
      </c>
      <c r="F1948" s="29" t="n">
        <v>331</v>
      </c>
      <c r="G1948" s="30"/>
      <c r="H1948" s="32" t="n">
        <v>247840258</v>
      </c>
      <c r="I1948" s="14" t="n">
        <f aca="false">I1947+G1948-H1948</f>
        <v>2579360</v>
      </c>
    </row>
    <row r="1949" customFormat="false" ht="12" hidden="false" customHeight="true" outlineLevel="0" collapsed="false">
      <c r="B1949" s="27" t="n">
        <v>45257.7849884259</v>
      </c>
      <c r="C1949" s="27" t="n">
        <v>45257.7849884259</v>
      </c>
      <c r="D1949" s="28" t="s">
        <v>672</v>
      </c>
      <c r="E1949" s="29" t="s">
        <v>467</v>
      </c>
      <c r="F1949" s="29" t="n">
        <v>3411</v>
      </c>
      <c r="G1949" s="30"/>
      <c r="H1949" s="31"/>
      <c r="I1949" s="14" t="n">
        <f aca="false">I1948+G1949-H1949</f>
        <v>2579360</v>
      </c>
    </row>
    <row r="1950" customFormat="false" ht="12" hidden="false" customHeight="true" outlineLevel="0" collapsed="false">
      <c r="B1950" s="27" t="n">
        <v>45257.7853125</v>
      </c>
      <c r="C1950" s="27" t="n">
        <v>45257.7853125</v>
      </c>
      <c r="D1950" s="28" t="s">
        <v>673</v>
      </c>
      <c r="E1950" s="29" t="s">
        <v>467</v>
      </c>
      <c r="F1950" s="29" t="n">
        <v>3411</v>
      </c>
      <c r="G1950" s="30" t="n">
        <v>574462397</v>
      </c>
      <c r="H1950" s="31"/>
      <c r="I1950" s="14" t="n">
        <f aca="false">I1949+G1950-H1950</f>
        <v>577041757</v>
      </c>
    </row>
    <row r="1951" customFormat="false" ht="12" hidden="false" customHeight="true" outlineLevel="0" collapsed="false">
      <c r="B1951" s="27" t="n">
        <v>45258.8169212963</v>
      </c>
      <c r="C1951" s="27" t="n">
        <v>45258.8169212963</v>
      </c>
      <c r="D1951" s="28" t="s">
        <v>674</v>
      </c>
      <c r="E1951" s="29" t="s">
        <v>467</v>
      </c>
      <c r="F1951" s="29" t="n">
        <v>3411</v>
      </c>
      <c r="G1951" s="30" t="n">
        <v>1030836590</v>
      </c>
      <c r="H1951" s="31"/>
      <c r="I1951" s="14" t="n">
        <f aca="false">I1950+G1951-H1951</f>
        <v>1607878347</v>
      </c>
    </row>
    <row r="1952" customFormat="false" ht="12" hidden="false" customHeight="true" outlineLevel="0" collapsed="false">
      <c r="B1952" s="27" t="n">
        <v>45259.8203125</v>
      </c>
      <c r="C1952" s="27" t="n">
        <v>45259.8203125</v>
      </c>
      <c r="D1952" s="28" t="s">
        <v>675</v>
      </c>
      <c r="E1952" s="29" t="s">
        <v>676</v>
      </c>
      <c r="F1952" s="29" t="n">
        <v>331</v>
      </c>
      <c r="G1952" s="30"/>
      <c r="H1952" s="32" t="n">
        <v>574462397</v>
      </c>
      <c r="I1952" s="14" t="n">
        <f aca="false">I1951+G1952-H1952</f>
        <v>1033415950</v>
      </c>
    </row>
    <row r="1953" customFormat="false" ht="12" hidden="false" customHeight="true" outlineLevel="0" collapsed="false">
      <c r="B1953" s="27" t="n">
        <v>45260.5158680556</v>
      </c>
      <c r="C1953" s="27" t="n">
        <v>45260.5158680556</v>
      </c>
      <c r="D1953" s="28" t="s">
        <v>677</v>
      </c>
      <c r="E1953" s="29" t="s">
        <v>678</v>
      </c>
      <c r="F1953" s="29" t="n">
        <v>331</v>
      </c>
      <c r="G1953" s="30"/>
      <c r="H1953" s="32" t="n">
        <v>1030836590</v>
      </c>
      <c r="I1953" s="14" t="n">
        <f aca="false">I1952+G1953-H1953</f>
        <v>2579360</v>
      </c>
    </row>
    <row r="1954" customFormat="false" ht="12" hidden="false" customHeight="true" outlineLevel="0" collapsed="false">
      <c r="B1954" s="27" t="n">
        <v>45261.7843055556</v>
      </c>
      <c r="C1954" s="27" t="n">
        <v>45261.7843055556</v>
      </c>
      <c r="D1954" s="28" t="s">
        <v>679</v>
      </c>
      <c r="E1954" s="29" t="s">
        <v>467</v>
      </c>
      <c r="F1954" s="29" t="n">
        <v>3411</v>
      </c>
      <c r="G1954" s="30" t="n">
        <v>581754431</v>
      </c>
      <c r="H1954" s="31"/>
      <c r="I1954" s="14" t="n">
        <f aca="false">I1953+G1954-H1954</f>
        <v>584333791</v>
      </c>
    </row>
    <row r="1955" customFormat="false" ht="12" hidden="false" customHeight="true" outlineLevel="0" collapsed="false">
      <c r="B1955" s="27" t="n">
        <v>45264.438900463</v>
      </c>
      <c r="C1955" s="27" t="n">
        <v>45264.438900463</v>
      </c>
      <c r="D1955" s="28" t="s">
        <v>680</v>
      </c>
      <c r="E1955" s="29" t="s">
        <v>467</v>
      </c>
      <c r="F1955" s="29" t="n">
        <v>3411</v>
      </c>
      <c r="G1955" s="30" t="n">
        <v>350752081</v>
      </c>
      <c r="H1955" s="31"/>
      <c r="I1955" s="14" t="n">
        <f aca="false">I1954+G1955-H1955</f>
        <v>935085872</v>
      </c>
    </row>
    <row r="1956" customFormat="false" ht="12" hidden="false" customHeight="true" outlineLevel="0" collapsed="false">
      <c r="B1956" s="27" t="n">
        <v>45273.7354050926</v>
      </c>
      <c r="C1956" s="27" t="n">
        <v>45273.7354050926</v>
      </c>
      <c r="D1956" s="28" t="s">
        <v>681</v>
      </c>
      <c r="E1956" s="29" t="s">
        <v>682</v>
      </c>
      <c r="F1956" s="29" t="n">
        <v>331</v>
      </c>
      <c r="G1956" s="30"/>
      <c r="H1956" s="32" t="n">
        <v>581754431</v>
      </c>
      <c r="I1956" s="14" t="n">
        <f aca="false">I1955+G1956-H1956</f>
        <v>353331441</v>
      </c>
    </row>
    <row r="1957" customFormat="false" ht="12" hidden="false" customHeight="true" outlineLevel="0" collapsed="false">
      <c r="B1957" s="27" t="n">
        <v>45273.7368055556</v>
      </c>
      <c r="C1957" s="27" t="n">
        <v>45273.7368055556</v>
      </c>
      <c r="D1957" s="28" t="s">
        <v>683</v>
      </c>
      <c r="E1957" s="29" t="s">
        <v>684</v>
      </c>
      <c r="F1957" s="29" t="n">
        <v>331</v>
      </c>
      <c r="G1957" s="30"/>
      <c r="H1957" s="32" t="n">
        <v>350752081</v>
      </c>
      <c r="I1957" s="14" t="n">
        <f aca="false">I1956+G1957-H1957</f>
        <v>2579360</v>
      </c>
    </row>
    <row r="1958" customFormat="false" ht="12" hidden="false" customHeight="true" outlineLevel="0" collapsed="false">
      <c r="B1958" s="27" t="n">
        <v>45274.495625</v>
      </c>
      <c r="C1958" s="27" t="n">
        <v>45274.495625</v>
      </c>
      <c r="D1958" s="28" t="s">
        <v>685</v>
      </c>
      <c r="E1958" s="29" t="s">
        <v>391</v>
      </c>
      <c r="F1958" s="29" t="n">
        <v>3411</v>
      </c>
      <c r="G1958" s="30" t="n">
        <v>527575926</v>
      </c>
      <c r="H1958" s="31"/>
      <c r="I1958" s="14" t="n">
        <f aca="false">I1957+G1958-H1958</f>
        <v>530155286</v>
      </c>
    </row>
    <row r="1959" customFormat="false" ht="12" hidden="false" customHeight="true" outlineLevel="0" collapsed="false">
      <c r="B1959" s="27" t="n">
        <v>45280.7105555556</v>
      </c>
      <c r="C1959" s="27" t="n">
        <v>45280.7105555556</v>
      </c>
      <c r="D1959" s="28" t="s">
        <v>686</v>
      </c>
      <c r="E1959" s="29" t="s">
        <v>687</v>
      </c>
      <c r="F1959" s="29" t="n">
        <v>331</v>
      </c>
      <c r="G1959" s="30"/>
      <c r="H1959" s="32" t="n">
        <v>527575926</v>
      </c>
      <c r="I1959" s="14" t="n">
        <f aca="false">I1958+G1959-H1959</f>
        <v>2579360</v>
      </c>
    </row>
    <row r="1960" customFormat="false" ht="12" hidden="false" customHeight="true" outlineLevel="0" collapsed="false">
      <c r="B1960" s="27" t="n">
        <v>45281.3902430556</v>
      </c>
      <c r="C1960" s="27" t="n">
        <v>45281.3902430556</v>
      </c>
      <c r="D1960" s="28" t="s">
        <v>688</v>
      </c>
      <c r="E1960" s="29" t="s">
        <v>467</v>
      </c>
      <c r="F1960" s="29" t="n">
        <v>3411</v>
      </c>
      <c r="G1960" s="30" t="n">
        <v>360369415</v>
      </c>
      <c r="H1960" s="31"/>
      <c r="I1960" s="14" t="n">
        <f aca="false">I1959+G1960-H1960</f>
        <v>362948775</v>
      </c>
    </row>
    <row r="1961" customFormat="false" ht="12" hidden="false" customHeight="true" outlineLevel="0" collapsed="false">
      <c r="B1961" s="27" t="n">
        <v>45281.3906018519</v>
      </c>
      <c r="C1961" s="27" t="n">
        <v>45281.3906018519</v>
      </c>
      <c r="D1961" s="28" t="s">
        <v>689</v>
      </c>
      <c r="E1961" s="29" t="s">
        <v>690</v>
      </c>
      <c r="F1961" s="29" t="n">
        <v>331</v>
      </c>
      <c r="G1961" s="30"/>
      <c r="H1961" s="32" t="n">
        <v>360369415</v>
      </c>
      <c r="I1961" s="14" t="n">
        <f aca="false">I1960+G1961-H1961</f>
        <v>2579360</v>
      </c>
    </row>
    <row r="1962" customFormat="false" ht="12" hidden="false" customHeight="true" outlineLevel="0" collapsed="false">
      <c r="B1962" s="27" t="n">
        <v>45285.4296875</v>
      </c>
      <c r="C1962" s="27" t="n">
        <v>45285.4296875</v>
      </c>
      <c r="D1962" s="28" t="s">
        <v>691</v>
      </c>
      <c r="E1962" s="29" t="s">
        <v>467</v>
      </c>
      <c r="F1962" s="29" t="n">
        <v>3411</v>
      </c>
      <c r="G1962" s="30" t="n">
        <v>859127044</v>
      </c>
      <c r="H1962" s="31"/>
      <c r="I1962" s="14" t="n">
        <f aca="false">I1961+G1962-H1962</f>
        <v>861706404</v>
      </c>
    </row>
    <row r="1963" customFormat="false" ht="12" hidden="false" customHeight="true" outlineLevel="0" collapsed="false">
      <c r="B1963" s="27" t="n">
        <v>45286.4407175926</v>
      </c>
      <c r="C1963" s="27" t="n">
        <v>45286.4407175926</v>
      </c>
      <c r="D1963" s="28" t="s">
        <v>692</v>
      </c>
      <c r="E1963" s="29" t="s">
        <v>467</v>
      </c>
      <c r="F1963" s="29" t="n">
        <v>3411</v>
      </c>
      <c r="G1963" s="30" t="n">
        <v>3543354365</v>
      </c>
      <c r="H1963" s="31"/>
      <c r="I1963" s="14" t="n">
        <f aca="false">I1962+G1963-H1963</f>
        <v>4405060769</v>
      </c>
    </row>
    <row r="1964" customFormat="false" ht="12" hidden="false" customHeight="true" outlineLevel="0" collapsed="false">
      <c r="B1964" s="27" t="n">
        <v>45288.5178472222</v>
      </c>
      <c r="C1964" s="27" t="n">
        <v>45288.5178472222</v>
      </c>
      <c r="D1964" s="28" t="s">
        <v>693</v>
      </c>
      <c r="E1964" s="29" t="s">
        <v>694</v>
      </c>
      <c r="F1964" s="29" t="n">
        <v>331</v>
      </c>
      <c r="G1964" s="30"/>
      <c r="H1964" s="32" t="n">
        <v>859127044</v>
      </c>
      <c r="I1964" s="14" t="n">
        <f aca="false">I1963+G1964-H1964</f>
        <v>3545933725</v>
      </c>
    </row>
    <row r="1965" customFormat="false" ht="12" hidden="false" customHeight="true" outlineLevel="0" collapsed="false">
      <c r="B1965" s="27" t="n">
        <v>45289.5209606482</v>
      </c>
      <c r="C1965" s="27" t="n">
        <v>45289.5209606482</v>
      </c>
      <c r="D1965" s="28" t="s">
        <v>695</v>
      </c>
      <c r="E1965" s="29" t="s">
        <v>696</v>
      </c>
      <c r="F1965" s="29" t="n">
        <v>331</v>
      </c>
      <c r="G1965" s="30"/>
      <c r="H1965" s="32" t="n">
        <v>3543354365</v>
      </c>
      <c r="I1965" s="14" t="n">
        <f aca="false">I1964+G1965-H1965</f>
        <v>2579360</v>
      </c>
    </row>
    <row r="1966" customFormat="false" ht="12" hidden="false" customHeight="true" outlineLevel="0" collapsed="false">
      <c r="B1966" s="39"/>
      <c r="C1966" s="39"/>
      <c r="D1966" s="34"/>
      <c r="E1966" s="34"/>
      <c r="F1966" s="34"/>
      <c r="G1966" s="26" t="n">
        <f aca="false">SUM(G6:G1965)</f>
        <v>154566274750</v>
      </c>
      <c r="H1966" s="26" t="n">
        <f aca="false">SUM(H6:H1965)</f>
        <v>154578648063</v>
      </c>
      <c r="I1966" s="40" t="n">
        <f aca="false">I5+G1966-H1966</f>
        <v>2579360</v>
      </c>
      <c r="J1966" s="39" t="n">
        <f aca="false">SUM(B1966:I1966)</f>
        <v>309147502173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2023-06-22T04:37:04Z</dcterms:created>
  <dc:creator>Dell</dc:creator>
  <dc:description/>
  <dc:language>vi-VN</dc:language>
  <cp:lastModifiedBy/>
  <cp:lastPrinted>2024-05-29T07:30:00Z</cp:lastPrinted>
  <dcterms:modified xsi:type="dcterms:W3CDTF">2026-04-15T00:18:04Z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